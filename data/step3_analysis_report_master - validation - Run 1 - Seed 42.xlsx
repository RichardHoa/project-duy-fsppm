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284" documentId="13_ncr:1_{8DA829A7-D392-410C-B92C-4D9E531A3674}" xr6:coauthVersionLast="47" xr6:coauthVersionMax="47" xr10:uidLastSave="{12856EF5-A619-4203-B5AC-421659C22975}"/>
  <bookViews>
    <workbookView xWindow="-98" yWindow="-98" windowWidth="21795" windowHeight="13875" activeTab="4" xr2:uid="{00000000-000D-0000-FFFF-FFFF00000000}"/>
  </bookViews>
  <sheets>
    <sheet name="step3_validation" sheetId="18" r:id="rId1"/>
    <sheet name="survey_responses" sheetId="16" r:id="rId2"/>
    <sheet name="step3_combined_data" sheetId="12" r:id="rId3"/>
    <sheet name="AIx" sheetId="21" r:id="rId4"/>
    <sheet name="Insights" sheetId="22"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definedNames>
    <definedName name="ExternalData_1" localSheetId="1" hidden="1">survey_responses!$A$1:$Q$404</definedName>
    <definedName name="ExternalData_3" localSheetId="0" hidden="1">step3_validation!$A$1:$AS$404</definedName>
  </definedNames>
  <calcPr calcId="191029"/>
  <pivotCaches>
    <pivotCache cacheId="21"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2" l="1"/>
  <c r="C71" i="22"/>
  <c r="B71" i="22"/>
  <c r="D70" i="22"/>
  <c r="C70" i="22"/>
  <c r="B70" i="22"/>
  <c r="D69" i="22"/>
  <c r="C69" i="22"/>
  <c r="B69" i="22"/>
  <c r="D68" i="22"/>
  <c r="C68" i="22"/>
  <c r="B68" i="22"/>
  <c r="D67" i="22"/>
  <c r="C67" i="22"/>
  <c r="B67" i="22"/>
  <c r="E67" i="22" s="1"/>
  <c r="D66" i="22"/>
  <c r="C66" i="22"/>
  <c r="B66" i="22"/>
  <c r="E66" i="22" s="1"/>
  <c r="H66" i="22" s="1"/>
  <c r="D65" i="22"/>
  <c r="C65" i="22"/>
  <c r="B65" i="22"/>
  <c r="E65" i="22" s="1"/>
  <c r="D64" i="22"/>
  <c r="C64" i="22"/>
  <c r="B64" i="22"/>
  <c r="D61" i="22"/>
  <c r="C61" i="22"/>
  <c r="B61" i="22"/>
  <c r="D60" i="22"/>
  <c r="C60" i="22"/>
  <c r="B60" i="22"/>
  <c r="D59" i="22"/>
  <c r="C59" i="22"/>
  <c r="B59" i="22"/>
  <c r="D58" i="22"/>
  <c r="C58" i="22"/>
  <c r="B58" i="22"/>
  <c r="D57" i="22"/>
  <c r="C57" i="22"/>
  <c r="B57" i="22"/>
  <c r="D56" i="22"/>
  <c r="C56" i="22"/>
  <c r="B56" i="22"/>
  <c r="D55" i="22"/>
  <c r="C55" i="22"/>
  <c r="B55" i="22"/>
  <c r="D54" i="22"/>
  <c r="C54" i="22"/>
  <c r="B54" i="22"/>
  <c r="D79" i="22"/>
  <c r="C79" i="22"/>
  <c r="B79" i="22"/>
  <c r="D78" i="22"/>
  <c r="E78" i="22" s="1"/>
  <c r="H78" i="22" s="1"/>
  <c r="C78" i="22"/>
  <c r="B78" i="22"/>
  <c r="D77" i="22"/>
  <c r="C77" i="22"/>
  <c r="B77" i="22"/>
  <c r="E77" i="22" s="1"/>
  <c r="J77" i="22" s="1"/>
  <c r="D76" i="22"/>
  <c r="C76" i="22"/>
  <c r="B76" i="22"/>
  <c r="E76" i="22" s="1"/>
  <c r="D75" i="22"/>
  <c r="C75" i="22"/>
  <c r="B75" i="22"/>
  <c r="D74" i="22"/>
  <c r="C74" i="22"/>
  <c r="B74" i="22"/>
  <c r="D51" i="22"/>
  <c r="C51" i="22"/>
  <c r="B51" i="22"/>
  <c r="D50" i="22"/>
  <c r="C50" i="22"/>
  <c r="B50" i="22"/>
  <c r="D49" i="22"/>
  <c r="C49" i="22"/>
  <c r="B49" i="22"/>
  <c r="D48" i="22"/>
  <c r="C48" i="22"/>
  <c r="B48" i="22"/>
  <c r="D47" i="22"/>
  <c r="C47" i="22"/>
  <c r="B47" i="22"/>
  <c r="E47" i="22" s="1"/>
  <c r="D46" i="22"/>
  <c r="C46" i="22"/>
  <c r="B46" i="22"/>
  <c r="D43" i="22"/>
  <c r="C43" i="22"/>
  <c r="E43" i="22" s="1"/>
  <c r="B43" i="22"/>
  <c r="D42" i="22"/>
  <c r="C42" i="22"/>
  <c r="B42" i="22"/>
  <c r="D41" i="22"/>
  <c r="C41" i="22"/>
  <c r="E41" i="22" s="1"/>
  <c r="H41" i="22" s="1"/>
  <c r="B41" i="22"/>
  <c r="D40" i="22"/>
  <c r="E40" i="22" s="1"/>
  <c r="C40" i="22"/>
  <c r="B40" i="22"/>
  <c r="D39" i="22"/>
  <c r="C39" i="22"/>
  <c r="B39" i="22"/>
  <c r="D38" i="22"/>
  <c r="C38" i="22"/>
  <c r="B38" i="22"/>
  <c r="E42" i="22"/>
  <c r="D35" i="22"/>
  <c r="C35" i="22"/>
  <c r="B35" i="22"/>
  <c r="D34" i="22"/>
  <c r="C34" i="22"/>
  <c r="B34" i="22"/>
  <c r="D33" i="22"/>
  <c r="C33" i="22"/>
  <c r="B33" i="22"/>
  <c r="E33" i="22" s="1"/>
  <c r="D32" i="22"/>
  <c r="C32" i="22"/>
  <c r="B32" i="22"/>
  <c r="E32" i="22" s="1"/>
  <c r="I32" i="22" s="1"/>
  <c r="D31" i="22"/>
  <c r="C31" i="22"/>
  <c r="B31" i="22"/>
  <c r="E31" i="22" s="1"/>
  <c r="D30" i="22"/>
  <c r="C30" i="22"/>
  <c r="B30" i="22"/>
  <c r="E30" i="22" s="1"/>
  <c r="H30" i="22" s="1"/>
  <c r="D27" i="22"/>
  <c r="C27" i="22"/>
  <c r="B27" i="22"/>
  <c r="D26" i="22"/>
  <c r="C26" i="22"/>
  <c r="B26" i="22"/>
  <c r="D25" i="22"/>
  <c r="C25" i="22"/>
  <c r="B25" i="22"/>
  <c r="D24" i="22"/>
  <c r="C24" i="22"/>
  <c r="B24" i="22"/>
  <c r="D23" i="22"/>
  <c r="C23" i="22"/>
  <c r="B23" i="22"/>
  <c r="D22" i="22"/>
  <c r="C22" i="22"/>
  <c r="B22" i="22"/>
  <c r="E22" i="22" s="1"/>
  <c r="E27" i="22"/>
  <c r="H27" i="22" s="1"/>
  <c r="D19" i="22"/>
  <c r="C19" i="22"/>
  <c r="B19" i="22"/>
  <c r="D18" i="22"/>
  <c r="C18" i="22"/>
  <c r="B18" i="22"/>
  <c r="D17" i="22"/>
  <c r="C17" i="22"/>
  <c r="B17" i="22"/>
  <c r="D16" i="22"/>
  <c r="C16" i="22"/>
  <c r="B16" i="22"/>
  <c r="D15" i="22"/>
  <c r="C15" i="22"/>
  <c r="B15" i="22"/>
  <c r="D14" i="22"/>
  <c r="C14" i="22"/>
  <c r="B14" i="22"/>
  <c r="D11" i="22"/>
  <c r="C11" i="22"/>
  <c r="B11" i="22"/>
  <c r="D10" i="22"/>
  <c r="C10" i="22"/>
  <c r="B10" i="22"/>
  <c r="D7" i="22"/>
  <c r="C7" i="22"/>
  <c r="B7" i="22"/>
  <c r="D6" i="22"/>
  <c r="C6" i="22"/>
  <c r="B6" i="22"/>
  <c r="D3" i="22"/>
  <c r="C3" i="22"/>
  <c r="B3" i="22"/>
  <c r="D2" i="22"/>
  <c r="C2" i="22"/>
  <c r="B2" i="22"/>
  <c r="E51" i="22"/>
  <c r="E26" i="22"/>
  <c r="I65" i="22" l="1"/>
  <c r="J65" i="22"/>
  <c r="E58" i="22"/>
  <c r="E57" i="22"/>
  <c r="J57" i="22" s="1"/>
  <c r="E56" i="22"/>
  <c r="J56" i="22" s="1"/>
  <c r="E55" i="22"/>
  <c r="H55" i="22" s="1"/>
  <c r="E54" i="22"/>
  <c r="J54" i="22" s="1"/>
  <c r="I40" i="22"/>
  <c r="E19" i="22"/>
  <c r="H19" i="22" s="1"/>
  <c r="E17" i="22"/>
  <c r="J17" i="22" s="1"/>
  <c r="E16" i="22"/>
  <c r="H16" i="22" s="1"/>
  <c r="J43" i="22"/>
  <c r="I43" i="22"/>
  <c r="I57" i="22"/>
  <c r="I41" i="22"/>
  <c r="I77" i="22"/>
  <c r="I30" i="22"/>
  <c r="J67" i="22"/>
  <c r="J32" i="22"/>
  <c r="I66" i="22"/>
  <c r="I78" i="22"/>
  <c r="J78" i="22"/>
  <c r="E15" i="22"/>
  <c r="H15" i="22" s="1"/>
  <c r="J42" i="22"/>
  <c r="J27" i="22"/>
  <c r="H43" i="22"/>
  <c r="E18" i="22"/>
  <c r="H18" i="22" s="1"/>
  <c r="H32" i="22"/>
  <c r="E46" i="22"/>
  <c r="J46" i="22" s="1"/>
  <c r="I51" i="22"/>
  <c r="H77" i="22"/>
  <c r="H57" i="22"/>
  <c r="I27" i="22"/>
  <c r="I26" i="22"/>
  <c r="J26" i="22"/>
  <c r="I42" i="22"/>
  <c r="H42" i="22"/>
  <c r="I47" i="22"/>
  <c r="H17" i="22"/>
  <c r="H58" i="22"/>
  <c r="J58" i="22"/>
  <c r="I58" i="22"/>
  <c r="I76" i="22"/>
  <c r="J31" i="22"/>
  <c r="I33" i="22"/>
  <c r="J40" i="22"/>
  <c r="J76" i="22"/>
  <c r="I22" i="22"/>
  <c r="H22" i="22"/>
  <c r="J22" i="22"/>
  <c r="I67" i="22"/>
  <c r="H67" i="22"/>
  <c r="J47" i="22"/>
  <c r="H47" i="22"/>
  <c r="I31" i="22"/>
  <c r="H31" i="22"/>
  <c r="J33" i="22"/>
  <c r="H33" i="22"/>
  <c r="J51" i="22"/>
  <c r="E11" i="22"/>
  <c r="I11" i="22" s="1"/>
  <c r="E14" i="22"/>
  <c r="E25" i="22"/>
  <c r="H25" i="22" s="1"/>
  <c r="H26" i="22"/>
  <c r="E39" i="22"/>
  <c r="J39" i="22" s="1"/>
  <c r="H40" i="22"/>
  <c r="E50" i="22"/>
  <c r="J50" i="22" s="1"/>
  <c r="H51" i="22"/>
  <c r="H54" i="22"/>
  <c r="E61" i="22"/>
  <c r="J61" i="22" s="1"/>
  <c r="E64" i="22"/>
  <c r="J64" i="22" s="1"/>
  <c r="H65" i="22"/>
  <c r="E75" i="22"/>
  <c r="J75" i="22" s="1"/>
  <c r="H76" i="22"/>
  <c r="E7" i="22"/>
  <c r="J7" i="22" s="1"/>
  <c r="E10" i="22"/>
  <c r="J16" i="22"/>
  <c r="E24" i="22"/>
  <c r="J24" i="22" s="1"/>
  <c r="J30" i="22"/>
  <c r="E35" i="22"/>
  <c r="J35" i="22" s="1"/>
  <c r="E38" i="22"/>
  <c r="I38" i="22" s="1"/>
  <c r="J41" i="22"/>
  <c r="E49" i="22"/>
  <c r="J49" i="22" s="1"/>
  <c r="E60" i="22"/>
  <c r="J60" i="22" s="1"/>
  <c r="J66" i="22"/>
  <c r="E71" i="22"/>
  <c r="J71" i="22" s="1"/>
  <c r="E74" i="22"/>
  <c r="E3" i="22"/>
  <c r="I3" i="22" s="1"/>
  <c r="E6" i="22"/>
  <c r="E23" i="22"/>
  <c r="E34" i="22"/>
  <c r="I34" i="22" s="1"/>
  <c r="E48" i="22"/>
  <c r="H48" i="22" s="1"/>
  <c r="E59" i="22"/>
  <c r="E70" i="22"/>
  <c r="H70" i="22" s="1"/>
  <c r="E2" i="22"/>
  <c r="I2" i="22" s="1"/>
  <c r="E69" i="22"/>
  <c r="J69" i="22" s="1"/>
  <c r="E68" i="22"/>
  <c r="H68" i="22" s="1"/>
  <c r="E79" i="22"/>
  <c r="I79" i="22" s="1"/>
  <c r="H56" i="22" l="1"/>
  <c r="I56" i="22"/>
  <c r="J55" i="22"/>
  <c r="I55" i="22"/>
  <c r="I61" i="22"/>
  <c r="I54" i="22"/>
  <c r="H79" i="22"/>
  <c r="I46" i="22"/>
  <c r="I19" i="22"/>
  <c r="J19" i="22"/>
  <c r="I17" i="22"/>
  <c r="I16" i="22"/>
  <c r="J15" i="22"/>
  <c r="I15" i="22"/>
  <c r="J18" i="22"/>
  <c r="E13" i="22"/>
  <c r="I18" i="22"/>
  <c r="H11" i="22"/>
  <c r="J11" i="22"/>
  <c r="E5" i="22"/>
  <c r="I6" i="22"/>
  <c r="H38" i="22"/>
  <c r="H39" i="22"/>
  <c r="H49" i="22"/>
  <c r="H71" i="22"/>
  <c r="J70" i="22"/>
  <c r="H60" i="22"/>
  <c r="I50" i="22"/>
  <c r="H46" i="22"/>
  <c r="H2" i="22"/>
  <c r="I70" i="22"/>
  <c r="H7" i="22"/>
  <c r="H50" i="22"/>
  <c r="I7" i="22"/>
  <c r="I69" i="22"/>
  <c r="I24" i="22"/>
  <c r="E73" i="22"/>
  <c r="J74" i="22"/>
  <c r="E63" i="22"/>
  <c r="H64" i="22"/>
  <c r="I25" i="22"/>
  <c r="H24" i="22"/>
  <c r="H14" i="22"/>
  <c r="J68" i="22"/>
  <c r="I68" i="22"/>
  <c r="J23" i="22"/>
  <c r="I23" i="22"/>
  <c r="E9" i="22"/>
  <c r="J10" i="22"/>
  <c r="J79" i="22"/>
  <c r="J25" i="22"/>
  <c r="H69" i="22"/>
  <c r="J34" i="22"/>
  <c r="I64" i="22"/>
  <c r="I39" i="22"/>
  <c r="H75" i="22"/>
  <c r="J59" i="22"/>
  <c r="I59" i="22"/>
  <c r="I35" i="22"/>
  <c r="H74" i="22"/>
  <c r="I71" i="22"/>
  <c r="H61" i="22"/>
  <c r="E29" i="22"/>
  <c r="H34" i="22"/>
  <c r="H59" i="22"/>
  <c r="H23" i="22"/>
  <c r="I49" i="22"/>
  <c r="I10" i="22"/>
  <c r="J3" i="22"/>
  <c r="H35" i="22"/>
  <c r="J48" i="22"/>
  <c r="I48" i="22"/>
  <c r="E45" i="22"/>
  <c r="E1" i="22"/>
  <c r="J2" i="22"/>
  <c r="I60" i="22"/>
  <c r="I14" i="22"/>
  <c r="I74" i="22"/>
  <c r="J6" i="22"/>
  <c r="H6" i="22"/>
  <c r="E53" i="22"/>
  <c r="E37" i="22"/>
  <c r="J38" i="22"/>
  <c r="H3" i="22"/>
  <c r="E21" i="22"/>
  <c r="H10" i="22"/>
  <c r="I75" i="22"/>
  <c r="J14" i="22"/>
  <c r="BD3" i="21" l="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D87" i="21"/>
  <c r="BD88" i="21"/>
  <c r="BD89" i="21"/>
  <c r="BD90" i="21"/>
  <c r="BD91" i="2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6" i="21"/>
  <c r="BD157" i="21"/>
  <c r="BD158" i="21"/>
  <c r="BD159" i="21"/>
  <c r="BD160" i="21"/>
  <c r="BD161" i="21"/>
  <c r="BD162" i="21"/>
  <c r="BD163" i="21"/>
  <c r="BD164" i="21"/>
  <c r="BD165" i="21"/>
  <c r="BD166" i="21"/>
  <c r="BD167" i="21"/>
  <c r="BD168" i="21"/>
  <c r="BD169" i="21"/>
  <c r="BD170" i="21"/>
  <c r="BD171" i="21"/>
  <c r="BD172" i="21"/>
  <c r="BD173" i="21"/>
  <c r="BD174" i="21"/>
  <c r="BD175" i="21"/>
  <c r="BD176" i="21"/>
  <c r="BD177" i="21"/>
  <c r="BD178" i="21"/>
  <c r="BD179" i="21"/>
  <c r="BD180" i="21"/>
  <c r="BD181" i="21"/>
  <c r="BD182" i="21"/>
  <c r="BD183" i="21"/>
  <c r="BD184" i="21"/>
  <c r="BD185" i="21"/>
  <c r="BD186" i="21"/>
  <c r="BD187" i="21"/>
  <c r="BD188" i="21"/>
  <c r="BD189" i="21"/>
  <c r="BD190" i="21"/>
  <c r="BD191" i="21"/>
  <c r="BD192" i="21"/>
  <c r="BD193" i="21"/>
  <c r="BD194" i="21"/>
  <c r="BD195" i="21"/>
  <c r="BD196" i="21"/>
  <c r="BD197" i="21"/>
  <c r="BD198" i="21"/>
  <c r="BD199" i="21"/>
  <c r="BD200" i="21"/>
  <c r="BD201" i="21"/>
  <c r="BD202" i="21"/>
  <c r="BD203" i="21"/>
  <c r="BD204" i="21"/>
  <c r="BD205" i="21"/>
  <c r="BD206" i="21"/>
  <c r="BD207" i="21"/>
  <c r="BD208" i="21"/>
  <c r="BD209" i="21"/>
  <c r="BD210" i="21"/>
  <c r="BD211" i="21"/>
  <c r="BD212" i="21"/>
  <c r="BD213" i="21"/>
  <c r="BD214" i="21"/>
  <c r="BD215" i="21"/>
  <c r="BD216" i="21"/>
  <c r="BD217" i="21"/>
  <c r="BD218" i="21"/>
  <c r="BD219" i="21"/>
  <c r="BD220" i="21"/>
  <c r="BD221" i="21"/>
  <c r="BD222" i="21"/>
  <c r="BD223" i="21"/>
  <c r="BD224" i="21"/>
  <c r="BD225" i="21"/>
  <c r="BD226" i="21"/>
  <c r="BD227" i="21"/>
  <c r="BD228" i="21"/>
  <c r="BD229" i="21"/>
  <c r="BD230" i="21"/>
  <c r="BD231" i="21"/>
  <c r="BD232" i="21"/>
  <c r="BD233" i="21"/>
  <c r="BD234" i="21"/>
  <c r="BD235" i="21"/>
  <c r="BD236" i="21"/>
  <c r="BD237" i="21"/>
  <c r="BD238" i="21"/>
  <c r="BD239" i="21"/>
  <c r="BD240" i="21"/>
  <c r="BD241" i="21"/>
  <c r="BD242" i="21"/>
  <c r="BD243" i="21"/>
  <c r="BD244" i="21"/>
  <c r="BD245" i="21"/>
  <c r="BD246" i="21"/>
  <c r="BD247" i="21"/>
  <c r="BD248" i="21"/>
  <c r="BD249" i="21"/>
  <c r="BD250" i="21"/>
  <c r="BD251" i="21"/>
  <c r="BD252" i="21"/>
  <c r="BD253" i="21"/>
  <c r="BD254" i="21"/>
  <c r="BD255" i="21"/>
  <c r="BD256" i="21"/>
  <c r="BD257" i="21"/>
  <c r="BD258" i="21"/>
  <c r="BD259" i="21"/>
  <c r="BD260" i="21"/>
  <c r="BD261" i="21"/>
  <c r="BD262" i="21"/>
  <c r="BD263" i="21"/>
  <c r="BD264" i="21"/>
  <c r="BD265" i="21"/>
  <c r="BD266" i="21"/>
  <c r="BD267" i="21"/>
  <c r="BD268" i="21"/>
  <c r="BD269" i="21"/>
  <c r="BD270" i="21"/>
  <c r="BD271" i="21"/>
  <c r="BD272" i="21"/>
  <c r="BD273" i="21"/>
  <c r="BD274" i="21"/>
  <c r="BD275" i="21"/>
  <c r="BD276" i="21"/>
  <c r="BD277" i="21"/>
  <c r="BD278" i="21"/>
  <c r="BD279" i="21"/>
  <c r="BD280" i="21"/>
  <c r="BD281" i="21"/>
  <c r="BD282" i="21"/>
  <c r="BD283" i="21"/>
  <c r="BD284" i="21"/>
  <c r="BD285" i="21"/>
  <c r="BD286" i="21"/>
  <c r="BD287" i="21"/>
  <c r="BD288" i="21"/>
  <c r="BD289" i="21"/>
  <c r="BD290" i="21"/>
  <c r="BD291" i="21"/>
  <c r="BD292" i="21"/>
  <c r="BD293" i="21"/>
  <c r="BD294" i="21"/>
  <c r="BD295" i="21"/>
  <c r="BD296" i="21"/>
  <c r="BD297" i="21"/>
  <c r="BD298" i="21"/>
  <c r="BD299" i="21"/>
  <c r="BD300" i="21"/>
  <c r="BD301" i="21"/>
  <c r="BD302" i="21"/>
  <c r="BD303" i="21"/>
  <c r="BD304" i="21"/>
  <c r="BD305" i="21"/>
  <c r="BD306" i="21"/>
  <c r="BD307" i="21"/>
  <c r="BD308" i="21"/>
  <c r="BD309" i="21"/>
  <c r="BD310" i="21"/>
  <c r="BD311" i="21"/>
  <c r="BD312" i="21"/>
  <c r="BD313" i="21"/>
  <c r="BD314" i="21"/>
  <c r="BD315" i="21"/>
  <c r="BD316" i="21"/>
  <c r="BD317" i="21"/>
  <c r="BD318" i="21"/>
  <c r="BD319" i="21"/>
  <c r="BD320" i="21"/>
  <c r="BD321" i="21"/>
  <c r="BD322" i="21"/>
  <c r="BD323" i="21"/>
  <c r="BD324" i="21"/>
  <c r="BD325" i="21"/>
  <c r="BD326" i="21"/>
  <c r="BD327" i="21"/>
  <c r="BD328" i="21"/>
  <c r="BD329" i="21"/>
  <c r="BD330" i="21"/>
  <c r="BD331" i="21"/>
  <c r="BD332" i="21"/>
  <c r="BD333" i="21"/>
  <c r="BD334" i="21"/>
  <c r="BD335" i="21"/>
  <c r="BD336" i="21"/>
  <c r="BD337" i="21"/>
  <c r="BD338" i="21"/>
  <c r="BD339" i="21"/>
  <c r="BD340" i="21"/>
  <c r="BD341" i="21"/>
  <c r="BD342" i="21"/>
  <c r="BD343" i="21"/>
  <c r="BD344" i="21"/>
  <c r="BD345" i="21"/>
  <c r="BD346" i="21"/>
  <c r="BD347" i="21"/>
  <c r="BD348" i="21"/>
  <c r="BD349" i="21"/>
  <c r="BD350" i="21"/>
  <c r="BD351" i="21"/>
  <c r="BD352" i="21"/>
  <c r="BD353" i="21"/>
  <c r="BD354" i="21"/>
  <c r="BD355" i="21"/>
  <c r="BD356" i="21"/>
  <c r="BD357" i="21"/>
  <c r="BD358" i="21"/>
  <c r="BD359" i="21"/>
  <c r="BD360" i="21"/>
  <c r="BD361" i="21"/>
  <c r="BD362" i="21"/>
  <c r="BD363" i="21"/>
  <c r="BD364" i="21"/>
  <c r="BD365" i="21"/>
  <c r="BD366" i="21"/>
  <c r="BD367" i="21"/>
  <c r="BD368" i="21"/>
  <c r="BD369" i="21"/>
  <c r="BD370" i="21"/>
  <c r="BD371" i="21"/>
  <c r="BD372" i="21"/>
  <c r="BD373" i="21"/>
  <c r="BD374" i="21"/>
  <c r="BD375" i="21"/>
  <c r="BD376" i="21"/>
  <c r="BD377" i="21"/>
  <c r="BD378" i="21"/>
  <c r="BD379" i="21"/>
  <c r="BD380" i="21"/>
  <c r="BD381" i="21"/>
  <c r="BD382" i="21"/>
  <c r="BD383" i="21"/>
  <c r="BD384" i="21"/>
  <c r="BD385" i="21"/>
  <c r="BD386" i="21"/>
  <c r="BD387" i="21"/>
  <c r="BD388" i="21"/>
  <c r="BD389" i="21"/>
  <c r="BD390" i="21"/>
  <c r="BD391" i="21"/>
  <c r="BD392" i="21"/>
  <c r="BD393" i="21"/>
  <c r="BD394" i="21"/>
  <c r="BD395" i="21"/>
  <c r="BD396" i="21"/>
  <c r="BD397" i="21"/>
  <c r="BD398" i="21"/>
  <c r="BD399" i="21"/>
  <c r="BD400" i="21"/>
  <c r="BD401" i="21"/>
  <c r="BD402" i="21"/>
  <c r="BD403" i="21"/>
  <c r="BD404" i="21"/>
  <c r="BD2"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C86" i="21"/>
  <c r="BC87" i="21"/>
  <c r="BC88" i="21"/>
  <c r="BC89" i="21"/>
  <c r="BC90" i="21"/>
  <c r="BC91" i="21"/>
  <c r="BC92"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C157" i="21"/>
  <c r="BC158" i="21"/>
  <c r="BC159" i="21"/>
  <c r="BC160" i="21"/>
  <c r="BC161" i="21"/>
  <c r="BC162" i="21"/>
  <c r="BC163" i="21"/>
  <c r="BC164" i="21"/>
  <c r="BC165" i="21"/>
  <c r="BC166" i="21"/>
  <c r="BC167" i="21"/>
  <c r="BC168" i="21"/>
  <c r="BC169" i="21"/>
  <c r="BC170" i="21"/>
  <c r="BC171" i="21"/>
  <c r="BC172" i="21"/>
  <c r="BC173" i="21"/>
  <c r="BC174" i="21"/>
  <c r="BC175" i="21"/>
  <c r="BC176" i="21"/>
  <c r="BC177" i="21"/>
  <c r="BC178" i="21"/>
  <c r="BC179" i="21"/>
  <c r="BC180" i="21"/>
  <c r="BC181" i="21"/>
  <c r="BC182" i="21"/>
  <c r="BC183" i="21"/>
  <c r="BC184" i="21"/>
  <c r="BC185" i="21"/>
  <c r="BC186" i="21"/>
  <c r="BC187" i="21"/>
  <c r="BC188" i="21"/>
  <c r="BC189" i="21"/>
  <c r="BC190" i="21"/>
  <c r="BC191" i="21"/>
  <c r="BC192" i="21"/>
  <c r="BC193" i="21"/>
  <c r="BC194" i="21"/>
  <c r="BC195" i="21"/>
  <c r="BC196" i="21"/>
  <c r="BC197" i="21"/>
  <c r="BC198" i="21"/>
  <c r="BC199" i="21"/>
  <c r="BC200" i="21"/>
  <c r="BC201" i="21"/>
  <c r="BC202" i="21"/>
  <c r="BC203" i="21"/>
  <c r="BC204" i="21"/>
  <c r="BC205" i="21"/>
  <c r="BC206" i="21"/>
  <c r="BC207" i="21"/>
  <c r="BC208" i="21"/>
  <c r="BC209" i="21"/>
  <c r="BC210" i="21"/>
  <c r="BC211" i="21"/>
  <c r="BC212" i="21"/>
  <c r="BC213" i="21"/>
  <c r="BC214" i="21"/>
  <c r="BC215" i="21"/>
  <c r="BC216" i="21"/>
  <c r="BC217" i="21"/>
  <c r="BC218" i="21"/>
  <c r="BC219" i="21"/>
  <c r="BC220" i="21"/>
  <c r="BC221" i="21"/>
  <c r="BC222" i="21"/>
  <c r="BC223" i="21"/>
  <c r="BC224" i="21"/>
  <c r="BC225" i="21"/>
  <c r="BC226" i="21"/>
  <c r="BC227" i="21"/>
  <c r="BC228" i="21"/>
  <c r="BC229" i="21"/>
  <c r="BC230" i="21"/>
  <c r="BC231" i="21"/>
  <c r="BC232" i="21"/>
  <c r="BC233" i="21"/>
  <c r="BC234" i="21"/>
  <c r="BC235" i="21"/>
  <c r="BC236" i="21"/>
  <c r="BC237" i="21"/>
  <c r="BC238" i="21"/>
  <c r="BC239" i="21"/>
  <c r="BC240" i="21"/>
  <c r="BC241" i="21"/>
  <c r="BC242" i="21"/>
  <c r="BC243" i="21"/>
  <c r="BC244" i="21"/>
  <c r="BC245" i="21"/>
  <c r="BC246" i="21"/>
  <c r="BC247" i="21"/>
  <c r="BC248" i="21"/>
  <c r="BC249" i="21"/>
  <c r="BC250" i="21"/>
  <c r="BC251" i="21"/>
  <c r="BC252" i="21"/>
  <c r="BC253" i="21"/>
  <c r="BC254" i="21"/>
  <c r="BC255" i="21"/>
  <c r="BC256" i="21"/>
  <c r="BC257" i="21"/>
  <c r="BC258" i="21"/>
  <c r="BC259" i="21"/>
  <c r="BC260" i="21"/>
  <c r="BC261" i="21"/>
  <c r="BC262" i="21"/>
  <c r="BC263" i="21"/>
  <c r="BC264" i="21"/>
  <c r="BC265" i="21"/>
  <c r="BC266" i="21"/>
  <c r="BC267" i="21"/>
  <c r="BC268" i="21"/>
  <c r="BC269" i="21"/>
  <c r="BC270" i="21"/>
  <c r="BC271" i="21"/>
  <c r="BC272" i="21"/>
  <c r="BC273" i="21"/>
  <c r="BC274" i="21"/>
  <c r="BC275" i="21"/>
  <c r="BC276" i="21"/>
  <c r="BC277" i="21"/>
  <c r="BC278" i="21"/>
  <c r="BC279" i="21"/>
  <c r="BC280" i="21"/>
  <c r="BC281" i="21"/>
  <c r="BC282" i="21"/>
  <c r="BC283" i="21"/>
  <c r="BC284" i="21"/>
  <c r="BC285" i="21"/>
  <c r="BC286" i="21"/>
  <c r="BC287" i="21"/>
  <c r="BC288" i="21"/>
  <c r="BC289" i="21"/>
  <c r="BC290" i="21"/>
  <c r="BC291" i="21"/>
  <c r="BC292" i="21"/>
  <c r="BC293" i="21"/>
  <c r="BC294" i="21"/>
  <c r="BC295" i="21"/>
  <c r="BC296" i="21"/>
  <c r="BC297" i="21"/>
  <c r="BC298" i="21"/>
  <c r="BC299" i="21"/>
  <c r="BC300" i="21"/>
  <c r="BC301" i="21"/>
  <c r="BC302" i="21"/>
  <c r="BC303" i="21"/>
  <c r="BC304" i="21"/>
  <c r="BC305" i="21"/>
  <c r="BC306" i="21"/>
  <c r="BC307" i="21"/>
  <c r="BC308" i="21"/>
  <c r="BC309" i="21"/>
  <c r="BC310" i="21"/>
  <c r="BC311" i="21"/>
  <c r="BC312" i="21"/>
  <c r="BC313" i="21"/>
  <c r="BC314" i="21"/>
  <c r="BC315" i="21"/>
  <c r="BC316" i="21"/>
  <c r="BC317" i="21"/>
  <c r="BC318" i="21"/>
  <c r="BC319" i="21"/>
  <c r="BC320" i="21"/>
  <c r="BC321" i="21"/>
  <c r="BC322" i="21"/>
  <c r="BC323" i="21"/>
  <c r="BC324" i="21"/>
  <c r="BC325" i="21"/>
  <c r="BC326" i="21"/>
  <c r="BC327" i="21"/>
  <c r="BC328" i="21"/>
  <c r="BC329" i="21"/>
  <c r="BC330" i="21"/>
  <c r="BC331" i="21"/>
  <c r="BC332" i="21"/>
  <c r="BC333" i="21"/>
  <c r="BC334" i="21"/>
  <c r="BC335" i="21"/>
  <c r="BC336" i="21"/>
  <c r="BC337" i="21"/>
  <c r="BC338" i="21"/>
  <c r="BC339" i="21"/>
  <c r="BC340" i="21"/>
  <c r="BC341" i="21"/>
  <c r="BC342" i="21"/>
  <c r="BC343" i="21"/>
  <c r="BC344" i="21"/>
  <c r="BC345" i="21"/>
  <c r="BC346" i="21"/>
  <c r="BC347" i="21"/>
  <c r="BC348" i="21"/>
  <c r="BC349" i="21"/>
  <c r="BC350" i="21"/>
  <c r="BC351" i="21"/>
  <c r="BC352" i="21"/>
  <c r="BC353" i="21"/>
  <c r="BC354" i="21"/>
  <c r="BC355" i="21"/>
  <c r="BC356" i="21"/>
  <c r="BC357" i="21"/>
  <c r="BC358" i="21"/>
  <c r="BC359" i="21"/>
  <c r="BC360" i="21"/>
  <c r="BC361" i="21"/>
  <c r="BC362" i="21"/>
  <c r="BC363" i="21"/>
  <c r="BC364" i="21"/>
  <c r="BC365" i="21"/>
  <c r="BC366" i="21"/>
  <c r="BC367" i="21"/>
  <c r="BC368" i="21"/>
  <c r="BC369" i="21"/>
  <c r="BC370" i="21"/>
  <c r="BC371" i="21"/>
  <c r="BC372" i="21"/>
  <c r="BC373" i="21"/>
  <c r="BC374" i="21"/>
  <c r="BC375" i="21"/>
  <c r="BC376" i="21"/>
  <c r="BC377" i="21"/>
  <c r="BC378" i="21"/>
  <c r="BC379" i="21"/>
  <c r="BC380" i="21"/>
  <c r="BC381" i="21"/>
  <c r="BC382" i="21"/>
  <c r="BC383" i="21"/>
  <c r="BC384" i="21"/>
  <c r="BC385" i="21"/>
  <c r="BC386" i="21"/>
  <c r="BC387" i="21"/>
  <c r="BC388" i="21"/>
  <c r="BC389" i="21"/>
  <c r="BC390" i="21"/>
  <c r="BC391" i="21"/>
  <c r="BC392" i="21"/>
  <c r="BC393" i="21"/>
  <c r="BC394" i="21"/>
  <c r="BC395" i="21"/>
  <c r="BC396" i="21"/>
  <c r="BC397" i="21"/>
  <c r="BC398" i="21"/>
  <c r="BC399" i="21"/>
  <c r="BC400" i="21"/>
  <c r="BC401" i="21"/>
  <c r="BC402" i="21"/>
  <c r="BC403" i="21"/>
  <c r="BC404" i="21"/>
  <c r="BC2" i="21"/>
  <c r="BH405" i="21" l="1"/>
  <c r="AY3" i="21" l="1"/>
  <c r="AY4" i="21"/>
  <c r="AZ4" i="21" s="1"/>
  <c r="AY5" i="21"/>
  <c r="AZ5" i="21" s="1"/>
  <c r="AY6" i="21"/>
  <c r="AZ6" i="21" s="1"/>
  <c r="AY7" i="21"/>
  <c r="AZ7" i="21" s="1"/>
  <c r="AY8" i="21"/>
  <c r="AZ8" i="21" s="1"/>
  <c r="AY9" i="21"/>
  <c r="AZ9" i="21" s="1"/>
  <c r="AY10" i="21"/>
  <c r="AZ10" i="21" s="1"/>
  <c r="AY11" i="21"/>
  <c r="AY12" i="21"/>
  <c r="AZ12" i="21" s="1"/>
  <c r="AY13" i="21"/>
  <c r="AZ13" i="21" s="1"/>
  <c r="AY14" i="21"/>
  <c r="AZ14" i="21" s="1"/>
  <c r="AY15" i="21"/>
  <c r="AZ15" i="21" s="1"/>
  <c r="AY16" i="21"/>
  <c r="AZ16" i="21" s="1"/>
  <c r="AY17" i="21"/>
  <c r="AZ17" i="21" s="1"/>
  <c r="AY18" i="21"/>
  <c r="AZ18" i="21" s="1"/>
  <c r="AY19" i="21"/>
  <c r="AZ19" i="21" s="1"/>
  <c r="AY20" i="21"/>
  <c r="AZ20" i="21" s="1"/>
  <c r="AY21" i="21"/>
  <c r="AZ21" i="21" s="1"/>
  <c r="AY22" i="21"/>
  <c r="AZ22" i="21" s="1"/>
  <c r="AY23" i="21"/>
  <c r="AZ23" i="21" s="1"/>
  <c r="AY24" i="21"/>
  <c r="AZ24" i="21" s="1"/>
  <c r="AY25" i="21"/>
  <c r="AZ25" i="21" s="1"/>
  <c r="AY26" i="21"/>
  <c r="AZ26" i="21" s="1"/>
  <c r="AY27" i="21"/>
  <c r="AY28" i="21"/>
  <c r="AY29" i="21"/>
  <c r="AZ29" i="21" s="1"/>
  <c r="AY30" i="21"/>
  <c r="AZ30" i="21" s="1"/>
  <c r="AY31" i="21"/>
  <c r="AZ31" i="21" s="1"/>
  <c r="AY32" i="21"/>
  <c r="AZ32" i="21" s="1"/>
  <c r="AY33" i="21"/>
  <c r="AZ33" i="21" s="1"/>
  <c r="AY34" i="21"/>
  <c r="AZ34" i="21" s="1"/>
  <c r="AY35" i="21"/>
  <c r="AY36" i="21"/>
  <c r="AZ36" i="21" s="1"/>
  <c r="AY37" i="21"/>
  <c r="AZ37" i="21" s="1"/>
  <c r="AY38" i="21"/>
  <c r="AZ38" i="21" s="1"/>
  <c r="AY39" i="21"/>
  <c r="AZ39" i="21" s="1"/>
  <c r="AY40" i="21"/>
  <c r="AZ40" i="21" s="1"/>
  <c r="AY41" i="21"/>
  <c r="AZ41" i="21" s="1"/>
  <c r="AY42" i="21"/>
  <c r="AZ42" i="21" s="1"/>
  <c r="AY43" i="21"/>
  <c r="AZ43" i="21" s="1"/>
  <c r="AY44" i="21"/>
  <c r="AZ44" i="21" s="1"/>
  <c r="AY45" i="21"/>
  <c r="AZ45" i="21" s="1"/>
  <c r="AY46" i="21"/>
  <c r="AZ46" i="21" s="1"/>
  <c r="AY47" i="21"/>
  <c r="AY48" i="21"/>
  <c r="AZ48" i="21" s="1"/>
  <c r="AY49" i="21"/>
  <c r="AZ49" i="21" s="1"/>
  <c r="AY50" i="21"/>
  <c r="AZ50" i="21" s="1"/>
  <c r="AY51" i="21"/>
  <c r="AZ51" i="21" s="1"/>
  <c r="AY52" i="21"/>
  <c r="AZ52" i="21" s="1"/>
  <c r="AY53" i="21"/>
  <c r="AZ53" i="21" s="1"/>
  <c r="AY54" i="21"/>
  <c r="AZ54" i="21" s="1"/>
  <c r="AY55" i="21"/>
  <c r="AZ55" i="21" s="1"/>
  <c r="AY56" i="21"/>
  <c r="AZ56" i="21" s="1"/>
  <c r="AY57" i="21"/>
  <c r="AZ57" i="21" s="1"/>
  <c r="AY58" i="21"/>
  <c r="AZ58" i="21" s="1"/>
  <c r="AY59" i="21"/>
  <c r="AZ59" i="21" s="1"/>
  <c r="AY60" i="21"/>
  <c r="AZ60" i="21" s="1"/>
  <c r="AY61" i="21"/>
  <c r="AZ61" i="21" s="1"/>
  <c r="AY62" i="21"/>
  <c r="AZ62" i="21" s="1"/>
  <c r="AY63" i="21"/>
  <c r="AZ63" i="21" s="1"/>
  <c r="AY64" i="21"/>
  <c r="AZ64" i="21" s="1"/>
  <c r="AY65" i="21"/>
  <c r="AZ65" i="21" s="1"/>
  <c r="AY66" i="21"/>
  <c r="AZ66" i="21" s="1"/>
  <c r="AY67" i="21"/>
  <c r="AZ67" i="21" s="1"/>
  <c r="AY68" i="21"/>
  <c r="AZ68" i="21" s="1"/>
  <c r="AY69" i="21"/>
  <c r="AZ69" i="21" s="1"/>
  <c r="AY70" i="21"/>
  <c r="AZ70" i="21" s="1"/>
  <c r="AY71" i="21"/>
  <c r="AZ71" i="21" s="1"/>
  <c r="AY72" i="21"/>
  <c r="AZ72" i="21" s="1"/>
  <c r="AY73" i="21"/>
  <c r="AZ73" i="21" s="1"/>
  <c r="AY74" i="21"/>
  <c r="AZ74" i="21" s="1"/>
  <c r="AY75" i="21"/>
  <c r="AZ75" i="21" s="1"/>
  <c r="AY76" i="21"/>
  <c r="AZ76" i="21" s="1"/>
  <c r="AY77" i="21"/>
  <c r="AZ77" i="21" s="1"/>
  <c r="AY78" i="21"/>
  <c r="AZ78" i="21" s="1"/>
  <c r="AY79" i="21"/>
  <c r="AY80" i="21"/>
  <c r="AZ80" i="21" s="1"/>
  <c r="AY81" i="21"/>
  <c r="AZ81" i="21" s="1"/>
  <c r="AY82" i="21"/>
  <c r="AZ82" i="21" s="1"/>
  <c r="AY83" i="21"/>
  <c r="AY84" i="21"/>
  <c r="AZ84" i="21" s="1"/>
  <c r="AY85" i="21"/>
  <c r="AZ85" i="21" s="1"/>
  <c r="AY86" i="21"/>
  <c r="AZ86" i="21" s="1"/>
  <c r="AY87" i="21"/>
  <c r="AZ87" i="21" s="1"/>
  <c r="AY88" i="21"/>
  <c r="AZ88" i="21" s="1"/>
  <c r="AY89" i="21"/>
  <c r="AZ89" i="21" s="1"/>
  <c r="AY90" i="21"/>
  <c r="AZ90" i="21" s="1"/>
  <c r="AY91" i="21"/>
  <c r="AY92" i="21"/>
  <c r="AZ92" i="21" s="1"/>
  <c r="AY93" i="21"/>
  <c r="AZ93" i="21" s="1"/>
  <c r="AY94" i="21"/>
  <c r="AZ94" i="21" s="1"/>
  <c r="AY95" i="21"/>
  <c r="AY96" i="21"/>
  <c r="AZ96" i="21" s="1"/>
  <c r="AY97" i="21"/>
  <c r="AZ97" i="21" s="1"/>
  <c r="AY98" i="21"/>
  <c r="AY99" i="21"/>
  <c r="AY100" i="21"/>
  <c r="AZ100" i="21" s="1"/>
  <c r="AY101" i="21"/>
  <c r="AZ101" i="21" s="1"/>
  <c r="AY102" i="21"/>
  <c r="AZ102" i="21" s="1"/>
  <c r="AY103" i="21"/>
  <c r="AZ103" i="21" s="1"/>
  <c r="AY104" i="21"/>
  <c r="AZ104" i="21" s="1"/>
  <c r="AY105" i="21"/>
  <c r="AZ105" i="21" s="1"/>
  <c r="AY106" i="21"/>
  <c r="AZ106" i="21" s="1"/>
  <c r="AY107" i="21"/>
  <c r="AZ107" i="21" s="1"/>
  <c r="AY108" i="21"/>
  <c r="AZ108" i="21" s="1"/>
  <c r="AY109" i="21"/>
  <c r="AZ109" i="21" s="1"/>
  <c r="AY110" i="21"/>
  <c r="AZ110" i="21" s="1"/>
  <c r="AY111" i="21"/>
  <c r="AZ111" i="21" s="1"/>
  <c r="AY112" i="21"/>
  <c r="AZ112" i="21" s="1"/>
  <c r="AY113" i="21"/>
  <c r="AZ113" i="21" s="1"/>
  <c r="AY114" i="21"/>
  <c r="AY115" i="21"/>
  <c r="AZ115" i="21" s="1"/>
  <c r="AY116" i="21"/>
  <c r="AZ116" i="21" s="1"/>
  <c r="AY117" i="21"/>
  <c r="AZ117" i="21" s="1"/>
  <c r="AY118" i="21"/>
  <c r="AZ118" i="21" s="1"/>
  <c r="AY119" i="21"/>
  <c r="AZ119" i="21" s="1"/>
  <c r="AY120" i="21"/>
  <c r="AZ120" i="21" s="1"/>
  <c r="AY121" i="21"/>
  <c r="AZ121" i="21" s="1"/>
  <c r="AY122" i="21"/>
  <c r="AY123" i="21"/>
  <c r="AZ123" i="21" s="1"/>
  <c r="AY124" i="21"/>
  <c r="AZ124" i="21" s="1"/>
  <c r="AY125" i="21"/>
  <c r="AZ125" i="21" s="1"/>
  <c r="AY126" i="21"/>
  <c r="AZ126" i="21" s="1"/>
  <c r="AY127" i="21"/>
  <c r="AZ127" i="21" s="1"/>
  <c r="AY128" i="21"/>
  <c r="AZ128" i="21" s="1"/>
  <c r="AY129" i="21"/>
  <c r="AZ129" i="21" s="1"/>
  <c r="AY130" i="21"/>
  <c r="AZ130" i="21" s="1"/>
  <c r="AY131" i="21"/>
  <c r="AZ131" i="21" s="1"/>
  <c r="AY132" i="21"/>
  <c r="AZ132" i="21" s="1"/>
  <c r="AY133" i="21"/>
  <c r="AZ133" i="21" s="1"/>
  <c r="AY134" i="21"/>
  <c r="AZ134" i="21" s="1"/>
  <c r="AY135" i="21"/>
  <c r="AZ135" i="21" s="1"/>
  <c r="AY136" i="21"/>
  <c r="AZ136" i="21" s="1"/>
  <c r="AY137" i="21"/>
  <c r="AZ137" i="21" s="1"/>
  <c r="AY138" i="21"/>
  <c r="AZ138" i="21" s="1"/>
  <c r="AY139" i="21"/>
  <c r="AY140" i="21"/>
  <c r="AZ140" i="21" s="1"/>
  <c r="AY141" i="21"/>
  <c r="AZ141" i="21" s="1"/>
  <c r="AY142" i="21"/>
  <c r="AZ142" i="21" s="1"/>
  <c r="AY143" i="21"/>
  <c r="AZ143" i="21" s="1"/>
  <c r="AY144" i="21"/>
  <c r="AZ144" i="21" s="1"/>
  <c r="AY145" i="21"/>
  <c r="AZ145" i="21" s="1"/>
  <c r="AY146" i="21"/>
  <c r="AZ146" i="21" s="1"/>
  <c r="AY147" i="21"/>
  <c r="AY148" i="21"/>
  <c r="AZ148" i="21" s="1"/>
  <c r="AY149" i="21"/>
  <c r="AZ149" i="21" s="1"/>
  <c r="AY150" i="21"/>
  <c r="AZ150" i="21" s="1"/>
  <c r="AY151" i="21"/>
  <c r="AZ151" i="21" s="1"/>
  <c r="AY152" i="21"/>
  <c r="AZ152" i="21" s="1"/>
  <c r="AY153" i="21"/>
  <c r="AZ153" i="21" s="1"/>
  <c r="AY154" i="21"/>
  <c r="AZ154" i="21" s="1"/>
  <c r="AY155" i="21"/>
  <c r="AY156" i="21"/>
  <c r="AZ156" i="21" s="1"/>
  <c r="AY157" i="21"/>
  <c r="AZ157" i="21" s="1"/>
  <c r="AY158" i="21"/>
  <c r="AZ158" i="21" s="1"/>
  <c r="AY159" i="21"/>
  <c r="AZ159" i="21" s="1"/>
  <c r="AY160" i="21"/>
  <c r="AZ160" i="21" s="1"/>
  <c r="AY161" i="21"/>
  <c r="AY162" i="21"/>
  <c r="AZ162" i="21" s="1"/>
  <c r="AY163" i="21"/>
  <c r="AY164" i="21"/>
  <c r="AZ164" i="21" s="1"/>
  <c r="AY165" i="21"/>
  <c r="AZ165" i="21" s="1"/>
  <c r="AY166" i="21"/>
  <c r="AZ166" i="21" s="1"/>
  <c r="AY167" i="21"/>
  <c r="AZ167" i="21" s="1"/>
  <c r="AY168" i="21"/>
  <c r="AZ168" i="21" s="1"/>
  <c r="AY169" i="21"/>
  <c r="AZ169" i="21" s="1"/>
  <c r="AY170" i="21"/>
  <c r="AZ170" i="21" s="1"/>
  <c r="AY171" i="21"/>
  <c r="AZ171" i="21" s="1"/>
  <c r="AY172" i="21"/>
  <c r="AZ172" i="21" s="1"/>
  <c r="AY173" i="21"/>
  <c r="AZ173" i="21" s="1"/>
  <c r="AY174" i="21"/>
  <c r="AZ174" i="21" s="1"/>
  <c r="AY175" i="21"/>
  <c r="AZ175" i="21" s="1"/>
  <c r="AY176" i="21"/>
  <c r="AZ176" i="21" s="1"/>
  <c r="AY177" i="21"/>
  <c r="AZ177" i="21" s="1"/>
  <c r="AY178" i="21"/>
  <c r="AZ178" i="21" s="1"/>
  <c r="AY179" i="21"/>
  <c r="AZ179" i="21" s="1"/>
  <c r="AY180" i="21"/>
  <c r="AZ180" i="21" s="1"/>
  <c r="AY181" i="21"/>
  <c r="AZ181" i="21" s="1"/>
  <c r="AY182" i="21"/>
  <c r="AZ182" i="21" s="1"/>
  <c r="AY183" i="21"/>
  <c r="AZ183" i="21" s="1"/>
  <c r="AY184" i="21"/>
  <c r="AZ184" i="21" s="1"/>
  <c r="AY185" i="21"/>
  <c r="AZ185" i="21" s="1"/>
  <c r="AY186" i="21"/>
  <c r="AZ186" i="21" s="1"/>
  <c r="AY187" i="21"/>
  <c r="AZ187" i="21" s="1"/>
  <c r="AY188" i="21"/>
  <c r="AZ188" i="21" s="1"/>
  <c r="AY189" i="21"/>
  <c r="AZ189" i="21" s="1"/>
  <c r="AY190" i="21"/>
  <c r="AZ190" i="21" s="1"/>
  <c r="AY191" i="21"/>
  <c r="AZ191" i="21" s="1"/>
  <c r="AY192" i="21"/>
  <c r="AZ192" i="21" s="1"/>
  <c r="AY193" i="21"/>
  <c r="AZ193" i="21" s="1"/>
  <c r="AY194" i="21"/>
  <c r="AZ194" i="21" s="1"/>
  <c r="AY195" i="21"/>
  <c r="AZ195" i="21" s="1"/>
  <c r="AY196" i="21"/>
  <c r="AY197" i="21"/>
  <c r="AZ197" i="21" s="1"/>
  <c r="AY198" i="21"/>
  <c r="AZ198" i="21" s="1"/>
  <c r="AY199" i="21"/>
  <c r="AZ199" i="21" s="1"/>
  <c r="AY200" i="21"/>
  <c r="AZ200" i="21" s="1"/>
  <c r="AY201" i="21"/>
  <c r="AZ201" i="21" s="1"/>
  <c r="AY202" i="21"/>
  <c r="AY203" i="21"/>
  <c r="AZ203" i="21" s="1"/>
  <c r="AY204" i="21"/>
  <c r="AZ204" i="21" s="1"/>
  <c r="AY205" i="21"/>
  <c r="AZ205" i="21" s="1"/>
  <c r="AY206" i="21"/>
  <c r="AZ206" i="21" s="1"/>
  <c r="AY207" i="21"/>
  <c r="AY208" i="21"/>
  <c r="AZ208" i="21" s="1"/>
  <c r="AY209" i="21"/>
  <c r="AZ209" i="21" s="1"/>
  <c r="AY210" i="21"/>
  <c r="AZ210" i="21" s="1"/>
  <c r="AY211" i="21"/>
  <c r="AY212" i="21"/>
  <c r="AZ212" i="21" s="1"/>
  <c r="AY213" i="21"/>
  <c r="AZ213" i="21" s="1"/>
  <c r="AY214" i="21"/>
  <c r="AZ214" i="21" s="1"/>
  <c r="AY215" i="21"/>
  <c r="AZ215" i="21" s="1"/>
  <c r="AY216" i="21"/>
  <c r="AZ216" i="21" s="1"/>
  <c r="AY217" i="21"/>
  <c r="AZ217" i="21" s="1"/>
  <c r="AY218" i="21"/>
  <c r="AZ218" i="21" s="1"/>
  <c r="AY219" i="21"/>
  <c r="AY220" i="21"/>
  <c r="AZ220" i="21" s="1"/>
  <c r="AY221" i="21"/>
  <c r="AZ221" i="21" s="1"/>
  <c r="AY222" i="21"/>
  <c r="AZ222" i="21" s="1"/>
  <c r="AY223" i="21"/>
  <c r="AZ223" i="21" s="1"/>
  <c r="AY224" i="21"/>
  <c r="AZ224" i="21" s="1"/>
  <c r="AY225" i="21"/>
  <c r="AZ225" i="21" s="1"/>
  <c r="AY226" i="21"/>
  <c r="AZ226" i="21" s="1"/>
  <c r="AY227" i="21"/>
  <c r="AY228" i="21"/>
  <c r="AZ228" i="21" s="1"/>
  <c r="AY229" i="21"/>
  <c r="AZ229" i="21" s="1"/>
  <c r="AY230" i="21"/>
  <c r="AZ230" i="21" s="1"/>
  <c r="AY231" i="21"/>
  <c r="AZ231" i="21" s="1"/>
  <c r="AY232" i="21"/>
  <c r="AZ232" i="21" s="1"/>
  <c r="AY233" i="21"/>
  <c r="AZ233" i="21" s="1"/>
  <c r="AY234" i="21"/>
  <c r="AZ234" i="21" s="1"/>
  <c r="AY235" i="21"/>
  <c r="AZ235" i="21" s="1"/>
  <c r="AY236" i="21"/>
  <c r="AZ236" i="21" s="1"/>
  <c r="AY237" i="21"/>
  <c r="AZ237" i="21" s="1"/>
  <c r="AY238" i="21"/>
  <c r="AZ238" i="21" s="1"/>
  <c r="AY239" i="21"/>
  <c r="AZ239" i="21" s="1"/>
  <c r="AY240" i="21"/>
  <c r="AZ240" i="21" s="1"/>
  <c r="AY241" i="21"/>
  <c r="AZ241" i="21" s="1"/>
  <c r="AY242" i="21"/>
  <c r="AZ242" i="21" s="1"/>
  <c r="AY243" i="21"/>
  <c r="AZ243" i="21" s="1"/>
  <c r="AY244" i="21"/>
  <c r="AZ244" i="21" s="1"/>
  <c r="AY245" i="21"/>
  <c r="AZ245" i="21" s="1"/>
  <c r="AY246" i="21"/>
  <c r="AZ246" i="21" s="1"/>
  <c r="AY247" i="21"/>
  <c r="AZ247" i="21" s="1"/>
  <c r="AY248" i="21"/>
  <c r="AZ248" i="21" s="1"/>
  <c r="AY249" i="21"/>
  <c r="AZ249" i="21" s="1"/>
  <c r="AY250" i="21"/>
  <c r="AY251" i="21"/>
  <c r="AZ251" i="21" s="1"/>
  <c r="AY252" i="21"/>
  <c r="AZ252" i="21" s="1"/>
  <c r="AY253" i="21"/>
  <c r="AZ253" i="21" s="1"/>
  <c r="AY254" i="21"/>
  <c r="AZ254" i="21" s="1"/>
  <c r="AY255" i="21"/>
  <c r="AY256" i="21"/>
  <c r="AZ256" i="21" s="1"/>
  <c r="AY257" i="21"/>
  <c r="AZ257" i="21" s="1"/>
  <c r="AY258" i="21"/>
  <c r="AZ258" i="21" s="1"/>
  <c r="AY259" i="21"/>
  <c r="AZ259" i="21" s="1"/>
  <c r="AY260" i="21"/>
  <c r="AZ260" i="21" s="1"/>
  <c r="AY261" i="21"/>
  <c r="AZ261" i="21" s="1"/>
  <c r="AY262" i="21"/>
  <c r="AZ262" i="21" s="1"/>
  <c r="AY263" i="21"/>
  <c r="AY264" i="21"/>
  <c r="AZ264" i="21" s="1"/>
  <c r="AY265" i="21"/>
  <c r="AZ265" i="21" s="1"/>
  <c r="AY266" i="21"/>
  <c r="AY267" i="21"/>
  <c r="AY268" i="21"/>
  <c r="AZ268" i="21" s="1"/>
  <c r="AY269" i="21"/>
  <c r="AZ269" i="21" s="1"/>
  <c r="AY270" i="21"/>
  <c r="AZ270" i="21" s="1"/>
  <c r="AY271" i="21"/>
  <c r="AZ271" i="21" s="1"/>
  <c r="AY272" i="21"/>
  <c r="AZ272" i="21" s="1"/>
  <c r="AY273" i="21"/>
  <c r="AZ273" i="21" s="1"/>
  <c r="AY274" i="21"/>
  <c r="AZ274" i="21" s="1"/>
  <c r="AY275" i="21"/>
  <c r="AY276" i="21"/>
  <c r="AZ276" i="21" s="1"/>
  <c r="AY277" i="21"/>
  <c r="AZ277" i="21" s="1"/>
  <c r="AY278" i="21"/>
  <c r="AZ278" i="21" s="1"/>
  <c r="AY279" i="21"/>
  <c r="AZ279" i="21" s="1"/>
  <c r="AY280" i="21"/>
  <c r="AZ280" i="21" s="1"/>
  <c r="AY281" i="21"/>
  <c r="AZ281" i="21" s="1"/>
  <c r="AY282" i="21"/>
  <c r="AZ282" i="21" s="1"/>
  <c r="AY283" i="21"/>
  <c r="AY284" i="21"/>
  <c r="AZ284" i="21" s="1"/>
  <c r="AY285" i="21"/>
  <c r="AZ285" i="21" s="1"/>
  <c r="AY286" i="21"/>
  <c r="AZ286" i="21" s="1"/>
  <c r="AY287" i="21"/>
  <c r="AZ287" i="21" s="1"/>
  <c r="AY288" i="21"/>
  <c r="AZ288" i="21" s="1"/>
  <c r="AY289" i="21"/>
  <c r="AZ289" i="21" s="1"/>
  <c r="AY290" i="21"/>
  <c r="AZ290" i="21" s="1"/>
  <c r="AY291" i="21"/>
  <c r="AY292" i="21"/>
  <c r="AZ292" i="21" s="1"/>
  <c r="AY293" i="21"/>
  <c r="AZ293" i="21" s="1"/>
  <c r="AY294" i="21"/>
  <c r="AZ294" i="21" s="1"/>
  <c r="AY295" i="21"/>
  <c r="AY296" i="21"/>
  <c r="AZ296" i="21" s="1"/>
  <c r="AY297" i="21"/>
  <c r="AZ297" i="21" s="1"/>
  <c r="AY298" i="21"/>
  <c r="AZ298" i="21" s="1"/>
  <c r="AY299" i="21"/>
  <c r="AZ299" i="21" s="1"/>
  <c r="AY300" i="21"/>
  <c r="AZ300" i="21" s="1"/>
  <c r="AY301" i="21"/>
  <c r="AZ301" i="21" s="1"/>
  <c r="AY302" i="21"/>
  <c r="AZ302" i="21" s="1"/>
  <c r="AY303" i="21"/>
  <c r="AZ303" i="21" s="1"/>
  <c r="AY304" i="21"/>
  <c r="AZ304" i="21" s="1"/>
  <c r="AY305" i="21"/>
  <c r="AZ305" i="21" s="1"/>
  <c r="AY306" i="21"/>
  <c r="AZ306" i="21" s="1"/>
  <c r="AY307" i="21"/>
  <c r="AZ307" i="21" s="1"/>
  <c r="AY308" i="21"/>
  <c r="AZ308" i="21" s="1"/>
  <c r="AY309" i="21"/>
  <c r="AZ309" i="21" s="1"/>
  <c r="AY310" i="21"/>
  <c r="AZ310" i="21" s="1"/>
  <c r="AY311" i="21"/>
  <c r="AZ311" i="21" s="1"/>
  <c r="AY312" i="21"/>
  <c r="AZ312" i="21" s="1"/>
  <c r="AY313" i="21"/>
  <c r="AZ313" i="21" s="1"/>
  <c r="AY314" i="21"/>
  <c r="AZ314" i="21" s="1"/>
  <c r="AY315" i="21"/>
  <c r="AZ315" i="21" s="1"/>
  <c r="AY316" i="21"/>
  <c r="AZ316" i="21" s="1"/>
  <c r="AY317" i="21"/>
  <c r="AZ317" i="21" s="1"/>
  <c r="AY318" i="21"/>
  <c r="AZ318" i="21" s="1"/>
  <c r="AY319" i="21"/>
  <c r="AZ319" i="21" s="1"/>
  <c r="AY320" i="21"/>
  <c r="AZ320" i="21" s="1"/>
  <c r="AY321" i="21"/>
  <c r="AZ321" i="21" s="1"/>
  <c r="AY322" i="21"/>
  <c r="AZ322" i="21" s="1"/>
  <c r="AY323" i="21"/>
  <c r="AZ323" i="21" s="1"/>
  <c r="AY324" i="21"/>
  <c r="AZ324" i="21" s="1"/>
  <c r="AY325" i="21"/>
  <c r="AZ325" i="21" s="1"/>
  <c r="AY326" i="21"/>
  <c r="AZ326" i="21" s="1"/>
  <c r="AY327" i="21"/>
  <c r="AZ327" i="21" s="1"/>
  <c r="AY328" i="21"/>
  <c r="AZ328" i="21" s="1"/>
  <c r="AY329" i="21"/>
  <c r="AZ329" i="21" s="1"/>
  <c r="AY330" i="21"/>
  <c r="AZ330" i="21" s="1"/>
  <c r="AY331" i="21"/>
  <c r="AZ331" i="21" s="1"/>
  <c r="AY332" i="21"/>
  <c r="AZ332" i="21" s="1"/>
  <c r="AY333" i="21"/>
  <c r="AZ333" i="21" s="1"/>
  <c r="AY334" i="21"/>
  <c r="AZ334" i="21" s="1"/>
  <c r="AY335" i="21"/>
  <c r="AZ335" i="21" s="1"/>
  <c r="AY336" i="21"/>
  <c r="AZ336" i="21" s="1"/>
  <c r="AY337" i="21"/>
  <c r="AZ337" i="21" s="1"/>
  <c r="AY338" i="21"/>
  <c r="AZ338" i="21" s="1"/>
  <c r="AY339" i="21"/>
  <c r="AY340" i="21"/>
  <c r="AZ340" i="21" s="1"/>
  <c r="AY341" i="21"/>
  <c r="AZ341" i="21" s="1"/>
  <c r="AY342" i="21"/>
  <c r="AZ342" i="21" s="1"/>
  <c r="AY343" i="21"/>
  <c r="AZ343" i="21" s="1"/>
  <c r="AY344" i="21"/>
  <c r="AZ344" i="21" s="1"/>
  <c r="AY345" i="21"/>
  <c r="AZ345" i="21" s="1"/>
  <c r="AY346" i="21"/>
  <c r="AZ346" i="21" s="1"/>
  <c r="AY347" i="21"/>
  <c r="AY348" i="21"/>
  <c r="AZ348" i="21" s="1"/>
  <c r="AY349" i="21"/>
  <c r="AZ349" i="21" s="1"/>
  <c r="AY350" i="21"/>
  <c r="AZ350" i="21" s="1"/>
  <c r="AY351" i="21"/>
  <c r="AZ351" i="21" s="1"/>
  <c r="AY352" i="21"/>
  <c r="AZ352" i="21" s="1"/>
  <c r="AY353" i="21"/>
  <c r="AZ353" i="21" s="1"/>
  <c r="AY354" i="21"/>
  <c r="AY355" i="21"/>
  <c r="AZ355" i="21" s="1"/>
  <c r="AY356" i="21"/>
  <c r="AZ356" i="21" s="1"/>
  <c r="AY357" i="21"/>
  <c r="AZ357" i="21" s="1"/>
  <c r="AY358" i="21"/>
  <c r="AZ358" i="21" s="1"/>
  <c r="AY359" i="21"/>
  <c r="AZ359" i="21" s="1"/>
  <c r="AY360" i="21"/>
  <c r="AZ360" i="21" s="1"/>
  <c r="AY361" i="21"/>
  <c r="AY362" i="21"/>
  <c r="AZ362" i="21" s="1"/>
  <c r="AY363" i="21"/>
  <c r="AZ363" i="21" s="1"/>
  <c r="AY364" i="21"/>
  <c r="AZ364" i="21" s="1"/>
  <c r="AY365" i="21"/>
  <c r="AZ365" i="21" s="1"/>
  <c r="AY366" i="21"/>
  <c r="AZ366" i="21" s="1"/>
  <c r="AY367" i="21"/>
  <c r="AZ367" i="21" s="1"/>
  <c r="AY368" i="21"/>
  <c r="AZ368" i="21" s="1"/>
  <c r="AY369" i="21"/>
  <c r="AZ369" i="21" s="1"/>
  <c r="AY370" i="21"/>
  <c r="AZ370" i="21" s="1"/>
  <c r="AY371" i="21"/>
  <c r="AZ371" i="21" s="1"/>
  <c r="AY372" i="21"/>
  <c r="AZ372" i="21" s="1"/>
  <c r="AY373" i="21"/>
  <c r="AZ373" i="21" s="1"/>
  <c r="AY374" i="21"/>
  <c r="AZ374" i="21" s="1"/>
  <c r="AY375" i="21"/>
  <c r="AY376" i="21"/>
  <c r="AZ376" i="21" s="1"/>
  <c r="AY377" i="21"/>
  <c r="AZ377" i="21" s="1"/>
  <c r="AY378" i="21"/>
  <c r="AZ378" i="21" s="1"/>
  <c r="AY379" i="21"/>
  <c r="AZ379" i="21" s="1"/>
  <c r="AY380" i="21"/>
  <c r="AZ380" i="21" s="1"/>
  <c r="AY381" i="21"/>
  <c r="AZ381" i="21" s="1"/>
  <c r="AY382" i="21"/>
  <c r="AZ382" i="21" s="1"/>
  <c r="AY383" i="21"/>
  <c r="AZ383" i="21" s="1"/>
  <c r="AY384" i="21"/>
  <c r="AZ384" i="21" s="1"/>
  <c r="AY385" i="21"/>
  <c r="AZ385" i="21" s="1"/>
  <c r="AY386" i="21"/>
  <c r="AZ386" i="21" s="1"/>
  <c r="AY387" i="21"/>
  <c r="AZ387" i="21" s="1"/>
  <c r="AY388" i="21"/>
  <c r="AZ388" i="21" s="1"/>
  <c r="AY389" i="21"/>
  <c r="AZ389" i="21" s="1"/>
  <c r="AY390" i="21"/>
  <c r="AZ390" i="21" s="1"/>
  <c r="AY391" i="21"/>
  <c r="AZ391" i="21" s="1"/>
  <c r="AY392" i="21"/>
  <c r="AZ392" i="21" s="1"/>
  <c r="AY393" i="21"/>
  <c r="AZ393" i="21" s="1"/>
  <c r="AY394" i="21"/>
  <c r="AZ394" i="21" s="1"/>
  <c r="AY395" i="21"/>
  <c r="AZ395" i="21" s="1"/>
  <c r="AY396" i="21"/>
  <c r="AZ396" i="21" s="1"/>
  <c r="AY397" i="21"/>
  <c r="AZ397" i="21" s="1"/>
  <c r="AY398" i="21"/>
  <c r="AZ398" i="21" s="1"/>
  <c r="AY399" i="21"/>
  <c r="AZ399" i="21" s="1"/>
  <c r="AY400" i="21"/>
  <c r="AZ400" i="21" s="1"/>
  <c r="AY401" i="21"/>
  <c r="AZ401" i="21" s="1"/>
  <c r="AY402" i="21"/>
  <c r="AZ402" i="21" s="1"/>
  <c r="AY403" i="21"/>
  <c r="AZ403" i="21" s="1"/>
  <c r="AY404" i="21"/>
  <c r="AZ404" i="21" s="1"/>
  <c r="AZ161" i="21"/>
  <c r="AZ3" i="21"/>
  <c r="AZ11" i="21"/>
  <c r="AZ27" i="21"/>
  <c r="AZ28" i="21"/>
  <c r="AZ35" i="21"/>
  <c r="AZ83" i="21"/>
  <c r="AZ91" i="21"/>
  <c r="AZ99" i="21"/>
  <c r="AZ139" i="21"/>
  <c r="AZ147" i="21"/>
  <c r="AZ155" i="21"/>
  <c r="AZ163" i="21"/>
  <c r="AZ196" i="21"/>
  <c r="AZ211" i="21"/>
  <c r="AZ219" i="21"/>
  <c r="AZ227" i="21"/>
  <c r="AZ255" i="21"/>
  <c r="AZ267" i="21"/>
  <c r="AZ275" i="21"/>
  <c r="AZ283" i="21"/>
  <c r="AZ291" i="21"/>
  <c r="AZ339" i="21"/>
  <c r="AZ347" i="21"/>
  <c r="BG404" i="21"/>
  <c r="BE404" i="21"/>
  <c r="BF404" i="21" s="1"/>
  <c r="AW404" i="21"/>
  <c r="AX404" i="21" s="1"/>
  <c r="AU404" i="21"/>
  <c r="AV404" i="21" s="1"/>
  <c r="AS404" i="21"/>
  <c r="AT404" i="21" s="1"/>
  <c r="AQ404" i="21"/>
  <c r="AR404" i="21" s="1"/>
  <c r="AO404" i="21"/>
  <c r="AM404" i="21"/>
  <c r="AK404" i="21"/>
  <c r="AL404" i="21" s="1"/>
  <c r="AG404" i="21"/>
  <c r="AH404" i="21" s="1"/>
  <c r="AE404" i="21"/>
  <c r="AF404" i="21" s="1"/>
  <c r="AC404" i="21"/>
  <c r="AA404" i="21"/>
  <c r="AB404" i="21" s="1"/>
  <c r="W404" i="21"/>
  <c r="X404" i="21" s="1"/>
  <c r="U404" i="21"/>
  <c r="V404" i="21" s="1"/>
  <c r="S404" i="21"/>
  <c r="T404" i="21" s="1"/>
  <c r="Q404" i="21"/>
  <c r="R404" i="21" s="1"/>
  <c r="P404" i="21"/>
  <c r="O404" i="21"/>
  <c r="N404" i="21"/>
  <c r="M404" i="21"/>
  <c r="L404" i="21"/>
  <c r="K404" i="21"/>
  <c r="J404" i="21"/>
  <c r="I404" i="21"/>
  <c r="H404" i="21"/>
  <c r="G404" i="21"/>
  <c r="F404" i="21"/>
  <c r="E404" i="21"/>
  <c r="D404" i="21"/>
  <c r="C404" i="21"/>
  <c r="B404" i="21"/>
  <c r="A404" i="21"/>
  <c r="BG403" i="21"/>
  <c r="BH403" i="21" s="1"/>
  <c r="BE403" i="21"/>
  <c r="BF403" i="21" s="1"/>
  <c r="AW403" i="21"/>
  <c r="AU403" i="21"/>
  <c r="AV403" i="21" s="1"/>
  <c r="AS403" i="21"/>
  <c r="AT403" i="21" s="1"/>
  <c r="AQ403" i="21"/>
  <c r="AO403" i="21"/>
  <c r="AP403" i="21" s="1"/>
  <c r="AM403" i="21"/>
  <c r="AN403" i="21" s="1"/>
  <c r="AK403" i="21"/>
  <c r="AL403" i="21" s="1"/>
  <c r="AG403" i="21"/>
  <c r="AE403" i="21"/>
  <c r="AF403" i="21" s="1"/>
  <c r="AC403" i="21"/>
  <c r="AD403" i="21" s="1"/>
  <c r="AA403" i="21"/>
  <c r="AB403" i="21" s="1"/>
  <c r="W403" i="21"/>
  <c r="X403" i="21" s="1"/>
  <c r="U403" i="21"/>
  <c r="V403" i="21" s="1"/>
  <c r="S403" i="21"/>
  <c r="Q403" i="21"/>
  <c r="R403" i="21" s="1"/>
  <c r="P403" i="21"/>
  <c r="O403" i="21"/>
  <c r="N403" i="21"/>
  <c r="M403" i="21"/>
  <c r="L403" i="21"/>
  <c r="K403" i="21"/>
  <c r="J403" i="21"/>
  <c r="I403" i="21"/>
  <c r="H403" i="21"/>
  <c r="G403" i="21"/>
  <c r="F403" i="21"/>
  <c r="E403" i="21"/>
  <c r="D403" i="21"/>
  <c r="C403" i="21"/>
  <c r="B403" i="21"/>
  <c r="A403" i="21"/>
  <c r="BG402" i="21"/>
  <c r="BH402" i="21" s="1"/>
  <c r="BE402" i="21"/>
  <c r="BF402" i="21" s="1"/>
  <c r="AW402" i="21"/>
  <c r="AX402" i="21" s="1"/>
  <c r="AU402" i="21"/>
  <c r="AV402" i="21" s="1"/>
  <c r="AS402" i="21"/>
  <c r="AT402" i="21" s="1"/>
  <c r="AQ402" i="21"/>
  <c r="AR402" i="21" s="1"/>
  <c r="AO402" i="21"/>
  <c r="AP402" i="21" s="1"/>
  <c r="AM402" i="21"/>
  <c r="AK402" i="21"/>
  <c r="AL402" i="21" s="1"/>
  <c r="AG402" i="21"/>
  <c r="AH402" i="21" s="1"/>
  <c r="AE402" i="21"/>
  <c r="AF402" i="21" s="1"/>
  <c r="AC402" i="21"/>
  <c r="AD402" i="21" s="1"/>
  <c r="AA402" i="21"/>
  <c r="W402" i="21"/>
  <c r="X402" i="21" s="1"/>
  <c r="U402" i="21"/>
  <c r="V402" i="21" s="1"/>
  <c r="S402" i="21"/>
  <c r="T402" i="21" s="1"/>
  <c r="Q402" i="21"/>
  <c r="R402" i="21" s="1"/>
  <c r="P402" i="21"/>
  <c r="O402" i="21"/>
  <c r="N402" i="21"/>
  <c r="M402" i="21"/>
  <c r="L402" i="21"/>
  <c r="K402" i="21"/>
  <c r="J402" i="21"/>
  <c r="I402" i="21"/>
  <c r="H402" i="21"/>
  <c r="G402" i="21"/>
  <c r="F402" i="21"/>
  <c r="E402" i="21"/>
  <c r="D402" i="21"/>
  <c r="C402" i="21"/>
  <c r="B402" i="21"/>
  <c r="A402" i="21"/>
  <c r="BG401" i="21"/>
  <c r="BH401" i="21" s="1"/>
  <c r="BE401" i="21"/>
  <c r="BF401" i="21" s="1"/>
  <c r="AW401" i="21"/>
  <c r="AX401" i="21" s="1"/>
  <c r="AU401" i="21"/>
  <c r="AV401" i="21" s="1"/>
  <c r="AS401" i="21"/>
  <c r="AT401" i="21" s="1"/>
  <c r="AQ401" i="21"/>
  <c r="AO401" i="21"/>
  <c r="AP401" i="21" s="1"/>
  <c r="AM401" i="21"/>
  <c r="AN401" i="21" s="1"/>
  <c r="AK401" i="21"/>
  <c r="AL401" i="21" s="1"/>
  <c r="AG401" i="21"/>
  <c r="AH401" i="21" s="1"/>
  <c r="AE401" i="21"/>
  <c r="AF401" i="21" s="1"/>
  <c r="AC401" i="21"/>
  <c r="AD401" i="21" s="1"/>
  <c r="AA401" i="21"/>
  <c r="AB401" i="21" s="1"/>
  <c r="W401" i="21"/>
  <c r="X401" i="21" s="1"/>
  <c r="U401" i="21"/>
  <c r="S401" i="21"/>
  <c r="T401" i="21" s="1"/>
  <c r="Q401" i="21"/>
  <c r="R401" i="21" s="1"/>
  <c r="P401" i="21"/>
  <c r="O401" i="21"/>
  <c r="N401" i="21"/>
  <c r="M401" i="21"/>
  <c r="L401" i="21"/>
  <c r="K401" i="21"/>
  <c r="J401" i="21"/>
  <c r="I401" i="21"/>
  <c r="H401" i="21"/>
  <c r="G401" i="21"/>
  <c r="F401" i="21"/>
  <c r="E401" i="21"/>
  <c r="D401" i="21"/>
  <c r="C401" i="21"/>
  <c r="B401" i="21"/>
  <c r="A401" i="21"/>
  <c r="BG400" i="21"/>
  <c r="BE400" i="21"/>
  <c r="BF400" i="21" s="1"/>
  <c r="AW400" i="21"/>
  <c r="AX400" i="21" s="1"/>
  <c r="AU400" i="21"/>
  <c r="AS400" i="21"/>
  <c r="AT400" i="21" s="1"/>
  <c r="AQ400" i="21"/>
  <c r="AR400" i="21" s="1"/>
  <c r="AO400" i="21"/>
  <c r="AP400" i="21" s="1"/>
  <c r="AM400" i="21"/>
  <c r="AN400" i="21" s="1"/>
  <c r="AK400" i="21"/>
  <c r="AL400" i="21" s="1"/>
  <c r="AG400" i="21"/>
  <c r="AE400" i="21"/>
  <c r="AF400" i="21" s="1"/>
  <c r="AC400" i="21"/>
  <c r="AD400" i="21" s="1"/>
  <c r="AA400" i="21"/>
  <c r="W400" i="21"/>
  <c r="X400" i="21" s="1"/>
  <c r="U400" i="21"/>
  <c r="V400" i="21" s="1"/>
  <c r="S400" i="21"/>
  <c r="Q400" i="21"/>
  <c r="R400" i="21" s="1"/>
  <c r="P400" i="21"/>
  <c r="O400" i="21"/>
  <c r="N400" i="21"/>
  <c r="M400" i="21"/>
  <c r="L400" i="21"/>
  <c r="K400" i="21"/>
  <c r="J400" i="21"/>
  <c r="I400" i="21"/>
  <c r="H400" i="21"/>
  <c r="G400" i="21"/>
  <c r="F400" i="21"/>
  <c r="E400" i="21"/>
  <c r="D400" i="21"/>
  <c r="C400" i="21"/>
  <c r="B400" i="21"/>
  <c r="A400" i="21"/>
  <c r="BG399" i="21"/>
  <c r="BH399" i="21" s="1"/>
  <c r="BE399" i="21"/>
  <c r="BF399" i="21" s="1"/>
  <c r="AW399" i="21"/>
  <c r="AX399" i="21" s="1"/>
  <c r="AU399" i="21"/>
  <c r="AV399" i="21" s="1"/>
  <c r="AS399" i="21"/>
  <c r="AT399" i="21" s="1"/>
  <c r="AQ399" i="21"/>
  <c r="AO399" i="21"/>
  <c r="AP399" i="21" s="1"/>
  <c r="AM399" i="21"/>
  <c r="AN399" i="21" s="1"/>
  <c r="AK399" i="21"/>
  <c r="AL399" i="21" s="1"/>
  <c r="AG399" i="21"/>
  <c r="AH399" i="21" s="1"/>
  <c r="AE399" i="21"/>
  <c r="AC399" i="21"/>
  <c r="AA399" i="21"/>
  <c r="AB399" i="21" s="1"/>
  <c r="W399" i="21"/>
  <c r="U399" i="21"/>
  <c r="V399" i="21" s="1"/>
  <c r="S399" i="21"/>
  <c r="T399" i="21" s="1"/>
  <c r="Q399" i="21"/>
  <c r="R399" i="21" s="1"/>
  <c r="P399" i="21"/>
  <c r="O399" i="21"/>
  <c r="N399" i="21"/>
  <c r="M399" i="21"/>
  <c r="L399" i="21"/>
  <c r="K399" i="21"/>
  <c r="J399" i="21"/>
  <c r="I399" i="21"/>
  <c r="H399" i="21"/>
  <c r="G399" i="21"/>
  <c r="F399" i="21"/>
  <c r="E399" i="21"/>
  <c r="D399" i="21"/>
  <c r="C399" i="21"/>
  <c r="B399" i="21"/>
  <c r="A399" i="21"/>
  <c r="BG398" i="21"/>
  <c r="BE398" i="21"/>
  <c r="BF398" i="21" s="1"/>
  <c r="AW398" i="21"/>
  <c r="AX398" i="21" s="1"/>
  <c r="AU398" i="21"/>
  <c r="AV398" i="21" s="1"/>
  <c r="AS398" i="21"/>
  <c r="AT398" i="21" s="1"/>
  <c r="AQ398" i="21"/>
  <c r="AR398" i="21" s="1"/>
  <c r="AO398" i="21"/>
  <c r="AP398" i="21" s="1"/>
  <c r="AM398" i="21"/>
  <c r="AN398" i="21" s="1"/>
  <c r="AK398" i="21"/>
  <c r="AG398" i="21"/>
  <c r="AH398" i="21" s="1"/>
  <c r="AE398" i="21"/>
  <c r="AF398" i="21" s="1"/>
  <c r="AC398" i="21"/>
  <c r="AA398" i="21"/>
  <c r="AB398" i="21" s="1"/>
  <c r="W398" i="21"/>
  <c r="X398" i="21" s="1"/>
  <c r="U398" i="21"/>
  <c r="V398" i="21" s="1"/>
  <c r="S398" i="21"/>
  <c r="Q398" i="21"/>
  <c r="R398" i="21" s="1"/>
  <c r="P398" i="21"/>
  <c r="O398" i="21"/>
  <c r="N398" i="21"/>
  <c r="M398" i="21"/>
  <c r="L398" i="21"/>
  <c r="K398" i="21"/>
  <c r="J398" i="21"/>
  <c r="I398" i="21"/>
  <c r="H398" i="21"/>
  <c r="G398" i="21"/>
  <c r="F398" i="21"/>
  <c r="E398" i="21"/>
  <c r="D398" i="21"/>
  <c r="C398" i="21"/>
  <c r="B398" i="21"/>
  <c r="A398" i="21"/>
  <c r="BG397" i="21"/>
  <c r="BH397" i="21" s="1"/>
  <c r="BE397" i="21"/>
  <c r="BF397" i="21" s="1"/>
  <c r="AW397" i="21"/>
  <c r="AX397" i="21" s="1"/>
  <c r="AU397" i="21"/>
  <c r="AV397" i="21" s="1"/>
  <c r="AS397" i="21"/>
  <c r="AT397" i="21" s="1"/>
  <c r="AQ397" i="21"/>
  <c r="AR397" i="21" s="1"/>
  <c r="AO397" i="21"/>
  <c r="AM397" i="21"/>
  <c r="AN397" i="21" s="1"/>
  <c r="AK397" i="21"/>
  <c r="AL397" i="21" s="1"/>
  <c r="AG397" i="21"/>
  <c r="AE397" i="21"/>
  <c r="AF397" i="21" s="1"/>
  <c r="AC397" i="21"/>
  <c r="AD397" i="21" s="1"/>
  <c r="AA397" i="21"/>
  <c r="AB397" i="21" s="1"/>
  <c r="W397" i="21"/>
  <c r="U397" i="21"/>
  <c r="V397" i="21" s="1"/>
  <c r="S397" i="21"/>
  <c r="T397" i="21" s="1"/>
  <c r="Q397" i="21"/>
  <c r="R397" i="21" s="1"/>
  <c r="P397" i="21"/>
  <c r="O397" i="21"/>
  <c r="N397" i="21"/>
  <c r="M397" i="21"/>
  <c r="L397" i="21"/>
  <c r="K397" i="21"/>
  <c r="J397" i="21"/>
  <c r="I397" i="21"/>
  <c r="H397" i="21"/>
  <c r="G397" i="21"/>
  <c r="F397" i="21"/>
  <c r="E397" i="21"/>
  <c r="D397" i="21"/>
  <c r="C397" i="21"/>
  <c r="B397" i="21"/>
  <c r="A397" i="21"/>
  <c r="BG396" i="21"/>
  <c r="BH396" i="21" s="1"/>
  <c r="BE396" i="21"/>
  <c r="AW396" i="21"/>
  <c r="AX396" i="21" s="1"/>
  <c r="AU396" i="21"/>
  <c r="AV396" i="21" s="1"/>
  <c r="AS396" i="21"/>
  <c r="AQ396" i="21"/>
  <c r="AR396" i="21" s="1"/>
  <c r="AO396" i="21"/>
  <c r="AP396" i="21" s="1"/>
  <c r="AM396" i="21"/>
  <c r="AK396" i="21"/>
  <c r="AL396" i="21" s="1"/>
  <c r="AG396" i="21"/>
  <c r="AH396" i="21" s="1"/>
  <c r="AE396" i="21"/>
  <c r="AF396" i="21" s="1"/>
  <c r="AC396" i="21"/>
  <c r="AA396" i="21"/>
  <c r="AB396" i="21" s="1"/>
  <c r="W396" i="21"/>
  <c r="X396" i="21" s="1"/>
  <c r="U396" i="21"/>
  <c r="V396" i="21" s="1"/>
  <c r="S396" i="21"/>
  <c r="T396" i="21" s="1"/>
  <c r="Q396" i="21"/>
  <c r="R396" i="21" s="1"/>
  <c r="P396" i="21"/>
  <c r="O396" i="21"/>
  <c r="N396" i="21"/>
  <c r="M396" i="21"/>
  <c r="L396" i="21"/>
  <c r="K396" i="21"/>
  <c r="J396" i="21"/>
  <c r="I396" i="21"/>
  <c r="H396" i="21"/>
  <c r="G396" i="21"/>
  <c r="F396" i="21"/>
  <c r="E396" i="21"/>
  <c r="D396" i="21"/>
  <c r="C396" i="21"/>
  <c r="B396" i="21"/>
  <c r="A396" i="21"/>
  <c r="BG395" i="21"/>
  <c r="BH395" i="21" s="1"/>
  <c r="BE395" i="21"/>
  <c r="BF395" i="21" s="1"/>
  <c r="AW395" i="21"/>
  <c r="AU395" i="21"/>
  <c r="AV395" i="21" s="1"/>
  <c r="AS395" i="21"/>
  <c r="AT395" i="21" s="1"/>
  <c r="AQ395" i="21"/>
  <c r="AO395" i="21"/>
  <c r="AP395" i="21" s="1"/>
  <c r="AM395" i="21"/>
  <c r="AN395" i="21" s="1"/>
  <c r="AK395" i="21"/>
  <c r="AL395" i="21" s="1"/>
  <c r="AG395" i="21"/>
  <c r="AE395" i="21"/>
  <c r="AF395" i="21" s="1"/>
  <c r="AC395" i="21"/>
  <c r="AD395" i="21" s="1"/>
  <c r="AA395" i="21"/>
  <c r="AB395" i="21" s="1"/>
  <c r="W395" i="21"/>
  <c r="X395" i="21" s="1"/>
  <c r="U395" i="21"/>
  <c r="V395" i="21" s="1"/>
  <c r="S395" i="21"/>
  <c r="T395" i="21" s="1"/>
  <c r="Z395" i="21" s="1"/>
  <c r="Q395" i="21"/>
  <c r="R395" i="21" s="1"/>
  <c r="P395" i="21"/>
  <c r="O395" i="21"/>
  <c r="N395" i="21"/>
  <c r="M395" i="21"/>
  <c r="L395" i="21"/>
  <c r="K395" i="21"/>
  <c r="J395" i="21"/>
  <c r="I395" i="21"/>
  <c r="H395" i="21"/>
  <c r="G395" i="21"/>
  <c r="F395" i="21"/>
  <c r="E395" i="21"/>
  <c r="D395" i="21"/>
  <c r="C395" i="21"/>
  <c r="B395" i="21"/>
  <c r="A395" i="21"/>
  <c r="BG394" i="21"/>
  <c r="BH394" i="21" s="1"/>
  <c r="BE394" i="21"/>
  <c r="AW394" i="21"/>
  <c r="AX394" i="21" s="1"/>
  <c r="AU394" i="21"/>
  <c r="AS394" i="21"/>
  <c r="AT394" i="21" s="1"/>
  <c r="AQ394" i="21"/>
  <c r="AR394" i="21" s="1"/>
  <c r="AO394" i="21"/>
  <c r="AP394" i="21" s="1"/>
  <c r="AM394" i="21"/>
  <c r="AN394" i="21" s="1"/>
  <c r="AK394" i="21"/>
  <c r="AL394" i="21" s="1"/>
  <c r="AG394" i="21"/>
  <c r="AH394" i="21" s="1"/>
  <c r="AE394" i="21"/>
  <c r="AF394" i="21" s="1"/>
  <c r="AC394" i="21"/>
  <c r="AD394" i="21" s="1"/>
  <c r="AA394" i="21"/>
  <c r="AB394" i="21" s="1"/>
  <c r="W394" i="21"/>
  <c r="X394" i="21" s="1"/>
  <c r="U394" i="21"/>
  <c r="S394" i="21"/>
  <c r="T394" i="21" s="1"/>
  <c r="Q394" i="21"/>
  <c r="R394" i="21" s="1"/>
  <c r="P394" i="21"/>
  <c r="O394" i="21"/>
  <c r="N394" i="21"/>
  <c r="M394" i="21"/>
  <c r="L394" i="21"/>
  <c r="K394" i="21"/>
  <c r="J394" i="21"/>
  <c r="I394" i="21"/>
  <c r="H394" i="21"/>
  <c r="G394" i="21"/>
  <c r="F394" i="21"/>
  <c r="E394" i="21"/>
  <c r="D394" i="21"/>
  <c r="C394" i="21"/>
  <c r="B394" i="21"/>
  <c r="A394" i="21"/>
  <c r="BG393" i="21"/>
  <c r="BH393" i="21" s="1"/>
  <c r="BE393" i="21"/>
  <c r="BF393" i="21" s="1"/>
  <c r="AW393" i="21"/>
  <c r="AX393" i="21" s="1"/>
  <c r="AU393" i="21"/>
  <c r="AV393" i="21" s="1"/>
  <c r="AS393" i="21"/>
  <c r="AT393" i="21" s="1"/>
  <c r="AQ393" i="21"/>
  <c r="AO393" i="21"/>
  <c r="AP393" i="21" s="1"/>
  <c r="AM393" i="21"/>
  <c r="AN393" i="21" s="1"/>
  <c r="AK393" i="21"/>
  <c r="AL393" i="21" s="1"/>
  <c r="AG393" i="21"/>
  <c r="AH393" i="21" s="1"/>
  <c r="AE393" i="21"/>
  <c r="AF393" i="21" s="1"/>
  <c r="AC393" i="21"/>
  <c r="AD393" i="21" s="1"/>
  <c r="AA393" i="21"/>
  <c r="AB393" i="21" s="1"/>
  <c r="W393" i="21"/>
  <c r="X393" i="21" s="1"/>
  <c r="U393" i="21"/>
  <c r="S393" i="21"/>
  <c r="T393" i="21" s="1"/>
  <c r="Q393" i="21"/>
  <c r="R393" i="21" s="1"/>
  <c r="P393" i="21"/>
  <c r="O393" i="21"/>
  <c r="N393" i="21"/>
  <c r="M393" i="21"/>
  <c r="L393" i="21"/>
  <c r="K393" i="21"/>
  <c r="J393" i="21"/>
  <c r="I393" i="21"/>
  <c r="H393" i="21"/>
  <c r="G393" i="21"/>
  <c r="F393" i="21"/>
  <c r="E393" i="21"/>
  <c r="D393" i="21"/>
  <c r="C393" i="21"/>
  <c r="B393" i="21"/>
  <c r="A393" i="21"/>
  <c r="BG392" i="21"/>
  <c r="BH392" i="21" s="1"/>
  <c r="BE392" i="21"/>
  <c r="BF392" i="21" s="1"/>
  <c r="AW392" i="21"/>
  <c r="AX392" i="21" s="1"/>
  <c r="AU392" i="21"/>
  <c r="AV392" i="21" s="1"/>
  <c r="AS392" i="21"/>
  <c r="AT392" i="21" s="1"/>
  <c r="AQ392" i="21"/>
  <c r="AR392" i="21" s="1"/>
  <c r="AO392" i="21"/>
  <c r="AP392" i="21" s="1"/>
  <c r="AM392" i="21"/>
  <c r="AN392" i="21" s="1"/>
  <c r="AK392" i="21"/>
  <c r="AL392" i="21" s="1"/>
  <c r="AG392" i="21"/>
  <c r="AH392" i="21" s="1"/>
  <c r="AE392" i="21"/>
  <c r="AF392" i="21" s="1"/>
  <c r="AC392" i="21"/>
  <c r="AD392" i="21" s="1"/>
  <c r="AA392" i="21"/>
  <c r="W392" i="21"/>
  <c r="X392" i="21" s="1"/>
  <c r="U392" i="21"/>
  <c r="V392" i="21" s="1"/>
  <c r="S392" i="21"/>
  <c r="T392" i="21" s="1"/>
  <c r="Q392" i="21"/>
  <c r="R392" i="21" s="1"/>
  <c r="P392" i="21"/>
  <c r="O392" i="21"/>
  <c r="N392" i="21"/>
  <c r="M392" i="21"/>
  <c r="L392" i="21"/>
  <c r="K392" i="21"/>
  <c r="J392" i="21"/>
  <c r="I392" i="21"/>
  <c r="H392" i="21"/>
  <c r="G392" i="21"/>
  <c r="F392" i="21"/>
  <c r="E392" i="21"/>
  <c r="D392" i="21"/>
  <c r="C392" i="21"/>
  <c r="B392" i="21"/>
  <c r="A392" i="21"/>
  <c r="BG391" i="21"/>
  <c r="BH391" i="21" s="1"/>
  <c r="BE391" i="21"/>
  <c r="BF391" i="21" s="1"/>
  <c r="AW391" i="21"/>
  <c r="AU391" i="21"/>
  <c r="AV391" i="21" s="1"/>
  <c r="AS391" i="21"/>
  <c r="AT391" i="21" s="1"/>
  <c r="AQ391" i="21"/>
  <c r="AR391" i="21" s="1"/>
  <c r="AO391" i="21"/>
  <c r="AP391" i="21" s="1"/>
  <c r="AM391" i="21"/>
  <c r="AK391" i="21"/>
  <c r="AL391" i="21" s="1"/>
  <c r="AG391" i="21"/>
  <c r="AH391" i="21" s="1"/>
  <c r="AE391" i="21"/>
  <c r="AC391" i="21"/>
  <c r="AD391" i="21" s="1"/>
  <c r="AJ391" i="21" s="1"/>
  <c r="AA391" i="21"/>
  <c r="AB391" i="21" s="1"/>
  <c r="W391" i="21"/>
  <c r="U391" i="21"/>
  <c r="V391" i="21" s="1"/>
  <c r="S391" i="21"/>
  <c r="T391" i="21" s="1"/>
  <c r="Q391" i="21"/>
  <c r="R391" i="21" s="1"/>
  <c r="P391" i="21"/>
  <c r="O391" i="21"/>
  <c r="N391" i="21"/>
  <c r="M391" i="21"/>
  <c r="L391" i="21"/>
  <c r="K391" i="21"/>
  <c r="J391" i="21"/>
  <c r="I391" i="21"/>
  <c r="H391" i="21"/>
  <c r="G391" i="21"/>
  <c r="F391" i="21"/>
  <c r="E391" i="21"/>
  <c r="D391" i="21"/>
  <c r="C391" i="21"/>
  <c r="B391" i="21"/>
  <c r="A391" i="21"/>
  <c r="BG390" i="21"/>
  <c r="BH390" i="21" s="1"/>
  <c r="BE390" i="21"/>
  <c r="BF390" i="21" s="1"/>
  <c r="AW390" i="21"/>
  <c r="AX390" i="21" s="1"/>
  <c r="AU390" i="21"/>
  <c r="AV390" i="21" s="1"/>
  <c r="AS390" i="21"/>
  <c r="AQ390" i="21"/>
  <c r="AR390" i="21" s="1"/>
  <c r="AO390" i="21"/>
  <c r="AP390" i="21" s="1"/>
  <c r="AM390" i="21"/>
  <c r="AN390" i="21" s="1"/>
  <c r="AK390" i="21"/>
  <c r="AL390" i="21" s="1"/>
  <c r="AG390" i="21"/>
  <c r="AH390" i="21" s="1"/>
  <c r="AE390" i="21"/>
  <c r="AF390" i="21" s="1"/>
  <c r="AC390" i="21"/>
  <c r="AD390" i="21" s="1"/>
  <c r="AA390" i="21"/>
  <c r="AB390" i="21" s="1"/>
  <c r="W390" i="21"/>
  <c r="X390" i="21" s="1"/>
  <c r="U390" i="21"/>
  <c r="V390" i="21" s="1"/>
  <c r="S390" i="21"/>
  <c r="T390" i="21" s="1"/>
  <c r="Q390" i="21"/>
  <c r="R390" i="21" s="1"/>
  <c r="P390" i="21"/>
  <c r="O390" i="21"/>
  <c r="N390" i="21"/>
  <c r="M390" i="21"/>
  <c r="L390" i="21"/>
  <c r="K390" i="21"/>
  <c r="J390" i="21"/>
  <c r="I390" i="21"/>
  <c r="H390" i="21"/>
  <c r="G390" i="21"/>
  <c r="F390" i="21"/>
  <c r="E390" i="21"/>
  <c r="D390" i="21"/>
  <c r="C390" i="21"/>
  <c r="B390" i="21"/>
  <c r="A390" i="21"/>
  <c r="BG389" i="21"/>
  <c r="BH389" i="21" s="1"/>
  <c r="BE389" i="21"/>
  <c r="BF389" i="21" s="1"/>
  <c r="AW389" i="21"/>
  <c r="AX389" i="21" s="1"/>
  <c r="AU389" i="21"/>
  <c r="AS389" i="21"/>
  <c r="AT389" i="21" s="1"/>
  <c r="AQ389" i="21"/>
  <c r="AR389" i="21" s="1"/>
  <c r="AO389" i="21"/>
  <c r="AP389" i="21" s="1"/>
  <c r="AM389" i="21"/>
  <c r="AN389" i="21" s="1"/>
  <c r="AK389" i="21"/>
  <c r="AL389" i="21" s="1"/>
  <c r="AG389" i="21"/>
  <c r="AH389" i="21" s="1"/>
  <c r="AE389" i="21"/>
  <c r="AF389" i="21" s="1"/>
  <c r="AC389" i="21"/>
  <c r="AA389" i="21"/>
  <c r="AB389" i="21" s="1"/>
  <c r="W389" i="21"/>
  <c r="X389" i="21" s="1"/>
  <c r="U389" i="21"/>
  <c r="V389" i="21" s="1"/>
  <c r="S389" i="21"/>
  <c r="T389" i="21" s="1"/>
  <c r="Q389" i="21"/>
  <c r="R389" i="21" s="1"/>
  <c r="P389" i="21"/>
  <c r="O389" i="21"/>
  <c r="N389" i="21"/>
  <c r="M389" i="21"/>
  <c r="L389" i="21"/>
  <c r="K389" i="21"/>
  <c r="J389" i="21"/>
  <c r="I389" i="21"/>
  <c r="H389" i="21"/>
  <c r="G389" i="21"/>
  <c r="F389" i="21"/>
  <c r="E389" i="21"/>
  <c r="D389" i="21"/>
  <c r="C389" i="21"/>
  <c r="B389" i="21"/>
  <c r="A389" i="21"/>
  <c r="BG388" i="21"/>
  <c r="BH388" i="21" s="1"/>
  <c r="BE388" i="21"/>
  <c r="BF388" i="21" s="1"/>
  <c r="AW388" i="21"/>
  <c r="AX388" i="21" s="1"/>
  <c r="AU388" i="21"/>
  <c r="AV388" i="21" s="1"/>
  <c r="AS388" i="21"/>
  <c r="AT388" i="21" s="1"/>
  <c r="AQ388" i="21"/>
  <c r="AO388" i="21"/>
  <c r="AP388" i="21" s="1"/>
  <c r="AM388" i="21"/>
  <c r="AN388" i="21" s="1"/>
  <c r="AK388" i="21"/>
  <c r="AL388" i="21" s="1"/>
  <c r="AG388" i="21"/>
  <c r="AE388" i="21"/>
  <c r="AF388" i="21" s="1"/>
  <c r="AC388" i="21"/>
  <c r="AD388" i="21" s="1"/>
  <c r="AA388" i="21"/>
  <c r="AB388" i="21" s="1"/>
  <c r="W388" i="21"/>
  <c r="X388" i="21" s="1"/>
  <c r="U388" i="21"/>
  <c r="V388" i="21" s="1"/>
  <c r="S388" i="21"/>
  <c r="T388" i="21" s="1"/>
  <c r="Q388" i="21"/>
  <c r="R388" i="21" s="1"/>
  <c r="P388" i="21"/>
  <c r="O388" i="21"/>
  <c r="N388" i="21"/>
  <c r="M388" i="21"/>
  <c r="L388" i="21"/>
  <c r="K388" i="21"/>
  <c r="J388" i="21"/>
  <c r="I388" i="21"/>
  <c r="H388" i="21"/>
  <c r="G388" i="21"/>
  <c r="F388" i="21"/>
  <c r="E388" i="21"/>
  <c r="D388" i="21"/>
  <c r="C388" i="21"/>
  <c r="B388" i="21"/>
  <c r="A388" i="21"/>
  <c r="BG387" i="21"/>
  <c r="BH387" i="21" s="1"/>
  <c r="BE387" i="21"/>
  <c r="BF387" i="21" s="1"/>
  <c r="AW387" i="21"/>
  <c r="AX387" i="21" s="1"/>
  <c r="AU387" i="21"/>
  <c r="AV387" i="21" s="1"/>
  <c r="AS387" i="21"/>
  <c r="AT387" i="21" s="1"/>
  <c r="AQ387" i="21"/>
  <c r="AO387" i="21"/>
  <c r="AP387" i="21" s="1"/>
  <c r="AM387" i="21"/>
  <c r="AN387" i="21" s="1"/>
  <c r="AK387" i="21"/>
  <c r="AL387" i="21" s="1"/>
  <c r="AG387" i="21"/>
  <c r="AE387" i="21"/>
  <c r="AF387" i="21" s="1"/>
  <c r="AC387" i="21"/>
  <c r="AD387" i="21" s="1"/>
  <c r="AA387" i="21"/>
  <c r="AB387" i="21" s="1"/>
  <c r="W387" i="21"/>
  <c r="X387" i="21" s="1"/>
  <c r="U387" i="21"/>
  <c r="V387" i="21" s="1"/>
  <c r="S387" i="21"/>
  <c r="Q387" i="21"/>
  <c r="R387" i="21" s="1"/>
  <c r="P387" i="21"/>
  <c r="O387" i="21"/>
  <c r="N387" i="21"/>
  <c r="M387" i="21"/>
  <c r="L387" i="21"/>
  <c r="K387" i="21"/>
  <c r="J387" i="21"/>
  <c r="I387" i="21"/>
  <c r="H387" i="21"/>
  <c r="G387" i="21"/>
  <c r="F387" i="21"/>
  <c r="E387" i="21"/>
  <c r="D387" i="21"/>
  <c r="C387" i="21"/>
  <c r="B387" i="21"/>
  <c r="A387" i="21"/>
  <c r="BG386" i="21"/>
  <c r="BH386" i="21" s="1"/>
  <c r="BE386" i="21"/>
  <c r="BF386" i="21" s="1"/>
  <c r="AW386" i="21"/>
  <c r="AX386" i="21" s="1"/>
  <c r="AU386" i="21"/>
  <c r="AS386" i="21"/>
  <c r="AT386" i="21" s="1"/>
  <c r="AQ386" i="21"/>
  <c r="AR386" i="21" s="1"/>
  <c r="AO386" i="21"/>
  <c r="AP386" i="21" s="1"/>
  <c r="AM386" i="21"/>
  <c r="AN386" i="21" s="1"/>
  <c r="AK386" i="21"/>
  <c r="AL386" i="21" s="1"/>
  <c r="AG386" i="21"/>
  <c r="AH386" i="21" s="1"/>
  <c r="AE386" i="21"/>
  <c r="AF386" i="21" s="1"/>
  <c r="AC386" i="21"/>
  <c r="AA386" i="21"/>
  <c r="AB386" i="21" s="1"/>
  <c r="W386" i="21"/>
  <c r="X386" i="21" s="1"/>
  <c r="U386" i="21"/>
  <c r="V386" i="21" s="1"/>
  <c r="S386" i="21"/>
  <c r="T386" i="21" s="1"/>
  <c r="Q386" i="21"/>
  <c r="R386" i="21" s="1"/>
  <c r="P386" i="21"/>
  <c r="O386" i="21"/>
  <c r="N386" i="21"/>
  <c r="M386" i="21"/>
  <c r="L386" i="21"/>
  <c r="K386" i="21"/>
  <c r="J386" i="21"/>
  <c r="I386" i="21"/>
  <c r="H386" i="21"/>
  <c r="G386" i="21"/>
  <c r="F386" i="21"/>
  <c r="E386" i="21"/>
  <c r="D386" i="21"/>
  <c r="C386" i="21"/>
  <c r="B386" i="21"/>
  <c r="A386" i="21"/>
  <c r="BG385" i="21"/>
  <c r="BH385" i="21" s="1"/>
  <c r="BE385" i="21"/>
  <c r="AW385" i="21"/>
  <c r="AX385" i="21" s="1"/>
  <c r="AU385" i="21"/>
  <c r="AV385" i="21" s="1"/>
  <c r="AS385" i="21"/>
  <c r="AT385" i="21" s="1"/>
  <c r="AQ385" i="21"/>
  <c r="AR385" i="21" s="1"/>
  <c r="AO385" i="21"/>
  <c r="AP385" i="21" s="1"/>
  <c r="AM385" i="21"/>
  <c r="AN385" i="21" s="1"/>
  <c r="AK385" i="21"/>
  <c r="AL385" i="21" s="1"/>
  <c r="AG385" i="21"/>
  <c r="AH385" i="21" s="1"/>
  <c r="AE385" i="21"/>
  <c r="AF385" i="21" s="1"/>
  <c r="AC385" i="21"/>
  <c r="AA385" i="21"/>
  <c r="AB385" i="21" s="1"/>
  <c r="W385" i="21"/>
  <c r="X385" i="21" s="1"/>
  <c r="U385" i="21"/>
  <c r="V385" i="21" s="1"/>
  <c r="S385" i="21"/>
  <c r="Q385" i="21"/>
  <c r="R385" i="21" s="1"/>
  <c r="P385" i="21"/>
  <c r="O385" i="21"/>
  <c r="N385" i="21"/>
  <c r="M385" i="21"/>
  <c r="L385" i="21"/>
  <c r="K385" i="21"/>
  <c r="J385" i="21"/>
  <c r="I385" i="21"/>
  <c r="H385" i="21"/>
  <c r="G385" i="21"/>
  <c r="F385" i="21"/>
  <c r="E385" i="21"/>
  <c r="D385" i="21"/>
  <c r="C385" i="21"/>
  <c r="B385" i="21"/>
  <c r="A385" i="21"/>
  <c r="BG384" i="21"/>
  <c r="BH384" i="21" s="1"/>
  <c r="BE384" i="21"/>
  <c r="BF384" i="21" s="1"/>
  <c r="AW384" i="21"/>
  <c r="AX384" i="21" s="1"/>
  <c r="AU384" i="21"/>
  <c r="AV384" i="21" s="1"/>
  <c r="AS384" i="21"/>
  <c r="AT384" i="21" s="1"/>
  <c r="AQ384" i="21"/>
  <c r="AR384" i="21" s="1"/>
  <c r="AO384" i="21"/>
  <c r="AP384" i="21" s="1"/>
  <c r="AM384" i="21"/>
  <c r="AN384" i="21" s="1"/>
  <c r="AK384" i="21"/>
  <c r="AL384" i="21" s="1"/>
  <c r="AG384" i="21"/>
  <c r="AE384" i="21"/>
  <c r="AF384" i="21" s="1"/>
  <c r="AC384" i="21"/>
  <c r="AD384" i="21" s="1"/>
  <c r="AA384" i="21"/>
  <c r="AB384" i="21" s="1"/>
  <c r="W384" i="21"/>
  <c r="X384" i="21" s="1"/>
  <c r="U384" i="21"/>
  <c r="S384" i="21"/>
  <c r="T384" i="21" s="1"/>
  <c r="Q384" i="21"/>
  <c r="R384" i="21" s="1"/>
  <c r="P384" i="21"/>
  <c r="O384" i="21"/>
  <c r="N384" i="21"/>
  <c r="M384" i="21"/>
  <c r="L384" i="21"/>
  <c r="K384" i="21"/>
  <c r="J384" i="21"/>
  <c r="I384" i="21"/>
  <c r="H384" i="21"/>
  <c r="G384" i="21"/>
  <c r="F384" i="21"/>
  <c r="E384" i="21"/>
  <c r="D384" i="21"/>
  <c r="C384" i="21"/>
  <c r="B384" i="21"/>
  <c r="A384" i="21"/>
  <c r="BG383" i="21"/>
  <c r="BH383" i="21" s="1"/>
  <c r="BE383" i="21"/>
  <c r="BF383" i="21" s="1"/>
  <c r="AW383" i="21"/>
  <c r="AU383" i="21"/>
  <c r="AV383" i="21" s="1"/>
  <c r="AS383" i="21"/>
  <c r="AT383" i="21" s="1"/>
  <c r="AQ383" i="21"/>
  <c r="AR383" i="21" s="1"/>
  <c r="AO383" i="21"/>
  <c r="AP383" i="21" s="1"/>
  <c r="AM383" i="21"/>
  <c r="AN383" i="21" s="1"/>
  <c r="AK383" i="21"/>
  <c r="AL383" i="21" s="1"/>
  <c r="AG383" i="21"/>
  <c r="AH383" i="21" s="1"/>
  <c r="AE383" i="21"/>
  <c r="AF383" i="21" s="1"/>
  <c r="AC383" i="21"/>
  <c r="AD383" i="21" s="1"/>
  <c r="AJ383" i="21" s="1"/>
  <c r="AA383" i="21"/>
  <c r="W383" i="21"/>
  <c r="U383" i="21"/>
  <c r="V383" i="21" s="1"/>
  <c r="S383" i="21"/>
  <c r="T383" i="21" s="1"/>
  <c r="Q383" i="21"/>
  <c r="R383" i="21" s="1"/>
  <c r="P383" i="21"/>
  <c r="O383" i="21"/>
  <c r="N383" i="21"/>
  <c r="M383" i="21"/>
  <c r="L383" i="21"/>
  <c r="K383" i="21"/>
  <c r="J383" i="21"/>
  <c r="I383" i="21"/>
  <c r="H383" i="21"/>
  <c r="G383" i="21"/>
  <c r="F383" i="21"/>
  <c r="E383" i="21"/>
  <c r="D383" i="21"/>
  <c r="C383" i="21"/>
  <c r="B383" i="21"/>
  <c r="A383" i="21"/>
  <c r="BG382" i="21"/>
  <c r="BH382" i="21" s="1"/>
  <c r="BE382" i="21"/>
  <c r="BF382" i="21" s="1"/>
  <c r="AW382" i="21"/>
  <c r="AX382" i="21" s="1"/>
  <c r="AU382" i="21"/>
  <c r="AV382" i="21" s="1"/>
  <c r="AS382" i="21"/>
  <c r="AT382" i="21" s="1"/>
  <c r="AQ382" i="21"/>
  <c r="AR382" i="21" s="1"/>
  <c r="AO382" i="21"/>
  <c r="AP382" i="21" s="1"/>
  <c r="AM382" i="21"/>
  <c r="AN382" i="21" s="1"/>
  <c r="AK382" i="21"/>
  <c r="AL382" i="21" s="1"/>
  <c r="AG382" i="21"/>
  <c r="AH382" i="21" s="1"/>
  <c r="AE382" i="21"/>
  <c r="AF382" i="21" s="1"/>
  <c r="AC382" i="21"/>
  <c r="AD382" i="21" s="1"/>
  <c r="AA382" i="21"/>
  <c r="W382" i="21"/>
  <c r="X382" i="21" s="1"/>
  <c r="U382" i="21"/>
  <c r="V382" i="21" s="1"/>
  <c r="S382" i="21"/>
  <c r="Q382" i="21"/>
  <c r="R382" i="21" s="1"/>
  <c r="P382" i="21"/>
  <c r="O382" i="21"/>
  <c r="N382" i="21"/>
  <c r="M382" i="21"/>
  <c r="L382" i="21"/>
  <c r="K382" i="21"/>
  <c r="J382" i="21"/>
  <c r="I382" i="21"/>
  <c r="H382" i="21"/>
  <c r="G382" i="21"/>
  <c r="F382" i="21"/>
  <c r="E382" i="21"/>
  <c r="D382" i="21"/>
  <c r="C382" i="21"/>
  <c r="B382" i="21"/>
  <c r="A382" i="21"/>
  <c r="BG381" i="21"/>
  <c r="BH381" i="21" s="1"/>
  <c r="BE381" i="21"/>
  <c r="BF381" i="21" s="1"/>
  <c r="AW381" i="21"/>
  <c r="AX381" i="21" s="1"/>
  <c r="AU381" i="21"/>
  <c r="AS381" i="21"/>
  <c r="AT381" i="21" s="1"/>
  <c r="AQ381" i="21"/>
  <c r="AR381" i="21" s="1"/>
  <c r="AO381" i="21"/>
  <c r="AP381" i="21" s="1"/>
  <c r="AM381" i="21"/>
  <c r="AN381" i="21" s="1"/>
  <c r="AK381" i="21"/>
  <c r="AL381" i="21" s="1"/>
  <c r="AG381" i="21"/>
  <c r="AH381" i="21" s="1"/>
  <c r="AE381" i="21"/>
  <c r="AC381" i="21"/>
  <c r="AD381" i="21" s="1"/>
  <c r="AA381" i="21"/>
  <c r="AB381" i="21" s="1"/>
  <c r="W381" i="21"/>
  <c r="U381" i="21"/>
  <c r="V381" i="21" s="1"/>
  <c r="S381" i="21"/>
  <c r="T381" i="21" s="1"/>
  <c r="Q381" i="21"/>
  <c r="R381" i="21" s="1"/>
  <c r="P381" i="21"/>
  <c r="O381" i="21"/>
  <c r="N381" i="21"/>
  <c r="M381" i="21"/>
  <c r="L381" i="21"/>
  <c r="K381" i="21"/>
  <c r="J381" i="21"/>
  <c r="I381" i="21"/>
  <c r="H381" i="21"/>
  <c r="G381" i="21"/>
  <c r="F381" i="21"/>
  <c r="E381" i="21"/>
  <c r="D381" i="21"/>
  <c r="C381" i="21"/>
  <c r="B381" i="21"/>
  <c r="A381" i="21"/>
  <c r="BG380" i="21"/>
  <c r="BH380" i="21" s="1"/>
  <c r="BE380" i="21"/>
  <c r="BF380" i="21" s="1"/>
  <c r="AW380" i="21"/>
  <c r="AX380" i="21" s="1"/>
  <c r="AU380" i="21"/>
  <c r="AV380" i="21" s="1"/>
  <c r="AS380" i="21"/>
  <c r="AT380" i="21" s="1"/>
  <c r="AQ380" i="21"/>
  <c r="AR380" i="21" s="1"/>
  <c r="AO380" i="21"/>
  <c r="AP380" i="21" s="1"/>
  <c r="AM380" i="21"/>
  <c r="AN380" i="21" s="1"/>
  <c r="AK380" i="21"/>
  <c r="AG380" i="21"/>
  <c r="AH380" i="21" s="1"/>
  <c r="AE380" i="21"/>
  <c r="AF380" i="21" s="1"/>
  <c r="AC380" i="21"/>
  <c r="AA380" i="21"/>
  <c r="AB380" i="21" s="1"/>
  <c r="W380" i="21"/>
  <c r="X380" i="21" s="1"/>
  <c r="U380" i="21"/>
  <c r="V380" i="21" s="1"/>
  <c r="S380" i="21"/>
  <c r="T380" i="21" s="1"/>
  <c r="Q380" i="21"/>
  <c r="R380" i="21" s="1"/>
  <c r="P380" i="21"/>
  <c r="O380" i="21"/>
  <c r="N380" i="21"/>
  <c r="M380" i="21"/>
  <c r="L380" i="21"/>
  <c r="K380" i="21"/>
  <c r="J380" i="21"/>
  <c r="I380" i="21"/>
  <c r="H380" i="21"/>
  <c r="G380" i="21"/>
  <c r="F380" i="21"/>
  <c r="E380" i="21"/>
  <c r="D380" i="21"/>
  <c r="C380" i="21"/>
  <c r="B380" i="21"/>
  <c r="A380" i="21"/>
  <c r="BG379" i="21"/>
  <c r="BH379" i="21" s="1"/>
  <c r="BE379" i="21"/>
  <c r="BF379" i="21" s="1"/>
  <c r="AW379" i="21"/>
  <c r="AX379" i="21" s="1"/>
  <c r="AU379" i="21"/>
  <c r="AV379" i="21" s="1"/>
  <c r="AS379" i="21"/>
  <c r="AT379" i="21" s="1"/>
  <c r="AQ379" i="21"/>
  <c r="AR379" i="21" s="1"/>
  <c r="AO379" i="21"/>
  <c r="AM379" i="21"/>
  <c r="AN379" i="21" s="1"/>
  <c r="AK379" i="21"/>
  <c r="AL379" i="21" s="1"/>
  <c r="AG379" i="21"/>
  <c r="AE379" i="21"/>
  <c r="AF379" i="21" s="1"/>
  <c r="AC379" i="21"/>
  <c r="AD379" i="21" s="1"/>
  <c r="AA379" i="21"/>
  <c r="AB379" i="21" s="1"/>
  <c r="W379" i="21"/>
  <c r="U379" i="21"/>
  <c r="V379" i="21" s="1"/>
  <c r="S379" i="21"/>
  <c r="T379" i="21" s="1"/>
  <c r="Q379" i="21"/>
  <c r="R379" i="21" s="1"/>
  <c r="P379" i="21"/>
  <c r="O379" i="21"/>
  <c r="N379" i="21"/>
  <c r="M379" i="21"/>
  <c r="L379" i="21"/>
  <c r="K379" i="21"/>
  <c r="J379" i="21"/>
  <c r="I379" i="21"/>
  <c r="H379" i="21"/>
  <c r="G379" i="21"/>
  <c r="F379" i="21"/>
  <c r="E379" i="21"/>
  <c r="D379" i="21"/>
  <c r="C379" i="21"/>
  <c r="B379" i="21"/>
  <c r="A379" i="21"/>
  <c r="BG378" i="21"/>
  <c r="BH378" i="21" s="1"/>
  <c r="BE378" i="21"/>
  <c r="BF378" i="21" s="1"/>
  <c r="AW378" i="21"/>
  <c r="AX378" i="21" s="1"/>
  <c r="AU378" i="21"/>
  <c r="AV378" i="21" s="1"/>
  <c r="AS378" i="21"/>
  <c r="AQ378" i="21"/>
  <c r="AR378" i="21" s="1"/>
  <c r="AO378" i="21"/>
  <c r="AP378" i="21" s="1"/>
  <c r="AM378" i="21"/>
  <c r="AK378" i="21"/>
  <c r="AL378" i="21" s="1"/>
  <c r="AG378" i="21"/>
  <c r="AH378" i="21" s="1"/>
  <c r="AE378" i="21"/>
  <c r="AF378" i="21" s="1"/>
  <c r="AC378" i="21"/>
  <c r="AD378" i="21" s="1"/>
  <c r="AA378" i="21"/>
  <c r="AB378" i="21" s="1"/>
  <c r="W378" i="21"/>
  <c r="X378" i="21" s="1"/>
  <c r="U378" i="21"/>
  <c r="S378" i="21"/>
  <c r="T378" i="21" s="1"/>
  <c r="Q378" i="21"/>
  <c r="R378" i="21" s="1"/>
  <c r="P378" i="21"/>
  <c r="O378" i="21"/>
  <c r="N378" i="21"/>
  <c r="M378" i="21"/>
  <c r="L378" i="21"/>
  <c r="K378" i="21"/>
  <c r="J378" i="21"/>
  <c r="I378" i="21"/>
  <c r="H378" i="21"/>
  <c r="G378" i="21"/>
  <c r="F378" i="21"/>
  <c r="E378" i="21"/>
  <c r="D378" i="21"/>
  <c r="C378" i="21"/>
  <c r="B378" i="21"/>
  <c r="A378" i="21"/>
  <c r="BG377" i="21"/>
  <c r="BE377" i="21"/>
  <c r="BF377" i="21" s="1"/>
  <c r="AW377" i="21"/>
  <c r="AX377" i="21" s="1"/>
  <c r="AU377" i="21"/>
  <c r="AV377" i="21" s="1"/>
  <c r="AS377" i="21"/>
  <c r="AT377" i="21" s="1"/>
  <c r="AQ377" i="21"/>
  <c r="AO377" i="21"/>
  <c r="AP377" i="21" s="1"/>
  <c r="AM377" i="21"/>
  <c r="AN377" i="21" s="1"/>
  <c r="AK377" i="21"/>
  <c r="AL377" i="21" s="1"/>
  <c r="AG377" i="21"/>
  <c r="AH377" i="21" s="1"/>
  <c r="AE377" i="21"/>
  <c r="AF377" i="21" s="1"/>
  <c r="AC377" i="21"/>
  <c r="AD377" i="21" s="1"/>
  <c r="AA377" i="21"/>
  <c r="W377" i="21"/>
  <c r="X377" i="21" s="1"/>
  <c r="U377" i="21"/>
  <c r="V377" i="21" s="1"/>
  <c r="S377" i="21"/>
  <c r="Q377" i="21"/>
  <c r="R377" i="21" s="1"/>
  <c r="P377" i="21"/>
  <c r="O377" i="21"/>
  <c r="N377" i="21"/>
  <c r="M377" i="21"/>
  <c r="L377" i="21"/>
  <c r="K377" i="21"/>
  <c r="J377" i="21"/>
  <c r="I377" i="21"/>
  <c r="H377" i="21"/>
  <c r="G377" i="21"/>
  <c r="F377" i="21"/>
  <c r="E377" i="21"/>
  <c r="D377" i="21"/>
  <c r="C377" i="21"/>
  <c r="B377" i="21"/>
  <c r="A377" i="21"/>
  <c r="BG376" i="21"/>
  <c r="BH376" i="21" s="1"/>
  <c r="BE376" i="21"/>
  <c r="AW376" i="21"/>
  <c r="AX376" i="21" s="1"/>
  <c r="AU376" i="21"/>
  <c r="AS376" i="21"/>
  <c r="AT376" i="21" s="1"/>
  <c r="AQ376" i="21"/>
  <c r="AR376" i="21" s="1"/>
  <c r="AO376" i="21"/>
  <c r="AP376" i="21" s="1"/>
  <c r="AM376" i="21"/>
  <c r="AN376" i="21" s="1"/>
  <c r="AK376" i="21"/>
  <c r="AL376" i="21" s="1"/>
  <c r="AG376" i="21"/>
  <c r="AH376" i="21" s="1"/>
  <c r="AE376" i="21"/>
  <c r="AC376" i="21"/>
  <c r="AD376" i="21" s="1"/>
  <c r="AA376" i="21"/>
  <c r="AB376" i="21" s="1"/>
  <c r="W376" i="21"/>
  <c r="U376" i="21"/>
  <c r="V376" i="21" s="1"/>
  <c r="S376" i="21"/>
  <c r="T376" i="21" s="1"/>
  <c r="Q376" i="21"/>
  <c r="P376" i="21"/>
  <c r="O376" i="21"/>
  <c r="N376" i="21"/>
  <c r="M376" i="21"/>
  <c r="L376" i="21"/>
  <c r="K376" i="21"/>
  <c r="J376" i="21"/>
  <c r="I376" i="21"/>
  <c r="H376" i="21"/>
  <c r="G376" i="21"/>
  <c r="F376" i="21"/>
  <c r="E376" i="21"/>
  <c r="D376" i="21"/>
  <c r="C376" i="21"/>
  <c r="B376" i="21"/>
  <c r="A376" i="21"/>
  <c r="BG375" i="21"/>
  <c r="BH375" i="21" s="1"/>
  <c r="BE375" i="21"/>
  <c r="BF375" i="21" s="1"/>
  <c r="AW375" i="21"/>
  <c r="AX375" i="21" s="1"/>
  <c r="AU375" i="21"/>
  <c r="AV375" i="21" s="1"/>
  <c r="AS375" i="21"/>
  <c r="AT375" i="21" s="1"/>
  <c r="AQ375" i="21"/>
  <c r="AO375" i="21"/>
  <c r="AP375" i="21" s="1"/>
  <c r="AM375" i="21"/>
  <c r="AN375" i="21" s="1"/>
  <c r="AK375" i="21"/>
  <c r="AG375" i="21"/>
  <c r="AH375" i="21" s="1"/>
  <c r="AE375" i="21"/>
  <c r="AF375" i="21" s="1"/>
  <c r="AC375" i="21"/>
  <c r="AA375" i="21"/>
  <c r="AB375" i="21" s="1"/>
  <c r="W375" i="21"/>
  <c r="X375" i="21" s="1"/>
  <c r="U375" i="21"/>
  <c r="V375" i="21" s="1"/>
  <c r="S375" i="21"/>
  <c r="T375" i="21" s="1"/>
  <c r="Q375" i="21"/>
  <c r="R375" i="21" s="1"/>
  <c r="P375" i="21"/>
  <c r="O375" i="21"/>
  <c r="N375" i="21"/>
  <c r="M375" i="21"/>
  <c r="L375" i="21"/>
  <c r="K375" i="21"/>
  <c r="J375" i="21"/>
  <c r="I375" i="21"/>
  <c r="H375" i="21"/>
  <c r="G375" i="21"/>
  <c r="F375" i="21"/>
  <c r="E375" i="21"/>
  <c r="D375" i="21"/>
  <c r="C375" i="21"/>
  <c r="B375" i="21"/>
  <c r="A375" i="21"/>
  <c r="BG374" i="21"/>
  <c r="BE374" i="21"/>
  <c r="BF374" i="21" s="1"/>
  <c r="AW374" i="21"/>
  <c r="AX374" i="21" s="1"/>
  <c r="AU374" i="21"/>
  <c r="AV374" i="21" s="1"/>
  <c r="AS374" i="21"/>
  <c r="AT374" i="21" s="1"/>
  <c r="AQ374" i="21"/>
  <c r="AR374" i="21" s="1"/>
  <c r="AO374" i="21"/>
  <c r="AM374" i="21"/>
  <c r="AN374" i="21" s="1"/>
  <c r="AK374" i="21"/>
  <c r="AL374" i="21" s="1"/>
  <c r="AG374" i="21"/>
  <c r="AE374" i="21"/>
  <c r="AF374" i="21" s="1"/>
  <c r="AC374" i="21"/>
  <c r="AD374" i="21" s="1"/>
  <c r="AA374" i="21"/>
  <c r="W374" i="21"/>
  <c r="X374" i="21" s="1"/>
  <c r="U374" i="21"/>
  <c r="V374" i="21" s="1"/>
  <c r="S374" i="21"/>
  <c r="T374" i="21" s="1"/>
  <c r="Q374" i="21"/>
  <c r="R374" i="21" s="1"/>
  <c r="P374" i="21"/>
  <c r="O374" i="21"/>
  <c r="N374" i="21"/>
  <c r="M374" i="21"/>
  <c r="L374" i="21"/>
  <c r="K374" i="21"/>
  <c r="J374" i="21"/>
  <c r="I374" i="21"/>
  <c r="H374" i="21"/>
  <c r="G374" i="21"/>
  <c r="F374" i="21"/>
  <c r="E374" i="21"/>
  <c r="D374" i="21"/>
  <c r="C374" i="21"/>
  <c r="B374" i="21"/>
  <c r="A374" i="21"/>
  <c r="BG373" i="21"/>
  <c r="BH373" i="21" s="1"/>
  <c r="BE373" i="21"/>
  <c r="BF373" i="21" s="1"/>
  <c r="AW373" i="21"/>
  <c r="AX373" i="21" s="1"/>
  <c r="AU373" i="21"/>
  <c r="AV373" i="21" s="1"/>
  <c r="AS373" i="21"/>
  <c r="AQ373" i="21"/>
  <c r="AR373" i="21" s="1"/>
  <c r="AO373" i="21"/>
  <c r="AM373" i="21"/>
  <c r="AK373" i="21"/>
  <c r="AL373" i="21" s="1"/>
  <c r="AG373" i="21"/>
  <c r="AH373" i="21" s="1"/>
  <c r="AE373" i="21"/>
  <c r="AC373" i="21"/>
  <c r="AD373" i="21" s="1"/>
  <c r="AA373" i="21"/>
  <c r="AB373" i="21" s="1"/>
  <c r="W373" i="21"/>
  <c r="X373" i="21" s="1"/>
  <c r="U373" i="21"/>
  <c r="V373" i="21" s="1"/>
  <c r="S373" i="21"/>
  <c r="Q373" i="21"/>
  <c r="R373" i="21" s="1"/>
  <c r="P373" i="21"/>
  <c r="O373" i="21"/>
  <c r="N373" i="21"/>
  <c r="M373" i="21"/>
  <c r="L373" i="21"/>
  <c r="K373" i="21"/>
  <c r="J373" i="21"/>
  <c r="I373" i="21"/>
  <c r="H373" i="21"/>
  <c r="G373" i="21"/>
  <c r="F373" i="21"/>
  <c r="E373" i="21"/>
  <c r="D373" i="21"/>
  <c r="C373" i="21"/>
  <c r="B373" i="21"/>
  <c r="A373" i="21"/>
  <c r="BG372" i="21"/>
  <c r="BH372" i="21" s="1"/>
  <c r="BE372" i="21"/>
  <c r="BF372" i="21" s="1"/>
  <c r="AW372" i="21"/>
  <c r="AU372" i="21"/>
  <c r="AV372" i="21" s="1"/>
  <c r="AS372" i="21"/>
  <c r="AT372" i="21" s="1"/>
  <c r="AQ372" i="21"/>
  <c r="AR372" i="21" s="1"/>
  <c r="AO372" i="21"/>
  <c r="AP372" i="21" s="1"/>
  <c r="AM372" i="21"/>
  <c r="AN372" i="21" s="1"/>
  <c r="AK372" i="21"/>
  <c r="AG372" i="21"/>
  <c r="AE372" i="21"/>
  <c r="AF372" i="21" s="1"/>
  <c r="AC372" i="21"/>
  <c r="AD372" i="21" s="1"/>
  <c r="AA372" i="21"/>
  <c r="AB372" i="21" s="1"/>
  <c r="W372" i="21"/>
  <c r="X372" i="21" s="1"/>
  <c r="U372" i="21"/>
  <c r="V372" i="21" s="1"/>
  <c r="S372" i="21"/>
  <c r="Q372" i="21"/>
  <c r="R372" i="21" s="1"/>
  <c r="P372" i="21"/>
  <c r="O372" i="21"/>
  <c r="N372" i="21"/>
  <c r="M372" i="21"/>
  <c r="L372" i="21"/>
  <c r="K372" i="21"/>
  <c r="J372" i="21"/>
  <c r="I372" i="21"/>
  <c r="H372" i="21"/>
  <c r="G372" i="21"/>
  <c r="F372" i="21"/>
  <c r="E372" i="21"/>
  <c r="D372" i="21"/>
  <c r="C372" i="21"/>
  <c r="B372" i="21"/>
  <c r="A372" i="21"/>
  <c r="BG371" i="21"/>
  <c r="BH371" i="21" s="1"/>
  <c r="BE371" i="21"/>
  <c r="BF371" i="21" s="1"/>
  <c r="AW371" i="21"/>
  <c r="AX371" i="21" s="1"/>
  <c r="AU371" i="21"/>
  <c r="AV371" i="21" s="1"/>
  <c r="AS371" i="21"/>
  <c r="AT371" i="21" s="1"/>
  <c r="AQ371" i="21"/>
  <c r="AR371" i="21" s="1"/>
  <c r="AO371" i="21"/>
  <c r="AM371" i="21"/>
  <c r="AK371" i="21"/>
  <c r="AL371" i="21" s="1"/>
  <c r="AG371" i="21"/>
  <c r="AE371" i="21"/>
  <c r="AF371" i="21" s="1"/>
  <c r="AC371" i="21"/>
  <c r="AD371" i="21" s="1"/>
  <c r="AA371" i="21"/>
  <c r="AB371" i="21" s="1"/>
  <c r="W371" i="21"/>
  <c r="U371" i="21"/>
  <c r="V371" i="21" s="1"/>
  <c r="S371" i="21"/>
  <c r="T371" i="21" s="1"/>
  <c r="Q371" i="21"/>
  <c r="R371" i="21" s="1"/>
  <c r="P371" i="21"/>
  <c r="O371" i="21"/>
  <c r="N371" i="21"/>
  <c r="M371" i="21"/>
  <c r="L371" i="21"/>
  <c r="K371" i="21"/>
  <c r="J371" i="21"/>
  <c r="I371" i="21"/>
  <c r="H371" i="21"/>
  <c r="G371" i="21"/>
  <c r="F371" i="21"/>
  <c r="E371" i="21"/>
  <c r="D371" i="21"/>
  <c r="C371" i="21"/>
  <c r="B371" i="21"/>
  <c r="A371" i="21"/>
  <c r="BG370" i="21"/>
  <c r="BH370" i="21" s="1"/>
  <c r="BE370" i="21"/>
  <c r="BF370" i="21" s="1"/>
  <c r="AW370" i="21"/>
  <c r="AX370" i="21" s="1"/>
  <c r="AU370" i="21"/>
  <c r="AV370" i="21" s="1"/>
  <c r="AS370" i="21"/>
  <c r="AQ370" i="21"/>
  <c r="AO370" i="21"/>
  <c r="AP370" i="21" s="1"/>
  <c r="AM370" i="21"/>
  <c r="AN370" i="21" s="1"/>
  <c r="AK370" i="21"/>
  <c r="AL370" i="21" s="1"/>
  <c r="AG370" i="21"/>
  <c r="AH370" i="21" s="1"/>
  <c r="AE370" i="21"/>
  <c r="AF370" i="21" s="1"/>
  <c r="AC370" i="21"/>
  <c r="AD370" i="21" s="1"/>
  <c r="AA370" i="21"/>
  <c r="AB370" i="21" s="1"/>
  <c r="W370" i="21"/>
  <c r="X370" i="21" s="1"/>
  <c r="U370" i="21"/>
  <c r="V370" i="21" s="1"/>
  <c r="S370" i="21"/>
  <c r="Q370" i="21"/>
  <c r="R370" i="21" s="1"/>
  <c r="P370" i="21"/>
  <c r="O370" i="21"/>
  <c r="N370" i="21"/>
  <c r="M370" i="21"/>
  <c r="L370" i="21"/>
  <c r="K370" i="21"/>
  <c r="J370" i="21"/>
  <c r="I370" i="21"/>
  <c r="H370" i="21"/>
  <c r="G370" i="21"/>
  <c r="F370" i="21"/>
  <c r="E370" i="21"/>
  <c r="D370" i="21"/>
  <c r="C370" i="21"/>
  <c r="B370" i="21"/>
  <c r="A370" i="21"/>
  <c r="BG369" i="21"/>
  <c r="BE369" i="21"/>
  <c r="BF369" i="21" s="1"/>
  <c r="AW369" i="21"/>
  <c r="AX369" i="21" s="1"/>
  <c r="AU369" i="21"/>
  <c r="AS369" i="21"/>
  <c r="AT369" i="21" s="1"/>
  <c r="AQ369" i="21"/>
  <c r="AR369" i="21" s="1"/>
  <c r="AO369" i="21"/>
  <c r="AP369" i="21" s="1"/>
  <c r="AM369" i="21"/>
  <c r="AK369" i="21"/>
  <c r="AL369" i="21" s="1"/>
  <c r="AG369" i="21"/>
  <c r="AH369" i="21" s="1"/>
  <c r="AE369" i="21"/>
  <c r="AF369" i="21" s="1"/>
  <c r="AC369" i="21"/>
  <c r="AD369" i="21" s="1"/>
  <c r="AA369" i="21"/>
  <c r="W369" i="21"/>
  <c r="U369" i="21"/>
  <c r="V369" i="21" s="1"/>
  <c r="S369" i="21"/>
  <c r="Q369" i="21"/>
  <c r="R369" i="21" s="1"/>
  <c r="P369" i="21"/>
  <c r="O369" i="21"/>
  <c r="N369" i="21"/>
  <c r="M369" i="21"/>
  <c r="L369" i="21"/>
  <c r="K369" i="21"/>
  <c r="J369" i="21"/>
  <c r="I369" i="21"/>
  <c r="H369" i="21"/>
  <c r="G369" i="21"/>
  <c r="F369" i="21"/>
  <c r="E369" i="21"/>
  <c r="D369" i="21"/>
  <c r="C369" i="21"/>
  <c r="B369" i="21"/>
  <c r="A369" i="21"/>
  <c r="BG368" i="21"/>
  <c r="BE368" i="21"/>
  <c r="BF368" i="21" s="1"/>
  <c r="AW368" i="21"/>
  <c r="AU368" i="21"/>
  <c r="AV368" i="21" s="1"/>
  <c r="AS368" i="21"/>
  <c r="AT368" i="21" s="1"/>
  <c r="AQ368" i="21"/>
  <c r="AR368" i="21" s="1"/>
  <c r="AO368" i="21"/>
  <c r="AP368" i="21" s="1"/>
  <c r="AM368" i="21"/>
  <c r="AN368" i="21" s="1"/>
  <c r="AK368" i="21"/>
  <c r="AL368" i="21" s="1"/>
  <c r="AG368" i="21"/>
  <c r="AH368" i="21" s="1"/>
  <c r="AE368" i="21"/>
  <c r="AC368" i="21"/>
  <c r="AA368" i="21"/>
  <c r="AB368" i="21" s="1"/>
  <c r="W368" i="21"/>
  <c r="X368" i="21" s="1"/>
  <c r="U368" i="21"/>
  <c r="V368" i="21" s="1"/>
  <c r="S368" i="21"/>
  <c r="T368" i="21" s="1"/>
  <c r="Q368" i="21"/>
  <c r="R368" i="21" s="1"/>
  <c r="P368" i="21"/>
  <c r="O368" i="21"/>
  <c r="N368" i="21"/>
  <c r="M368" i="21"/>
  <c r="L368" i="21"/>
  <c r="K368" i="21"/>
  <c r="J368" i="21"/>
  <c r="I368" i="21"/>
  <c r="H368" i="21"/>
  <c r="G368" i="21"/>
  <c r="F368" i="21"/>
  <c r="E368" i="21"/>
  <c r="D368" i="21"/>
  <c r="C368" i="21"/>
  <c r="B368" i="21"/>
  <c r="A368" i="21"/>
  <c r="BG367" i="21"/>
  <c r="BH367" i="21" s="1"/>
  <c r="BE367" i="21"/>
  <c r="BF367" i="21" s="1"/>
  <c r="AW367" i="21"/>
  <c r="AX367" i="21" s="1"/>
  <c r="AU367" i="21"/>
  <c r="AV367" i="21" s="1"/>
  <c r="AS367" i="21"/>
  <c r="AT367" i="21" s="1"/>
  <c r="AQ367" i="21"/>
  <c r="AR367" i="21" s="1"/>
  <c r="AO367" i="21"/>
  <c r="AP367" i="21" s="1"/>
  <c r="AM367" i="21"/>
  <c r="AN367" i="21" s="1"/>
  <c r="AK367" i="21"/>
  <c r="AL367" i="21" s="1"/>
  <c r="AG367" i="21"/>
  <c r="AE367" i="21"/>
  <c r="AF367" i="21" s="1"/>
  <c r="AC367" i="21"/>
  <c r="AA367" i="21"/>
  <c r="AB367" i="21" s="1"/>
  <c r="W367" i="21"/>
  <c r="U367" i="21"/>
  <c r="V367" i="21" s="1"/>
  <c r="S367" i="21"/>
  <c r="T367" i="21" s="1"/>
  <c r="Q367" i="21"/>
  <c r="R367" i="21" s="1"/>
  <c r="P367" i="21"/>
  <c r="O367" i="21"/>
  <c r="N367" i="21"/>
  <c r="M367" i="21"/>
  <c r="L367" i="21"/>
  <c r="K367" i="21"/>
  <c r="J367" i="21"/>
  <c r="I367" i="21"/>
  <c r="H367" i="21"/>
  <c r="G367" i="21"/>
  <c r="F367" i="21"/>
  <c r="E367" i="21"/>
  <c r="D367" i="21"/>
  <c r="C367" i="21"/>
  <c r="B367" i="21"/>
  <c r="A367" i="21"/>
  <c r="BG366" i="21"/>
  <c r="BH366" i="21" s="1"/>
  <c r="BE366" i="21"/>
  <c r="BF366" i="21" s="1"/>
  <c r="AW366" i="21"/>
  <c r="AX366" i="21" s="1"/>
  <c r="AU366" i="21"/>
  <c r="AV366" i="21" s="1"/>
  <c r="AS366" i="21"/>
  <c r="AT366" i="21" s="1"/>
  <c r="AQ366" i="21"/>
  <c r="AR366" i="21" s="1"/>
  <c r="AO366" i="21"/>
  <c r="AP366" i="21" s="1"/>
  <c r="AM366" i="21"/>
  <c r="AK366" i="21"/>
  <c r="AL366" i="21" s="1"/>
  <c r="AG366" i="21"/>
  <c r="AE366" i="21"/>
  <c r="AF366" i="21" s="1"/>
  <c r="AC366" i="21"/>
  <c r="AD366" i="21" s="1"/>
  <c r="AA366" i="21"/>
  <c r="AB366" i="21" s="1"/>
  <c r="W366" i="21"/>
  <c r="X366" i="21" s="1"/>
  <c r="U366" i="21"/>
  <c r="V366" i="21" s="1"/>
  <c r="S366" i="21"/>
  <c r="T366" i="21" s="1"/>
  <c r="Q366" i="21"/>
  <c r="R366" i="21" s="1"/>
  <c r="P366" i="21"/>
  <c r="O366" i="21"/>
  <c r="N366" i="21"/>
  <c r="M366" i="21"/>
  <c r="L366" i="21"/>
  <c r="K366" i="21"/>
  <c r="J366" i="21"/>
  <c r="I366" i="21"/>
  <c r="H366" i="21"/>
  <c r="G366" i="21"/>
  <c r="F366" i="21"/>
  <c r="E366" i="21"/>
  <c r="D366" i="21"/>
  <c r="C366" i="21"/>
  <c r="B366" i="21"/>
  <c r="A366" i="21"/>
  <c r="BG365" i="21"/>
  <c r="BH365" i="21" s="1"/>
  <c r="BE365" i="21"/>
  <c r="BF365" i="21" s="1"/>
  <c r="AW365" i="21"/>
  <c r="AX365" i="21" s="1"/>
  <c r="AU365" i="21"/>
  <c r="AV365" i="21" s="1"/>
  <c r="AS365" i="21"/>
  <c r="AQ365" i="21"/>
  <c r="AO365" i="21"/>
  <c r="AP365" i="21" s="1"/>
  <c r="AM365" i="21"/>
  <c r="AK365" i="21"/>
  <c r="AL365" i="21" s="1"/>
  <c r="AG365" i="21"/>
  <c r="AE365" i="21"/>
  <c r="AF365" i="21" s="1"/>
  <c r="AC365" i="21"/>
  <c r="AD365" i="21" s="1"/>
  <c r="AA365" i="21"/>
  <c r="AB365" i="21" s="1"/>
  <c r="W365" i="21"/>
  <c r="X365" i="21" s="1"/>
  <c r="U365" i="21"/>
  <c r="V365" i="21" s="1"/>
  <c r="S365" i="21"/>
  <c r="Q365" i="21"/>
  <c r="R365" i="21" s="1"/>
  <c r="P365" i="21"/>
  <c r="O365" i="21"/>
  <c r="N365" i="21"/>
  <c r="M365" i="21"/>
  <c r="L365" i="21"/>
  <c r="K365" i="21"/>
  <c r="J365" i="21"/>
  <c r="I365" i="21"/>
  <c r="H365" i="21"/>
  <c r="G365" i="21"/>
  <c r="F365" i="21"/>
  <c r="E365" i="21"/>
  <c r="D365" i="21"/>
  <c r="C365" i="21"/>
  <c r="B365" i="21"/>
  <c r="A365" i="21"/>
  <c r="BG364" i="21"/>
  <c r="BH364" i="21" s="1"/>
  <c r="BE364" i="21"/>
  <c r="BF364" i="21" s="1"/>
  <c r="AW364" i="21"/>
  <c r="AX364" i="21" s="1"/>
  <c r="AU364" i="21"/>
  <c r="AS364" i="21"/>
  <c r="AT364" i="21" s="1"/>
  <c r="AQ364" i="21"/>
  <c r="AO364" i="21"/>
  <c r="AP364" i="21" s="1"/>
  <c r="AM364" i="21"/>
  <c r="AK364" i="21"/>
  <c r="AL364" i="21" s="1"/>
  <c r="AG364" i="21"/>
  <c r="AH364" i="21" s="1"/>
  <c r="AE364" i="21"/>
  <c r="AF364" i="21" s="1"/>
  <c r="AC364" i="21"/>
  <c r="AA364" i="21"/>
  <c r="AB364" i="21" s="1"/>
  <c r="W364" i="21"/>
  <c r="X364" i="21" s="1"/>
  <c r="U364" i="21"/>
  <c r="V364" i="21" s="1"/>
  <c r="S364" i="21"/>
  <c r="Q364" i="21"/>
  <c r="R364" i="21" s="1"/>
  <c r="P364" i="21"/>
  <c r="O364" i="21"/>
  <c r="N364" i="21"/>
  <c r="M364" i="21"/>
  <c r="L364" i="21"/>
  <c r="K364" i="21"/>
  <c r="J364" i="21"/>
  <c r="I364" i="21"/>
  <c r="H364" i="21"/>
  <c r="G364" i="21"/>
  <c r="F364" i="21"/>
  <c r="E364" i="21"/>
  <c r="D364" i="21"/>
  <c r="C364" i="21"/>
  <c r="B364" i="21"/>
  <c r="A364" i="21"/>
  <c r="BG363" i="21"/>
  <c r="BH363" i="21" s="1"/>
  <c r="BE363" i="21"/>
  <c r="AW363" i="21"/>
  <c r="AX363" i="21" s="1"/>
  <c r="AU363" i="21"/>
  <c r="AS363" i="21"/>
  <c r="AT363" i="21" s="1"/>
  <c r="AQ363" i="21"/>
  <c r="AR363" i="21" s="1"/>
  <c r="AO363" i="21"/>
  <c r="AP363" i="21" s="1"/>
  <c r="AM363" i="21"/>
  <c r="AN363" i="21" s="1"/>
  <c r="AK363" i="21"/>
  <c r="AL363" i="21" s="1"/>
  <c r="AG363" i="21"/>
  <c r="AH363" i="21" s="1"/>
  <c r="AE363" i="21"/>
  <c r="AF363" i="21" s="1"/>
  <c r="AC363" i="21"/>
  <c r="AD363" i="21" s="1"/>
  <c r="AA363" i="21"/>
  <c r="W363" i="21"/>
  <c r="X363" i="21" s="1"/>
  <c r="U363" i="21"/>
  <c r="V363" i="21" s="1"/>
  <c r="S363" i="21"/>
  <c r="T363" i="21" s="1"/>
  <c r="Z363" i="21" s="1"/>
  <c r="Q363" i="21"/>
  <c r="P363" i="21"/>
  <c r="O363" i="21"/>
  <c r="N363" i="21"/>
  <c r="M363" i="21"/>
  <c r="L363" i="21"/>
  <c r="K363" i="21"/>
  <c r="J363" i="21"/>
  <c r="I363" i="21"/>
  <c r="H363" i="21"/>
  <c r="G363" i="21"/>
  <c r="F363" i="21"/>
  <c r="E363" i="21"/>
  <c r="D363" i="21"/>
  <c r="C363" i="21"/>
  <c r="B363" i="21"/>
  <c r="A363" i="21"/>
  <c r="BG362" i="21"/>
  <c r="BH362" i="21" s="1"/>
  <c r="BE362" i="21"/>
  <c r="BF362" i="21" s="1"/>
  <c r="AW362" i="21"/>
  <c r="AX362" i="21" s="1"/>
  <c r="AU362" i="21"/>
  <c r="AS362" i="21"/>
  <c r="AT362" i="21" s="1"/>
  <c r="AQ362" i="21"/>
  <c r="AR362" i="21" s="1"/>
  <c r="AO362" i="21"/>
  <c r="AP362" i="21" s="1"/>
  <c r="AM362" i="21"/>
  <c r="AN362" i="21" s="1"/>
  <c r="AK362" i="21"/>
  <c r="AL362" i="21" s="1"/>
  <c r="AG362" i="21"/>
  <c r="AH362" i="21" s="1"/>
  <c r="AE362" i="21"/>
  <c r="AF362" i="21" s="1"/>
  <c r="AC362" i="21"/>
  <c r="AD362" i="21" s="1"/>
  <c r="AA362" i="21"/>
  <c r="AB362" i="21" s="1"/>
  <c r="W362" i="21"/>
  <c r="X362" i="21" s="1"/>
  <c r="U362" i="21"/>
  <c r="V362" i="21" s="1"/>
  <c r="S362" i="21"/>
  <c r="T362" i="21" s="1"/>
  <c r="Q362" i="21"/>
  <c r="R362" i="21" s="1"/>
  <c r="P362" i="21"/>
  <c r="O362" i="21"/>
  <c r="N362" i="21"/>
  <c r="M362" i="21"/>
  <c r="L362" i="21"/>
  <c r="K362" i="21"/>
  <c r="J362" i="21"/>
  <c r="I362" i="21"/>
  <c r="H362" i="21"/>
  <c r="G362" i="21"/>
  <c r="F362" i="21"/>
  <c r="E362" i="21"/>
  <c r="D362" i="21"/>
  <c r="C362" i="21"/>
  <c r="B362" i="21"/>
  <c r="A362" i="21"/>
  <c r="BG361" i="21"/>
  <c r="BE361" i="21"/>
  <c r="BF361" i="21" s="1"/>
  <c r="AW361" i="21"/>
  <c r="AX361" i="21" s="1"/>
  <c r="AU361" i="21"/>
  <c r="AV361" i="21" s="1"/>
  <c r="AS361" i="21"/>
  <c r="AT361" i="21" s="1"/>
  <c r="AQ361" i="21"/>
  <c r="AR361" i="21" s="1"/>
  <c r="AO361" i="21"/>
  <c r="AP361" i="21" s="1"/>
  <c r="AM361" i="21"/>
  <c r="AN361" i="21" s="1"/>
  <c r="AK361" i="21"/>
  <c r="AL361" i="21" s="1"/>
  <c r="AG361" i="21"/>
  <c r="AH361" i="21" s="1"/>
  <c r="AE361" i="21"/>
  <c r="AC361" i="21"/>
  <c r="AD361" i="21" s="1"/>
  <c r="AA361" i="21"/>
  <c r="W361" i="21"/>
  <c r="U361" i="21"/>
  <c r="V361" i="21" s="1"/>
  <c r="S361" i="21"/>
  <c r="Q361" i="21"/>
  <c r="R361" i="21" s="1"/>
  <c r="P361" i="21"/>
  <c r="O361" i="21"/>
  <c r="N361" i="21"/>
  <c r="M361" i="21"/>
  <c r="L361" i="21"/>
  <c r="K361" i="21"/>
  <c r="J361" i="21"/>
  <c r="I361" i="21"/>
  <c r="H361" i="21"/>
  <c r="G361" i="21"/>
  <c r="F361" i="21"/>
  <c r="E361" i="21"/>
  <c r="D361" i="21"/>
  <c r="C361" i="21"/>
  <c r="B361" i="21"/>
  <c r="A361" i="21"/>
  <c r="BG360" i="21"/>
  <c r="BH360" i="21" s="1"/>
  <c r="BE360" i="21"/>
  <c r="BF360" i="21" s="1"/>
  <c r="AW360" i="21"/>
  <c r="AX360" i="21" s="1"/>
  <c r="AU360" i="21"/>
  <c r="AV360" i="21" s="1"/>
  <c r="AS360" i="21"/>
  <c r="AT360" i="21" s="1"/>
  <c r="AQ360" i="21"/>
  <c r="AR360" i="21" s="1"/>
  <c r="AO360" i="21"/>
  <c r="AP360" i="21" s="1"/>
  <c r="AM360" i="21"/>
  <c r="AN360" i="21" s="1"/>
  <c r="AK360" i="21"/>
  <c r="AL360" i="21" s="1"/>
  <c r="AG360" i="21"/>
  <c r="AH360" i="21" s="1"/>
  <c r="AE360" i="21"/>
  <c r="AF360" i="21" s="1"/>
  <c r="AC360" i="21"/>
  <c r="AA360" i="21"/>
  <c r="AB360" i="21" s="1"/>
  <c r="W360" i="21"/>
  <c r="U360" i="21"/>
  <c r="V360" i="21" s="1"/>
  <c r="S360" i="21"/>
  <c r="T360" i="21" s="1"/>
  <c r="Q360" i="21"/>
  <c r="R360" i="21" s="1"/>
  <c r="P360" i="21"/>
  <c r="O360" i="21"/>
  <c r="N360" i="21"/>
  <c r="M360" i="21"/>
  <c r="L360" i="21"/>
  <c r="K360" i="21"/>
  <c r="J360" i="21"/>
  <c r="I360" i="21"/>
  <c r="H360" i="21"/>
  <c r="G360" i="21"/>
  <c r="F360" i="21"/>
  <c r="E360" i="21"/>
  <c r="D360" i="21"/>
  <c r="C360" i="21"/>
  <c r="B360" i="21"/>
  <c r="A360" i="21"/>
  <c r="BG359" i="21"/>
  <c r="BH359" i="21" s="1"/>
  <c r="BE359" i="21"/>
  <c r="BF359" i="21" s="1"/>
  <c r="AW359" i="21"/>
  <c r="AU359" i="21"/>
  <c r="AV359" i="21" s="1"/>
  <c r="AS359" i="21"/>
  <c r="AT359" i="21" s="1"/>
  <c r="AQ359" i="21"/>
  <c r="AR359" i="21" s="1"/>
  <c r="AO359" i="21"/>
  <c r="AP359" i="21" s="1"/>
  <c r="AM359" i="21"/>
  <c r="AN359" i="21" s="1"/>
  <c r="AK359" i="21"/>
  <c r="AG359" i="21"/>
  <c r="AH359" i="21" s="1"/>
  <c r="AE359" i="21"/>
  <c r="AF359" i="21" s="1"/>
  <c r="AC359" i="21"/>
  <c r="AD359" i="21" s="1"/>
  <c r="AJ359" i="21" s="1"/>
  <c r="AA359" i="21"/>
  <c r="AB359" i="21" s="1"/>
  <c r="W359" i="21"/>
  <c r="U359" i="21"/>
  <c r="V359" i="21" s="1"/>
  <c r="S359" i="21"/>
  <c r="T359" i="21" s="1"/>
  <c r="Q359" i="21"/>
  <c r="R359" i="21" s="1"/>
  <c r="P359" i="21"/>
  <c r="O359" i="21"/>
  <c r="N359" i="21"/>
  <c r="M359" i="21"/>
  <c r="L359" i="21"/>
  <c r="K359" i="21"/>
  <c r="J359" i="21"/>
  <c r="I359" i="21"/>
  <c r="H359" i="21"/>
  <c r="G359" i="21"/>
  <c r="F359" i="21"/>
  <c r="E359" i="21"/>
  <c r="D359" i="21"/>
  <c r="C359" i="21"/>
  <c r="B359" i="21"/>
  <c r="A359" i="21"/>
  <c r="BG358" i="21"/>
  <c r="BH358" i="21" s="1"/>
  <c r="BE358" i="21"/>
  <c r="BF358" i="21" s="1"/>
  <c r="AW358" i="21"/>
  <c r="AX358" i="21" s="1"/>
  <c r="AU358" i="21"/>
  <c r="AV358" i="21" s="1"/>
  <c r="AS358" i="21"/>
  <c r="AT358" i="21" s="1"/>
  <c r="AQ358" i="21"/>
  <c r="AR358" i="21" s="1"/>
  <c r="AO358" i="21"/>
  <c r="AM358" i="21"/>
  <c r="AN358" i="21" s="1"/>
  <c r="AK358" i="21"/>
  <c r="AL358" i="21" s="1"/>
  <c r="AG358" i="21"/>
  <c r="AE358" i="21"/>
  <c r="AF358" i="21" s="1"/>
  <c r="AC358" i="21"/>
  <c r="AA358" i="21"/>
  <c r="AB358" i="21" s="1"/>
  <c r="W358" i="21"/>
  <c r="X358" i="21" s="1"/>
  <c r="U358" i="21"/>
  <c r="V358" i="21" s="1"/>
  <c r="S358" i="21"/>
  <c r="T358" i="21" s="1"/>
  <c r="Q358" i="21"/>
  <c r="R358" i="21" s="1"/>
  <c r="P358" i="21"/>
  <c r="O358" i="21"/>
  <c r="N358" i="21"/>
  <c r="M358" i="21"/>
  <c r="L358" i="21"/>
  <c r="K358" i="21"/>
  <c r="J358" i="21"/>
  <c r="I358" i="21"/>
  <c r="H358" i="21"/>
  <c r="G358" i="21"/>
  <c r="F358" i="21"/>
  <c r="E358" i="21"/>
  <c r="D358" i="21"/>
  <c r="C358" i="21"/>
  <c r="B358" i="21"/>
  <c r="A358" i="21"/>
  <c r="BG357" i="21"/>
  <c r="BH357" i="21" s="1"/>
  <c r="BE357" i="21"/>
  <c r="BF357" i="21" s="1"/>
  <c r="AW357" i="21"/>
  <c r="AX357" i="21" s="1"/>
  <c r="AU357" i="21"/>
  <c r="AV357" i="21" s="1"/>
  <c r="AS357" i="21"/>
  <c r="AT357" i="21" s="1"/>
  <c r="AQ357" i="21"/>
  <c r="AO357" i="21"/>
  <c r="AP357" i="21" s="1"/>
  <c r="AM357" i="21"/>
  <c r="AK357" i="21"/>
  <c r="AL357" i="21" s="1"/>
  <c r="AG357" i="21"/>
  <c r="AH357" i="21" s="1"/>
  <c r="AE357" i="21"/>
  <c r="AF357" i="21" s="1"/>
  <c r="AC357" i="21"/>
  <c r="AD357" i="21" s="1"/>
  <c r="AA357" i="21"/>
  <c r="AB357" i="21" s="1"/>
  <c r="W357" i="21"/>
  <c r="X357" i="21" s="1"/>
  <c r="U357" i="21"/>
  <c r="V357" i="21" s="1"/>
  <c r="S357" i="21"/>
  <c r="T357" i="21" s="1"/>
  <c r="Q357" i="21"/>
  <c r="R357" i="21" s="1"/>
  <c r="P357" i="21"/>
  <c r="O357" i="21"/>
  <c r="N357" i="21"/>
  <c r="M357" i="21"/>
  <c r="L357" i="21"/>
  <c r="K357" i="21"/>
  <c r="J357" i="21"/>
  <c r="I357" i="21"/>
  <c r="H357" i="21"/>
  <c r="G357" i="21"/>
  <c r="F357" i="21"/>
  <c r="E357" i="21"/>
  <c r="D357" i="21"/>
  <c r="C357" i="21"/>
  <c r="B357" i="21"/>
  <c r="A357" i="21"/>
  <c r="BG356" i="21"/>
  <c r="BH356" i="21" s="1"/>
  <c r="BE356" i="21"/>
  <c r="BF356" i="21" s="1"/>
  <c r="AW356" i="21"/>
  <c r="AU356" i="21"/>
  <c r="AS356" i="21"/>
  <c r="AT356" i="21" s="1"/>
  <c r="AQ356" i="21"/>
  <c r="AR356" i="21" s="1"/>
  <c r="AO356" i="21"/>
  <c r="AP356" i="21" s="1"/>
  <c r="AM356" i="21"/>
  <c r="AN356" i="21" s="1"/>
  <c r="AK356" i="21"/>
  <c r="AL356" i="21" s="1"/>
  <c r="AG356" i="21"/>
  <c r="AH356" i="21" s="1"/>
  <c r="AE356" i="21"/>
  <c r="AF356" i="21" s="1"/>
  <c r="AC356" i="21"/>
  <c r="AD356" i="21" s="1"/>
  <c r="AA356" i="21"/>
  <c r="AB356" i="21" s="1"/>
  <c r="W356" i="21"/>
  <c r="X356" i="21" s="1"/>
  <c r="U356" i="21"/>
  <c r="V356" i="21" s="1"/>
  <c r="S356" i="21"/>
  <c r="Q356" i="21"/>
  <c r="R356" i="21" s="1"/>
  <c r="P356" i="21"/>
  <c r="O356" i="21"/>
  <c r="N356" i="21"/>
  <c r="M356" i="21"/>
  <c r="L356" i="21"/>
  <c r="K356" i="21"/>
  <c r="J356" i="21"/>
  <c r="I356" i="21"/>
  <c r="H356" i="21"/>
  <c r="G356" i="21"/>
  <c r="F356" i="21"/>
  <c r="E356" i="21"/>
  <c r="D356" i="21"/>
  <c r="C356" i="21"/>
  <c r="B356" i="21"/>
  <c r="A356" i="21"/>
  <c r="BG355" i="21"/>
  <c r="BH355" i="21" s="1"/>
  <c r="BE355" i="21"/>
  <c r="BF355" i="21" s="1"/>
  <c r="AW355" i="21"/>
  <c r="AX355" i="21" s="1"/>
  <c r="AU355" i="21"/>
  <c r="AV355" i="21" s="1"/>
  <c r="AS355" i="21"/>
  <c r="AT355" i="21" s="1"/>
  <c r="AQ355" i="21"/>
  <c r="AO355" i="21"/>
  <c r="AP355" i="21" s="1"/>
  <c r="AM355" i="21"/>
  <c r="AN355" i="21" s="1"/>
  <c r="AK355" i="21"/>
  <c r="AL355" i="21" s="1"/>
  <c r="AG355" i="21"/>
  <c r="AH355" i="21" s="1"/>
  <c r="AE355" i="21"/>
  <c r="AF355" i="21" s="1"/>
  <c r="AC355" i="21"/>
  <c r="AD355" i="21" s="1"/>
  <c r="AA355" i="21"/>
  <c r="AB355" i="21" s="1"/>
  <c r="W355" i="21"/>
  <c r="X355" i="21" s="1"/>
  <c r="U355" i="21"/>
  <c r="V355" i="21" s="1"/>
  <c r="S355" i="21"/>
  <c r="T355" i="21" s="1"/>
  <c r="Z355" i="21" s="1"/>
  <c r="Q355" i="21"/>
  <c r="R355" i="21" s="1"/>
  <c r="P355" i="21"/>
  <c r="O355" i="21"/>
  <c r="N355" i="21"/>
  <c r="M355" i="21"/>
  <c r="L355" i="21"/>
  <c r="K355" i="21"/>
  <c r="J355" i="21"/>
  <c r="I355" i="21"/>
  <c r="H355" i="21"/>
  <c r="G355" i="21"/>
  <c r="F355" i="21"/>
  <c r="E355" i="21"/>
  <c r="D355" i="21"/>
  <c r="C355" i="21"/>
  <c r="B355" i="21"/>
  <c r="A355" i="21"/>
  <c r="BG354" i="21"/>
  <c r="BH354" i="21" s="1"/>
  <c r="BE354" i="21"/>
  <c r="BF354" i="21" s="1"/>
  <c r="AW354" i="21"/>
  <c r="AX354" i="21" s="1"/>
  <c r="AU354" i="21"/>
  <c r="AS354" i="21"/>
  <c r="AT354" i="21" s="1"/>
  <c r="AQ354" i="21"/>
  <c r="AR354" i="21" s="1"/>
  <c r="AO354" i="21"/>
  <c r="AP354" i="21" s="1"/>
  <c r="AM354" i="21"/>
  <c r="AK354" i="21"/>
  <c r="AL354" i="21" s="1"/>
  <c r="AG354" i="21"/>
  <c r="AH354" i="21" s="1"/>
  <c r="AE354" i="21"/>
  <c r="AF354" i="21" s="1"/>
  <c r="AC354" i="21"/>
  <c r="AD354" i="21" s="1"/>
  <c r="AA354" i="21"/>
  <c r="AB354" i="21" s="1"/>
  <c r="W354" i="21"/>
  <c r="X354" i="21" s="1"/>
  <c r="U354" i="21"/>
  <c r="S354" i="21"/>
  <c r="Q354" i="21"/>
  <c r="R354" i="21" s="1"/>
  <c r="P354" i="21"/>
  <c r="O354" i="21"/>
  <c r="N354" i="21"/>
  <c r="M354" i="21"/>
  <c r="L354" i="21"/>
  <c r="K354" i="21"/>
  <c r="J354" i="21"/>
  <c r="I354" i="21"/>
  <c r="H354" i="21"/>
  <c r="G354" i="21"/>
  <c r="F354" i="21"/>
  <c r="E354" i="21"/>
  <c r="D354" i="21"/>
  <c r="C354" i="21"/>
  <c r="B354" i="21"/>
  <c r="A354" i="21"/>
  <c r="BG353" i="21"/>
  <c r="BE353" i="21"/>
  <c r="BF353" i="21" s="1"/>
  <c r="AW353" i="21"/>
  <c r="AX353" i="21" s="1"/>
  <c r="AU353" i="21"/>
  <c r="AV353" i="21" s="1"/>
  <c r="AS353" i="21"/>
  <c r="AT353" i="21" s="1"/>
  <c r="AQ353" i="21"/>
  <c r="AR353" i="21" s="1"/>
  <c r="AO353" i="21"/>
  <c r="AP353" i="21" s="1"/>
  <c r="AM353" i="21"/>
  <c r="AN353" i="21" s="1"/>
  <c r="AK353" i="21"/>
  <c r="AL353" i="21" s="1"/>
  <c r="AG353" i="21"/>
  <c r="AE353" i="21"/>
  <c r="AF353" i="21" s="1"/>
  <c r="AC353" i="21"/>
  <c r="AD353" i="21" s="1"/>
  <c r="AA353" i="21"/>
  <c r="AB353" i="21" s="1"/>
  <c r="W353" i="21"/>
  <c r="U353" i="21"/>
  <c r="V353" i="21" s="1"/>
  <c r="S353" i="21"/>
  <c r="T353" i="21" s="1"/>
  <c r="Q353" i="21"/>
  <c r="R353" i="21" s="1"/>
  <c r="P353" i="21"/>
  <c r="O353" i="21"/>
  <c r="N353" i="21"/>
  <c r="M353" i="21"/>
  <c r="L353" i="21"/>
  <c r="K353" i="21"/>
  <c r="J353" i="21"/>
  <c r="I353" i="21"/>
  <c r="H353" i="21"/>
  <c r="G353" i="21"/>
  <c r="F353" i="21"/>
  <c r="E353" i="21"/>
  <c r="D353" i="21"/>
  <c r="C353" i="21"/>
  <c r="B353" i="21"/>
  <c r="A353" i="21"/>
  <c r="BG352" i="21"/>
  <c r="BH352" i="21" s="1"/>
  <c r="BE352" i="21"/>
  <c r="BF352" i="21" s="1"/>
  <c r="AW352" i="21"/>
  <c r="AX352" i="21" s="1"/>
  <c r="AU352" i="21"/>
  <c r="AV352" i="21" s="1"/>
  <c r="AS352" i="21"/>
  <c r="AT352" i="21" s="1"/>
  <c r="AQ352" i="21"/>
  <c r="AO352" i="21"/>
  <c r="AP352" i="21" s="1"/>
  <c r="AM352" i="21"/>
  <c r="AN352" i="21" s="1"/>
  <c r="AK352" i="21"/>
  <c r="AG352" i="21"/>
  <c r="AH352" i="21" s="1"/>
  <c r="AE352" i="21"/>
  <c r="AC352" i="21"/>
  <c r="AA352" i="21"/>
  <c r="AB352" i="21" s="1"/>
  <c r="W352" i="21"/>
  <c r="U352" i="21"/>
  <c r="V352" i="21" s="1"/>
  <c r="S352" i="21"/>
  <c r="T352" i="21" s="1"/>
  <c r="Q352" i="21"/>
  <c r="R352" i="21" s="1"/>
  <c r="P352" i="21"/>
  <c r="O352" i="21"/>
  <c r="N352" i="21"/>
  <c r="M352" i="21"/>
  <c r="L352" i="21"/>
  <c r="K352" i="21"/>
  <c r="J352" i="21"/>
  <c r="I352" i="21"/>
  <c r="H352" i="21"/>
  <c r="G352" i="21"/>
  <c r="F352" i="21"/>
  <c r="E352" i="21"/>
  <c r="D352" i="21"/>
  <c r="C352" i="21"/>
  <c r="B352" i="21"/>
  <c r="A352" i="21"/>
  <c r="BG351" i="21"/>
  <c r="BH351" i="21" s="1"/>
  <c r="BE351" i="21"/>
  <c r="BF351" i="21" s="1"/>
  <c r="AW351" i="21"/>
  <c r="AX351" i="21" s="1"/>
  <c r="AU351" i="21"/>
  <c r="AS351" i="21"/>
  <c r="AT351" i="21" s="1"/>
  <c r="AQ351" i="21"/>
  <c r="AR351" i="21" s="1"/>
  <c r="AO351" i="21"/>
  <c r="AP351" i="21" s="1"/>
  <c r="AM351" i="21"/>
  <c r="AN351" i="21" s="1"/>
  <c r="AK351" i="21"/>
  <c r="AG351" i="21"/>
  <c r="AH351" i="21" s="1"/>
  <c r="AE351" i="21"/>
  <c r="AF351" i="21" s="1"/>
  <c r="AC351" i="21"/>
  <c r="AD351" i="21" s="1"/>
  <c r="AA351" i="21"/>
  <c r="AB351" i="21" s="1"/>
  <c r="W351" i="21"/>
  <c r="X351" i="21" s="1"/>
  <c r="U351" i="21"/>
  <c r="V351" i="21" s="1"/>
  <c r="S351" i="21"/>
  <c r="Q351" i="21"/>
  <c r="R351" i="21" s="1"/>
  <c r="P351" i="21"/>
  <c r="O351" i="21"/>
  <c r="N351" i="21"/>
  <c r="M351" i="21"/>
  <c r="L351" i="21"/>
  <c r="K351" i="21"/>
  <c r="J351" i="21"/>
  <c r="I351" i="21"/>
  <c r="H351" i="21"/>
  <c r="G351" i="21"/>
  <c r="F351" i="21"/>
  <c r="E351" i="21"/>
  <c r="D351" i="21"/>
  <c r="C351" i="21"/>
  <c r="B351" i="21"/>
  <c r="A351" i="21"/>
  <c r="BG350" i="21"/>
  <c r="BH350" i="21" s="1"/>
  <c r="BE350" i="21"/>
  <c r="BF350" i="21" s="1"/>
  <c r="AW350" i="21"/>
  <c r="AX350" i="21" s="1"/>
  <c r="AU350" i="21"/>
  <c r="AV350" i="21" s="1"/>
  <c r="AS350" i="21"/>
  <c r="AT350" i="21" s="1"/>
  <c r="AQ350" i="21"/>
  <c r="AR350" i="21" s="1"/>
  <c r="AO350" i="21"/>
  <c r="AP350" i="21" s="1"/>
  <c r="AM350" i="21"/>
  <c r="AN350" i="21" s="1"/>
  <c r="AK350" i="21"/>
  <c r="AL350" i="21" s="1"/>
  <c r="AG350" i="21"/>
  <c r="AH350" i="21" s="1"/>
  <c r="AE350" i="21"/>
  <c r="AF350" i="21" s="1"/>
  <c r="AC350" i="21"/>
  <c r="AD350" i="21" s="1"/>
  <c r="AA350" i="21"/>
  <c r="W350" i="21"/>
  <c r="X350" i="21" s="1"/>
  <c r="U350" i="21"/>
  <c r="V350" i="21" s="1"/>
  <c r="S350" i="21"/>
  <c r="Q350" i="21"/>
  <c r="R350" i="21" s="1"/>
  <c r="P350" i="21"/>
  <c r="O350" i="21"/>
  <c r="N350" i="21"/>
  <c r="M350" i="21"/>
  <c r="L350" i="21"/>
  <c r="K350" i="21"/>
  <c r="J350" i="21"/>
  <c r="I350" i="21"/>
  <c r="H350" i="21"/>
  <c r="G350" i="21"/>
  <c r="F350" i="21"/>
  <c r="E350" i="21"/>
  <c r="D350" i="21"/>
  <c r="C350" i="21"/>
  <c r="B350" i="21"/>
  <c r="A350" i="21"/>
  <c r="BG349" i="21"/>
  <c r="BH349" i="21" s="1"/>
  <c r="BE349" i="21"/>
  <c r="BF349" i="21" s="1"/>
  <c r="AW349" i="21"/>
  <c r="AU349" i="21"/>
  <c r="AV349" i="21" s="1"/>
  <c r="AS349" i="21"/>
  <c r="AT349" i="21" s="1"/>
  <c r="AQ349" i="21"/>
  <c r="AO349" i="21"/>
  <c r="AP349" i="21" s="1"/>
  <c r="AM349" i="21"/>
  <c r="AN349" i="21" s="1"/>
  <c r="AK349" i="21"/>
  <c r="AL349" i="21" s="1"/>
  <c r="AG349" i="21"/>
  <c r="AH349" i="21" s="1"/>
  <c r="AE349" i="21"/>
  <c r="AC349" i="21"/>
  <c r="AD349" i="21" s="1"/>
  <c r="AA349" i="21"/>
  <c r="AB349" i="21" s="1"/>
  <c r="W349" i="21"/>
  <c r="U349" i="21"/>
  <c r="V349" i="21" s="1"/>
  <c r="S349" i="21"/>
  <c r="T349" i="21" s="1"/>
  <c r="Q349" i="21"/>
  <c r="R349" i="21" s="1"/>
  <c r="P349" i="21"/>
  <c r="O349" i="21"/>
  <c r="N349" i="21"/>
  <c r="M349" i="21"/>
  <c r="L349" i="21"/>
  <c r="K349" i="21"/>
  <c r="J349" i="21"/>
  <c r="I349" i="21"/>
  <c r="H349" i="21"/>
  <c r="G349" i="21"/>
  <c r="F349" i="21"/>
  <c r="E349" i="21"/>
  <c r="D349" i="21"/>
  <c r="C349" i="21"/>
  <c r="B349" i="21"/>
  <c r="A349" i="21"/>
  <c r="BG348" i="21"/>
  <c r="BE348" i="21"/>
  <c r="BF348" i="21" s="1"/>
  <c r="AW348" i="21"/>
  <c r="AX348" i="21" s="1"/>
  <c r="AU348" i="21"/>
  <c r="AS348" i="21"/>
  <c r="AT348" i="21" s="1"/>
  <c r="AQ348" i="21"/>
  <c r="AR348" i="21" s="1"/>
  <c r="AO348" i="21"/>
  <c r="AP348" i="21" s="1"/>
  <c r="AM348" i="21"/>
  <c r="AK348" i="21"/>
  <c r="AL348" i="21" s="1"/>
  <c r="AG348" i="21"/>
  <c r="AH348" i="21" s="1"/>
  <c r="AE348" i="21"/>
  <c r="AF348" i="21" s="1"/>
  <c r="AC348" i="21"/>
  <c r="AA348" i="21"/>
  <c r="AB348" i="21" s="1"/>
  <c r="W348" i="21"/>
  <c r="U348" i="21"/>
  <c r="V348" i="21" s="1"/>
  <c r="S348" i="21"/>
  <c r="T348" i="21" s="1"/>
  <c r="Q348" i="21"/>
  <c r="R348" i="21" s="1"/>
  <c r="P348" i="21"/>
  <c r="O348" i="21"/>
  <c r="N348" i="21"/>
  <c r="M348" i="21"/>
  <c r="L348" i="21"/>
  <c r="K348" i="21"/>
  <c r="J348" i="21"/>
  <c r="I348" i="21"/>
  <c r="H348" i="21"/>
  <c r="G348" i="21"/>
  <c r="F348" i="21"/>
  <c r="E348" i="21"/>
  <c r="D348" i="21"/>
  <c r="C348" i="21"/>
  <c r="B348" i="21"/>
  <c r="A348" i="21"/>
  <c r="BG347" i="21"/>
  <c r="BH347" i="21" s="1"/>
  <c r="BE347" i="21"/>
  <c r="BF347" i="21" s="1"/>
  <c r="AW347" i="21"/>
  <c r="AX347" i="21" s="1"/>
  <c r="AU347" i="21"/>
  <c r="AS347" i="21"/>
  <c r="AT347" i="21" s="1"/>
  <c r="AQ347" i="21"/>
  <c r="AR347" i="21" s="1"/>
  <c r="AO347" i="21"/>
  <c r="AM347" i="21"/>
  <c r="AN347" i="21" s="1"/>
  <c r="AK347" i="21"/>
  <c r="AL347" i="21" s="1"/>
  <c r="AG347" i="21"/>
  <c r="AE347" i="21"/>
  <c r="AF347" i="21" s="1"/>
  <c r="AC347" i="21"/>
  <c r="AD347" i="21" s="1"/>
  <c r="AA347" i="21"/>
  <c r="AB347" i="21" s="1"/>
  <c r="W347" i="21"/>
  <c r="X347" i="21" s="1"/>
  <c r="U347" i="21"/>
  <c r="S347" i="21"/>
  <c r="T347" i="21" s="1"/>
  <c r="Z347" i="21" s="1"/>
  <c r="Q347" i="21"/>
  <c r="R347" i="21" s="1"/>
  <c r="P347" i="21"/>
  <c r="O347" i="21"/>
  <c r="N347" i="21"/>
  <c r="M347" i="21"/>
  <c r="L347" i="21"/>
  <c r="K347" i="21"/>
  <c r="J347" i="21"/>
  <c r="I347" i="21"/>
  <c r="H347" i="21"/>
  <c r="G347" i="21"/>
  <c r="F347" i="21"/>
  <c r="E347" i="21"/>
  <c r="D347" i="21"/>
  <c r="C347" i="21"/>
  <c r="B347" i="21"/>
  <c r="A347" i="21"/>
  <c r="BG346" i="21"/>
  <c r="BE346" i="21"/>
  <c r="BF346" i="21" s="1"/>
  <c r="AW346" i="21"/>
  <c r="AX346" i="21" s="1"/>
  <c r="AU346" i="21"/>
  <c r="AV346" i="21" s="1"/>
  <c r="AS346" i="21"/>
  <c r="AQ346" i="21"/>
  <c r="AR346" i="21" s="1"/>
  <c r="AO346" i="21"/>
  <c r="AP346" i="21" s="1"/>
  <c r="AM346" i="21"/>
  <c r="AK346" i="21"/>
  <c r="AL346" i="21" s="1"/>
  <c r="AG346" i="21"/>
  <c r="AH346" i="21" s="1"/>
  <c r="AE346" i="21"/>
  <c r="AF346" i="21" s="1"/>
  <c r="AC346" i="21"/>
  <c r="AD346" i="21" s="1"/>
  <c r="AA346" i="21"/>
  <c r="W346" i="21"/>
  <c r="X346" i="21" s="1"/>
  <c r="U346" i="21"/>
  <c r="V346" i="21" s="1"/>
  <c r="S346" i="21"/>
  <c r="Q346" i="21"/>
  <c r="R346" i="21" s="1"/>
  <c r="P346" i="21"/>
  <c r="O346" i="21"/>
  <c r="N346" i="21"/>
  <c r="M346" i="21"/>
  <c r="L346" i="21"/>
  <c r="K346" i="21"/>
  <c r="J346" i="21"/>
  <c r="I346" i="21"/>
  <c r="H346" i="21"/>
  <c r="G346" i="21"/>
  <c r="F346" i="21"/>
  <c r="E346" i="21"/>
  <c r="D346" i="21"/>
  <c r="C346" i="21"/>
  <c r="B346" i="21"/>
  <c r="A346" i="21"/>
  <c r="BG345" i="21"/>
  <c r="BE345" i="21"/>
  <c r="BF345" i="21" s="1"/>
  <c r="AW345" i="21"/>
  <c r="AX345" i="21" s="1"/>
  <c r="AU345" i="21"/>
  <c r="AV345" i="21" s="1"/>
  <c r="AS345" i="21"/>
  <c r="AT345" i="21" s="1"/>
  <c r="AQ345" i="21"/>
  <c r="AO345" i="21"/>
  <c r="AP345" i="21" s="1"/>
  <c r="AM345" i="21"/>
  <c r="AK345" i="21"/>
  <c r="AL345" i="21" s="1"/>
  <c r="AG345" i="21"/>
  <c r="AH345" i="21" s="1"/>
  <c r="AE345" i="21"/>
  <c r="AF345" i="21" s="1"/>
  <c r="AC345" i="21"/>
  <c r="AD345" i="21" s="1"/>
  <c r="AA345" i="21"/>
  <c r="AB345" i="21" s="1"/>
  <c r="W345" i="21"/>
  <c r="U345" i="21"/>
  <c r="V345" i="21" s="1"/>
  <c r="S345" i="21"/>
  <c r="T345" i="21" s="1"/>
  <c r="Q345" i="21"/>
  <c r="R345" i="21" s="1"/>
  <c r="P345" i="21"/>
  <c r="O345" i="21"/>
  <c r="N345" i="21"/>
  <c r="M345" i="21"/>
  <c r="L345" i="21"/>
  <c r="K345" i="21"/>
  <c r="J345" i="21"/>
  <c r="I345" i="21"/>
  <c r="H345" i="21"/>
  <c r="G345" i="21"/>
  <c r="F345" i="21"/>
  <c r="E345" i="21"/>
  <c r="D345" i="21"/>
  <c r="C345" i="21"/>
  <c r="B345" i="21"/>
  <c r="A345" i="21"/>
  <c r="BG344" i="21"/>
  <c r="BH344" i="21" s="1"/>
  <c r="BE344" i="21"/>
  <c r="BF344" i="21" s="1"/>
  <c r="AW344" i="21"/>
  <c r="AX344" i="21" s="1"/>
  <c r="AU344" i="21"/>
  <c r="AS344" i="21"/>
  <c r="AT344" i="21" s="1"/>
  <c r="AQ344" i="21"/>
  <c r="AO344" i="21"/>
  <c r="AP344" i="21" s="1"/>
  <c r="AM344" i="21"/>
  <c r="AN344" i="21" s="1"/>
  <c r="AK344" i="21"/>
  <c r="AL344" i="21" s="1"/>
  <c r="AG344" i="21"/>
  <c r="AH344" i="21" s="1"/>
  <c r="AE344" i="21"/>
  <c r="AF344" i="21" s="1"/>
  <c r="AC344" i="21"/>
  <c r="AA344" i="21"/>
  <c r="AB344" i="21" s="1"/>
  <c r="W344" i="21"/>
  <c r="U344" i="21"/>
  <c r="V344" i="21" s="1"/>
  <c r="S344" i="21"/>
  <c r="T344" i="21" s="1"/>
  <c r="Q344" i="21"/>
  <c r="P344" i="21"/>
  <c r="O344" i="21"/>
  <c r="N344" i="21"/>
  <c r="M344" i="21"/>
  <c r="L344" i="21"/>
  <c r="K344" i="21"/>
  <c r="J344" i="21"/>
  <c r="I344" i="21"/>
  <c r="H344" i="21"/>
  <c r="G344" i="21"/>
  <c r="F344" i="21"/>
  <c r="E344" i="21"/>
  <c r="D344" i="21"/>
  <c r="C344" i="21"/>
  <c r="B344" i="21"/>
  <c r="A344" i="21"/>
  <c r="BG343" i="21"/>
  <c r="BH343" i="21" s="1"/>
  <c r="BE343" i="21"/>
  <c r="BF343" i="21" s="1"/>
  <c r="AW343" i="21"/>
  <c r="AX343" i="21" s="1"/>
  <c r="AU343" i="21"/>
  <c r="AV343" i="21" s="1"/>
  <c r="AS343" i="21"/>
  <c r="AT343" i="21" s="1"/>
  <c r="AQ343" i="21"/>
  <c r="AR343" i="21" s="1"/>
  <c r="AO343" i="21"/>
  <c r="AM343" i="21"/>
  <c r="AN343" i="21" s="1"/>
  <c r="AK343" i="21"/>
  <c r="AL343" i="21" s="1"/>
  <c r="AG343" i="21"/>
  <c r="AE343" i="21"/>
  <c r="AF343" i="21" s="1"/>
  <c r="AC343" i="21"/>
  <c r="AA343" i="21"/>
  <c r="AB343" i="21" s="1"/>
  <c r="W343" i="21"/>
  <c r="X343" i="21" s="1"/>
  <c r="U343" i="21"/>
  <c r="V343" i="21" s="1"/>
  <c r="S343" i="21"/>
  <c r="T343" i="21" s="1"/>
  <c r="Q343" i="21"/>
  <c r="R343" i="21" s="1"/>
  <c r="P343" i="21"/>
  <c r="O343" i="21"/>
  <c r="N343" i="21"/>
  <c r="M343" i="21"/>
  <c r="L343" i="21"/>
  <c r="K343" i="21"/>
  <c r="J343" i="21"/>
  <c r="I343" i="21"/>
  <c r="H343" i="21"/>
  <c r="G343" i="21"/>
  <c r="F343" i="21"/>
  <c r="E343" i="21"/>
  <c r="D343" i="21"/>
  <c r="C343" i="21"/>
  <c r="B343" i="21"/>
  <c r="A343" i="21"/>
  <c r="BG342" i="21"/>
  <c r="BE342" i="21"/>
  <c r="BF342" i="21" s="1"/>
  <c r="AW342" i="21"/>
  <c r="AX342" i="21" s="1"/>
  <c r="AU342" i="21"/>
  <c r="AV342" i="21" s="1"/>
  <c r="AS342" i="21"/>
  <c r="AT342" i="21" s="1"/>
  <c r="AQ342" i="21"/>
  <c r="AR342" i="21" s="1"/>
  <c r="AO342" i="21"/>
  <c r="AP342" i="21" s="1"/>
  <c r="AM342" i="21"/>
  <c r="AK342" i="21"/>
  <c r="AL342" i="21" s="1"/>
  <c r="AG342" i="21"/>
  <c r="AE342" i="21"/>
  <c r="AF342" i="21" s="1"/>
  <c r="AC342" i="21"/>
  <c r="AD342" i="21" s="1"/>
  <c r="AA342" i="21"/>
  <c r="AB342" i="21" s="1"/>
  <c r="W342" i="21"/>
  <c r="X342" i="21" s="1"/>
  <c r="U342" i="21"/>
  <c r="V342" i="21" s="1"/>
  <c r="S342" i="21"/>
  <c r="Q342" i="21"/>
  <c r="R342" i="21" s="1"/>
  <c r="P342" i="21"/>
  <c r="O342" i="21"/>
  <c r="N342" i="21"/>
  <c r="M342" i="21"/>
  <c r="L342" i="21"/>
  <c r="K342" i="21"/>
  <c r="J342" i="21"/>
  <c r="I342" i="21"/>
  <c r="H342" i="21"/>
  <c r="G342" i="21"/>
  <c r="F342" i="21"/>
  <c r="E342" i="21"/>
  <c r="D342" i="21"/>
  <c r="C342" i="21"/>
  <c r="B342" i="21"/>
  <c r="A342" i="21"/>
  <c r="BG341" i="21"/>
  <c r="BE341" i="21"/>
  <c r="BF341" i="21" s="1"/>
  <c r="AW341" i="21"/>
  <c r="AX341" i="21" s="1"/>
  <c r="AU341" i="21"/>
  <c r="AV341" i="21" s="1"/>
  <c r="AS341" i="21"/>
  <c r="AT341" i="21" s="1"/>
  <c r="AQ341" i="21"/>
  <c r="AO341" i="21"/>
  <c r="AP341" i="21" s="1"/>
  <c r="AM341" i="21"/>
  <c r="AN341" i="21" s="1"/>
  <c r="AK341" i="21"/>
  <c r="AL341" i="21" s="1"/>
  <c r="AG341" i="21"/>
  <c r="AH341" i="21" s="1"/>
  <c r="AE341" i="21"/>
  <c r="AF341" i="21" s="1"/>
  <c r="AC341" i="21"/>
  <c r="AD341" i="21" s="1"/>
  <c r="AA341" i="21"/>
  <c r="W341" i="21"/>
  <c r="U341" i="21"/>
  <c r="V341" i="21" s="1"/>
  <c r="S341" i="21"/>
  <c r="T341" i="21" s="1"/>
  <c r="Q341" i="21"/>
  <c r="R341" i="21" s="1"/>
  <c r="P341" i="21"/>
  <c r="O341" i="21"/>
  <c r="N341" i="21"/>
  <c r="M341" i="21"/>
  <c r="L341" i="21"/>
  <c r="K341" i="21"/>
  <c r="J341" i="21"/>
  <c r="I341" i="21"/>
  <c r="H341" i="21"/>
  <c r="G341" i="21"/>
  <c r="F341" i="21"/>
  <c r="E341" i="21"/>
  <c r="D341" i="21"/>
  <c r="C341" i="21"/>
  <c r="B341" i="21"/>
  <c r="A341" i="21"/>
  <c r="BG340" i="21"/>
  <c r="BH340" i="21" s="1"/>
  <c r="BE340" i="21"/>
  <c r="BF340" i="21" s="1"/>
  <c r="AW340" i="21"/>
  <c r="AX340" i="21" s="1"/>
  <c r="AU340" i="21"/>
  <c r="AS340" i="21"/>
  <c r="AT340" i="21" s="1"/>
  <c r="AQ340" i="21"/>
  <c r="AO340" i="21"/>
  <c r="AP340" i="21" s="1"/>
  <c r="AM340" i="21"/>
  <c r="AN340" i="21" s="1"/>
  <c r="AK340" i="21"/>
  <c r="AG340" i="21"/>
  <c r="AE340" i="21"/>
  <c r="AF340" i="21" s="1"/>
  <c r="AC340" i="21"/>
  <c r="AA340" i="21"/>
  <c r="AB340" i="21" s="1"/>
  <c r="W340" i="21"/>
  <c r="X340" i="21" s="1"/>
  <c r="U340" i="21"/>
  <c r="V340" i="21" s="1"/>
  <c r="S340" i="21"/>
  <c r="T340" i="21" s="1"/>
  <c r="Q340" i="21"/>
  <c r="P340" i="21"/>
  <c r="O340" i="21"/>
  <c r="N340" i="21"/>
  <c r="M340" i="21"/>
  <c r="L340" i="21"/>
  <c r="K340" i="21"/>
  <c r="J340" i="21"/>
  <c r="I340" i="21"/>
  <c r="H340" i="21"/>
  <c r="G340" i="21"/>
  <c r="F340" i="21"/>
  <c r="E340" i="21"/>
  <c r="D340" i="21"/>
  <c r="C340" i="21"/>
  <c r="B340" i="21"/>
  <c r="A340" i="21"/>
  <c r="BG339" i="21"/>
  <c r="BH339" i="21" s="1"/>
  <c r="BE339" i="21"/>
  <c r="BF339" i="21" s="1"/>
  <c r="AW339" i="21"/>
  <c r="AU339" i="21"/>
  <c r="AV339" i="21" s="1"/>
  <c r="AS339" i="21"/>
  <c r="AQ339" i="21"/>
  <c r="AR339" i="21" s="1"/>
  <c r="AO339" i="21"/>
  <c r="AM339" i="21"/>
  <c r="AN339" i="21" s="1"/>
  <c r="AK339" i="21"/>
  <c r="AL339" i="21" s="1"/>
  <c r="AG339" i="21"/>
  <c r="AE339" i="21"/>
  <c r="AF339" i="21" s="1"/>
  <c r="AC339" i="21"/>
  <c r="AD339" i="21" s="1"/>
  <c r="AA339" i="21"/>
  <c r="AB339" i="21" s="1"/>
  <c r="W339" i="21"/>
  <c r="X339" i="21" s="1"/>
  <c r="U339" i="21"/>
  <c r="V339" i="21" s="1"/>
  <c r="S339" i="21"/>
  <c r="T339" i="21" s="1"/>
  <c r="Z339" i="21" s="1"/>
  <c r="Q339" i="21"/>
  <c r="R339" i="21" s="1"/>
  <c r="P339" i="21"/>
  <c r="O339" i="21"/>
  <c r="N339" i="21"/>
  <c r="M339" i="21"/>
  <c r="L339" i="21"/>
  <c r="K339" i="21"/>
  <c r="J339" i="21"/>
  <c r="I339" i="21"/>
  <c r="H339" i="21"/>
  <c r="G339" i="21"/>
  <c r="F339" i="21"/>
  <c r="E339" i="21"/>
  <c r="D339" i="21"/>
  <c r="C339" i="21"/>
  <c r="B339" i="21"/>
  <c r="A339" i="21"/>
  <c r="BG338" i="21"/>
  <c r="BE338" i="21"/>
  <c r="BF338" i="21" s="1"/>
  <c r="AW338" i="21"/>
  <c r="AX338" i="21" s="1"/>
  <c r="AU338" i="21"/>
  <c r="AV338" i="21" s="1"/>
  <c r="AS338" i="21"/>
  <c r="AT338" i="21" s="1"/>
  <c r="AQ338" i="21"/>
  <c r="AR338" i="21" s="1"/>
  <c r="AO338" i="21"/>
  <c r="AP338" i="21" s="1"/>
  <c r="AM338" i="21"/>
  <c r="AK338" i="21"/>
  <c r="AL338" i="21" s="1"/>
  <c r="AG338" i="21"/>
  <c r="AE338" i="21"/>
  <c r="AF338" i="21" s="1"/>
  <c r="AC338" i="21"/>
  <c r="AD338" i="21" s="1"/>
  <c r="AA338" i="21"/>
  <c r="AB338" i="21" s="1"/>
  <c r="W338" i="21"/>
  <c r="X338" i="21" s="1"/>
  <c r="U338" i="21"/>
  <c r="V338" i="21" s="1"/>
  <c r="S338" i="21"/>
  <c r="Q338" i="21"/>
  <c r="R338" i="21" s="1"/>
  <c r="P338" i="21"/>
  <c r="O338" i="21"/>
  <c r="N338" i="21"/>
  <c r="M338" i="21"/>
  <c r="L338" i="21"/>
  <c r="K338" i="21"/>
  <c r="J338" i="21"/>
  <c r="I338" i="21"/>
  <c r="H338" i="21"/>
  <c r="G338" i="21"/>
  <c r="F338" i="21"/>
  <c r="E338" i="21"/>
  <c r="D338" i="21"/>
  <c r="C338" i="21"/>
  <c r="B338" i="21"/>
  <c r="A338" i="21"/>
  <c r="BG337" i="21"/>
  <c r="BH337" i="21" s="1"/>
  <c r="BE337" i="21"/>
  <c r="BF337" i="21" s="1"/>
  <c r="AW337" i="21"/>
  <c r="AX337" i="21" s="1"/>
  <c r="AU337" i="21"/>
  <c r="AV337" i="21" s="1"/>
  <c r="AS337" i="21"/>
  <c r="AQ337" i="21"/>
  <c r="AO337" i="21"/>
  <c r="AP337" i="21" s="1"/>
  <c r="AM337" i="21"/>
  <c r="AK337" i="21"/>
  <c r="AL337" i="21" s="1"/>
  <c r="AG337" i="21"/>
  <c r="AH337" i="21" s="1"/>
  <c r="AE337" i="21"/>
  <c r="AF337" i="21" s="1"/>
  <c r="AC337" i="21"/>
  <c r="AD337" i="21" s="1"/>
  <c r="AA337" i="21"/>
  <c r="AB337" i="21" s="1"/>
  <c r="W337" i="21"/>
  <c r="U337" i="21"/>
  <c r="V337" i="21" s="1"/>
  <c r="S337" i="21"/>
  <c r="Q337" i="21"/>
  <c r="R337" i="21" s="1"/>
  <c r="P337" i="21"/>
  <c r="O337" i="21"/>
  <c r="N337" i="21"/>
  <c r="M337" i="21"/>
  <c r="L337" i="21"/>
  <c r="K337" i="21"/>
  <c r="J337" i="21"/>
  <c r="I337" i="21"/>
  <c r="H337" i="21"/>
  <c r="G337" i="21"/>
  <c r="F337" i="21"/>
  <c r="E337" i="21"/>
  <c r="D337" i="21"/>
  <c r="C337" i="21"/>
  <c r="B337" i="21"/>
  <c r="A337" i="21"/>
  <c r="BG336" i="21"/>
  <c r="BH336" i="21" s="1"/>
  <c r="BE336" i="21"/>
  <c r="AW336" i="21"/>
  <c r="AU336" i="21"/>
  <c r="AS336" i="21"/>
  <c r="AT336" i="21" s="1"/>
  <c r="AQ336" i="21"/>
  <c r="AR336" i="21" s="1"/>
  <c r="AO336" i="21"/>
  <c r="AP336" i="21" s="1"/>
  <c r="AM336" i="21"/>
  <c r="AN336" i="21" s="1"/>
  <c r="AK336" i="21"/>
  <c r="AG336" i="21"/>
  <c r="AH336" i="21" s="1"/>
  <c r="AE336" i="21"/>
  <c r="AF336" i="21" s="1"/>
  <c r="AC336" i="21"/>
  <c r="AA336" i="21"/>
  <c r="AB336" i="21" s="1"/>
  <c r="W336" i="21"/>
  <c r="X336" i="21" s="1"/>
  <c r="U336" i="21"/>
  <c r="V336" i="21" s="1"/>
  <c r="S336" i="21"/>
  <c r="T336" i="21" s="1"/>
  <c r="Q336" i="21"/>
  <c r="P336" i="21"/>
  <c r="O336" i="21"/>
  <c r="N336" i="21"/>
  <c r="M336" i="21"/>
  <c r="L336" i="21"/>
  <c r="K336" i="21"/>
  <c r="J336" i="21"/>
  <c r="I336" i="21"/>
  <c r="H336" i="21"/>
  <c r="G336" i="21"/>
  <c r="F336" i="21"/>
  <c r="E336" i="21"/>
  <c r="D336" i="21"/>
  <c r="C336" i="21"/>
  <c r="B336" i="21"/>
  <c r="A336" i="21"/>
  <c r="BG335" i="21"/>
  <c r="BH335" i="21" s="1"/>
  <c r="BE335" i="21"/>
  <c r="BF335" i="21" s="1"/>
  <c r="AW335" i="21"/>
  <c r="AX335" i="21" s="1"/>
  <c r="AU335" i="21"/>
  <c r="AS335" i="21"/>
  <c r="AT335" i="21" s="1"/>
  <c r="AQ335" i="21"/>
  <c r="AR335" i="21" s="1"/>
  <c r="AO335" i="21"/>
  <c r="AP335" i="21" s="1"/>
  <c r="AM335" i="21"/>
  <c r="AN335" i="21" s="1"/>
  <c r="AK335" i="21"/>
  <c r="AL335" i="21" s="1"/>
  <c r="AG335" i="21"/>
  <c r="AH335" i="21" s="1"/>
  <c r="AE335" i="21"/>
  <c r="AF335" i="21" s="1"/>
  <c r="AC335" i="21"/>
  <c r="AA335" i="21"/>
  <c r="AB335" i="21" s="1"/>
  <c r="W335" i="21"/>
  <c r="X335" i="21" s="1"/>
  <c r="U335" i="21"/>
  <c r="S335" i="21"/>
  <c r="T335" i="21" s="1"/>
  <c r="Q335" i="21"/>
  <c r="R335" i="21" s="1"/>
  <c r="P335" i="21"/>
  <c r="O335" i="21"/>
  <c r="N335" i="21"/>
  <c r="M335" i="21"/>
  <c r="L335" i="21"/>
  <c r="K335" i="21"/>
  <c r="J335" i="21"/>
  <c r="I335" i="21"/>
  <c r="H335" i="21"/>
  <c r="G335" i="21"/>
  <c r="F335" i="21"/>
  <c r="E335" i="21"/>
  <c r="D335" i="21"/>
  <c r="C335" i="21"/>
  <c r="B335" i="21"/>
  <c r="A335" i="21"/>
  <c r="BG334" i="21"/>
  <c r="BE334" i="21"/>
  <c r="BF334" i="21" s="1"/>
  <c r="AW334" i="21"/>
  <c r="AX334" i="21" s="1"/>
  <c r="AU334" i="21"/>
  <c r="AV334" i="21" s="1"/>
  <c r="AS334" i="21"/>
  <c r="AT334" i="21" s="1"/>
  <c r="AQ334" i="21"/>
  <c r="AR334" i="21" s="1"/>
  <c r="AO334" i="21"/>
  <c r="AP334" i="21" s="1"/>
  <c r="AM334" i="21"/>
  <c r="AK334" i="21"/>
  <c r="AL334" i="21" s="1"/>
  <c r="AG334" i="21"/>
  <c r="AH334" i="21" s="1"/>
  <c r="AE334" i="21"/>
  <c r="AF334" i="21" s="1"/>
  <c r="AC334" i="21"/>
  <c r="AD334" i="21" s="1"/>
  <c r="AA334" i="21"/>
  <c r="AB334" i="21" s="1"/>
  <c r="W334" i="21"/>
  <c r="X334" i="21" s="1"/>
  <c r="U334" i="21"/>
  <c r="S334" i="21"/>
  <c r="Q334" i="21"/>
  <c r="R334" i="21" s="1"/>
  <c r="P334" i="21"/>
  <c r="O334" i="21"/>
  <c r="N334" i="21"/>
  <c r="M334" i="21"/>
  <c r="L334" i="21"/>
  <c r="K334" i="21"/>
  <c r="J334" i="21"/>
  <c r="I334" i="21"/>
  <c r="H334" i="21"/>
  <c r="G334" i="21"/>
  <c r="F334" i="21"/>
  <c r="E334" i="21"/>
  <c r="D334" i="21"/>
  <c r="C334" i="21"/>
  <c r="B334" i="21"/>
  <c r="A334" i="21"/>
  <c r="BG333" i="21"/>
  <c r="BH333" i="21" s="1"/>
  <c r="BE333" i="21"/>
  <c r="BF333" i="21" s="1"/>
  <c r="AW333" i="21"/>
  <c r="AX333" i="21" s="1"/>
  <c r="AU333" i="21"/>
  <c r="AV333" i="21" s="1"/>
  <c r="AS333" i="21"/>
  <c r="AT333" i="21" s="1"/>
  <c r="AQ333" i="21"/>
  <c r="AR333" i="21" s="1"/>
  <c r="AO333" i="21"/>
  <c r="AP333" i="21" s="1"/>
  <c r="AM333" i="21"/>
  <c r="AK333" i="21"/>
  <c r="AL333" i="21" s="1"/>
  <c r="AG333" i="21"/>
  <c r="AH333" i="21" s="1"/>
  <c r="AE333" i="21"/>
  <c r="AF333" i="21" s="1"/>
  <c r="AC333" i="21"/>
  <c r="AA333" i="21"/>
  <c r="AB333" i="21" s="1"/>
  <c r="W333" i="21"/>
  <c r="X333" i="21" s="1"/>
  <c r="U333" i="21"/>
  <c r="V333" i="21" s="1"/>
  <c r="S333" i="21"/>
  <c r="Q333" i="21"/>
  <c r="R333" i="21" s="1"/>
  <c r="P333" i="21"/>
  <c r="O333" i="21"/>
  <c r="N333" i="21"/>
  <c r="M333" i="21"/>
  <c r="L333" i="21"/>
  <c r="K333" i="21"/>
  <c r="J333" i="21"/>
  <c r="I333" i="21"/>
  <c r="H333" i="21"/>
  <c r="G333" i="21"/>
  <c r="F333" i="21"/>
  <c r="E333" i="21"/>
  <c r="D333" i="21"/>
  <c r="C333" i="21"/>
  <c r="B333" i="21"/>
  <c r="A333" i="21"/>
  <c r="BG332" i="21"/>
  <c r="BH332" i="21" s="1"/>
  <c r="BE332" i="21"/>
  <c r="AW332" i="21"/>
  <c r="AU332" i="21"/>
  <c r="AV332" i="21" s="1"/>
  <c r="AS332" i="21"/>
  <c r="AT332" i="21" s="1"/>
  <c r="AQ332" i="21"/>
  <c r="AO332" i="21"/>
  <c r="AP332" i="21" s="1"/>
  <c r="AM332" i="21"/>
  <c r="AK332" i="21"/>
  <c r="AL332" i="21" s="1"/>
  <c r="AG332" i="21"/>
  <c r="AH332" i="21" s="1"/>
  <c r="AE332" i="21"/>
  <c r="AF332" i="21" s="1"/>
  <c r="AC332" i="21"/>
  <c r="AD332" i="21" s="1"/>
  <c r="AA332" i="21"/>
  <c r="AB332" i="21" s="1"/>
  <c r="W332" i="21"/>
  <c r="U332" i="21"/>
  <c r="V332" i="21" s="1"/>
  <c r="S332" i="21"/>
  <c r="T332" i="21" s="1"/>
  <c r="Q332" i="21"/>
  <c r="R332" i="21" s="1"/>
  <c r="P332" i="21"/>
  <c r="O332" i="21"/>
  <c r="N332" i="21"/>
  <c r="M332" i="21"/>
  <c r="L332" i="21"/>
  <c r="K332" i="21"/>
  <c r="J332" i="21"/>
  <c r="I332" i="21"/>
  <c r="H332" i="21"/>
  <c r="G332" i="21"/>
  <c r="F332" i="21"/>
  <c r="E332" i="21"/>
  <c r="D332" i="21"/>
  <c r="C332" i="21"/>
  <c r="B332" i="21"/>
  <c r="A332" i="21"/>
  <c r="BG331" i="21"/>
  <c r="BH331" i="21" s="1"/>
  <c r="BE331" i="21"/>
  <c r="AW331" i="21"/>
  <c r="AX331" i="21" s="1"/>
  <c r="AU331" i="21"/>
  <c r="AS331" i="21"/>
  <c r="AT331" i="21" s="1"/>
  <c r="AQ331" i="21"/>
  <c r="AO331" i="21"/>
  <c r="AP331" i="21" s="1"/>
  <c r="AM331" i="21"/>
  <c r="AN331" i="21" s="1"/>
  <c r="AK331" i="21"/>
  <c r="AL331" i="21" s="1"/>
  <c r="AG331" i="21"/>
  <c r="AH331" i="21" s="1"/>
  <c r="AE331" i="21"/>
  <c r="AF331" i="21" s="1"/>
  <c r="AC331" i="21"/>
  <c r="AA331" i="21"/>
  <c r="AB331" i="21" s="1"/>
  <c r="W331" i="21"/>
  <c r="X331" i="21" s="1"/>
  <c r="U331" i="21"/>
  <c r="V331" i="21" s="1"/>
  <c r="S331" i="21"/>
  <c r="T331" i="21" s="1"/>
  <c r="Z331" i="21" s="1"/>
  <c r="Q331" i="21"/>
  <c r="P331" i="21"/>
  <c r="O331" i="21"/>
  <c r="N331" i="21"/>
  <c r="M331" i="21"/>
  <c r="L331" i="21"/>
  <c r="K331" i="21"/>
  <c r="J331" i="21"/>
  <c r="I331" i="21"/>
  <c r="H331" i="21"/>
  <c r="G331" i="21"/>
  <c r="F331" i="21"/>
  <c r="E331" i="21"/>
  <c r="D331" i="21"/>
  <c r="C331" i="21"/>
  <c r="B331" i="21"/>
  <c r="A331" i="21"/>
  <c r="BG330" i="21"/>
  <c r="BH330" i="21" s="1"/>
  <c r="BE330" i="21"/>
  <c r="BF330" i="21" s="1"/>
  <c r="AW330" i="21"/>
  <c r="AX330" i="21" s="1"/>
  <c r="AU330" i="21"/>
  <c r="AV330" i="21" s="1"/>
  <c r="AS330" i="21"/>
  <c r="AT330" i="21" s="1"/>
  <c r="AQ330" i="21"/>
  <c r="AR330" i="21" s="1"/>
  <c r="AO330" i="21"/>
  <c r="AP330" i="21" s="1"/>
  <c r="AM330" i="21"/>
  <c r="AN330" i="21" s="1"/>
  <c r="AK330" i="21"/>
  <c r="AG330" i="21"/>
  <c r="AE330" i="21"/>
  <c r="AF330" i="21" s="1"/>
  <c r="AC330" i="21"/>
  <c r="AA330" i="21"/>
  <c r="AB330" i="21" s="1"/>
  <c r="W330" i="21"/>
  <c r="X330" i="21" s="1"/>
  <c r="U330" i="21"/>
  <c r="S330" i="21"/>
  <c r="T330" i="21" s="1"/>
  <c r="Q330" i="21"/>
  <c r="R330" i="21" s="1"/>
  <c r="P330" i="21"/>
  <c r="O330" i="21"/>
  <c r="N330" i="21"/>
  <c r="M330" i="21"/>
  <c r="L330" i="21"/>
  <c r="K330" i="21"/>
  <c r="J330" i="21"/>
  <c r="I330" i="21"/>
  <c r="H330" i="21"/>
  <c r="G330" i="21"/>
  <c r="F330" i="21"/>
  <c r="E330" i="21"/>
  <c r="D330" i="21"/>
  <c r="C330" i="21"/>
  <c r="B330" i="21"/>
  <c r="A330" i="21"/>
  <c r="BG329" i="21"/>
  <c r="BE329" i="21"/>
  <c r="BF329" i="21" s="1"/>
  <c r="AW329" i="21"/>
  <c r="AX329" i="21" s="1"/>
  <c r="AU329" i="21"/>
  <c r="AV329" i="21" s="1"/>
  <c r="AS329" i="21"/>
  <c r="AT329" i="21" s="1"/>
  <c r="AQ329" i="21"/>
  <c r="AO329" i="21"/>
  <c r="AP329" i="21" s="1"/>
  <c r="AM329" i="21"/>
  <c r="AK329" i="21"/>
  <c r="AL329" i="21" s="1"/>
  <c r="AG329" i="21"/>
  <c r="AE329" i="21"/>
  <c r="AF329" i="21" s="1"/>
  <c r="AC329" i="21"/>
  <c r="AD329" i="21" s="1"/>
  <c r="AA329" i="21"/>
  <c r="W329" i="21"/>
  <c r="X329" i="21" s="1"/>
  <c r="U329" i="21"/>
  <c r="V329" i="21" s="1"/>
  <c r="S329" i="21"/>
  <c r="Q329" i="21"/>
  <c r="R329" i="21" s="1"/>
  <c r="P329" i="21"/>
  <c r="O329" i="21"/>
  <c r="N329" i="21"/>
  <c r="M329" i="21"/>
  <c r="L329" i="21"/>
  <c r="K329" i="21"/>
  <c r="J329" i="21"/>
  <c r="I329" i="21"/>
  <c r="H329" i="21"/>
  <c r="G329" i="21"/>
  <c r="F329" i="21"/>
  <c r="E329" i="21"/>
  <c r="D329" i="21"/>
  <c r="C329" i="21"/>
  <c r="B329" i="21"/>
  <c r="A329" i="21"/>
  <c r="BG328" i="21"/>
  <c r="BH328" i="21" s="1"/>
  <c r="BE328" i="21"/>
  <c r="BF328" i="21" s="1"/>
  <c r="AW328" i="21"/>
  <c r="AU328" i="21"/>
  <c r="AS328" i="21"/>
  <c r="AT328" i="21" s="1"/>
  <c r="AQ328" i="21"/>
  <c r="AO328" i="21"/>
  <c r="AP328" i="21" s="1"/>
  <c r="AM328" i="21"/>
  <c r="AK328" i="21"/>
  <c r="AL328" i="21" s="1"/>
  <c r="AG328" i="21"/>
  <c r="AH328" i="21" s="1"/>
  <c r="AE328" i="21"/>
  <c r="AC328" i="21"/>
  <c r="AD328" i="21" s="1"/>
  <c r="AA328" i="21"/>
  <c r="AB328" i="21" s="1"/>
  <c r="W328" i="21"/>
  <c r="U328" i="21"/>
  <c r="V328" i="21" s="1"/>
  <c r="S328" i="21"/>
  <c r="T328" i="21" s="1"/>
  <c r="Q328" i="21"/>
  <c r="R328" i="21" s="1"/>
  <c r="P328" i="21"/>
  <c r="O328" i="21"/>
  <c r="N328" i="21"/>
  <c r="M328" i="21"/>
  <c r="L328" i="21"/>
  <c r="K328" i="21"/>
  <c r="J328" i="21"/>
  <c r="I328" i="21"/>
  <c r="H328" i="21"/>
  <c r="G328" i="21"/>
  <c r="F328" i="21"/>
  <c r="E328" i="21"/>
  <c r="D328" i="21"/>
  <c r="C328" i="21"/>
  <c r="B328" i="21"/>
  <c r="A328" i="21"/>
  <c r="BG327" i="21"/>
  <c r="BH327" i="21" s="1"/>
  <c r="BE327" i="21"/>
  <c r="AW327" i="21"/>
  <c r="AX327" i="21" s="1"/>
  <c r="AU327" i="21"/>
  <c r="AS327" i="21"/>
  <c r="AT327" i="21" s="1"/>
  <c r="AQ327" i="21"/>
  <c r="AO327" i="21"/>
  <c r="AP327" i="21" s="1"/>
  <c r="AM327" i="21"/>
  <c r="AN327" i="21" s="1"/>
  <c r="AK327" i="21"/>
  <c r="AG327" i="21"/>
  <c r="AH327" i="21" s="1"/>
  <c r="AE327" i="21"/>
  <c r="AF327" i="21" s="1"/>
  <c r="AC327" i="21"/>
  <c r="AA327" i="21"/>
  <c r="AB327" i="21" s="1"/>
  <c r="W327" i="21"/>
  <c r="X327" i="21" s="1"/>
  <c r="U327" i="21"/>
  <c r="V327" i="21" s="1"/>
  <c r="S327" i="21"/>
  <c r="Q327" i="21"/>
  <c r="R327" i="21" s="1"/>
  <c r="P327" i="21"/>
  <c r="O327" i="21"/>
  <c r="N327" i="21"/>
  <c r="M327" i="21"/>
  <c r="L327" i="21"/>
  <c r="K327" i="21"/>
  <c r="J327" i="21"/>
  <c r="I327" i="21"/>
  <c r="H327" i="21"/>
  <c r="G327" i="21"/>
  <c r="F327" i="21"/>
  <c r="E327" i="21"/>
  <c r="D327" i="21"/>
  <c r="C327" i="21"/>
  <c r="B327" i="21"/>
  <c r="A327" i="21"/>
  <c r="BG326" i="21"/>
  <c r="BH326" i="21" s="1"/>
  <c r="BE326" i="21"/>
  <c r="BF326" i="21" s="1"/>
  <c r="AW326" i="21"/>
  <c r="AX326" i="21" s="1"/>
  <c r="AU326" i="21"/>
  <c r="AV326" i="21" s="1"/>
  <c r="AS326" i="21"/>
  <c r="AT326" i="21" s="1"/>
  <c r="AQ326" i="21"/>
  <c r="AR326" i="21" s="1"/>
  <c r="AO326" i="21"/>
  <c r="AM326" i="21"/>
  <c r="AN326" i="21" s="1"/>
  <c r="AK326" i="21"/>
  <c r="AL326" i="21" s="1"/>
  <c r="AG326" i="21"/>
  <c r="AE326" i="21"/>
  <c r="AF326" i="21" s="1"/>
  <c r="AC326" i="21"/>
  <c r="AD326" i="21" s="1"/>
  <c r="AA326" i="21"/>
  <c r="AB326" i="21" s="1"/>
  <c r="W326" i="21"/>
  <c r="X326" i="21" s="1"/>
  <c r="U326" i="21"/>
  <c r="V326" i="21" s="1"/>
  <c r="S326" i="21"/>
  <c r="T326" i="21" s="1"/>
  <c r="Q326" i="21"/>
  <c r="R326" i="21" s="1"/>
  <c r="P326" i="21"/>
  <c r="O326" i="21"/>
  <c r="N326" i="21"/>
  <c r="M326" i="21"/>
  <c r="L326" i="21"/>
  <c r="K326" i="21"/>
  <c r="J326" i="21"/>
  <c r="I326" i="21"/>
  <c r="H326" i="21"/>
  <c r="G326" i="21"/>
  <c r="F326" i="21"/>
  <c r="E326" i="21"/>
  <c r="D326" i="21"/>
  <c r="C326" i="21"/>
  <c r="B326" i="21"/>
  <c r="A326" i="21"/>
  <c r="BG325" i="21"/>
  <c r="BE325" i="21"/>
  <c r="BF325" i="21" s="1"/>
  <c r="AW325" i="21"/>
  <c r="AX325" i="21" s="1"/>
  <c r="AU325" i="21"/>
  <c r="AV325" i="21" s="1"/>
  <c r="AS325" i="21"/>
  <c r="AQ325" i="21"/>
  <c r="AR325" i="21" s="1"/>
  <c r="AO325" i="21"/>
  <c r="AP325" i="21" s="1"/>
  <c r="AM325" i="21"/>
  <c r="AK325" i="21"/>
  <c r="AL325" i="21" s="1"/>
  <c r="AG325" i="21"/>
  <c r="AH325" i="21" s="1"/>
  <c r="AE325" i="21"/>
  <c r="AF325" i="21" s="1"/>
  <c r="AC325" i="21"/>
  <c r="AD325" i="21" s="1"/>
  <c r="AA325" i="21"/>
  <c r="AB325" i="21" s="1"/>
  <c r="W325" i="21"/>
  <c r="X325" i="21" s="1"/>
  <c r="U325" i="21"/>
  <c r="V325" i="21" s="1"/>
  <c r="S325" i="21"/>
  <c r="Q325" i="21"/>
  <c r="R325" i="21" s="1"/>
  <c r="P325" i="21"/>
  <c r="O325" i="21"/>
  <c r="N325" i="21"/>
  <c r="M325" i="21"/>
  <c r="L325" i="21"/>
  <c r="K325" i="21"/>
  <c r="J325" i="21"/>
  <c r="I325" i="21"/>
  <c r="H325" i="21"/>
  <c r="G325" i="21"/>
  <c r="F325" i="21"/>
  <c r="E325" i="21"/>
  <c r="D325" i="21"/>
  <c r="C325" i="21"/>
  <c r="B325" i="21"/>
  <c r="A325" i="21"/>
  <c r="BG324" i="21"/>
  <c r="BH324" i="21" s="1"/>
  <c r="BE324" i="21"/>
  <c r="BF324" i="21" s="1"/>
  <c r="AW324" i="21"/>
  <c r="AU324" i="21"/>
  <c r="AV324" i="21" s="1"/>
  <c r="AS324" i="21"/>
  <c r="AT324" i="21" s="1"/>
  <c r="AQ324" i="21"/>
  <c r="AO324" i="21"/>
  <c r="AP324" i="21" s="1"/>
  <c r="AM324" i="21"/>
  <c r="AN324" i="21" s="1"/>
  <c r="AK324" i="21"/>
  <c r="AL324" i="21" s="1"/>
  <c r="AG324" i="21"/>
  <c r="AH324" i="21" s="1"/>
  <c r="AE324" i="21"/>
  <c r="AF324" i="21" s="1"/>
  <c r="AC324" i="21"/>
  <c r="AD324" i="21" s="1"/>
  <c r="AA324" i="21"/>
  <c r="AB324" i="21" s="1"/>
  <c r="W324" i="21"/>
  <c r="U324" i="21"/>
  <c r="V324" i="21" s="1"/>
  <c r="S324" i="21"/>
  <c r="Q324" i="21"/>
  <c r="R324" i="21" s="1"/>
  <c r="P324" i="21"/>
  <c r="O324" i="21"/>
  <c r="N324" i="21"/>
  <c r="M324" i="21"/>
  <c r="L324" i="21"/>
  <c r="K324" i="21"/>
  <c r="J324" i="21"/>
  <c r="I324" i="21"/>
  <c r="H324" i="21"/>
  <c r="G324" i="21"/>
  <c r="F324" i="21"/>
  <c r="E324" i="21"/>
  <c r="D324" i="21"/>
  <c r="C324" i="21"/>
  <c r="B324" i="21"/>
  <c r="A324" i="21"/>
  <c r="BG323" i="21"/>
  <c r="BH323" i="21" s="1"/>
  <c r="BE323" i="21"/>
  <c r="AW323" i="21"/>
  <c r="AX323" i="21" s="1"/>
  <c r="AU323" i="21"/>
  <c r="AS323" i="21"/>
  <c r="AT323" i="21" s="1"/>
  <c r="AQ323" i="21"/>
  <c r="AR323" i="21" s="1"/>
  <c r="AO323" i="21"/>
  <c r="AP323" i="21" s="1"/>
  <c r="AM323" i="21"/>
  <c r="AN323" i="21" s="1"/>
  <c r="AK323" i="21"/>
  <c r="AL323" i="21" s="1"/>
  <c r="AG323" i="21"/>
  <c r="AH323" i="21" s="1"/>
  <c r="AE323" i="21"/>
  <c r="AF323" i="21" s="1"/>
  <c r="AC323" i="21"/>
  <c r="AA323" i="21"/>
  <c r="AB323" i="21" s="1"/>
  <c r="W323" i="21"/>
  <c r="X323" i="21" s="1"/>
  <c r="U323" i="21"/>
  <c r="V323" i="21" s="1"/>
  <c r="S323" i="21"/>
  <c r="T323" i="21" s="1"/>
  <c r="Q323" i="21"/>
  <c r="P323" i="21"/>
  <c r="O323" i="21"/>
  <c r="N323" i="21"/>
  <c r="M323" i="21"/>
  <c r="L323" i="21"/>
  <c r="K323" i="21"/>
  <c r="J323" i="21"/>
  <c r="I323" i="21"/>
  <c r="H323" i="21"/>
  <c r="G323" i="21"/>
  <c r="F323" i="21"/>
  <c r="E323" i="21"/>
  <c r="D323" i="21"/>
  <c r="C323" i="21"/>
  <c r="B323" i="21"/>
  <c r="A323" i="21"/>
  <c r="BG322" i="21"/>
  <c r="BH322" i="21" s="1"/>
  <c r="BE322" i="21"/>
  <c r="BF322" i="21" s="1"/>
  <c r="AW322" i="21"/>
  <c r="AX322" i="21" s="1"/>
  <c r="AU322" i="21"/>
  <c r="AV322" i="21" s="1"/>
  <c r="AS322" i="21"/>
  <c r="AT322" i="21" s="1"/>
  <c r="AQ322" i="21"/>
  <c r="AR322" i="21" s="1"/>
  <c r="AO322" i="21"/>
  <c r="AP322" i="21" s="1"/>
  <c r="AM322" i="21"/>
  <c r="AN322" i="21" s="1"/>
  <c r="AK322" i="21"/>
  <c r="AL322" i="21" s="1"/>
  <c r="AG322" i="21"/>
  <c r="AE322" i="21"/>
  <c r="AF322" i="21" s="1"/>
  <c r="AC322" i="21"/>
  <c r="AA322" i="21"/>
  <c r="AB322" i="21" s="1"/>
  <c r="W322" i="21"/>
  <c r="X322" i="21" s="1"/>
  <c r="U322" i="21"/>
  <c r="S322" i="21"/>
  <c r="T322" i="21" s="1"/>
  <c r="Q322" i="21"/>
  <c r="R322" i="21" s="1"/>
  <c r="P322" i="21"/>
  <c r="O322" i="21"/>
  <c r="N322" i="21"/>
  <c r="M322" i="21"/>
  <c r="L322" i="21"/>
  <c r="K322" i="21"/>
  <c r="J322" i="21"/>
  <c r="I322" i="21"/>
  <c r="H322" i="21"/>
  <c r="G322" i="21"/>
  <c r="F322" i="21"/>
  <c r="E322" i="21"/>
  <c r="D322" i="21"/>
  <c r="C322" i="21"/>
  <c r="B322" i="21"/>
  <c r="A322" i="21"/>
  <c r="BG321" i="21"/>
  <c r="BE321" i="21"/>
  <c r="BF321" i="21" s="1"/>
  <c r="AW321" i="21"/>
  <c r="AX321" i="21" s="1"/>
  <c r="AU321" i="21"/>
  <c r="AV321" i="21" s="1"/>
  <c r="AS321" i="21"/>
  <c r="AT321" i="21" s="1"/>
  <c r="AQ321" i="21"/>
  <c r="AR321" i="21" s="1"/>
  <c r="AO321" i="21"/>
  <c r="AP321" i="21" s="1"/>
  <c r="AM321" i="21"/>
  <c r="AK321" i="21"/>
  <c r="AL321" i="21" s="1"/>
  <c r="AG321" i="21"/>
  <c r="AH321" i="21" s="1"/>
  <c r="AE321" i="21"/>
  <c r="AF321" i="21" s="1"/>
  <c r="AC321" i="21"/>
  <c r="AD321" i="21" s="1"/>
  <c r="AA321" i="21"/>
  <c r="W321" i="21"/>
  <c r="X321" i="21" s="1"/>
  <c r="U321" i="21"/>
  <c r="V321" i="21" s="1"/>
  <c r="S321" i="21"/>
  <c r="Q321" i="21"/>
  <c r="R321" i="21" s="1"/>
  <c r="P321" i="21"/>
  <c r="O321" i="21"/>
  <c r="N321" i="21"/>
  <c r="M321" i="21"/>
  <c r="L321" i="21"/>
  <c r="K321" i="21"/>
  <c r="J321" i="21"/>
  <c r="I321" i="21"/>
  <c r="H321" i="21"/>
  <c r="G321" i="21"/>
  <c r="F321" i="21"/>
  <c r="E321" i="21"/>
  <c r="D321" i="21"/>
  <c r="C321" i="21"/>
  <c r="B321" i="21"/>
  <c r="A321" i="21"/>
  <c r="BG320" i="21"/>
  <c r="BH320" i="21" s="1"/>
  <c r="BE320" i="21"/>
  <c r="BF320" i="21" s="1"/>
  <c r="AW320" i="21"/>
  <c r="AX320" i="21" s="1"/>
  <c r="AU320" i="21"/>
  <c r="AV320" i="21" s="1"/>
  <c r="AS320" i="21"/>
  <c r="AT320" i="21" s="1"/>
  <c r="AQ320" i="21"/>
  <c r="AR320" i="21" s="1"/>
  <c r="AO320" i="21"/>
  <c r="AP320" i="21" s="1"/>
  <c r="AM320" i="21"/>
  <c r="AK320" i="21"/>
  <c r="AL320" i="21" s="1"/>
  <c r="AG320" i="21"/>
  <c r="AH320" i="21" s="1"/>
  <c r="AE320" i="21"/>
  <c r="AC320" i="21"/>
  <c r="AD320" i="21" s="1"/>
  <c r="AA320" i="21"/>
  <c r="AB320" i="21" s="1"/>
  <c r="W320" i="21"/>
  <c r="U320" i="21"/>
  <c r="V320" i="21" s="1"/>
  <c r="S320" i="21"/>
  <c r="Q320" i="21"/>
  <c r="R320" i="21" s="1"/>
  <c r="P320" i="21"/>
  <c r="O320" i="21"/>
  <c r="N320" i="21"/>
  <c r="M320" i="21"/>
  <c r="L320" i="21"/>
  <c r="K320" i="21"/>
  <c r="J320" i="21"/>
  <c r="I320" i="21"/>
  <c r="H320" i="21"/>
  <c r="G320" i="21"/>
  <c r="F320" i="21"/>
  <c r="E320" i="21"/>
  <c r="D320" i="21"/>
  <c r="C320" i="21"/>
  <c r="B320" i="21"/>
  <c r="A320" i="21"/>
  <c r="BG319" i="21"/>
  <c r="BH319" i="21" s="1"/>
  <c r="BE319" i="21"/>
  <c r="BF319" i="21" s="1"/>
  <c r="AW319" i="21"/>
  <c r="AX319" i="21" s="1"/>
  <c r="AU319" i="21"/>
  <c r="AV319" i="21" s="1"/>
  <c r="AS319" i="21"/>
  <c r="AT319" i="21" s="1"/>
  <c r="AQ319" i="21"/>
  <c r="AO319" i="21"/>
  <c r="AP319" i="21" s="1"/>
  <c r="AM319" i="21"/>
  <c r="AN319" i="21" s="1"/>
  <c r="AK319" i="21"/>
  <c r="AG319" i="21"/>
  <c r="AH319" i="21" s="1"/>
  <c r="AE319" i="21"/>
  <c r="AC319" i="21"/>
  <c r="AA319" i="21"/>
  <c r="AB319" i="21" s="1"/>
  <c r="W319" i="21"/>
  <c r="X319" i="21" s="1"/>
  <c r="U319" i="21"/>
  <c r="V319" i="21" s="1"/>
  <c r="S319" i="21"/>
  <c r="T319" i="21" s="1"/>
  <c r="Q319" i="21"/>
  <c r="R319" i="21" s="1"/>
  <c r="P319" i="21"/>
  <c r="O319" i="21"/>
  <c r="N319" i="21"/>
  <c r="M319" i="21"/>
  <c r="L319" i="21"/>
  <c r="K319" i="21"/>
  <c r="J319" i="21"/>
  <c r="I319" i="21"/>
  <c r="H319" i="21"/>
  <c r="G319" i="21"/>
  <c r="F319" i="21"/>
  <c r="E319" i="21"/>
  <c r="D319" i="21"/>
  <c r="C319" i="21"/>
  <c r="B319" i="21"/>
  <c r="A319" i="21"/>
  <c r="BG318" i="21"/>
  <c r="BH318" i="21" s="1"/>
  <c r="BE318" i="21"/>
  <c r="AW318" i="21"/>
  <c r="AX318" i="21" s="1"/>
  <c r="AU318" i="21"/>
  <c r="AV318" i="21" s="1"/>
  <c r="AS318" i="21"/>
  <c r="AT318" i="21" s="1"/>
  <c r="AQ318" i="21"/>
  <c r="AR318" i="21" s="1"/>
  <c r="AO318" i="21"/>
  <c r="AP318" i="21" s="1"/>
  <c r="AM318" i="21"/>
  <c r="AN318" i="21" s="1"/>
  <c r="AK318" i="21"/>
  <c r="AG318" i="21"/>
  <c r="AE318" i="21"/>
  <c r="AF318" i="21" s="1"/>
  <c r="AC318" i="21"/>
  <c r="AD318" i="21" s="1"/>
  <c r="AA318" i="21"/>
  <c r="AB318" i="21" s="1"/>
  <c r="W318" i="21"/>
  <c r="X318" i="21" s="1"/>
  <c r="U318" i="21"/>
  <c r="V318" i="21" s="1"/>
  <c r="S318" i="21"/>
  <c r="Q318" i="21"/>
  <c r="R318" i="21" s="1"/>
  <c r="P318" i="21"/>
  <c r="O318" i="21"/>
  <c r="N318" i="21"/>
  <c r="M318" i="21"/>
  <c r="L318" i="21"/>
  <c r="K318" i="21"/>
  <c r="J318" i="21"/>
  <c r="I318" i="21"/>
  <c r="H318" i="21"/>
  <c r="G318" i="21"/>
  <c r="F318" i="21"/>
  <c r="E318" i="21"/>
  <c r="D318" i="21"/>
  <c r="C318" i="21"/>
  <c r="B318" i="21"/>
  <c r="A318" i="21"/>
  <c r="BG317" i="21"/>
  <c r="BH317" i="21" s="1"/>
  <c r="BE317" i="21"/>
  <c r="BF317" i="21" s="1"/>
  <c r="AW317" i="21"/>
  <c r="AX317" i="21" s="1"/>
  <c r="AU317" i="21"/>
  <c r="AV317" i="21" s="1"/>
  <c r="AS317" i="21"/>
  <c r="AQ317" i="21"/>
  <c r="AR317" i="21" s="1"/>
  <c r="AO317" i="21"/>
  <c r="AP317" i="21" s="1"/>
  <c r="AM317" i="21"/>
  <c r="AK317" i="21"/>
  <c r="AL317" i="21" s="1"/>
  <c r="AG317" i="21"/>
  <c r="AE317" i="21"/>
  <c r="AF317" i="21" s="1"/>
  <c r="AC317" i="21"/>
  <c r="AD317" i="21" s="1"/>
  <c r="AA317" i="21"/>
  <c r="AB317" i="21" s="1"/>
  <c r="W317" i="21"/>
  <c r="X317" i="21" s="1"/>
  <c r="U317" i="21"/>
  <c r="V317" i="21" s="1"/>
  <c r="S317" i="21"/>
  <c r="T317" i="21" s="1"/>
  <c r="Q317" i="21"/>
  <c r="R317" i="21" s="1"/>
  <c r="P317" i="21"/>
  <c r="O317" i="21"/>
  <c r="N317" i="21"/>
  <c r="M317" i="21"/>
  <c r="L317" i="21"/>
  <c r="K317" i="21"/>
  <c r="J317" i="21"/>
  <c r="I317" i="21"/>
  <c r="H317" i="21"/>
  <c r="G317" i="21"/>
  <c r="F317" i="21"/>
  <c r="E317" i="21"/>
  <c r="D317" i="21"/>
  <c r="C317" i="21"/>
  <c r="B317" i="21"/>
  <c r="A317" i="21"/>
  <c r="BG316" i="21"/>
  <c r="BH316" i="21" s="1"/>
  <c r="BE316" i="21"/>
  <c r="BF316" i="21" s="1"/>
  <c r="AW316" i="21"/>
  <c r="AX316" i="21" s="1"/>
  <c r="AU316" i="21"/>
  <c r="AV316" i="21" s="1"/>
  <c r="AS316" i="21"/>
  <c r="AT316" i="21" s="1"/>
  <c r="AQ316" i="21"/>
  <c r="AO316" i="21"/>
  <c r="AP316" i="21" s="1"/>
  <c r="AM316" i="21"/>
  <c r="AK316" i="21"/>
  <c r="AL316" i="21" s="1"/>
  <c r="AG316" i="21"/>
  <c r="AH316" i="21" s="1"/>
  <c r="AE316" i="21"/>
  <c r="AF316" i="21" s="1"/>
  <c r="AC316" i="21"/>
  <c r="AD316" i="21" s="1"/>
  <c r="AA316" i="21"/>
  <c r="AB316" i="21" s="1"/>
  <c r="W316" i="21"/>
  <c r="X316" i="21" s="1"/>
  <c r="U316" i="21"/>
  <c r="V316" i="21" s="1"/>
  <c r="S316" i="21"/>
  <c r="Q316" i="21"/>
  <c r="R316" i="21" s="1"/>
  <c r="P316" i="21"/>
  <c r="O316" i="21"/>
  <c r="N316" i="21"/>
  <c r="M316" i="21"/>
  <c r="L316" i="21"/>
  <c r="K316" i="21"/>
  <c r="J316" i="21"/>
  <c r="I316" i="21"/>
  <c r="H316" i="21"/>
  <c r="G316" i="21"/>
  <c r="F316" i="21"/>
  <c r="E316" i="21"/>
  <c r="D316" i="21"/>
  <c r="C316" i="21"/>
  <c r="B316" i="21"/>
  <c r="A316" i="21"/>
  <c r="BG315" i="21"/>
  <c r="BH315" i="21" s="1"/>
  <c r="BE315" i="21"/>
  <c r="BF315" i="21" s="1"/>
  <c r="AW315" i="21"/>
  <c r="AU315" i="21"/>
  <c r="AS315" i="21"/>
  <c r="AT315" i="21" s="1"/>
  <c r="AQ315" i="21"/>
  <c r="AR315" i="21" s="1"/>
  <c r="AO315" i="21"/>
  <c r="AP315" i="21" s="1"/>
  <c r="AM315" i="21"/>
  <c r="AN315" i="21" s="1"/>
  <c r="AK315" i="21"/>
  <c r="AL315" i="21" s="1"/>
  <c r="AG315" i="21"/>
  <c r="AH315" i="21" s="1"/>
  <c r="AE315" i="21"/>
  <c r="AF315" i="21" s="1"/>
  <c r="AC315" i="21"/>
  <c r="AD315" i="21" s="1"/>
  <c r="AA315" i="21"/>
  <c r="AB315" i="21" s="1"/>
  <c r="W315" i="21"/>
  <c r="X315" i="21" s="1"/>
  <c r="U315" i="21"/>
  <c r="V315" i="21" s="1"/>
  <c r="S315" i="21"/>
  <c r="T315" i="21" s="1"/>
  <c r="Q315" i="21"/>
  <c r="P315" i="21"/>
  <c r="O315" i="21"/>
  <c r="N315" i="21"/>
  <c r="M315" i="21"/>
  <c r="L315" i="21"/>
  <c r="K315" i="21"/>
  <c r="J315" i="21"/>
  <c r="I315" i="21"/>
  <c r="H315" i="21"/>
  <c r="G315" i="21"/>
  <c r="F315" i="21"/>
  <c r="E315" i="21"/>
  <c r="D315" i="21"/>
  <c r="C315" i="21"/>
  <c r="B315" i="21"/>
  <c r="A315" i="21"/>
  <c r="BG314" i="21"/>
  <c r="BH314" i="21" s="1"/>
  <c r="BE314" i="21"/>
  <c r="BF314" i="21" s="1"/>
  <c r="AW314" i="21"/>
  <c r="AX314" i="21" s="1"/>
  <c r="AU314" i="21"/>
  <c r="AV314" i="21" s="1"/>
  <c r="AS314" i="21"/>
  <c r="AT314" i="21" s="1"/>
  <c r="AQ314" i="21"/>
  <c r="AR314" i="21" s="1"/>
  <c r="AO314" i="21"/>
  <c r="AP314" i="21" s="1"/>
  <c r="AM314" i="21"/>
  <c r="AN314" i="21" s="1"/>
  <c r="AK314" i="21"/>
  <c r="AL314" i="21" s="1"/>
  <c r="AG314" i="21"/>
  <c r="AH314" i="21" s="1"/>
  <c r="AE314" i="21"/>
  <c r="AF314" i="21" s="1"/>
  <c r="AC314" i="21"/>
  <c r="AD314" i="21" s="1"/>
  <c r="AA314" i="21"/>
  <c r="AB314" i="21" s="1"/>
  <c r="W314" i="21"/>
  <c r="X314" i="21" s="1"/>
  <c r="U314" i="21"/>
  <c r="S314" i="21"/>
  <c r="Q314" i="21"/>
  <c r="R314" i="21" s="1"/>
  <c r="P314" i="21"/>
  <c r="O314" i="21"/>
  <c r="N314" i="21"/>
  <c r="M314" i="21"/>
  <c r="L314" i="21"/>
  <c r="K314" i="21"/>
  <c r="J314" i="21"/>
  <c r="I314" i="21"/>
  <c r="H314" i="21"/>
  <c r="G314" i="21"/>
  <c r="F314" i="21"/>
  <c r="E314" i="21"/>
  <c r="D314" i="21"/>
  <c r="C314" i="21"/>
  <c r="B314" i="21"/>
  <c r="A314" i="21"/>
  <c r="BG313" i="21"/>
  <c r="BE313" i="21"/>
  <c r="BF313" i="21" s="1"/>
  <c r="AW313" i="21"/>
  <c r="AX313" i="21" s="1"/>
  <c r="AU313" i="21"/>
  <c r="AV313" i="21" s="1"/>
  <c r="AS313" i="21"/>
  <c r="AT313" i="21" s="1"/>
  <c r="AQ313" i="21"/>
  <c r="AR313" i="21" s="1"/>
  <c r="AO313" i="21"/>
  <c r="AP313" i="21" s="1"/>
  <c r="AM313" i="21"/>
  <c r="AN313" i="21" s="1"/>
  <c r="AK313" i="21"/>
  <c r="AL313" i="21" s="1"/>
  <c r="AG313" i="21"/>
  <c r="AE313" i="21"/>
  <c r="AF313" i="21" s="1"/>
  <c r="AC313" i="21"/>
  <c r="AD313" i="21" s="1"/>
  <c r="AA313" i="21"/>
  <c r="W313" i="21"/>
  <c r="X313" i="21" s="1"/>
  <c r="U313" i="21"/>
  <c r="V313" i="21" s="1"/>
  <c r="S313" i="21"/>
  <c r="Q313" i="21"/>
  <c r="R313" i="21" s="1"/>
  <c r="P313" i="21"/>
  <c r="O313" i="21"/>
  <c r="N313" i="21"/>
  <c r="M313" i="21"/>
  <c r="L313" i="21"/>
  <c r="K313" i="21"/>
  <c r="J313" i="21"/>
  <c r="I313" i="21"/>
  <c r="H313" i="21"/>
  <c r="G313" i="21"/>
  <c r="F313" i="21"/>
  <c r="E313" i="21"/>
  <c r="D313" i="21"/>
  <c r="C313" i="21"/>
  <c r="B313" i="21"/>
  <c r="A313" i="21"/>
  <c r="BG312" i="21"/>
  <c r="BE312" i="21"/>
  <c r="BF312" i="21" s="1"/>
  <c r="AW312" i="21"/>
  <c r="AX312" i="21" s="1"/>
  <c r="AU312" i="21"/>
  <c r="AV312" i="21" s="1"/>
  <c r="AS312" i="21"/>
  <c r="AT312" i="21" s="1"/>
  <c r="AQ312" i="21"/>
  <c r="AR312" i="21" s="1"/>
  <c r="AO312" i="21"/>
  <c r="AP312" i="21" s="1"/>
  <c r="AM312" i="21"/>
  <c r="AK312" i="21"/>
  <c r="AL312" i="21" s="1"/>
  <c r="AG312" i="21"/>
  <c r="AH312" i="21" s="1"/>
  <c r="AE312" i="21"/>
  <c r="AC312" i="21"/>
  <c r="AD312" i="21" s="1"/>
  <c r="AA312" i="21"/>
  <c r="W312" i="21"/>
  <c r="U312" i="21"/>
  <c r="V312" i="21" s="1"/>
  <c r="S312" i="21"/>
  <c r="T312" i="21" s="1"/>
  <c r="Q312" i="21"/>
  <c r="R312" i="21" s="1"/>
  <c r="P312" i="21"/>
  <c r="O312" i="21"/>
  <c r="N312" i="21"/>
  <c r="M312" i="21"/>
  <c r="L312" i="21"/>
  <c r="K312" i="21"/>
  <c r="J312" i="21"/>
  <c r="I312" i="21"/>
  <c r="H312" i="21"/>
  <c r="G312" i="21"/>
  <c r="F312" i="21"/>
  <c r="E312" i="21"/>
  <c r="D312" i="21"/>
  <c r="C312" i="21"/>
  <c r="B312" i="21"/>
  <c r="A312" i="21"/>
  <c r="BG311" i="21"/>
  <c r="BH311" i="21" s="1"/>
  <c r="BE311" i="21"/>
  <c r="BF311" i="21" s="1"/>
  <c r="AW311" i="21"/>
  <c r="AU311" i="21"/>
  <c r="AV311" i="21" s="1"/>
  <c r="AS311" i="21"/>
  <c r="AT311" i="21" s="1"/>
  <c r="AQ311" i="21"/>
  <c r="AR311" i="21" s="1"/>
  <c r="AO311" i="21"/>
  <c r="AP311" i="21" s="1"/>
  <c r="AM311" i="21"/>
  <c r="AK311" i="21"/>
  <c r="AL311" i="21" s="1"/>
  <c r="AG311" i="21"/>
  <c r="AH311" i="21" s="1"/>
  <c r="AE311" i="21"/>
  <c r="AC311" i="21"/>
  <c r="AA311" i="21"/>
  <c r="AB311" i="21" s="1"/>
  <c r="W311" i="21"/>
  <c r="X311" i="21" s="1"/>
  <c r="U311" i="21"/>
  <c r="V311" i="21" s="1"/>
  <c r="S311" i="21"/>
  <c r="T311" i="21" s="1"/>
  <c r="Q311" i="21"/>
  <c r="R311" i="21" s="1"/>
  <c r="P311" i="21"/>
  <c r="O311" i="21"/>
  <c r="N311" i="21"/>
  <c r="M311" i="21"/>
  <c r="L311" i="21"/>
  <c r="K311" i="21"/>
  <c r="J311" i="21"/>
  <c r="I311" i="21"/>
  <c r="H311" i="21"/>
  <c r="G311" i="21"/>
  <c r="F311" i="21"/>
  <c r="E311" i="21"/>
  <c r="D311" i="21"/>
  <c r="C311" i="21"/>
  <c r="B311" i="21"/>
  <c r="A311" i="21"/>
  <c r="BG310" i="21"/>
  <c r="BE310" i="21"/>
  <c r="BF310" i="21" s="1"/>
  <c r="AW310" i="21"/>
  <c r="AX310" i="21" s="1"/>
  <c r="AU310" i="21"/>
  <c r="AS310" i="21"/>
  <c r="AT310" i="21" s="1"/>
  <c r="AQ310" i="21"/>
  <c r="AR310" i="21" s="1"/>
  <c r="AO310" i="21"/>
  <c r="AP310" i="21" s="1"/>
  <c r="AM310" i="21"/>
  <c r="AN310" i="21" s="1"/>
  <c r="AK310" i="21"/>
  <c r="AL310" i="21" s="1"/>
  <c r="AG310" i="21"/>
  <c r="AE310" i="21"/>
  <c r="AF310" i="21" s="1"/>
  <c r="AC310" i="21"/>
  <c r="AA310" i="21"/>
  <c r="AB310" i="21" s="1"/>
  <c r="W310" i="21"/>
  <c r="X310" i="21" s="1"/>
  <c r="U310" i="21"/>
  <c r="V310" i="21" s="1"/>
  <c r="S310" i="21"/>
  <c r="T310" i="21" s="1"/>
  <c r="Q310" i="21"/>
  <c r="R310" i="21" s="1"/>
  <c r="P310" i="21"/>
  <c r="O310" i="21"/>
  <c r="N310" i="21"/>
  <c r="M310" i="21"/>
  <c r="L310" i="21"/>
  <c r="K310" i="21"/>
  <c r="J310" i="21"/>
  <c r="I310" i="21"/>
  <c r="H310" i="21"/>
  <c r="G310" i="21"/>
  <c r="F310" i="21"/>
  <c r="E310" i="21"/>
  <c r="D310" i="21"/>
  <c r="C310" i="21"/>
  <c r="B310" i="21"/>
  <c r="A310" i="21"/>
  <c r="BG309" i="21"/>
  <c r="BH309" i="21" s="1"/>
  <c r="BE309" i="21"/>
  <c r="BF309" i="21" s="1"/>
  <c r="AW309" i="21"/>
  <c r="AX309" i="21" s="1"/>
  <c r="AU309" i="21"/>
  <c r="AV309" i="21" s="1"/>
  <c r="AS309" i="21"/>
  <c r="AT309" i="21" s="1"/>
  <c r="AQ309" i="21"/>
  <c r="AO309" i="21"/>
  <c r="AP309" i="21" s="1"/>
  <c r="AM309" i="21"/>
  <c r="AK309" i="21"/>
  <c r="AL309" i="21" s="1"/>
  <c r="AG309" i="21"/>
  <c r="AE309" i="21"/>
  <c r="AF309" i="21" s="1"/>
  <c r="AC309" i="21"/>
  <c r="AD309" i="21" s="1"/>
  <c r="AA309" i="21"/>
  <c r="AB309" i="21" s="1"/>
  <c r="W309" i="21"/>
  <c r="X309" i="21" s="1"/>
  <c r="U309" i="21"/>
  <c r="V309" i="21" s="1"/>
  <c r="S309" i="21"/>
  <c r="T309" i="21" s="1"/>
  <c r="Q309" i="21"/>
  <c r="R309" i="21" s="1"/>
  <c r="P309" i="21"/>
  <c r="O309" i="21"/>
  <c r="N309" i="21"/>
  <c r="M309" i="21"/>
  <c r="L309" i="21"/>
  <c r="K309" i="21"/>
  <c r="J309" i="21"/>
  <c r="I309" i="21"/>
  <c r="H309" i="21"/>
  <c r="G309" i="21"/>
  <c r="F309" i="21"/>
  <c r="E309" i="21"/>
  <c r="D309" i="21"/>
  <c r="C309" i="21"/>
  <c r="B309" i="21"/>
  <c r="A309" i="21"/>
  <c r="BG308" i="21"/>
  <c r="BE308" i="21"/>
  <c r="BF308" i="21" s="1"/>
  <c r="AW308" i="21"/>
  <c r="AX308" i="21" s="1"/>
  <c r="AU308" i="21"/>
  <c r="AV308" i="21" s="1"/>
  <c r="AS308" i="21"/>
  <c r="AQ308" i="21"/>
  <c r="AO308" i="21"/>
  <c r="AP308" i="21" s="1"/>
  <c r="AM308" i="21"/>
  <c r="AN308" i="21" s="1"/>
  <c r="AK308" i="21"/>
  <c r="AL308" i="21" s="1"/>
  <c r="AG308" i="21"/>
  <c r="AH308" i="21" s="1"/>
  <c r="AE308" i="21"/>
  <c r="AF308" i="21" s="1"/>
  <c r="AC308" i="21"/>
  <c r="AD308" i="21" s="1"/>
  <c r="AA308" i="21"/>
  <c r="AB308" i="21" s="1"/>
  <c r="W308" i="21"/>
  <c r="X308" i="21" s="1"/>
  <c r="U308" i="21"/>
  <c r="V308" i="21" s="1"/>
  <c r="S308" i="21"/>
  <c r="T308" i="21" s="1"/>
  <c r="Q308" i="21"/>
  <c r="R308" i="21" s="1"/>
  <c r="P308" i="21"/>
  <c r="O308" i="21"/>
  <c r="N308" i="21"/>
  <c r="M308" i="21"/>
  <c r="L308" i="21"/>
  <c r="K308" i="21"/>
  <c r="J308" i="21"/>
  <c r="I308" i="21"/>
  <c r="H308" i="21"/>
  <c r="G308" i="21"/>
  <c r="F308" i="21"/>
  <c r="E308" i="21"/>
  <c r="D308" i="21"/>
  <c r="C308" i="21"/>
  <c r="B308" i="21"/>
  <c r="A308" i="21"/>
  <c r="BG307" i="21"/>
  <c r="BH307" i="21" s="1"/>
  <c r="BE307" i="21"/>
  <c r="AW307" i="21"/>
  <c r="AX307" i="21" s="1"/>
  <c r="AU307" i="21"/>
  <c r="AS307" i="21"/>
  <c r="AT307" i="21" s="1"/>
  <c r="AQ307" i="21"/>
  <c r="AR307" i="21" s="1"/>
  <c r="AO307" i="21"/>
  <c r="AP307" i="21" s="1"/>
  <c r="AM307" i="21"/>
  <c r="AN307" i="21" s="1"/>
  <c r="AK307" i="21"/>
  <c r="AG307" i="21"/>
  <c r="AH307" i="21" s="1"/>
  <c r="AE307" i="21"/>
  <c r="AF307" i="21" s="1"/>
  <c r="AC307" i="21"/>
  <c r="AD307" i="21" s="1"/>
  <c r="AA307" i="21"/>
  <c r="AB307" i="21" s="1"/>
  <c r="W307" i="21"/>
  <c r="X307" i="21" s="1"/>
  <c r="U307" i="21"/>
  <c r="S307" i="21"/>
  <c r="T307" i="21" s="1"/>
  <c r="Q307" i="21"/>
  <c r="R307" i="21" s="1"/>
  <c r="P307" i="21"/>
  <c r="O307" i="21"/>
  <c r="N307" i="21"/>
  <c r="M307" i="21"/>
  <c r="L307" i="21"/>
  <c r="K307" i="21"/>
  <c r="J307" i="21"/>
  <c r="I307" i="21"/>
  <c r="H307" i="21"/>
  <c r="G307" i="21"/>
  <c r="F307" i="21"/>
  <c r="E307" i="21"/>
  <c r="D307" i="21"/>
  <c r="C307" i="21"/>
  <c r="B307" i="21"/>
  <c r="A307" i="21"/>
  <c r="BG306" i="21"/>
  <c r="BH306" i="21" s="1"/>
  <c r="BE306" i="21"/>
  <c r="BF306" i="21" s="1"/>
  <c r="AW306" i="21"/>
  <c r="AX306" i="21" s="1"/>
  <c r="AU306" i="21"/>
  <c r="AS306" i="21"/>
  <c r="AT306" i="21" s="1"/>
  <c r="AQ306" i="21"/>
  <c r="AR306" i="21" s="1"/>
  <c r="AO306" i="21"/>
  <c r="AP306" i="21" s="1"/>
  <c r="AM306" i="21"/>
  <c r="AN306" i="21" s="1"/>
  <c r="AK306" i="21"/>
  <c r="AL306" i="21" s="1"/>
  <c r="AG306" i="21"/>
  <c r="AH306" i="21" s="1"/>
  <c r="AE306" i="21"/>
  <c r="AF306" i="21" s="1"/>
  <c r="AC306" i="21"/>
  <c r="AA306" i="21"/>
  <c r="AB306" i="21" s="1"/>
  <c r="W306" i="21"/>
  <c r="X306" i="21" s="1"/>
  <c r="U306" i="21"/>
  <c r="V306" i="21" s="1"/>
  <c r="S306" i="21"/>
  <c r="T306" i="21" s="1"/>
  <c r="Q306" i="21"/>
  <c r="R306" i="21" s="1"/>
  <c r="P306" i="21"/>
  <c r="O306" i="21"/>
  <c r="N306" i="21"/>
  <c r="M306" i="21"/>
  <c r="L306" i="21"/>
  <c r="K306" i="21"/>
  <c r="J306" i="21"/>
  <c r="I306" i="21"/>
  <c r="H306" i="21"/>
  <c r="G306" i="21"/>
  <c r="F306" i="21"/>
  <c r="E306" i="21"/>
  <c r="D306" i="21"/>
  <c r="C306" i="21"/>
  <c r="B306" i="21"/>
  <c r="A306" i="21"/>
  <c r="BG305" i="21"/>
  <c r="BE305" i="21"/>
  <c r="BF305" i="21" s="1"/>
  <c r="AW305" i="21"/>
  <c r="AX305" i="21" s="1"/>
  <c r="AU305" i="21"/>
  <c r="AV305" i="21" s="1"/>
  <c r="AS305" i="21"/>
  <c r="AT305" i="21" s="1"/>
  <c r="AQ305" i="21"/>
  <c r="AR305" i="21" s="1"/>
  <c r="AO305" i="21"/>
  <c r="AP305" i="21" s="1"/>
  <c r="AM305" i="21"/>
  <c r="AN305" i="21" s="1"/>
  <c r="AK305" i="21"/>
  <c r="AL305" i="21" s="1"/>
  <c r="AG305" i="21"/>
  <c r="AE305" i="21"/>
  <c r="AF305" i="21" s="1"/>
  <c r="AC305" i="21"/>
  <c r="AD305" i="21" s="1"/>
  <c r="AA305" i="21"/>
  <c r="W305" i="21"/>
  <c r="X305" i="21" s="1"/>
  <c r="U305" i="21"/>
  <c r="S305" i="21"/>
  <c r="Q305" i="21"/>
  <c r="R305" i="21" s="1"/>
  <c r="P305" i="21"/>
  <c r="O305" i="21"/>
  <c r="N305" i="21"/>
  <c r="M305" i="21"/>
  <c r="L305" i="21"/>
  <c r="K305" i="21"/>
  <c r="J305" i="21"/>
  <c r="I305" i="21"/>
  <c r="H305" i="21"/>
  <c r="G305" i="21"/>
  <c r="F305" i="21"/>
  <c r="E305" i="21"/>
  <c r="D305" i="21"/>
  <c r="C305" i="21"/>
  <c r="B305" i="21"/>
  <c r="A305" i="21"/>
  <c r="BG304" i="21"/>
  <c r="BH304" i="21" s="1"/>
  <c r="BE304" i="21"/>
  <c r="BF304" i="21" s="1"/>
  <c r="AW304" i="21"/>
  <c r="AX304" i="21" s="1"/>
  <c r="AU304" i="21"/>
  <c r="AV304" i="21" s="1"/>
  <c r="AS304" i="21"/>
  <c r="AQ304" i="21"/>
  <c r="AR304" i="21" s="1"/>
  <c r="AO304" i="21"/>
  <c r="AP304" i="21" s="1"/>
  <c r="AM304" i="21"/>
  <c r="AK304" i="21"/>
  <c r="AL304" i="21" s="1"/>
  <c r="AG304" i="21"/>
  <c r="AH304" i="21" s="1"/>
  <c r="AE304" i="21"/>
  <c r="AC304" i="21"/>
  <c r="AD304" i="21" s="1"/>
  <c r="AA304" i="21"/>
  <c r="W304" i="21"/>
  <c r="U304" i="21"/>
  <c r="V304" i="21" s="1"/>
  <c r="S304" i="21"/>
  <c r="T304" i="21" s="1"/>
  <c r="Q304" i="21"/>
  <c r="R304" i="21" s="1"/>
  <c r="P304" i="21"/>
  <c r="O304" i="21"/>
  <c r="N304" i="21"/>
  <c r="M304" i="21"/>
  <c r="L304" i="21"/>
  <c r="K304" i="21"/>
  <c r="J304" i="21"/>
  <c r="I304" i="21"/>
  <c r="H304" i="21"/>
  <c r="G304" i="21"/>
  <c r="F304" i="21"/>
  <c r="E304" i="21"/>
  <c r="D304" i="21"/>
  <c r="C304" i="21"/>
  <c r="B304" i="21"/>
  <c r="A304" i="21"/>
  <c r="BG303" i="21"/>
  <c r="BE303" i="21"/>
  <c r="BF303" i="21" s="1"/>
  <c r="AW303" i="21"/>
  <c r="AX303" i="21" s="1"/>
  <c r="AU303" i="21"/>
  <c r="AV303" i="21" s="1"/>
  <c r="AS303" i="21"/>
  <c r="AT303" i="21" s="1"/>
  <c r="AQ303" i="21"/>
  <c r="AR303" i="21" s="1"/>
  <c r="AO303" i="21"/>
  <c r="AM303" i="21"/>
  <c r="AN303" i="21" s="1"/>
  <c r="AK303" i="21"/>
  <c r="AL303" i="21" s="1"/>
  <c r="AG303" i="21"/>
  <c r="AH303" i="21" s="1"/>
  <c r="AE303" i="21"/>
  <c r="AF303" i="21" s="1"/>
  <c r="AC303" i="21"/>
  <c r="AA303" i="21"/>
  <c r="AB303" i="21" s="1"/>
  <c r="W303" i="21"/>
  <c r="U303" i="21"/>
  <c r="V303" i="21" s="1"/>
  <c r="S303" i="21"/>
  <c r="Q303" i="21"/>
  <c r="R303" i="21" s="1"/>
  <c r="P303" i="21"/>
  <c r="O303" i="21"/>
  <c r="N303" i="21"/>
  <c r="M303" i="21"/>
  <c r="L303" i="21"/>
  <c r="K303" i="21"/>
  <c r="J303" i="21"/>
  <c r="I303" i="21"/>
  <c r="H303" i="21"/>
  <c r="G303" i="21"/>
  <c r="F303" i="21"/>
  <c r="E303" i="21"/>
  <c r="D303" i="21"/>
  <c r="C303" i="21"/>
  <c r="B303" i="21"/>
  <c r="A303" i="21"/>
  <c r="BG302" i="21"/>
  <c r="BH302" i="21" s="1"/>
  <c r="BE302" i="21"/>
  <c r="AW302" i="21"/>
  <c r="AX302" i="21" s="1"/>
  <c r="AU302" i="21"/>
  <c r="AV302" i="21" s="1"/>
  <c r="AS302" i="21"/>
  <c r="AT302" i="21" s="1"/>
  <c r="AQ302" i="21"/>
  <c r="AR302" i="21" s="1"/>
  <c r="AO302" i="21"/>
  <c r="AP302" i="21" s="1"/>
  <c r="AM302" i="21"/>
  <c r="AN302" i="21" s="1"/>
  <c r="AK302" i="21"/>
  <c r="AG302" i="21"/>
  <c r="AE302" i="21"/>
  <c r="AF302" i="21" s="1"/>
  <c r="AC302" i="21"/>
  <c r="AA302" i="21"/>
  <c r="AB302" i="21" s="1"/>
  <c r="W302" i="21"/>
  <c r="X302" i="21" s="1"/>
  <c r="U302" i="21"/>
  <c r="S302" i="21"/>
  <c r="Q302" i="21"/>
  <c r="R302" i="21" s="1"/>
  <c r="P302" i="21"/>
  <c r="O302" i="21"/>
  <c r="N302" i="21"/>
  <c r="M302" i="21"/>
  <c r="L302" i="21"/>
  <c r="K302" i="21"/>
  <c r="J302" i="21"/>
  <c r="I302" i="21"/>
  <c r="H302" i="21"/>
  <c r="G302" i="21"/>
  <c r="F302" i="21"/>
  <c r="E302" i="21"/>
  <c r="D302" i="21"/>
  <c r="C302" i="21"/>
  <c r="B302" i="21"/>
  <c r="A302" i="21"/>
  <c r="BG301" i="21"/>
  <c r="BH301" i="21" s="1"/>
  <c r="BE301" i="21"/>
  <c r="BF301" i="21" s="1"/>
  <c r="AW301" i="21"/>
  <c r="AX301" i="21" s="1"/>
  <c r="AU301" i="21"/>
  <c r="AS301" i="21"/>
  <c r="AT301" i="21" s="1"/>
  <c r="AQ301" i="21"/>
  <c r="AR301" i="21" s="1"/>
  <c r="AO301" i="21"/>
  <c r="AP301" i="21" s="1"/>
  <c r="AM301" i="21"/>
  <c r="AK301" i="21"/>
  <c r="AL301" i="21" s="1"/>
  <c r="AG301" i="21"/>
  <c r="AH301" i="21" s="1"/>
  <c r="AE301" i="21"/>
  <c r="AC301" i="21"/>
  <c r="AD301" i="21" s="1"/>
  <c r="AA301" i="21"/>
  <c r="AB301" i="21" s="1"/>
  <c r="W301" i="21"/>
  <c r="U301" i="21"/>
  <c r="V301" i="21" s="1"/>
  <c r="S301" i="21"/>
  <c r="Q301" i="21"/>
  <c r="R301" i="21" s="1"/>
  <c r="P301" i="21"/>
  <c r="O301" i="21"/>
  <c r="N301" i="21"/>
  <c r="M301" i="21"/>
  <c r="L301" i="21"/>
  <c r="K301" i="21"/>
  <c r="J301" i="21"/>
  <c r="I301" i="21"/>
  <c r="H301" i="21"/>
  <c r="G301" i="21"/>
  <c r="F301" i="21"/>
  <c r="E301" i="21"/>
  <c r="D301" i="21"/>
  <c r="C301" i="21"/>
  <c r="B301" i="21"/>
  <c r="A301" i="21"/>
  <c r="BG300" i="21"/>
  <c r="BE300" i="21"/>
  <c r="BF300" i="21" s="1"/>
  <c r="AW300" i="21"/>
  <c r="AX300" i="21" s="1"/>
  <c r="AU300" i="21"/>
  <c r="AV300" i="21" s="1"/>
  <c r="AS300" i="21"/>
  <c r="AT300" i="21" s="1"/>
  <c r="AQ300" i="21"/>
  <c r="AR300" i="21" s="1"/>
  <c r="AO300" i="21"/>
  <c r="AP300" i="21" s="1"/>
  <c r="AM300" i="21"/>
  <c r="AN300" i="21" s="1"/>
  <c r="AK300" i="21"/>
  <c r="AL300" i="21" s="1"/>
  <c r="AG300" i="21"/>
  <c r="AH300" i="21" s="1"/>
  <c r="AE300" i="21"/>
  <c r="AC300" i="21"/>
  <c r="AD300" i="21" s="1"/>
  <c r="AA300" i="21"/>
  <c r="AB300" i="21" s="1"/>
  <c r="W300" i="21"/>
  <c r="U300" i="21"/>
  <c r="V300" i="21" s="1"/>
  <c r="S300" i="21"/>
  <c r="T300" i="21" s="1"/>
  <c r="Q300" i="21"/>
  <c r="R300" i="21" s="1"/>
  <c r="P300" i="21"/>
  <c r="O300" i="21"/>
  <c r="N300" i="21"/>
  <c r="M300" i="21"/>
  <c r="L300" i="21"/>
  <c r="K300" i="21"/>
  <c r="J300" i="21"/>
  <c r="I300" i="21"/>
  <c r="H300" i="21"/>
  <c r="G300" i="21"/>
  <c r="F300" i="21"/>
  <c r="E300" i="21"/>
  <c r="D300" i="21"/>
  <c r="C300" i="21"/>
  <c r="B300" i="21"/>
  <c r="A300" i="21"/>
  <c r="BG299" i="21"/>
  <c r="BH299" i="21" s="1"/>
  <c r="BE299" i="21"/>
  <c r="BF299" i="21" s="1"/>
  <c r="AW299" i="21"/>
  <c r="AU299" i="21"/>
  <c r="AV299" i="21" s="1"/>
  <c r="AS299" i="21"/>
  <c r="AT299" i="21" s="1"/>
  <c r="AQ299" i="21"/>
  <c r="AO299" i="21"/>
  <c r="AP299" i="21" s="1"/>
  <c r="AM299" i="21"/>
  <c r="AN299" i="21" s="1"/>
  <c r="AK299" i="21"/>
  <c r="AG299" i="21"/>
  <c r="AH299" i="21" s="1"/>
  <c r="AE299" i="21"/>
  <c r="AC299" i="21"/>
  <c r="AD299" i="21" s="1"/>
  <c r="AA299" i="21"/>
  <c r="AB299" i="21" s="1"/>
  <c r="W299" i="21"/>
  <c r="X299" i="21" s="1"/>
  <c r="U299" i="21"/>
  <c r="V299" i="21" s="1"/>
  <c r="S299" i="21"/>
  <c r="T299" i="21" s="1"/>
  <c r="Q299" i="21"/>
  <c r="P299" i="21"/>
  <c r="O299" i="21"/>
  <c r="N299" i="21"/>
  <c r="M299" i="21"/>
  <c r="L299" i="21"/>
  <c r="K299" i="21"/>
  <c r="J299" i="21"/>
  <c r="I299" i="21"/>
  <c r="H299" i="21"/>
  <c r="G299" i="21"/>
  <c r="F299" i="21"/>
  <c r="E299" i="21"/>
  <c r="D299" i="21"/>
  <c r="C299" i="21"/>
  <c r="B299" i="21"/>
  <c r="A299" i="21"/>
  <c r="BG298" i="21"/>
  <c r="BH298" i="21" s="1"/>
  <c r="BE298" i="21"/>
  <c r="BF298" i="21" s="1"/>
  <c r="AW298" i="21"/>
  <c r="AX298" i="21" s="1"/>
  <c r="AU298" i="21"/>
  <c r="AV298" i="21" s="1"/>
  <c r="AS298" i="21"/>
  <c r="AT298" i="21" s="1"/>
  <c r="AQ298" i="21"/>
  <c r="AR298" i="21" s="1"/>
  <c r="AO298" i="21"/>
  <c r="AM298" i="21"/>
  <c r="AN298" i="21" s="1"/>
  <c r="AK298" i="21"/>
  <c r="AG298" i="21"/>
  <c r="AH298" i="21" s="1"/>
  <c r="AE298" i="21"/>
  <c r="AF298" i="21" s="1"/>
  <c r="AC298" i="21"/>
  <c r="AA298" i="21"/>
  <c r="AB298" i="21" s="1"/>
  <c r="W298" i="21"/>
  <c r="U298" i="21"/>
  <c r="V298" i="21" s="1"/>
  <c r="S298" i="21"/>
  <c r="T298" i="21" s="1"/>
  <c r="Q298" i="21"/>
  <c r="R298" i="21" s="1"/>
  <c r="P298" i="21"/>
  <c r="O298" i="21"/>
  <c r="N298" i="21"/>
  <c r="M298" i="21"/>
  <c r="L298" i="21"/>
  <c r="K298" i="21"/>
  <c r="J298" i="21"/>
  <c r="I298" i="21"/>
  <c r="H298" i="21"/>
  <c r="G298" i="21"/>
  <c r="F298" i="21"/>
  <c r="E298" i="21"/>
  <c r="D298" i="21"/>
  <c r="C298" i="21"/>
  <c r="B298" i="21"/>
  <c r="A298" i="21"/>
  <c r="BG297" i="21"/>
  <c r="BH297" i="21" s="1"/>
  <c r="BE297" i="21"/>
  <c r="BF297" i="21" s="1"/>
  <c r="AW297" i="21"/>
  <c r="AX297" i="21" s="1"/>
  <c r="AU297" i="21"/>
  <c r="AV297" i="21" s="1"/>
  <c r="AS297" i="21"/>
  <c r="AQ297" i="21"/>
  <c r="AO297" i="21"/>
  <c r="AP297" i="21" s="1"/>
  <c r="AM297" i="21"/>
  <c r="AK297" i="21"/>
  <c r="AL297" i="21" s="1"/>
  <c r="AG297" i="21"/>
  <c r="AH297" i="21" s="1"/>
  <c r="AE297" i="21"/>
  <c r="AF297" i="21" s="1"/>
  <c r="AC297" i="21"/>
  <c r="AD297" i="21" s="1"/>
  <c r="AA297" i="21"/>
  <c r="AB297" i="21" s="1"/>
  <c r="W297" i="21"/>
  <c r="X297" i="21" s="1"/>
  <c r="U297" i="21"/>
  <c r="V297" i="21" s="1"/>
  <c r="S297" i="21"/>
  <c r="T297" i="21" s="1"/>
  <c r="Q297" i="21"/>
  <c r="R297" i="21" s="1"/>
  <c r="P297" i="21"/>
  <c r="O297" i="21"/>
  <c r="N297" i="21"/>
  <c r="M297" i="21"/>
  <c r="L297" i="21"/>
  <c r="K297" i="21"/>
  <c r="J297" i="21"/>
  <c r="I297" i="21"/>
  <c r="H297" i="21"/>
  <c r="G297" i="21"/>
  <c r="F297" i="21"/>
  <c r="E297" i="21"/>
  <c r="D297" i="21"/>
  <c r="C297" i="21"/>
  <c r="B297" i="21"/>
  <c r="A297" i="21"/>
  <c r="BG296" i="21"/>
  <c r="BH296" i="21" s="1"/>
  <c r="BE296" i="21"/>
  <c r="BF296" i="21" s="1"/>
  <c r="AW296" i="21"/>
  <c r="AX296" i="21" s="1"/>
  <c r="AU296" i="21"/>
  <c r="AV296" i="21" s="1"/>
  <c r="AS296" i="21"/>
  <c r="AT296" i="21" s="1"/>
  <c r="AQ296" i="21"/>
  <c r="AR296" i="21" s="1"/>
  <c r="AO296" i="21"/>
  <c r="AP296" i="21" s="1"/>
  <c r="AM296" i="21"/>
  <c r="AK296" i="21"/>
  <c r="AL296" i="21" s="1"/>
  <c r="AG296" i="21"/>
  <c r="AE296" i="21"/>
  <c r="AF296" i="21" s="1"/>
  <c r="AC296" i="21"/>
  <c r="AD296" i="21" s="1"/>
  <c r="AA296" i="21"/>
  <c r="AB296" i="21" s="1"/>
  <c r="W296" i="21"/>
  <c r="U296" i="21"/>
  <c r="V296" i="21" s="1"/>
  <c r="S296" i="21"/>
  <c r="Q296" i="21"/>
  <c r="R296" i="21" s="1"/>
  <c r="P296" i="21"/>
  <c r="O296" i="21"/>
  <c r="N296" i="21"/>
  <c r="M296" i="21"/>
  <c r="L296" i="21"/>
  <c r="K296" i="21"/>
  <c r="J296" i="21"/>
  <c r="I296" i="21"/>
  <c r="H296" i="21"/>
  <c r="G296" i="21"/>
  <c r="F296" i="21"/>
  <c r="E296" i="21"/>
  <c r="D296" i="21"/>
  <c r="C296" i="21"/>
  <c r="B296" i="21"/>
  <c r="A296" i="21"/>
  <c r="BG295" i="21"/>
  <c r="BH295" i="21" s="1"/>
  <c r="BE295" i="21"/>
  <c r="BF295" i="21" s="1"/>
  <c r="AW295" i="21"/>
  <c r="AX295" i="21" s="1"/>
  <c r="AU295" i="21"/>
  <c r="AV295" i="21" s="1"/>
  <c r="AS295" i="21"/>
  <c r="AT295" i="21" s="1"/>
  <c r="AQ295" i="21"/>
  <c r="AO295" i="21"/>
  <c r="AP295" i="21" s="1"/>
  <c r="AM295" i="21"/>
  <c r="AN295" i="21" s="1"/>
  <c r="AK295" i="21"/>
  <c r="AL295" i="21" s="1"/>
  <c r="AG295" i="21"/>
  <c r="AE295" i="21"/>
  <c r="AF295" i="21" s="1"/>
  <c r="AC295" i="21"/>
  <c r="AD295" i="21" s="1"/>
  <c r="AA295" i="21"/>
  <c r="W295" i="21"/>
  <c r="X295" i="21" s="1"/>
  <c r="U295" i="21"/>
  <c r="S295" i="21"/>
  <c r="T295" i="21" s="1"/>
  <c r="Q295" i="21"/>
  <c r="R295" i="21" s="1"/>
  <c r="P295" i="21"/>
  <c r="O295" i="21"/>
  <c r="N295" i="21"/>
  <c r="M295" i="21"/>
  <c r="L295" i="21"/>
  <c r="K295" i="21"/>
  <c r="J295" i="21"/>
  <c r="I295" i="21"/>
  <c r="H295" i="21"/>
  <c r="G295" i="21"/>
  <c r="F295" i="21"/>
  <c r="E295" i="21"/>
  <c r="D295" i="21"/>
  <c r="C295" i="21"/>
  <c r="B295" i="21"/>
  <c r="A295" i="21"/>
  <c r="BG294" i="21"/>
  <c r="BE294" i="21"/>
  <c r="BF294" i="21" s="1"/>
  <c r="AW294" i="21"/>
  <c r="AU294" i="21"/>
  <c r="AV294" i="21" s="1"/>
  <c r="AS294" i="21"/>
  <c r="AT294" i="21" s="1"/>
  <c r="AQ294" i="21"/>
  <c r="AR294" i="21" s="1"/>
  <c r="AO294" i="21"/>
  <c r="AP294" i="21" s="1"/>
  <c r="AM294" i="21"/>
  <c r="AK294" i="21"/>
  <c r="AL294" i="21" s="1"/>
  <c r="AG294" i="21"/>
  <c r="AH294" i="21" s="1"/>
  <c r="AE294" i="21"/>
  <c r="AF294" i="21" s="1"/>
  <c r="AC294" i="21"/>
  <c r="AD294" i="21" s="1"/>
  <c r="AA294" i="21"/>
  <c r="W294" i="21"/>
  <c r="X294" i="21" s="1"/>
  <c r="U294" i="21"/>
  <c r="V294" i="21" s="1"/>
  <c r="S294" i="21"/>
  <c r="Q294" i="21"/>
  <c r="R294" i="21" s="1"/>
  <c r="P294" i="21"/>
  <c r="O294" i="21"/>
  <c r="N294" i="21"/>
  <c r="M294" i="21"/>
  <c r="L294" i="21"/>
  <c r="K294" i="21"/>
  <c r="J294" i="21"/>
  <c r="I294" i="21"/>
  <c r="H294" i="21"/>
  <c r="G294" i="21"/>
  <c r="F294" i="21"/>
  <c r="E294" i="21"/>
  <c r="D294" i="21"/>
  <c r="C294" i="21"/>
  <c r="B294" i="21"/>
  <c r="A294" i="21"/>
  <c r="BG293" i="21"/>
  <c r="BH293" i="21" s="1"/>
  <c r="BE293" i="21"/>
  <c r="BF293" i="21" s="1"/>
  <c r="AW293" i="21"/>
  <c r="AX293" i="21" s="1"/>
  <c r="AU293" i="21"/>
  <c r="AV293" i="21" s="1"/>
  <c r="AS293" i="21"/>
  <c r="AT293" i="21" s="1"/>
  <c r="AQ293" i="21"/>
  <c r="AO293" i="21"/>
  <c r="AP293" i="21" s="1"/>
  <c r="AM293" i="21"/>
  <c r="AN293" i="21" s="1"/>
  <c r="AK293" i="21"/>
  <c r="AL293" i="21" s="1"/>
  <c r="AG293" i="21"/>
  <c r="AH293" i="21" s="1"/>
  <c r="AE293" i="21"/>
  <c r="AC293" i="21"/>
  <c r="AD293" i="21" s="1"/>
  <c r="AA293" i="21"/>
  <c r="AB293" i="21" s="1"/>
  <c r="W293" i="21"/>
  <c r="U293" i="21"/>
  <c r="V293" i="21" s="1"/>
  <c r="S293" i="21"/>
  <c r="T293" i="21" s="1"/>
  <c r="Q293" i="21"/>
  <c r="R293" i="21" s="1"/>
  <c r="P293" i="21"/>
  <c r="O293" i="21"/>
  <c r="N293" i="21"/>
  <c r="M293" i="21"/>
  <c r="L293" i="21"/>
  <c r="K293" i="21"/>
  <c r="J293" i="21"/>
  <c r="I293" i="21"/>
  <c r="H293" i="21"/>
  <c r="G293" i="21"/>
  <c r="F293" i="21"/>
  <c r="E293" i="21"/>
  <c r="D293" i="21"/>
  <c r="C293" i="21"/>
  <c r="B293" i="21"/>
  <c r="A293" i="21"/>
  <c r="BG292" i="21"/>
  <c r="BH292" i="21" s="1"/>
  <c r="BE292" i="21"/>
  <c r="BF292" i="21" s="1"/>
  <c r="AW292" i="21"/>
  <c r="AX292" i="21" s="1"/>
  <c r="AU292" i="21"/>
  <c r="AS292" i="21"/>
  <c r="AT292" i="21" s="1"/>
  <c r="AQ292" i="21"/>
  <c r="AR292" i="21" s="1"/>
  <c r="AO292" i="21"/>
  <c r="AP292" i="21" s="1"/>
  <c r="AM292" i="21"/>
  <c r="AN292" i="21" s="1"/>
  <c r="AK292" i="21"/>
  <c r="AG292" i="21"/>
  <c r="AH292" i="21" s="1"/>
  <c r="AE292" i="21"/>
  <c r="AF292" i="21" s="1"/>
  <c r="AC292" i="21"/>
  <c r="AA292" i="21"/>
  <c r="AB292" i="21" s="1"/>
  <c r="W292" i="21"/>
  <c r="X292" i="21" s="1"/>
  <c r="U292" i="21"/>
  <c r="V292" i="21" s="1"/>
  <c r="S292" i="21"/>
  <c r="T292" i="21" s="1"/>
  <c r="Q292" i="21"/>
  <c r="R292" i="21" s="1"/>
  <c r="P292" i="21"/>
  <c r="O292" i="21"/>
  <c r="N292" i="21"/>
  <c r="M292" i="21"/>
  <c r="L292" i="21"/>
  <c r="K292" i="21"/>
  <c r="J292" i="21"/>
  <c r="I292" i="21"/>
  <c r="H292" i="21"/>
  <c r="G292" i="21"/>
  <c r="F292" i="21"/>
  <c r="E292" i="21"/>
  <c r="D292" i="21"/>
  <c r="C292" i="21"/>
  <c r="B292" i="21"/>
  <c r="A292" i="21"/>
  <c r="BG291" i="21"/>
  <c r="BH291" i="21" s="1"/>
  <c r="BE291" i="21"/>
  <c r="BF291" i="21" s="1"/>
  <c r="AW291" i="21"/>
  <c r="AX291" i="21" s="1"/>
  <c r="AU291" i="21"/>
  <c r="AV291" i="21" s="1"/>
  <c r="AS291" i="21"/>
  <c r="AT291" i="21" s="1"/>
  <c r="AQ291" i="21"/>
  <c r="AR291" i="21" s="1"/>
  <c r="AO291" i="21"/>
  <c r="AM291" i="21"/>
  <c r="AN291" i="21" s="1"/>
  <c r="AK291" i="21"/>
  <c r="AL291" i="21" s="1"/>
  <c r="AG291" i="21"/>
  <c r="AE291" i="21"/>
  <c r="AF291" i="21" s="1"/>
  <c r="AC291" i="21"/>
  <c r="AD291" i="21" s="1"/>
  <c r="AA291" i="21"/>
  <c r="AB291" i="21" s="1"/>
  <c r="W291" i="21"/>
  <c r="X291" i="21" s="1"/>
  <c r="U291" i="21"/>
  <c r="V291" i="21" s="1"/>
  <c r="S291" i="21"/>
  <c r="T291" i="21" s="1"/>
  <c r="Q291" i="21"/>
  <c r="R291" i="21" s="1"/>
  <c r="P291" i="21"/>
  <c r="O291" i="21"/>
  <c r="N291" i="21"/>
  <c r="M291" i="21"/>
  <c r="L291" i="21"/>
  <c r="K291" i="21"/>
  <c r="J291" i="21"/>
  <c r="I291" i="21"/>
  <c r="H291" i="21"/>
  <c r="G291" i="21"/>
  <c r="F291" i="21"/>
  <c r="E291" i="21"/>
  <c r="D291" i="21"/>
  <c r="C291" i="21"/>
  <c r="B291" i="21"/>
  <c r="A291" i="21"/>
  <c r="BG290" i="21"/>
  <c r="BE290" i="21"/>
  <c r="BF290" i="21" s="1"/>
  <c r="AW290" i="21"/>
  <c r="AX290" i="21" s="1"/>
  <c r="AU290" i="21"/>
  <c r="AV290" i="21" s="1"/>
  <c r="AS290" i="21"/>
  <c r="AQ290" i="21"/>
  <c r="AR290" i="21" s="1"/>
  <c r="AO290" i="21"/>
  <c r="AP290" i="21" s="1"/>
  <c r="AM290" i="21"/>
  <c r="AK290" i="21"/>
  <c r="AL290" i="21" s="1"/>
  <c r="AG290" i="21"/>
  <c r="AH290" i="21" s="1"/>
  <c r="AE290" i="21"/>
  <c r="AF290" i="21" s="1"/>
  <c r="AC290" i="21"/>
  <c r="AD290" i="21" s="1"/>
  <c r="AA290" i="21"/>
  <c r="AB290" i="21" s="1"/>
  <c r="W290" i="21"/>
  <c r="X290" i="21" s="1"/>
  <c r="U290" i="21"/>
  <c r="V290" i="21" s="1"/>
  <c r="S290" i="21"/>
  <c r="Q290" i="21"/>
  <c r="R290" i="21" s="1"/>
  <c r="P290" i="21"/>
  <c r="O290" i="21"/>
  <c r="N290" i="21"/>
  <c r="M290" i="21"/>
  <c r="L290" i="21"/>
  <c r="K290" i="21"/>
  <c r="J290" i="21"/>
  <c r="I290" i="21"/>
  <c r="H290" i="21"/>
  <c r="G290" i="21"/>
  <c r="F290" i="21"/>
  <c r="E290" i="21"/>
  <c r="D290" i="21"/>
  <c r="C290" i="21"/>
  <c r="B290" i="21"/>
  <c r="A290" i="21"/>
  <c r="BG289" i="21"/>
  <c r="BH289" i="21" s="1"/>
  <c r="BE289" i="21"/>
  <c r="BF289" i="21" s="1"/>
  <c r="AW289" i="21"/>
  <c r="AX289" i="21" s="1"/>
  <c r="AU289" i="21"/>
  <c r="AV289" i="21" s="1"/>
  <c r="AS289" i="21"/>
  <c r="AT289" i="21" s="1"/>
  <c r="AQ289" i="21"/>
  <c r="AO289" i="21"/>
  <c r="AP289" i="21" s="1"/>
  <c r="AM289" i="21"/>
  <c r="AN289" i="21" s="1"/>
  <c r="AK289" i="21"/>
  <c r="AL289" i="21" s="1"/>
  <c r="AG289" i="21"/>
  <c r="AH289" i="21" s="1"/>
  <c r="AE289" i="21"/>
  <c r="AF289" i="21" s="1"/>
  <c r="AC289" i="21"/>
  <c r="AD289" i="21" s="1"/>
  <c r="AA289" i="21"/>
  <c r="AB289" i="21" s="1"/>
  <c r="W289" i="21"/>
  <c r="U289" i="21"/>
  <c r="V289" i="21" s="1"/>
  <c r="S289" i="21"/>
  <c r="T289" i="21" s="1"/>
  <c r="Q289" i="21"/>
  <c r="R289" i="21" s="1"/>
  <c r="P289" i="21"/>
  <c r="O289" i="21"/>
  <c r="N289" i="21"/>
  <c r="M289" i="21"/>
  <c r="L289" i="21"/>
  <c r="K289" i="21"/>
  <c r="J289" i="21"/>
  <c r="I289" i="21"/>
  <c r="H289" i="21"/>
  <c r="G289" i="21"/>
  <c r="F289" i="21"/>
  <c r="E289" i="21"/>
  <c r="D289" i="21"/>
  <c r="C289" i="21"/>
  <c r="B289" i="21"/>
  <c r="A289" i="21"/>
  <c r="BG288" i="21"/>
  <c r="BH288" i="21" s="1"/>
  <c r="BE288" i="21"/>
  <c r="AW288" i="21"/>
  <c r="AX288" i="21" s="1"/>
  <c r="AU288" i="21"/>
  <c r="AS288" i="21"/>
  <c r="AT288" i="21" s="1"/>
  <c r="AQ288" i="21"/>
  <c r="AR288" i="21" s="1"/>
  <c r="AO288" i="21"/>
  <c r="AP288" i="21" s="1"/>
  <c r="AM288" i="21"/>
  <c r="AN288" i="21" s="1"/>
  <c r="AK288" i="21"/>
  <c r="AL288" i="21" s="1"/>
  <c r="AG288" i="21"/>
  <c r="AH288" i="21" s="1"/>
  <c r="AE288" i="21"/>
  <c r="AF288" i="21" s="1"/>
  <c r="AC288" i="21"/>
  <c r="AA288" i="21"/>
  <c r="AB288" i="21" s="1"/>
  <c r="W288" i="21"/>
  <c r="X288" i="21" s="1"/>
  <c r="U288" i="21"/>
  <c r="V288" i="21" s="1"/>
  <c r="S288" i="21"/>
  <c r="T288" i="21" s="1"/>
  <c r="Q288" i="21"/>
  <c r="R288" i="21" s="1"/>
  <c r="P288" i="21"/>
  <c r="O288" i="21"/>
  <c r="N288" i="21"/>
  <c r="M288" i="21"/>
  <c r="L288" i="21"/>
  <c r="K288" i="21"/>
  <c r="J288" i="21"/>
  <c r="I288" i="21"/>
  <c r="H288" i="21"/>
  <c r="G288" i="21"/>
  <c r="F288" i="21"/>
  <c r="E288" i="21"/>
  <c r="D288" i="21"/>
  <c r="C288" i="21"/>
  <c r="B288" i="21"/>
  <c r="A288" i="21"/>
  <c r="BG287" i="21"/>
  <c r="BH287" i="21" s="1"/>
  <c r="BE287" i="21"/>
  <c r="BF287" i="21" s="1"/>
  <c r="AW287" i="21"/>
  <c r="AX287" i="21" s="1"/>
  <c r="AU287" i="21"/>
  <c r="AV287" i="21" s="1"/>
  <c r="AS287" i="21"/>
  <c r="AT287" i="21" s="1"/>
  <c r="AQ287" i="21"/>
  <c r="AR287" i="21" s="1"/>
  <c r="AO287" i="21"/>
  <c r="AP287" i="21" s="1"/>
  <c r="AM287" i="21"/>
  <c r="AN287" i="21" s="1"/>
  <c r="AK287" i="21"/>
  <c r="AL287" i="21" s="1"/>
  <c r="AG287" i="21"/>
  <c r="AE287" i="21"/>
  <c r="AF287" i="21" s="1"/>
  <c r="AC287" i="21"/>
  <c r="AD287" i="21" s="1"/>
  <c r="AA287" i="21"/>
  <c r="AB287" i="21" s="1"/>
  <c r="W287" i="21"/>
  <c r="X287" i="21" s="1"/>
  <c r="U287" i="21"/>
  <c r="S287" i="21"/>
  <c r="T287" i="21" s="1"/>
  <c r="Q287" i="21"/>
  <c r="R287" i="21" s="1"/>
  <c r="P287" i="21"/>
  <c r="O287" i="21"/>
  <c r="N287" i="21"/>
  <c r="M287" i="21"/>
  <c r="L287" i="21"/>
  <c r="K287" i="21"/>
  <c r="J287" i="21"/>
  <c r="I287" i="21"/>
  <c r="H287" i="21"/>
  <c r="G287" i="21"/>
  <c r="F287" i="21"/>
  <c r="E287" i="21"/>
  <c r="D287" i="21"/>
  <c r="C287" i="21"/>
  <c r="B287" i="21"/>
  <c r="A287" i="21"/>
  <c r="BG286" i="21"/>
  <c r="BE286" i="21"/>
  <c r="BF286" i="21" s="1"/>
  <c r="AW286" i="21"/>
  <c r="AX286" i="21" s="1"/>
  <c r="AU286" i="21"/>
  <c r="AV286" i="21" s="1"/>
  <c r="AS286" i="21"/>
  <c r="AT286" i="21" s="1"/>
  <c r="AQ286" i="21"/>
  <c r="AO286" i="21"/>
  <c r="AP286" i="21" s="1"/>
  <c r="AM286" i="21"/>
  <c r="AN286" i="21" s="1"/>
  <c r="AK286" i="21"/>
  <c r="AL286" i="21" s="1"/>
  <c r="AG286" i="21"/>
  <c r="AH286" i="21" s="1"/>
  <c r="AE286" i="21"/>
  <c r="AC286" i="21"/>
  <c r="AD286" i="21" s="1"/>
  <c r="AA286" i="21"/>
  <c r="AB286" i="21" s="1"/>
  <c r="W286" i="21"/>
  <c r="U286" i="21"/>
  <c r="V286" i="21" s="1"/>
  <c r="S286" i="21"/>
  <c r="T286" i="21" s="1"/>
  <c r="Q286" i="21"/>
  <c r="R286" i="21" s="1"/>
  <c r="P286" i="21"/>
  <c r="O286" i="21"/>
  <c r="N286" i="21"/>
  <c r="M286" i="21"/>
  <c r="L286" i="21"/>
  <c r="K286" i="21"/>
  <c r="J286" i="21"/>
  <c r="I286" i="21"/>
  <c r="H286" i="21"/>
  <c r="G286" i="21"/>
  <c r="F286" i="21"/>
  <c r="E286" i="21"/>
  <c r="D286" i="21"/>
  <c r="C286" i="21"/>
  <c r="B286" i="21"/>
  <c r="A286" i="21"/>
  <c r="BG285" i="21"/>
  <c r="BH285" i="21" s="1"/>
  <c r="BE285" i="21"/>
  <c r="BF285" i="21" s="1"/>
  <c r="AW285" i="21"/>
  <c r="AX285" i="21" s="1"/>
  <c r="AU285" i="21"/>
  <c r="AS285" i="21"/>
  <c r="AT285" i="21" s="1"/>
  <c r="AQ285" i="21"/>
  <c r="AO285" i="21"/>
  <c r="AP285" i="21" s="1"/>
  <c r="AM285" i="21"/>
  <c r="AN285" i="21" s="1"/>
  <c r="AK285" i="21"/>
  <c r="AL285" i="21" s="1"/>
  <c r="AG285" i="21"/>
  <c r="AH285" i="21" s="1"/>
  <c r="AE285" i="21"/>
  <c r="AF285" i="21" s="1"/>
  <c r="AC285" i="21"/>
  <c r="AA285" i="21"/>
  <c r="AB285" i="21" s="1"/>
  <c r="W285" i="21"/>
  <c r="U285" i="21"/>
  <c r="V285" i="21" s="1"/>
  <c r="S285" i="21"/>
  <c r="T285" i="21" s="1"/>
  <c r="Q285" i="21"/>
  <c r="R285" i="21" s="1"/>
  <c r="P285" i="21"/>
  <c r="O285" i="21"/>
  <c r="N285" i="21"/>
  <c r="M285" i="21"/>
  <c r="L285" i="21"/>
  <c r="K285" i="21"/>
  <c r="J285" i="21"/>
  <c r="I285" i="21"/>
  <c r="H285" i="21"/>
  <c r="G285" i="21"/>
  <c r="F285" i="21"/>
  <c r="E285" i="21"/>
  <c r="D285" i="21"/>
  <c r="C285" i="21"/>
  <c r="B285" i="21"/>
  <c r="A285" i="21"/>
  <c r="BG284" i="21"/>
  <c r="BH284" i="21" s="1"/>
  <c r="BE284" i="21"/>
  <c r="BF284" i="21" s="1"/>
  <c r="AW284" i="21"/>
  <c r="AX284" i="21" s="1"/>
  <c r="AU284" i="21"/>
  <c r="AV284" i="21" s="1"/>
  <c r="AS284" i="21"/>
  <c r="AT284" i="21" s="1"/>
  <c r="AQ284" i="21"/>
  <c r="AR284" i="21" s="1"/>
  <c r="AO284" i="21"/>
  <c r="AP284" i="21" s="1"/>
  <c r="AM284" i="21"/>
  <c r="AN284" i="21" s="1"/>
  <c r="AK284" i="21"/>
  <c r="AL284" i="21" s="1"/>
  <c r="AG284" i="21"/>
  <c r="AE284" i="21"/>
  <c r="AF284" i="21" s="1"/>
  <c r="AC284" i="21"/>
  <c r="AD284" i="21" s="1"/>
  <c r="AA284" i="21"/>
  <c r="AB284" i="21" s="1"/>
  <c r="W284" i="21"/>
  <c r="X284" i="21" s="1"/>
  <c r="U284" i="21"/>
  <c r="S284" i="21"/>
  <c r="T284" i="21" s="1"/>
  <c r="Q284" i="21"/>
  <c r="R284" i="21" s="1"/>
  <c r="P284" i="21"/>
  <c r="O284" i="21"/>
  <c r="N284" i="21"/>
  <c r="M284" i="21"/>
  <c r="L284" i="21"/>
  <c r="K284" i="21"/>
  <c r="J284" i="21"/>
  <c r="I284" i="21"/>
  <c r="H284" i="21"/>
  <c r="G284" i="21"/>
  <c r="F284" i="21"/>
  <c r="E284" i="21"/>
  <c r="D284" i="21"/>
  <c r="C284" i="21"/>
  <c r="B284" i="21"/>
  <c r="A284" i="21"/>
  <c r="BG283" i="21"/>
  <c r="BE283" i="21"/>
  <c r="BF283" i="21" s="1"/>
  <c r="AW283" i="21"/>
  <c r="AX283" i="21" s="1"/>
  <c r="AU283" i="21"/>
  <c r="AV283" i="21" s="1"/>
  <c r="AS283" i="21"/>
  <c r="AQ283" i="21"/>
  <c r="AR283" i="21" s="1"/>
  <c r="AO283" i="21"/>
  <c r="AP283" i="21" s="1"/>
  <c r="AM283" i="21"/>
  <c r="AK283" i="21"/>
  <c r="AL283" i="21" s="1"/>
  <c r="AG283" i="21"/>
  <c r="AH283" i="21" s="1"/>
  <c r="AE283" i="21"/>
  <c r="AF283" i="21" s="1"/>
  <c r="AC283" i="21"/>
  <c r="AD283" i="21" s="1"/>
  <c r="AA283" i="21"/>
  <c r="W283" i="21"/>
  <c r="X283" i="21" s="1"/>
  <c r="U283" i="21"/>
  <c r="V283" i="21" s="1"/>
  <c r="S283" i="21"/>
  <c r="Q283" i="21"/>
  <c r="R283" i="21" s="1"/>
  <c r="P283" i="21"/>
  <c r="O283" i="21"/>
  <c r="N283" i="21"/>
  <c r="M283" i="21"/>
  <c r="L283" i="21"/>
  <c r="K283" i="21"/>
  <c r="J283" i="21"/>
  <c r="I283" i="21"/>
  <c r="H283" i="21"/>
  <c r="G283" i="21"/>
  <c r="F283" i="21"/>
  <c r="E283" i="21"/>
  <c r="D283" i="21"/>
  <c r="C283" i="21"/>
  <c r="B283" i="21"/>
  <c r="A283" i="21"/>
  <c r="BG282" i="21"/>
  <c r="BH282" i="21" s="1"/>
  <c r="BE282" i="21"/>
  <c r="BF282" i="21" s="1"/>
  <c r="AW282" i="21"/>
  <c r="AX282" i="21" s="1"/>
  <c r="AU282" i="21"/>
  <c r="AV282" i="21" s="1"/>
  <c r="AS282" i="21"/>
  <c r="AT282" i="21" s="1"/>
  <c r="AQ282" i="21"/>
  <c r="AO282" i="21"/>
  <c r="AP282" i="21" s="1"/>
  <c r="AM282" i="21"/>
  <c r="AN282" i="21" s="1"/>
  <c r="AK282" i="21"/>
  <c r="AL282" i="21" s="1"/>
  <c r="AG282" i="21"/>
  <c r="AH282" i="21" s="1"/>
  <c r="AE282" i="21"/>
  <c r="AF282" i="21" s="1"/>
  <c r="AC282" i="21"/>
  <c r="AD282" i="21" s="1"/>
  <c r="AA282" i="21"/>
  <c r="AB282" i="21" s="1"/>
  <c r="W282" i="21"/>
  <c r="U282" i="21"/>
  <c r="V282" i="21" s="1"/>
  <c r="S282" i="21"/>
  <c r="Q282" i="21"/>
  <c r="R282" i="21" s="1"/>
  <c r="P282" i="21"/>
  <c r="O282" i="21"/>
  <c r="N282" i="21"/>
  <c r="M282" i="21"/>
  <c r="L282" i="21"/>
  <c r="K282" i="21"/>
  <c r="J282" i="21"/>
  <c r="I282" i="21"/>
  <c r="H282" i="21"/>
  <c r="G282" i="21"/>
  <c r="F282" i="21"/>
  <c r="E282" i="21"/>
  <c r="D282" i="21"/>
  <c r="C282" i="21"/>
  <c r="B282" i="21"/>
  <c r="A282" i="21"/>
  <c r="BG281" i="21"/>
  <c r="BH281" i="21" s="1"/>
  <c r="BE281" i="21"/>
  <c r="BF281" i="21" s="1"/>
  <c r="AW281" i="21"/>
  <c r="AX281" i="21" s="1"/>
  <c r="AU281" i="21"/>
  <c r="AS281" i="21"/>
  <c r="AT281" i="21" s="1"/>
  <c r="AQ281" i="21"/>
  <c r="AO281" i="21"/>
  <c r="AP281" i="21" s="1"/>
  <c r="AM281" i="21"/>
  <c r="AN281" i="21" s="1"/>
  <c r="AK281" i="21"/>
  <c r="AL281" i="21" s="1"/>
  <c r="AG281" i="21"/>
  <c r="AH281" i="21" s="1"/>
  <c r="AE281" i="21"/>
  <c r="AF281" i="21" s="1"/>
  <c r="AC281" i="21"/>
  <c r="AA281" i="21"/>
  <c r="AB281" i="21" s="1"/>
  <c r="W281" i="21"/>
  <c r="X281" i="21" s="1"/>
  <c r="U281" i="21"/>
  <c r="V281" i="21" s="1"/>
  <c r="S281" i="21"/>
  <c r="T281" i="21" s="1"/>
  <c r="Q281" i="21"/>
  <c r="R281" i="21" s="1"/>
  <c r="P281" i="21"/>
  <c r="O281" i="21"/>
  <c r="N281" i="21"/>
  <c r="M281" i="21"/>
  <c r="L281" i="21"/>
  <c r="K281" i="21"/>
  <c r="J281" i="21"/>
  <c r="I281" i="21"/>
  <c r="H281" i="21"/>
  <c r="G281" i="21"/>
  <c r="F281" i="21"/>
  <c r="E281" i="21"/>
  <c r="D281" i="21"/>
  <c r="C281" i="21"/>
  <c r="B281" i="21"/>
  <c r="A281" i="21"/>
  <c r="BG280" i="21"/>
  <c r="BE280" i="21"/>
  <c r="BF280" i="21" s="1"/>
  <c r="AW280" i="21"/>
  <c r="AX280" i="21" s="1"/>
  <c r="AU280" i="21"/>
  <c r="AV280" i="21" s="1"/>
  <c r="AS280" i="21"/>
  <c r="AT280" i="21" s="1"/>
  <c r="AQ280" i="21"/>
  <c r="AR280" i="21" s="1"/>
  <c r="AO280" i="21"/>
  <c r="AM280" i="21"/>
  <c r="AN280" i="21" s="1"/>
  <c r="AK280" i="21"/>
  <c r="AL280" i="21" s="1"/>
  <c r="AG280" i="21"/>
  <c r="AE280" i="21"/>
  <c r="AF280" i="21" s="1"/>
  <c r="AC280" i="21"/>
  <c r="AA280" i="21"/>
  <c r="AB280" i="21" s="1"/>
  <c r="W280" i="21"/>
  <c r="X280" i="21" s="1"/>
  <c r="U280" i="21"/>
  <c r="S280" i="21"/>
  <c r="T280" i="21" s="1"/>
  <c r="Q280" i="21"/>
  <c r="R280" i="21" s="1"/>
  <c r="P280" i="21"/>
  <c r="O280" i="21"/>
  <c r="N280" i="21"/>
  <c r="M280" i="21"/>
  <c r="L280" i="21"/>
  <c r="K280" i="21"/>
  <c r="J280" i="21"/>
  <c r="I280" i="21"/>
  <c r="H280" i="21"/>
  <c r="G280" i="21"/>
  <c r="F280" i="21"/>
  <c r="E280" i="21"/>
  <c r="D280" i="21"/>
  <c r="C280" i="21"/>
  <c r="B280" i="21"/>
  <c r="A280" i="21"/>
  <c r="BG279" i="21"/>
  <c r="BE279" i="21"/>
  <c r="BF279" i="21" s="1"/>
  <c r="AW279" i="21"/>
  <c r="AX279" i="21" s="1"/>
  <c r="AU279" i="21"/>
  <c r="AV279" i="21" s="1"/>
  <c r="AS279" i="21"/>
  <c r="AQ279" i="21"/>
  <c r="AR279" i="21" s="1"/>
  <c r="AO279" i="21"/>
  <c r="AP279" i="21" s="1"/>
  <c r="AM279" i="21"/>
  <c r="AK279" i="21"/>
  <c r="AL279" i="21" s="1"/>
  <c r="AG279" i="21"/>
  <c r="AH279" i="21" s="1"/>
  <c r="AE279" i="21"/>
  <c r="AF279" i="21" s="1"/>
  <c r="AC279" i="21"/>
  <c r="AD279" i="21" s="1"/>
  <c r="AA279" i="21"/>
  <c r="W279" i="21"/>
  <c r="X279" i="21" s="1"/>
  <c r="U279" i="21"/>
  <c r="V279" i="21" s="1"/>
  <c r="S279" i="21"/>
  <c r="Q279" i="21"/>
  <c r="R279" i="21" s="1"/>
  <c r="P279" i="21"/>
  <c r="O279" i="21"/>
  <c r="N279" i="21"/>
  <c r="M279" i="21"/>
  <c r="L279" i="21"/>
  <c r="K279" i="21"/>
  <c r="J279" i="21"/>
  <c r="I279" i="21"/>
  <c r="H279" i="21"/>
  <c r="G279" i="21"/>
  <c r="F279" i="21"/>
  <c r="E279" i="21"/>
  <c r="D279" i="21"/>
  <c r="C279" i="21"/>
  <c r="B279" i="21"/>
  <c r="A279" i="21"/>
  <c r="BG278" i="21"/>
  <c r="BH278" i="21" s="1"/>
  <c r="BE278" i="21"/>
  <c r="BF278" i="21" s="1"/>
  <c r="AW278" i="21"/>
  <c r="AX278" i="21" s="1"/>
  <c r="AU278" i="21"/>
  <c r="AV278" i="21" s="1"/>
  <c r="AS278" i="21"/>
  <c r="AT278" i="21" s="1"/>
  <c r="AQ278" i="21"/>
  <c r="AO278" i="21"/>
  <c r="AP278" i="21" s="1"/>
  <c r="AM278" i="21"/>
  <c r="AK278" i="21"/>
  <c r="AL278" i="21" s="1"/>
  <c r="AG278" i="21"/>
  <c r="AH278" i="21" s="1"/>
  <c r="AE278" i="21"/>
  <c r="AF278" i="21" s="1"/>
  <c r="AC278" i="21"/>
  <c r="AD278" i="21" s="1"/>
  <c r="AA278" i="21"/>
  <c r="AB278" i="21" s="1"/>
  <c r="W278" i="21"/>
  <c r="U278" i="21"/>
  <c r="V278" i="21" s="1"/>
  <c r="S278" i="21"/>
  <c r="Q278" i="21"/>
  <c r="R278" i="21" s="1"/>
  <c r="P278" i="21"/>
  <c r="O278" i="21"/>
  <c r="N278" i="21"/>
  <c r="M278" i="21"/>
  <c r="L278" i="21"/>
  <c r="K278" i="21"/>
  <c r="J278" i="21"/>
  <c r="I278" i="21"/>
  <c r="H278" i="21"/>
  <c r="G278" i="21"/>
  <c r="F278" i="21"/>
  <c r="E278" i="21"/>
  <c r="D278" i="21"/>
  <c r="C278" i="21"/>
  <c r="B278" i="21"/>
  <c r="A278" i="21"/>
  <c r="BG277" i="21"/>
  <c r="BH277" i="21" s="1"/>
  <c r="BE277" i="21"/>
  <c r="BF277" i="21" s="1"/>
  <c r="AW277" i="21"/>
  <c r="AX277" i="21" s="1"/>
  <c r="AU277" i="21"/>
  <c r="AS277" i="21"/>
  <c r="AT277" i="21" s="1"/>
  <c r="AQ277" i="21"/>
  <c r="AR277" i="21" s="1"/>
  <c r="AO277" i="21"/>
  <c r="AP277" i="21" s="1"/>
  <c r="AM277" i="21"/>
  <c r="AN277" i="21" s="1"/>
  <c r="AK277" i="21"/>
  <c r="AL277" i="21" s="1"/>
  <c r="AG277" i="21"/>
  <c r="AH277" i="21" s="1"/>
  <c r="AE277" i="21"/>
  <c r="AF277" i="21" s="1"/>
  <c r="AC277" i="21"/>
  <c r="AA277" i="21"/>
  <c r="AB277" i="21" s="1"/>
  <c r="W277" i="21"/>
  <c r="U277" i="21"/>
  <c r="V277" i="21" s="1"/>
  <c r="S277" i="21"/>
  <c r="T277" i="21" s="1"/>
  <c r="Q277" i="21"/>
  <c r="P277" i="21"/>
  <c r="O277" i="21"/>
  <c r="N277" i="21"/>
  <c r="M277" i="21"/>
  <c r="L277" i="21"/>
  <c r="K277" i="21"/>
  <c r="J277" i="21"/>
  <c r="I277" i="21"/>
  <c r="H277" i="21"/>
  <c r="G277" i="21"/>
  <c r="F277" i="21"/>
  <c r="E277" i="21"/>
  <c r="D277" i="21"/>
  <c r="C277" i="21"/>
  <c r="B277" i="21"/>
  <c r="A277" i="21"/>
  <c r="BG276" i="21"/>
  <c r="BH276" i="21" s="1"/>
  <c r="BE276" i="21"/>
  <c r="BF276" i="21" s="1"/>
  <c r="AW276" i="21"/>
  <c r="AX276" i="21" s="1"/>
  <c r="AU276" i="21"/>
  <c r="AS276" i="21"/>
  <c r="AT276" i="21" s="1"/>
  <c r="AQ276" i="21"/>
  <c r="AR276" i="21" s="1"/>
  <c r="AO276" i="21"/>
  <c r="AM276" i="21"/>
  <c r="AN276" i="21" s="1"/>
  <c r="AK276" i="21"/>
  <c r="AL276" i="21" s="1"/>
  <c r="AG276" i="21"/>
  <c r="AE276" i="21"/>
  <c r="AF276" i="21" s="1"/>
  <c r="AC276" i="21"/>
  <c r="AD276" i="21" s="1"/>
  <c r="AA276" i="21"/>
  <c r="AB276" i="21" s="1"/>
  <c r="W276" i="21"/>
  <c r="X276" i="21" s="1"/>
  <c r="U276" i="21"/>
  <c r="S276" i="21"/>
  <c r="T276" i="21" s="1"/>
  <c r="Q276" i="21"/>
  <c r="R276" i="21" s="1"/>
  <c r="P276" i="21"/>
  <c r="O276" i="21"/>
  <c r="N276" i="21"/>
  <c r="M276" i="21"/>
  <c r="L276" i="21"/>
  <c r="K276" i="21"/>
  <c r="J276" i="21"/>
  <c r="I276" i="21"/>
  <c r="H276" i="21"/>
  <c r="G276" i="21"/>
  <c r="F276" i="21"/>
  <c r="E276" i="21"/>
  <c r="D276" i="21"/>
  <c r="C276" i="21"/>
  <c r="B276" i="21"/>
  <c r="A276" i="21"/>
  <c r="BG275" i="21"/>
  <c r="BE275" i="21"/>
  <c r="BF275" i="21" s="1"/>
  <c r="AW275" i="21"/>
  <c r="AX275" i="21" s="1"/>
  <c r="AU275" i="21"/>
  <c r="AV275" i="21" s="1"/>
  <c r="AS275" i="21"/>
  <c r="AQ275" i="21"/>
  <c r="AR275" i="21" s="1"/>
  <c r="AO275" i="21"/>
  <c r="AP275" i="21" s="1"/>
  <c r="AM275" i="21"/>
  <c r="AK275" i="21"/>
  <c r="AL275" i="21" s="1"/>
  <c r="AG275" i="21"/>
  <c r="AH275" i="21" s="1"/>
  <c r="AE275" i="21"/>
  <c r="AF275" i="21" s="1"/>
  <c r="AC275" i="21"/>
  <c r="AD275" i="21" s="1"/>
  <c r="AA275" i="21"/>
  <c r="AB275" i="21" s="1"/>
  <c r="W275" i="21"/>
  <c r="X275" i="21" s="1"/>
  <c r="U275" i="21"/>
  <c r="V275" i="21" s="1"/>
  <c r="S275" i="21"/>
  <c r="Q275" i="21"/>
  <c r="R275" i="21" s="1"/>
  <c r="P275" i="21"/>
  <c r="O275" i="21"/>
  <c r="N275" i="21"/>
  <c r="M275" i="21"/>
  <c r="L275" i="21"/>
  <c r="K275" i="21"/>
  <c r="J275" i="21"/>
  <c r="I275" i="21"/>
  <c r="H275" i="21"/>
  <c r="G275" i="21"/>
  <c r="F275" i="21"/>
  <c r="E275" i="21"/>
  <c r="D275" i="21"/>
  <c r="C275" i="21"/>
  <c r="B275" i="21"/>
  <c r="A275" i="21"/>
  <c r="BG274" i="21"/>
  <c r="BE274" i="21"/>
  <c r="BF274" i="21" s="1"/>
  <c r="AW274" i="21"/>
  <c r="AX274" i="21" s="1"/>
  <c r="AU274" i="21"/>
  <c r="AV274" i="21" s="1"/>
  <c r="AS274" i="21"/>
  <c r="AT274" i="21" s="1"/>
  <c r="AQ274" i="21"/>
  <c r="AO274" i="21"/>
  <c r="AP274" i="21" s="1"/>
  <c r="AM274" i="21"/>
  <c r="AK274" i="21"/>
  <c r="AL274" i="21" s="1"/>
  <c r="AG274" i="21"/>
  <c r="AH274" i="21" s="1"/>
  <c r="AE274" i="21"/>
  <c r="AF274" i="21" s="1"/>
  <c r="AC274" i="21"/>
  <c r="AD274" i="21" s="1"/>
  <c r="AA274" i="21"/>
  <c r="AB274" i="21" s="1"/>
  <c r="W274" i="21"/>
  <c r="U274" i="21"/>
  <c r="V274" i="21" s="1"/>
  <c r="S274" i="21"/>
  <c r="T274" i="21" s="1"/>
  <c r="Q274" i="21"/>
  <c r="R274" i="21" s="1"/>
  <c r="P274" i="21"/>
  <c r="O274" i="21"/>
  <c r="N274" i="21"/>
  <c r="M274" i="21"/>
  <c r="L274" i="21"/>
  <c r="K274" i="21"/>
  <c r="J274" i="21"/>
  <c r="I274" i="21"/>
  <c r="H274" i="21"/>
  <c r="G274" i="21"/>
  <c r="F274" i="21"/>
  <c r="E274" i="21"/>
  <c r="D274" i="21"/>
  <c r="C274" i="21"/>
  <c r="B274" i="21"/>
  <c r="A274" i="21"/>
  <c r="BG273" i="21"/>
  <c r="BH273" i="21" s="1"/>
  <c r="BE273" i="21"/>
  <c r="BF273" i="21" s="1"/>
  <c r="AW273" i="21"/>
  <c r="AX273" i="21" s="1"/>
  <c r="AU273" i="21"/>
  <c r="AS273" i="21"/>
  <c r="AT273" i="21" s="1"/>
  <c r="AQ273" i="21"/>
  <c r="AR273" i="21" s="1"/>
  <c r="AO273" i="21"/>
  <c r="AP273" i="21" s="1"/>
  <c r="AM273" i="21"/>
  <c r="AN273" i="21" s="1"/>
  <c r="AK273" i="21"/>
  <c r="AG273" i="21"/>
  <c r="AH273" i="21" s="1"/>
  <c r="AE273" i="21"/>
  <c r="AF273" i="21" s="1"/>
  <c r="AC273" i="21"/>
  <c r="AA273" i="21"/>
  <c r="AB273" i="21" s="1"/>
  <c r="W273" i="21"/>
  <c r="U273" i="21"/>
  <c r="V273" i="21" s="1"/>
  <c r="S273" i="21"/>
  <c r="T273" i="21" s="1"/>
  <c r="Q273" i="21"/>
  <c r="P273" i="21"/>
  <c r="O273" i="21"/>
  <c r="N273" i="21"/>
  <c r="M273" i="21"/>
  <c r="L273" i="21"/>
  <c r="K273" i="21"/>
  <c r="J273" i="21"/>
  <c r="I273" i="21"/>
  <c r="H273" i="21"/>
  <c r="G273" i="21"/>
  <c r="F273" i="21"/>
  <c r="E273" i="21"/>
  <c r="D273" i="21"/>
  <c r="C273" i="21"/>
  <c r="B273" i="21"/>
  <c r="A273" i="21"/>
  <c r="BG272" i="21"/>
  <c r="BH272" i="21" s="1"/>
  <c r="BE272" i="21"/>
  <c r="BF272" i="21" s="1"/>
  <c r="AW272" i="21"/>
  <c r="AX272" i="21" s="1"/>
  <c r="AU272" i="21"/>
  <c r="AV272" i="21" s="1"/>
  <c r="AS272" i="21"/>
  <c r="AT272" i="21" s="1"/>
  <c r="AQ272" i="21"/>
  <c r="AR272" i="21" s="1"/>
  <c r="AO272" i="21"/>
  <c r="AM272" i="21"/>
  <c r="AN272" i="21" s="1"/>
  <c r="AK272" i="21"/>
  <c r="AL272" i="21" s="1"/>
  <c r="AG272" i="21"/>
  <c r="AE272" i="21"/>
  <c r="AF272" i="21" s="1"/>
  <c r="AC272" i="21"/>
  <c r="AD272" i="21" s="1"/>
  <c r="AA272" i="21"/>
  <c r="AB272" i="21" s="1"/>
  <c r="W272" i="21"/>
  <c r="X272" i="21" s="1"/>
  <c r="U272" i="21"/>
  <c r="S272" i="21"/>
  <c r="T272" i="21" s="1"/>
  <c r="Q272" i="21"/>
  <c r="R272" i="21" s="1"/>
  <c r="P272" i="21"/>
  <c r="O272" i="21"/>
  <c r="N272" i="21"/>
  <c r="M272" i="21"/>
  <c r="L272" i="21"/>
  <c r="K272" i="21"/>
  <c r="J272" i="21"/>
  <c r="I272" i="21"/>
  <c r="H272" i="21"/>
  <c r="G272" i="21"/>
  <c r="F272" i="21"/>
  <c r="E272" i="21"/>
  <c r="D272" i="21"/>
  <c r="C272" i="21"/>
  <c r="B272" i="21"/>
  <c r="A272" i="21"/>
  <c r="BG271" i="21"/>
  <c r="BE271" i="21"/>
  <c r="BF271" i="21" s="1"/>
  <c r="AW271" i="21"/>
  <c r="AX271" i="21" s="1"/>
  <c r="AU271" i="21"/>
  <c r="AV271" i="21" s="1"/>
  <c r="AS271" i="21"/>
  <c r="AT271" i="21" s="1"/>
  <c r="AQ271" i="21"/>
  <c r="AR271" i="21" s="1"/>
  <c r="AO271" i="21"/>
  <c r="AP271" i="21" s="1"/>
  <c r="AM271" i="21"/>
  <c r="AK271" i="21"/>
  <c r="AL271" i="21" s="1"/>
  <c r="AG271" i="21"/>
  <c r="AE271" i="21"/>
  <c r="AF271" i="21" s="1"/>
  <c r="AC271" i="21"/>
  <c r="AD271" i="21" s="1"/>
  <c r="AA271" i="21"/>
  <c r="AB271" i="21" s="1"/>
  <c r="W271" i="21"/>
  <c r="X271" i="21" s="1"/>
  <c r="U271" i="21"/>
  <c r="V271" i="21" s="1"/>
  <c r="S271" i="21"/>
  <c r="Q271" i="21"/>
  <c r="R271" i="21" s="1"/>
  <c r="P271" i="21"/>
  <c r="O271" i="21"/>
  <c r="N271" i="21"/>
  <c r="M271" i="21"/>
  <c r="L271" i="21"/>
  <c r="K271" i="21"/>
  <c r="J271" i="21"/>
  <c r="I271" i="21"/>
  <c r="H271" i="21"/>
  <c r="G271" i="21"/>
  <c r="F271" i="21"/>
  <c r="E271" i="21"/>
  <c r="D271" i="21"/>
  <c r="C271" i="21"/>
  <c r="B271" i="21"/>
  <c r="A271" i="21"/>
  <c r="BG270" i="21"/>
  <c r="BE270" i="21"/>
  <c r="BF270" i="21" s="1"/>
  <c r="AW270" i="21"/>
  <c r="AX270" i="21" s="1"/>
  <c r="AU270" i="21"/>
  <c r="AV270" i="21" s="1"/>
  <c r="AS270" i="21"/>
  <c r="AT270" i="21" s="1"/>
  <c r="AQ270" i="21"/>
  <c r="AO270" i="21"/>
  <c r="AP270" i="21" s="1"/>
  <c r="AM270" i="21"/>
  <c r="AN270" i="21" s="1"/>
  <c r="AK270" i="21"/>
  <c r="AL270" i="21" s="1"/>
  <c r="AG270" i="21"/>
  <c r="AH270" i="21" s="1"/>
  <c r="AE270" i="21"/>
  <c r="AF270" i="21" s="1"/>
  <c r="AC270" i="21"/>
  <c r="AD270" i="21" s="1"/>
  <c r="AA270" i="21"/>
  <c r="AB270" i="21" s="1"/>
  <c r="W270" i="21"/>
  <c r="U270" i="21"/>
  <c r="V270" i="21" s="1"/>
  <c r="S270" i="21"/>
  <c r="T270" i="21" s="1"/>
  <c r="Q270" i="21"/>
  <c r="R270" i="21" s="1"/>
  <c r="P270" i="21"/>
  <c r="O270" i="21"/>
  <c r="N270" i="21"/>
  <c r="M270" i="21"/>
  <c r="L270" i="21"/>
  <c r="K270" i="21"/>
  <c r="J270" i="21"/>
  <c r="I270" i="21"/>
  <c r="H270" i="21"/>
  <c r="G270" i="21"/>
  <c r="F270" i="21"/>
  <c r="E270" i="21"/>
  <c r="D270" i="21"/>
  <c r="C270" i="21"/>
  <c r="B270" i="21"/>
  <c r="A270" i="21"/>
  <c r="BG269" i="21"/>
  <c r="BH269" i="21" s="1"/>
  <c r="BE269" i="21"/>
  <c r="AW269" i="21"/>
  <c r="AX269" i="21" s="1"/>
  <c r="AU269" i="21"/>
  <c r="AS269" i="21"/>
  <c r="AT269" i="21" s="1"/>
  <c r="AQ269" i="21"/>
  <c r="AO269" i="21"/>
  <c r="AP269" i="21" s="1"/>
  <c r="AM269" i="21"/>
  <c r="AN269" i="21" s="1"/>
  <c r="AK269" i="21"/>
  <c r="AG269" i="21"/>
  <c r="AH269" i="21" s="1"/>
  <c r="AE269" i="21"/>
  <c r="AF269" i="21" s="1"/>
  <c r="AC269" i="21"/>
  <c r="AA269" i="21"/>
  <c r="AB269" i="21" s="1"/>
  <c r="W269" i="21"/>
  <c r="X269" i="21" s="1"/>
  <c r="U269" i="21"/>
  <c r="V269" i="21" s="1"/>
  <c r="S269" i="21"/>
  <c r="T269" i="21" s="1"/>
  <c r="Q269" i="21"/>
  <c r="P269" i="21"/>
  <c r="O269" i="21"/>
  <c r="N269" i="21"/>
  <c r="M269" i="21"/>
  <c r="L269" i="21"/>
  <c r="K269" i="21"/>
  <c r="J269" i="21"/>
  <c r="I269" i="21"/>
  <c r="H269" i="21"/>
  <c r="G269" i="21"/>
  <c r="F269" i="21"/>
  <c r="E269" i="21"/>
  <c r="D269" i="21"/>
  <c r="C269" i="21"/>
  <c r="B269" i="21"/>
  <c r="A269" i="21"/>
  <c r="BG268" i="21"/>
  <c r="BH268" i="21" s="1"/>
  <c r="BE268" i="21"/>
  <c r="BF268" i="21" s="1"/>
  <c r="AW268" i="21"/>
  <c r="AX268" i="21" s="1"/>
  <c r="AU268" i="21"/>
  <c r="AV268" i="21" s="1"/>
  <c r="AS268" i="21"/>
  <c r="AT268" i="21" s="1"/>
  <c r="AQ268" i="21"/>
  <c r="AR268" i="21" s="1"/>
  <c r="AO268" i="21"/>
  <c r="AM268" i="21"/>
  <c r="AN268" i="21" s="1"/>
  <c r="AK268" i="21"/>
  <c r="AL268" i="21" s="1"/>
  <c r="AG268" i="21"/>
  <c r="AE268" i="21"/>
  <c r="AF268" i="21" s="1"/>
  <c r="AC268" i="21"/>
  <c r="AD268" i="21" s="1"/>
  <c r="AA268" i="21"/>
  <c r="AB268" i="21" s="1"/>
  <c r="W268" i="21"/>
  <c r="X268" i="21" s="1"/>
  <c r="U268" i="21"/>
  <c r="V268" i="21" s="1"/>
  <c r="S268" i="21"/>
  <c r="T268" i="21" s="1"/>
  <c r="Q268" i="21"/>
  <c r="R268" i="21" s="1"/>
  <c r="P268" i="21"/>
  <c r="O268" i="21"/>
  <c r="N268" i="21"/>
  <c r="M268" i="21"/>
  <c r="L268" i="21"/>
  <c r="K268" i="21"/>
  <c r="J268" i="21"/>
  <c r="I268" i="21"/>
  <c r="H268" i="21"/>
  <c r="G268" i="21"/>
  <c r="F268" i="21"/>
  <c r="E268" i="21"/>
  <c r="D268" i="21"/>
  <c r="C268" i="21"/>
  <c r="B268" i="21"/>
  <c r="A268" i="21"/>
  <c r="BG267" i="21"/>
  <c r="BE267" i="21"/>
  <c r="BF267" i="21" s="1"/>
  <c r="AW267" i="21"/>
  <c r="AX267" i="21" s="1"/>
  <c r="AU267" i="21"/>
  <c r="AV267" i="21" s="1"/>
  <c r="AS267" i="21"/>
  <c r="AT267" i="21" s="1"/>
  <c r="AQ267" i="21"/>
  <c r="AR267" i="21" s="1"/>
  <c r="AO267" i="21"/>
  <c r="AP267" i="21" s="1"/>
  <c r="AM267" i="21"/>
  <c r="AK267" i="21"/>
  <c r="AL267" i="21" s="1"/>
  <c r="AG267" i="21"/>
  <c r="AH267" i="21" s="1"/>
  <c r="AE267" i="21"/>
  <c r="AF267" i="21" s="1"/>
  <c r="AC267" i="21"/>
  <c r="AD267" i="21" s="1"/>
  <c r="AA267" i="21"/>
  <c r="AB267" i="21" s="1"/>
  <c r="W267" i="21"/>
  <c r="X267" i="21" s="1"/>
  <c r="U267" i="21"/>
  <c r="V267" i="21" s="1"/>
  <c r="S267" i="21"/>
  <c r="Q267" i="21"/>
  <c r="R267" i="21" s="1"/>
  <c r="P267" i="21"/>
  <c r="O267" i="21"/>
  <c r="N267" i="21"/>
  <c r="M267" i="21"/>
  <c r="L267" i="21"/>
  <c r="K267" i="21"/>
  <c r="J267" i="21"/>
  <c r="I267" i="21"/>
  <c r="H267" i="21"/>
  <c r="G267" i="21"/>
  <c r="F267" i="21"/>
  <c r="E267" i="21"/>
  <c r="D267" i="21"/>
  <c r="C267" i="21"/>
  <c r="B267" i="21"/>
  <c r="A267" i="21"/>
  <c r="BG266" i="21"/>
  <c r="BH266" i="21" s="1"/>
  <c r="BE266" i="21"/>
  <c r="BF266" i="21" s="1"/>
  <c r="AW266" i="21"/>
  <c r="AU266" i="21"/>
  <c r="AV266" i="21" s="1"/>
  <c r="AS266" i="21"/>
  <c r="AT266" i="21" s="1"/>
  <c r="AQ266" i="21"/>
  <c r="AO266" i="21"/>
  <c r="AP266" i="21" s="1"/>
  <c r="AM266" i="21"/>
  <c r="AN266" i="21" s="1"/>
  <c r="AK266" i="21"/>
  <c r="AL266" i="21" s="1"/>
  <c r="AG266" i="21"/>
  <c r="AH266" i="21" s="1"/>
  <c r="AE266" i="21"/>
  <c r="AF266" i="21" s="1"/>
  <c r="AC266" i="21"/>
  <c r="AD266" i="21" s="1"/>
  <c r="AA266" i="21"/>
  <c r="AB266" i="21" s="1"/>
  <c r="W266" i="21"/>
  <c r="U266" i="21"/>
  <c r="V266" i="21" s="1"/>
  <c r="S266" i="21"/>
  <c r="Q266" i="21"/>
  <c r="R266" i="21" s="1"/>
  <c r="P266" i="21"/>
  <c r="O266" i="21"/>
  <c r="N266" i="21"/>
  <c r="M266" i="21"/>
  <c r="L266" i="21"/>
  <c r="K266" i="21"/>
  <c r="J266" i="21"/>
  <c r="I266" i="21"/>
  <c r="H266" i="21"/>
  <c r="G266" i="21"/>
  <c r="F266" i="21"/>
  <c r="E266" i="21"/>
  <c r="D266" i="21"/>
  <c r="C266" i="21"/>
  <c r="B266" i="21"/>
  <c r="A266" i="21"/>
  <c r="BG265" i="21"/>
  <c r="BH265" i="21" s="1"/>
  <c r="BE265" i="21"/>
  <c r="AW265" i="21"/>
  <c r="AX265" i="21" s="1"/>
  <c r="AU265" i="21"/>
  <c r="AS265" i="21"/>
  <c r="AT265" i="21" s="1"/>
  <c r="AQ265" i="21"/>
  <c r="AR265" i="21" s="1"/>
  <c r="AO265" i="21"/>
  <c r="AP265" i="21" s="1"/>
  <c r="AM265" i="21"/>
  <c r="AN265" i="21" s="1"/>
  <c r="AK265" i="21"/>
  <c r="AG265" i="21"/>
  <c r="AH265" i="21" s="1"/>
  <c r="AE265" i="21"/>
  <c r="AF265" i="21" s="1"/>
  <c r="AC265" i="21"/>
  <c r="AD265" i="21" s="1"/>
  <c r="AA265" i="21"/>
  <c r="AB265" i="21" s="1"/>
  <c r="W265" i="21"/>
  <c r="X265" i="21" s="1"/>
  <c r="U265" i="21"/>
  <c r="V265" i="21" s="1"/>
  <c r="S265" i="21"/>
  <c r="T265" i="21" s="1"/>
  <c r="Q265" i="21"/>
  <c r="P265" i="21"/>
  <c r="O265" i="21"/>
  <c r="N265" i="21"/>
  <c r="M265" i="21"/>
  <c r="L265" i="21"/>
  <c r="K265" i="21"/>
  <c r="J265" i="21"/>
  <c r="I265" i="21"/>
  <c r="H265" i="21"/>
  <c r="G265" i="21"/>
  <c r="F265" i="21"/>
  <c r="E265" i="21"/>
  <c r="D265" i="21"/>
  <c r="C265" i="21"/>
  <c r="B265" i="21"/>
  <c r="A265" i="21"/>
  <c r="BG264" i="21"/>
  <c r="BH264" i="21" s="1"/>
  <c r="BE264" i="21"/>
  <c r="BF264" i="21" s="1"/>
  <c r="AW264" i="21"/>
  <c r="AX264" i="21" s="1"/>
  <c r="AU264" i="21"/>
  <c r="AV264" i="21" s="1"/>
  <c r="AS264" i="21"/>
  <c r="AT264" i="21" s="1"/>
  <c r="AQ264" i="21"/>
  <c r="AR264" i="21" s="1"/>
  <c r="AO264" i="21"/>
  <c r="AP264" i="21" s="1"/>
  <c r="AM264" i="21"/>
  <c r="AN264" i="21" s="1"/>
  <c r="AK264" i="21"/>
  <c r="AL264" i="21" s="1"/>
  <c r="AG264" i="21"/>
  <c r="AE264" i="21"/>
  <c r="AF264" i="21" s="1"/>
  <c r="AC264" i="21"/>
  <c r="AA264" i="21"/>
  <c r="AB264" i="21" s="1"/>
  <c r="W264" i="21"/>
  <c r="U264" i="21"/>
  <c r="V264" i="21" s="1"/>
  <c r="S264" i="21"/>
  <c r="T264" i="21" s="1"/>
  <c r="Q264" i="21"/>
  <c r="R264" i="21" s="1"/>
  <c r="P264" i="21"/>
  <c r="O264" i="21"/>
  <c r="N264" i="21"/>
  <c r="M264" i="21"/>
  <c r="L264" i="21"/>
  <c r="K264" i="21"/>
  <c r="J264" i="21"/>
  <c r="I264" i="21"/>
  <c r="H264" i="21"/>
  <c r="G264" i="21"/>
  <c r="F264" i="21"/>
  <c r="E264" i="21"/>
  <c r="D264" i="21"/>
  <c r="C264" i="21"/>
  <c r="B264" i="21"/>
  <c r="A264" i="21"/>
  <c r="BG263" i="21"/>
  <c r="BH263" i="21" s="1"/>
  <c r="BE263" i="21"/>
  <c r="BF263" i="21" s="1"/>
  <c r="AW263" i="21"/>
  <c r="AX263" i="21" s="1"/>
  <c r="AU263" i="21"/>
  <c r="AS263" i="21"/>
  <c r="AT263" i="21" s="1"/>
  <c r="AQ263" i="21"/>
  <c r="AR263" i="21" s="1"/>
  <c r="AO263" i="21"/>
  <c r="AP263" i="21" s="1"/>
  <c r="AM263" i="21"/>
  <c r="AN263" i="21" s="1"/>
  <c r="AK263" i="21"/>
  <c r="AG263" i="21"/>
  <c r="AH263" i="21" s="1"/>
  <c r="AE263" i="21"/>
  <c r="AF263" i="21" s="1"/>
  <c r="AC263" i="21"/>
  <c r="AA263" i="21"/>
  <c r="AB263" i="21" s="1"/>
  <c r="W263" i="21"/>
  <c r="X263" i="21" s="1"/>
  <c r="U263" i="21"/>
  <c r="V263" i="21" s="1"/>
  <c r="S263" i="21"/>
  <c r="T263" i="21" s="1"/>
  <c r="Q263" i="21"/>
  <c r="R263" i="21" s="1"/>
  <c r="P263" i="21"/>
  <c r="O263" i="21"/>
  <c r="N263" i="21"/>
  <c r="M263" i="21"/>
  <c r="L263" i="21"/>
  <c r="K263" i="21"/>
  <c r="J263" i="21"/>
  <c r="I263" i="21"/>
  <c r="H263" i="21"/>
  <c r="G263" i="21"/>
  <c r="F263" i="21"/>
  <c r="E263" i="21"/>
  <c r="D263" i="21"/>
  <c r="C263" i="21"/>
  <c r="B263" i="21"/>
  <c r="A263" i="21"/>
  <c r="BG262" i="21"/>
  <c r="BH262" i="21" s="1"/>
  <c r="BE262" i="21"/>
  <c r="BF262" i="21" s="1"/>
  <c r="AW262" i="21"/>
  <c r="AX262" i="21" s="1"/>
  <c r="AU262" i="21"/>
  <c r="AV262" i="21" s="1"/>
  <c r="AS262" i="21"/>
  <c r="AT262" i="21" s="1"/>
  <c r="AQ262" i="21"/>
  <c r="AR262" i="21" s="1"/>
  <c r="AO262" i="21"/>
  <c r="AM262" i="21"/>
  <c r="AN262" i="21" s="1"/>
  <c r="AK262" i="21"/>
  <c r="AL262" i="21" s="1"/>
  <c r="AG262" i="21"/>
  <c r="AE262" i="21"/>
  <c r="AF262" i="21" s="1"/>
  <c r="AC262" i="21"/>
  <c r="AD262" i="21" s="1"/>
  <c r="AA262" i="21"/>
  <c r="AB262" i="21" s="1"/>
  <c r="W262" i="21"/>
  <c r="X262" i="21" s="1"/>
  <c r="U262" i="21"/>
  <c r="V262" i="21" s="1"/>
  <c r="S262" i="21"/>
  <c r="T262" i="21" s="1"/>
  <c r="Q262" i="21"/>
  <c r="R262" i="21" s="1"/>
  <c r="P262" i="21"/>
  <c r="O262" i="21"/>
  <c r="N262" i="21"/>
  <c r="M262" i="21"/>
  <c r="L262" i="21"/>
  <c r="K262" i="21"/>
  <c r="J262" i="21"/>
  <c r="I262" i="21"/>
  <c r="H262" i="21"/>
  <c r="G262" i="21"/>
  <c r="F262" i="21"/>
  <c r="E262" i="21"/>
  <c r="D262" i="21"/>
  <c r="C262" i="21"/>
  <c r="B262" i="21"/>
  <c r="A262" i="21"/>
  <c r="BG261" i="21"/>
  <c r="BE261" i="21"/>
  <c r="BF261" i="21" s="1"/>
  <c r="AW261" i="21"/>
  <c r="AX261" i="21" s="1"/>
  <c r="AU261" i="21"/>
  <c r="AV261" i="21" s="1"/>
  <c r="AS261" i="21"/>
  <c r="AQ261" i="21"/>
  <c r="AR261" i="21" s="1"/>
  <c r="AO261" i="21"/>
  <c r="AP261" i="21" s="1"/>
  <c r="AM261" i="21"/>
  <c r="AK261" i="21"/>
  <c r="AL261" i="21" s="1"/>
  <c r="AG261" i="21"/>
  <c r="AH261" i="21" s="1"/>
  <c r="AE261" i="21"/>
  <c r="AF261" i="21" s="1"/>
  <c r="AC261" i="21"/>
  <c r="AD261" i="21" s="1"/>
  <c r="AA261" i="21"/>
  <c r="AB261" i="21" s="1"/>
  <c r="W261" i="21"/>
  <c r="X261" i="21" s="1"/>
  <c r="U261" i="21"/>
  <c r="V261" i="21" s="1"/>
  <c r="S261" i="21"/>
  <c r="Q261" i="21"/>
  <c r="R261" i="21" s="1"/>
  <c r="P261" i="21"/>
  <c r="O261" i="21"/>
  <c r="N261" i="21"/>
  <c r="M261" i="21"/>
  <c r="L261" i="21"/>
  <c r="K261" i="21"/>
  <c r="J261" i="21"/>
  <c r="I261" i="21"/>
  <c r="H261" i="21"/>
  <c r="G261" i="21"/>
  <c r="F261" i="21"/>
  <c r="E261" i="21"/>
  <c r="D261" i="21"/>
  <c r="C261" i="21"/>
  <c r="B261" i="21"/>
  <c r="A261" i="21"/>
  <c r="BG260" i="21"/>
  <c r="BH260" i="21" s="1"/>
  <c r="BE260" i="21"/>
  <c r="BF260" i="21" s="1"/>
  <c r="AW260" i="21"/>
  <c r="AU260" i="21"/>
  <c r="AV260" i="21" s="1"/>
  <c r="AS260" i="21"/>
  <c r="AT260" i="21" s="1"/>
  <c r="AQ260" i="21"/>
  <c r="AO260" i="21"/>
  <c r="AP260" i="21" s="1"/>
  <c r="AM260" i="21"/>
  <c r="AN260" i="21" s="1"/>
  <c r="AK260" i="21"/>
  <c r="AL260" i="21" s="1"/>
  <c r="AG260" i="21"/>
  <c r="AH260" i="21" s="1"/>
  <c r="AE260" i="21"/>
  <c r="AF260" i="21" s="1"/>
  <c r="AC260" i="21"/>
  <c r="AD260" i="21" s="1"/>
  <c r="AA260" i="21"/>
  <c r="AB260" i="21" s="1"/>
  <c r="W260" i="21"/>
  <c r="U260" i="21"/>
  <c r="V260" i="21" s="1"/>
  <c r="S260" i="21"/>
  <c r="T260" i="21" s="1"/>
  <c r="Q260" i="21"/>
  <c r="R260" i="21" s="1"/>
  <c r="P260" i="21"/>
  <c r="O260" i="21"/>
  <c r="N260" i="21"/>
  <c r="M260" i="21"/>
  <c r="L260" i="21"/>
  <c r="K260" i="21"/>
  <c r="J260" i="21"/>
  <c r="I260" i="21"/>
  <c r="H260" i="21"/>
  <c r="G260" i="21"/>
  <c r="F260" i="21"/>
  <c r="E260" i="21"/>
  <c r="D260" i="21"/>
  <c r="C260" i="21"/>
  <c r="B260" i="21"/>
  <c r="A260" i="21"/>
  <c r="BG259" i="21"/>
  <c r="BH259" i="21" s="1"/>
  <c r="BE259" i="21"/>
  <c r="AW259" i="21"/>
  <c r="AX259" i="21" s="1"/>
  <c r="AU259" i="21"/>
  <c r="AS259" i="21"/>
  <c r="AT259" i="21" s="1"/>
  <c r="AQ259" i="21"/>
  <c r="AR259" i="21" s="1"/>
  <c r="AO259" i="21"/>
  <c r="AP259" i="21" s="1"/>
  <c r="AM259" i="21"/>
  <c r="AN259" i="21" s="1"/>
  <c r="AK259" i="21"/>
  <c r="AL259" i="21" s="1"/>
  <c r="AG259" i="21"/>
  <c r="AH259" i="21" s="1"/>
  <c r="AE259" i="21"/>
  <c r="AF259" i="21" s="1"/>
  <c r="AC259" i="21"/>
  <c r="AA259" i="21"/>
  <c r="AB259" i="21" s="1"/>
  <c r="W259" i="21"/>
  <c r="X259" i="21" s="1"/>
  <c r="U259" i="21"/>
  <c r="V259" i="21" s="1"/>
  <c r="S259" i="21"/>
  <c r="T259" i="21" s="1"/>
  <c r="Q259" i="21"/>
  <c r="P259" i="21"/>
  <c r="O259" i="21"/>
  <c r="N259" i="21"/>
  <c r="M259" i="21"/>
  <c r="L259" i="21"/>
  <c r="K259" i="21"/>
  <c r="J259" i="21"/>
  <c r="I259" i="21"/>
  <c r="H259" i="21"/>
  <c r="G259" i="21"/>
  <c r="F259" i="21"/>
  <c r="E259" i="21"/>
  <c r="D259" i="21"/>
  <c r="C259" i="21"/>
  <c r="B259" i="21"/>
  <c r="A259" i="21"/>
  <c r="BG258" i="21"/>
  <c r="BH258" i="21" s="1"/>
  <c r="BE258" i="21"/>
  <c r="BF258" i="21" s="1"/>
  <c r="AW258" i="21"/>
  <c r="AX258" i="21" s="1"/>
  <c r="AU258" i="21"/>
  <c r="AV258" i="21" s="1"/>
  <c r="AS258" i="21"/>
  <c r="AT258" i="21" s="1"/>
  <c r="AQ258" i="21"/>
  <c r="AR258" i="21" s="1"/>
  <c r="AO258" i="21"/>
  <c r="AP258" i="21" s="1"/>
  <c r="AM258" i="21"/>
  <c r="AN258" i="21" s="1"/>
  <c r="AK258" i="21"/>
  <c r="AL258" i="21" s="1"/>
  <c r="AG258" i="21"/>
  <c r="AE258" i="21"/>
  <c r="AF258" i="21" s="1"/>
  <c r="AC258" i="21"/>
  <c r="AD258" i="21" s="1"/>
  <c r="AA258" i="21"/>
  <c r="AB258" i="21" s="1"/>
  <c r="W258" i="21"/>
  <c r="X258" i="21" s="1"/>
  <c r="U258" i="21"/>
  <c r="S258" i="21"/>
  <c r="T258" i="21" s="1"/>
  <c r="Q258" i="21"/>
  <c r="R258" i="21" s="1"/>
  <c r="P258" i="21"/>
  <c r="O258" i="21"/>
  <c r="N258" i="21"/>
  <c r="M258" i="21"/>
  <c r="L258" i="21"/>
  <c r="K258" i="21"/>
  <c r="J258" i="21"/>
  <c r="I258" i="21"/>
  <c r="H258" i="21"/>
  <c r="G258" i="21"/>
  <c r="F258" i="21"/>
  <c r="E258" i="21"/>
  <c r="D258" i="21"/>
  <c r="C258" i="21"/>
  <c r="B258" i="21"/>
  <c r="A258" i="21"/>
  <c r="BG257" i="21"/>
  <c r="BE257" i="21"/>
  <c r="BF257" i="21" s="1"/>
  <c r="AW257" i="21"/>
  <c r="AX257" i="21" s="1"/>
  <c r="AU257" i="21"/>
  <c r="AV257" i="21" s="1"/>
  <c r="AS257" i="21"/>
  <c r="AT257" i="21" s="1"/>
  <c r="AQ257" i="21"/>
  <c r="AR257" i="21" s="1"/>
  <c r="AO257" i="21"/>
  <c r="AP257" i="21" s="1"/>
  <c r="AM257" i="21"/>
  <c r="AK257" i="21"/>
  <c r="AL257" i="21" s="1"/>
  <c r="AG257" i="21"/>
  <c r="AH257" i="21" s="1"/>
  <c r="AE257" i="21"/>
  <c r="AF257" i="21" s="1"/>
  <c r="AC257" i="21"/>
  <c r="AD257" i="21" s="1"/>
  <c r="AA257" i="21"/>
  <c r="W257" i="21"/>
  <c r="X257" i="21" s="1"/>
  <c r="U257" i="21"/>
  <c r="V257" i="21" s="1"/>
  <c r="S257" i="21"/>
  <c r="Q257" i="21"/>
  <c r="R257" i="21" s="1"/>
  <c r="P257" i="21"/>
  <c r="O257" i="21"/>
  <c r="N257" i="21"/>
  <c r="M257" i="21"/>
  <c r="L257" i="21"/>
  <c r="K257" i="21"/>
  <c r="J257" i="21"/>
  <c r="I257" i="21"/>
  <c r="H257" i="21"/>
  <c r="G257" i="21"/>
  <c r="F257" i="21"/>
  <c r="E257" i="21"/>
  <c r="D257" i="21"/>
  <c r="C257" i="21"/>
  <c r="B257" i="21"/>
  <c r="A257" i="21"/>
  <c r="BG256" i="21"/>
  <c r="BH256" i="21" s="1"/>
  <c r="BE256" i="21"/>
  <c r="BF256" i="21" s="1"/>
  <c r="AW256" i="21"/>
  <c r="AX256" i="21" s="1"/>
  <c r="AU256" i="21"/>
  <c r="AV256" i="21" s="1"/>
  <c r="AS256" i="21"/>
  <c r="AT256" i="21" s="1"/>
  <c r="AQ256" i="21"/>
  <c r="AO256" i="21"/>
  <c r="AP256" i="21" s="1"/>
  <c r="AM256" i="21"/>
  <c r="AN256" i="21" s="1"/>
  <c r="AK256" i="21"/>
  <c r="AL256" i="21" s="1"/>
  <c r="AG256" i="21"/>
  <c r="AH256" i="21" s="1"/>
  <c r="AE256" i="21"/>
  <c r="AC256" i="21"/>
  <c r="AD256" i="21" s="1"/>
  <c r="AA256" i="21"/>
  <c r="AB256" i="21" s="1"/>
  <c r="W256" i="21"/>
  <c r="U256" i="21"/>
  <c r="V256" i="21" s="1"/>
  <c r="S256" i="21"/>
  <c r="T256" i="21" s="1"/>
  <c r="Q256" i="21"/>
  <c r="R256" i="21" s="1"/>
  <c r="P256" i="21"/>
  <c r="O256" i="21"/>
  <c r="N256" i="21"/>
  <c r="M256" i="21"/>
  <c r="L256" i="21"/>
  <c r="K256" i="21"/>
  <c r="J256" i="21"/>
  <c r="I256" i="21"/>
  <c r="H256" i="21"/>
  <c r="G256" i="21"/>
  <c r="F256" i="21"/>
  <c r="E256" i="21"/>
  <c r="D256" i="21"/>
  <c r="C256" i="21"/>
  <c r="B256" i="21"/>
  <c r="A256" i="21"/>
  <c r="BG255" i="21"/>
  <c r="BH255" i="21" s="1"/>
  <c r="BE255" i="21"/>
  <c r="BF255" i="21" s="1"/>
  <c r="AW255" i="21"/>
  <c r="AX255" i="21" s="1"/>
  <c r="AU255" i="21"/>
  <c r="AS255" i="21"/>
  <c r="AT255" i="21" s="1"/>
  <c r="AQ255" i="21"/>
  <c r="AR255" i="21" s="1"/>
  <c r="AO255" i="21"/>
  <c r="AP255" i="21" s="1"/>
  <c r="AM255" i="21"/>
  <c r="AN255" i="21" s="1"/>
  <c r="AK255" i="21"/>
  <c r="AG255" i="21"/>
  <c r="AH255" i="21" s="1"/>
  <c r="AE255" i="21"/>
  <c r="AF255" i="21" s="1"/>
  <c r="AC255" i="21"/>
  <c r="AA255" i="21"/>
  <c r="AB255" i="21" s="1"/>
  <c r="W255" i="21"/>
  <c r="X255" i="21" s="1"/>
  <c r="U255" i="21"/>
  <c r="V255" i="21" s="1"/>
  <c r="S255" i="21"/>
  <c r="T255" i="21" s="1"/>
  <c r="Q255" i="21"/>
  <c r="R255" i="21" s="1"/>
  <c r="P255" i="21"/>
  <c r="O255" i="21"/>
  <c r="N255" i="21"/>
  <c r="M255" i="21"/>
  <c r="L255" i="21"/>
  <c r="K255" i="21"/>
  <c r="J255" i="21"/>
  <c r="I255" i="21"/>
  <c r="H255" i="21"/>
  <c r="G255" i="21"/>
  <c r="F255" i="21"/>
  <c r="E255" i="21"/>
  <c r="D255" i="21"/>
  <c r="C255" i="21"/>
  <c r="B255" i="21"/>
  <c r="A255" i="21"/>
  <c r="BG254" i="21"/>
  <c r="BH254" i="21" s="1"/>
  <c r="BE254" i="21"/>
  <c r="BF254" i="21" s="1"/>
  <c r="AW254" i="21"/>
  <c r="AX254" i="21" s="1"/>
  <c r="AU254" i="21"/>
  <c r="AV254" i="21" s="1"/>
  <c r="AS254" i="21"/>
  <c r="AT254" i="21" s="1"/>
  <c r="AQ254" i="21"/>
  <c r="AR254" i="21" s="1"/>
  <c r="AO254" i="21"/>
  <c r="AM254" i="21"/>
  <c r="AN254" i="21" s="1"/>
  <c r="AK254" i="21"/>
  <c r="AL254" i="21" s="1"/>
  <c r="AG254" i="21"/>
  <c r="AE254" i="21"/>
  <c r="AF254" i="21" s="1"/>
  <c r="AC254" i="21"/>
  <c r="AD254" i="21" s="1"/>
  <c r="AA254" i="21"/>
  <c r="AB254" i="21" s="1"/>
  <c r="W254" i="21"/>
  <c r="X254" i="21" s="1"/>
  <c r="U254" i="21"/>
  <c r="V254" i="21" s="1"/>
  <c r="S254" i="21"/>
  <c r="T254" i="21" s="1"/>
  <c r="Q254" i="21"/>
  <c r="R254" i="21" s="1"/>
  <c r="P254" i="21"/>
  <c r="O254" i="21"/>
  <c r="N254" i="21"/>
  <c r="M254" i="21"/>
  <c r="L254" i="21"/>
  <c r="K254" i="21"/>
  <c r="J254" i="21"/>
  <c r="I254" i="21"/>
  <c r="H254" i="21"/>
  <c r="G254" i="21"/>
  <c r="F254" i="21"/>
  <c r="E254" i="21"/>
  <c r="D254" i="21"/>
  <c r="C254" i="21"/>
  <c r="B254" i="21"/>
  <c r="A254" i="21"/>
  <c r="BG253" i="21"/>
  <c r="BE253" i="21"/>
  <c r="BF253" i="21" s="1"/>
  <c r="AW253" i="21"/>
  <c r="AX253" i="21" s="1"/>
  <c r="AU253" i="21"/>
  <c r="AV253" i="21" s="1"/>
  <c r="AS253" i="21"/>
  <c r="AQ253" i="21"/>
  <c r="AR253" i="21" s="1"/>
  <c r="AO253" i="21"/>
  <c r="AP253" i="21" s="1"/>
  <c r="AM253" i="21"/>
  <c r="AK253" i="21"/>
  <c r="AL253" i="21" s="1"/>
  <c r="AG253" i="21"/>
  <c r="AH253" i="21" s="1"/>
  <c r="AE253" i="21"/>
  <c r="AF253" i="21" s="1"/>
  <c r="AC253" i="21"/>
  <c r="AD253" i="21" s="1"/>
  <c r="AA253" i="21"/>
  <c r="AB253" i="21" s="1"/>
  <c r="W253" i="21"/>
  <c r="X253" i="21" s="1"/>
  <c r="U253" i="21"/>
  <c r="V253" i="21" s="1"/>
  <c r="S253" i="21"/>
  <c r="Q253" i="21"/>
  <c r="R253" i="21" s="1"/>
  <c r="P253" i="21"/>
  <c r="O253" i="21"/>
  <c r="N253" i="21"/>
  <c r="M253" i="21"/>
  <c r="L253" i="21"/>
  <c r="K253" i="21"/>
  <c r="J253" i="21"/>
  <c r="I253" i="21"/>
  <c r="H253" i="21"/>
  <c r="G253" i="21"/>
  <c r="F253" i="21"/>
  <c r="E253" i="21"/>
  <c r="D253" i="21"/>
  <c r="C253" i="21"/>
  <c r="B253" i="21"/>
  <c r="A253" i="21"/>
  <c r="BG252" i="21"/>
  <c r="BH252" i="21" s="1"/>
  <c r="BE252" i="21"/>
  <c r="BF252" i="21" s="1"/>
  <c r="AW252" i="21"/>
  <c r="AU252" i="21"/>
  <c r="AV252" i="21" s="1"/>
  <c r="AS252" i="21"/>
  <c r="AT252" i="21" s="1"/>
  <c r="AQ252" i="21"/>
  <c r="AO252" i="21"/>
  <c r="AP252" i="21" s="1"/>
  <c r="AM252" i="21"/>
  <c r="AN252" i="21" s="1"/>
  <c r="AK252" i="21"/>
  <c r="AL252" i="21" s="1"/>
  <c r="AG252" i="21"/>
  <c r="AH252" i="21" s="1"/>
  <c r="AE252" i="21"/>
  <c r="AF252" i="21" s="1"/>
  <c r="AC252" i="21"/>
  <c r="AD252" i="21" s="1"/>
  <c r="AA252" i="21"/>
  <c r="AB252" i="21" s="1"/>
  <c r="W252" i="21"/>
  <c r="U252" i="21"/>
  <c r="V252" i="21" s="1"/>
  <c r="S252" i="21"/>
  <c r="T252" i="21" s="1"/>
  <c r="Q252" i="21"/>
  <c r="R252" i="21" s="1"/>
  <c r="P252" i="21"/>
  <c r="O252" i="21"/>
  <c r="N252" i="21"/>
  <c r="M252" i="21"/>
  <c r="L252" i="21"/>
  <c r="K252" i="21"/>
  <c r="J252" i="21"/>
  <c r="I252" i="21"/>
  <c r="H252" i="21"/>
  <c r="G252" i="21"/>
  <c r="F252" i="21"/>
  <c r="E252" i="21"/>
  <c r="D252" i="21"/>
  <c r="C252" i="21"/>
  <c r="B252" i="21"/>
  <c r="A252" i="21"/>
  <c r="BG251" i="21"/>
  <c r="BH251" i="21" s="1"/>
  <c r="BE251" i="21"/>
  <c r="AW251" i="21"/>
  <c r="AX251" i="21" s="1"/>
  <c r="AU251" i="21"/>
  <c r="AS251" i="21"/>
  <c r="AT251" i="21" s="1"/>
  <c r="AQ251" i="21"/>
  <c r="AR251" i="21" s="1"/>
  <c r="AO251" i="21"/>
  <c r="AP251" i="21" s="1"/>
  <c r="AM251" i="21"/>
  <c r="AN251" i="21" s="1"/>
  <c r="AK251" i="21"/>
  <c r="AL251" i="21" s="1"/>
  <c r="AG251" i="21"/>
  <c r="AH251" i="21" s="1"/>
  <c r="AE251" i="21"/>
  <c r="AF251" i="21" s="1"/>
  <c r="AC251" i="21"/>
  <c r="AA251" i="21"/>
  <c r="AB251" i="21" s="1"/>
  <c r="W251" i="21"/>
  <c r="X251" i="21" s="1"/>
  <c r="U251" i="21"/>
  <c r="V251" i="21" s="1"/>
  <c r="S251" i="21"/>
  <c r="T251" i="21" s="1"/>
  <c r="Q251" i="21"/>
  <c r="P251" i="21"/>
  <c r="O251" i="21"/>
  <c r="N251" i="21"/>
  <c r="M251" i="21"/>
  <c r="L251" i="21"/>
  <c r="K251" i="21"/>
  <c r="J251" i="21"/>
  <c r="I251" i="21"/>
  <c r="H251" i="21"/>
  <c r="G251" i="21"/>
  <c r="F251" i="21"/>
  <c r="E251" i="21"/>
  <c r="D251" i="21"/>
  <c r="C251" i="21"/>
  <c r="B251" i="21"/>
  <c r="A251" i="21"/>
  <c r="BG250" i="21"/>
  <c r="BH250" i="21" s="1"/>
  <c r="BE250" i="21"/>
  <c r="BF250" i="21" s="1"/>
  <c r="AW250" i="21"/>
  <c r="AX250" i="21" s="1"/>
  <c r="AU250" i="21"/>
  <c r="AV250" i="21" s="1"/>
  <c r="AS250" i="21"/>
  <c r="AT250" i="21" s="1"/>
  <c r="AQ250" i="21"/>
  <c r="AR250" i="21" s="1"/>
  <c r="AO250" i="21"/>
  <c r="AP250" i="21" s="1"/>
  <c r="AM250" i="21"/>
  <c r="AN250" i="21" s="1"/>
  <c r="AK250" i="21"/>
  <c r="AL250" i="21" s="1"/>
  <c r="AG250" i="21"/>
  <c r="AE250" i="21"/>
  <c r="AF250" i="21" s="1"/>
  <c r="AC250" i="21"/>
  <c r="AD250" i="21" s="1"/>
  <c r="AA250" i="21"/>
  <c r="AB250" i="21" s="1"/>
  <c r="W250" i="21"/>
  <c r="X250" i="21" s="1"/>
  <c r="U250" i="21"/>
  <c r="S250" i="21"/>
  <c r="T250" i="21" s="1"/>
  <c r="Q250" i="21"/>
  <c r="R250" i="21" s="1"/>
  <c r="P250" i="21"/>
  <c r="O250" i="21"/>
  <c r="N250" i="21"/>
  <c r="M250" i="21"/>
  <c r="L250" i="21"/>
  <c r="K250" i="21"/>
  <c r="J250" i="21"/>
  <c r="I250" i="21"/>
  <c r="H250" i="21"/>
  <c r="G250" i="21"/>
  <c r="F250" i="21"/>
  <c r="E250" i="21"/>
  <c r="D250" i="21"/>
  <c r="C250" i="21"/>
  <c r="B250" i="21"/>
  <c r="A250" i="21"/>
  <c r="BG249" i="21"/>
  <c r="BE249" i="21"/>
  <c r="BF249" i="21" s="1"/>
  <c r="AW249" i="21"/>
  <c r="AX249" i="21" s="1"/>
  <c r="AU249" i="21"/>
  <c r="AV249" i="21" s="1"/>
  <c r="AS249" i="21"/>
  <c r="AT249" i="21" s="1"/>
  <c r="AQ249" i="21"/>
  <c r="AR249" i="21" s="1"/>
  <c r="AO249" i="21"/>
  <c r="AP249" i="21" s="1"/>
  <c r="AM249" i="21"/>
  <c r="AK249" i="21"/>
  <c r="AL249" i="21" s="1"/>
  <c r="AG249" i="21"/>
  <c r="AH249" i="21" s="1"/>
  <c r="AE249" i="21"/>
  <c r="AF249" i="21" s="1"/>
  <c r="AC249" i="21"/>
  <c r="AD249" i="21" s="1"/>
  <c r="AA249" i="21"/>
  <c r="W249" i="21"/>
  <c r="X249" i="21" s="1"/>
  <c r="U249" i="21"/>
  <c r="V249" i="21" s="1"/>
  <c r="S249" i="21"/>
  <c r="Q249" i="21"/>
  <c r="R249" i="21" s="1"/>
  <c r="P249" i="21"/>
  <c r="O249" i="21"/>
  <c r="N249" i="21"/>
  <c r="M249" i="21"/>
  <c r="L249" i="21"/>
  <c r="K249" i="21"/>
  <c r="J249" i="21"/>
  <c r="I249" i="21"/>
  <c r="H249" i="21"/>
  <c r="G249" i="21"/>
  <c r="F249" i="21"/>
  <c r="E249" i="21"/>
  <c r="D249" i="21"/>
  <c r="C249" i="21"/>
  <c r="B249" i="21"/>
  <c r="A249" i="21"/>
  <c r="BG248" i="21"/>
  <c r="BH248" i="21" s="1"/>
  <c r="BE248" i="21"/>
  <c r="BF248" i="21" s="1"/>
  <c r="AW248" i="21"/>
  <c r="AX248" i="21" s="1"/>
  <c r="AU248" i="21"/>
  <c r="AV248" i="21" s="1"/>
  <c r="AS248" i="21"/>
  <c r="AT248" i="21" s="1"/>
  <c r="AQ248" i="21"/>
  <c r="AO248" i="21"/>
  <c r="AP248" i="21" s="1"/>
  <c r="AM248" i="21"/>
  <c r="AN248" i="21" s="1"/>
  <c r="AK248" i="21"/>
  <c r="AL248" i="21" s="1"/>
  <c r="AG248" i="21"/>
  <c r="AH248" i="21" s="1"/>
  <c r="AE248" i="21"/>
  <c r="AC248" i="21"/>
  <c r="AD248" i="21" s="1"/>
  <c r="AA248" i="21"/>
  <c r="AB248" i="21" s="1"/>
  <c r="W248" i="21"/>
  <c r="U248" i="21"/>
  <c r="V248" i="21" s="1"/>
  <c r="S248" i="21"/>
  <c r="T248" i="21" s="1"/>
  <c r="Q248" i="21"/>
  <c r="R248" i="21" s="1"/>
  <c r="P248" i="21"/>
  <c r="O248" i="21"/>
  <c r="N248" i="21"/>
  <c r="M248" i="21"/>
  <c r="L248" i="21"/>
  <c r="K248" i="21"/>
  <c r="J248" i="21"/>
  <c r="I248" i="21"/>
  <c r="H248" i="21"/>
  <c r="G248" i="21"/>
  <c r="F248" i="21"/>
  <c r="E248" i="21"/>
  <c r="D248" i="21"/>
  <c r="C248" i="21"/>
  <c r="B248" i="21"/>
  <c r="A248" i="21"/>
  <c r="BG247" i="21"/>
  <c r="BH247" i="21" s="1"/>
  <c r="BE247" i="21"/>
  <c r="BF247" i="21" s="1"/>
  <c r="AW247" i="21"/>
  <c r="AX247" i="21" s="1"/>
  <c r="AU247" i="21"/>
  <c r="AS247" i="21"/>
  <c r="AT247" i="21" s="1"/>
  <c r="AQ247" i="21"/>
  <c r="AR247" i="21" s="1"/>
  <c r="AO247" i="21"/>
  <c r="AP247" i="21" s="1"/>
  <c r="AM247" i="21"/>
  <c r="AN247" i="21" s="1"/>
  <c r="AK247" i="21"/>
  <c r="AG247" i="21"/>
  <c r="AH247" i="21" s="1"/>
  <c r="AE247" i="21"/>
  <c r="AF247" i="21" s="1"/>
  <c r="AC247" i="21"/>
  <c r="AA247" i="21"/>
  <c r="AB247" i="21" s="1"/>
  <c r="W247" i="21"/>
  <c r="X247" i="21" s="1"/>
  <c r="U247" i="21"/>
  <c r="V247" i="21" s="1"/>
  <c r="S247" i="21"/>
  <c r="T247" i="21" s="1"/>
  <c r="Q247" i="21"/>
  <c r="P247" i="21"/>
  <c r="O247" i="21"/>
  <c r="N247" i="21"/>
  <c r="M247" i="21"/>
  <c r="L247" i="21"/>
  <c r="K247" i="21"/>
  <c r="J247" i="21"/>
  <c r="I247" i="21"/>
  <c r="H247" i="21"/>
  <c r="G247" i="21"/>
  <c r="F247" i="21"/>
  <c r="E247" i="21"/>
  <c r="D247" i="21"/>
  <c r="C247" i="21"/>
  <c r="B247" i="21"/>
  <c r="A247" i="21"/>
  <c r="BG246" i="21"/>
  <c r="BH246" i="21" s="1"/>
  <c r="BE246" i="21"/>
  <c r="BF246" i="21" s="1"/>
  <c r="AW246" i="21"/>
  <c r="AX246" i="21" s="1"/>
  <c r="AU246" i="21"/>
  <c r="AV246" i="21" s="1"/>
  <c r="AS246" i="21"/>
  <c r="AT246" i="21" s="1"/>
  <c r="AQ246" i="21"/>
  <c r="AR246" i="21" s="1"/>
  <c r="AO246" i="21"/>
  <c r="AM246" i="21"/>
  <c r="AN246" i="21" s="1"/>
  <c r="AK246" i="21"/>
  <c r="AL246" i="21" s="1"/>
  <c r="AG246" i="21"/>
  <c r="AE246" i="21"/>
  <c r="AF246" i="21" s="1"/>
  <c r="AC246" i="21"/>
  <c r="AD246" i="21" s="1"/>
  <c r="AA246" i="21"/>
  <c r="AB246" i="21" s="1"/>
  <c r="W246" i="21"/>
  <c r="X246" i="21" s="1"/>
  <c r="U246" i="21"/>
  <c r="V246" i="21" s="1"/>
  <c r="S246" i="21"/>
  <c r="T246" i="21" s="1"/>
  <c r="Q246" i="21"/>
  <c r="R246" i="21" s="1"/>
  <c r="P246" i="21"/>
  <c r="O246" i="21"/>
  <c r="N246" i="21"/>
  <c r="M246" i="21"/>
  <c r="L246" i="21"/>
  <c r="K246" i="21"/>
  <c r="J246" i="21"/>
  <c r="I246" i="21"/>
  <c r="H246" i="21"/>
  <c r="G246" i="21"/>
  <c r="F246" i="21"/>
  <c r="E246" i="21"/>
  <c r="D246" i="21"/>
  <c r="C246" i="21"/>
  <c r="B246" i="21"/>
  <c r="A246" i="21"/>
  <c r="BG245" i="21"/>
  <c r="BE245" i="21"/>
  <c r="BF245" i="21" s="1"/>
  <c r="AW245" i="21"/>
  <c r="AX245" i="21" s="1"/>
  <c r="AU245" i="21"/>
  <c r="AV245" i="21" s="1"/>
  <c r="AS245" i="21"/>
  <c r="AQ245" i="21"/>
  <c r="AR245" i="21" s="1"/>
  <c r="AO245" i="21"/>
  <c r="AP245" i="21" s="1"/>
  <c r="AM245" i="21"/>
  <c r="AK245" i="21"/>
  <c r="AL245" i="21" s="1"/>
  <c r="AG245" i="21"/>
  <c r="AH245" i="21" s="1"/>
  <c r="AE245" i="21"/>
  <c r="AF245" i="21" s="1"/>
  <c r="AC245" i="21"/>
  <c r="AD245" i="21" s="1"/>
  <c r="AA245" i="21"/>
  <c r="AB245" i="21" s="1"/>
  <c r="W245" i="21"/>
  <c r="X245" i="21" s="1"/>
  <c r="U245" i="21"/>
  <c r="V245" i="21" s="1"/>
  <c r="S245" i="21"/>
  <c r="Q245" i="21"/>
  <c r="R245" i="21" s="1"/>
  <c r="P245" i="21"/>
  <c r="O245" i="21"/>
  <c r="N245" i="21"/>
  <c r="M245" i="21"/>
  <c r="L245" i="21"/>
  <c r="K245" i="21"/>
  <c r="J245" i="21"/>
  <c r="I245" i="21"/>
  <c r="H245" i="21"/>
  <c r="G245" i="21"/>
  <c r="F245" i="21"/>
  <c r="E245" i="21"/>
  <c r="D245" i="21"/>
  <c r="C245" i="21"/>
  <c r="B245" i="21"/>
  <c r="A245" i="21"/>
  <c r="BG244" i="21"/>
  <c r="BH244" i="21" s="1"/>
  <c r="BE244" i="21"/>
  <c r="BF244" i="21" s="1"/>
  <c r="AW244" i="21"/>
  <c r="AU244" i="21"/>
  <c r="AV244" i="21" s="1"/>
  <c r="AS244" i="21"/>
  <c r="AT244" i="21" s="1"/>
  <c r="AQ244" i="21"/>
  <c r="AO244" i="21"/>
  <c r="AP244" i="21" s="1"/>
  <c r="AM244" i="21"/>
  <c r="AN244" i="21" s="1"/>
  <c r="AK244" i="21"/>
  <c r="AL244" i="21" s="1"/>
  <c r="AG244" i="21"/>
  <c r="AH244" i="21" s="1"/>
  <c r="AE244" i="21"/>
  <c r="AF244" i="21" s="1"/>
  <c r="AC244" i="21"/>
  <c r="AD244" i="21" s="1"/>
  <c r="AA244" i="21"/>
  <c r="AB244" i="21" s="1"/>
  <c r="W244" i="21"/>
  <c r="U244" i="21"/>
  <c r="V244" i="21" s="1"/>
  <c r="S244" i="21"/>
  <c r="T244" i="21" s="1"/>
  <c r="Q244" i="21"/>
  <c r="R244" i="21" s="1"/>
  <c r="P244" i="21"/>
  <c r="O244" i="21"/>
  <c r="N244" i="21"/>
  <c r="M244" i="21"/>
  <c r="L244" i="21"/>
  <c r="K244" i="21"/>
  <c r="J244" i="21"/>
  <c r="I244" i="21"/>
  <c r="H244" i="21"/>
  <c r="G244" i="21"/>
  <c r="F244" i="21"/>
  <c r="E244" i="21"/>
  <c r="D244" i="21"/>
  <c r="C244" i="21"/>
  <c r="B244" i="21"/>
  <c r="A244" i="21"/>
  <c r="BG243" i="21"/>
  <c r="BH243" i="21" s="1"/>
  <c r="BE243" i="21"/>
  <c r="BF243" i="21" s="1"/>
  <c r="AW243" i="21"/>
  <c r="AX243" i="21" s="1"/>
  <c r="AU243" i="21"/>
  <c r="AV243" i="21" s="1"/>
  <c r="AS243" i="21"/>
  <c r="AT243" i="21" s="1"/>
  <c r="AQ243" i="21"/>
  <c r="AR243" i="21" s="1"/>
  <c r="AO243" i="21"/>
  <c r="AP243" i="21" s="1"/>
  <c r="AM243" i="21"/>
  <c r="AN243" i="21" s="1"/>
  <c r="BB243" i="21" s="1"/>
  <c r="AK243" i="21"/>
  <c r="AL243" i="21" s="1"/>
  <c r="AG243" i="21"/>
  <c r="AH243" i="21" s="1"/>
  <c r="AE243" i="21"/>
  <c r="AC243" i="21"/>
  <c r="AA243" i="21"/>
  <c r="AB243" i="21" s="1"/>
  <c r="W243" i="21"/>
  <c r="U243" i="21"/>
  <c r="V243" i="21" s="1"/>
  <c r="S243" i="21"/>
  <c r="T243" i="21" s="1"/>
  <c r="Q243" i="21"/>
  <c r="R243" i="21" s="1"/>
  <c r="P243" i="21"/>
  <c r="O243" i="21"/>
  <c r="N243" i="21"/>
  <c r="M243" i="21"/>
  <c r="L243" i="21"/>
  <c r="K243" i="21"/>
  <c r="J243" i="21"/>
  <c r="I243" i="21"/>
  <c r="H243" i="21"/>
  <c r="G243" i="21"/>
  <c r="F243" i="21"/>
  <c r="E243" i="21"/>
  <c r="D243" i="21"/>
  <c r="C243" i="21"/>
  <c r="B243" i="21"/>
  <c r="A243" i="21"/>
  <c r="BG242" i="21"/>
  <c r="BH242" i="21" s="1"/>
  <c r="BE242" i="21"/>
  <c r="BF242" i="21" s="1"/>
  <c r="AW242" i="21"/>
  <c r="AX242" i="21" s="1"/>
  <c r="AU242" i="21"/>
  <c r="AV242" i="21" s="1"/>
  <c r="AS242" i="21"/>
  <c r="AT242" i="21" s="1"/>
  <c r="AQ242" i="21"/>
  <c r="AR242" i="21" s="1"/>
  <c r="AO242" i="21"/>
  <c r="AP242" i="21" s="1"/>
  <c r="AM242" i="21"/>
  <c r="AN242" i="21" s="1"/>
  <c r="AK242" i="21"/>
  <c r="AL242" i="21" s="1"/>
  <c r="AG242" i="21"/>
  <c r="AE242" i="21"/>
  <c r="AF242" i="21" s="1"/>
  <c r="AC242" i="21"/>
  <c r="AA242" i="21"/>
  <c r="AB242" i="21" s="1"/>
  <c r="W242" i="21"/>
  <c r="X242" i="21" s="1"/>
  <c r="U242" i="21"/>
  <c r="V242" i="21" s="1"/>
  <c r="S242" i="21"/>
  <c r="T242" i="21" s="1"/>
  <c r="Q242" i="21"/>
  <c r="R242" i="21" s="1"/>
  <c r="P242" i="21"/>
  <c r="O242" i="21"/>
  <c r="N242" i="21"/>
  <c r="M242" i="21"/>
  <c r="L242" i="21"/>
  <c r="K242" i="21"/>
  <c r="J242" i="21"/>
  <c r="I242" i="21"/>
  <c r="H242" i="21"/>
  <c r="G242" i="21"/>
  <c r="F242" i="21"/>
  <c r="E242" i="21"/>
  <c r="D242" i="21"/>
  <c r="C242" i="21"/>
  <c r="B242" i="21"/>
  <c r="A242" i="21"/>
  <c r="BG241" i="21"/>
  <c r="BH241" i="21" s="1"/>
  <c r="BE241" i="21"/>
  <c r="BF241" i="21" s="1"/>
  <c r="AW241" i="21"/>
  <c r="AX241" i="21" s="1"/>
  <c r="AU241" i="21"/>
  <c r="AV241" i="21" s="1"/>
  <c r="AS241" i="21"/>
  <c r="AT241" i="21" s="1"/>
  <c r="AQ241" i="21"/>
  <c r="AR241" i="21" s="1"/>
  <c r="AO241" i="21"/>
  <c r="AP241" i="21" s="1"/>
  <c r="AM241" i="21"/>
  <c r="AK241" i="21"/>
  <c r="AL241" i="21" s="1"/>
  <c r="AG241" i="21"/>
  <c r="AE241" i="21"/>
  <c r="AF241" i="21" s="1"/>
  <c r="AC241" i="21"/>
  <c r="AD241" i="21" s="1"/>
  <c r="AA241" i="21"/>
  <c r="AB241" i="21" s="1"/>
  <c r="W241" i="21"/>
  <c r="X241" i="21" s="1"/>
  <c r="U241" i="21"/>
  <c r="S241" i="21"/>
  <c r="T241" i="21" s="1"/>
  <c r="Q241" i="21"/>
  <c r="R241" i="21" s="1"/>
  <c r="P241" i="21"/>
  <c r="O241" i="21"/>
  <c r="N241" i="21"/>
  <c r="M241" i="21"/>
  <c r="L241" i="21"/>
  <c r="K241" i="21"/>
  <c r="J241" i="21"/>
  <c r="I241" i="21"/>
  <c r="H241" i="21"/>
  <c r="G241" i="21"/>
  <c r="F241" i="21"/>
  <c r="E241" i="21"/>
  <c r="D241" i="21"/>
  <c r="C241" i="21"/>
  <c r="B241" i="21"/>
  <c r="A241" i="21"/>
  <c r="BG240" i="21"/>
  <c r="BE240" i="21"/>
  <c r="BF240" i="21" s="1"/>
  <c r="AW240" i="21"/>
  <c r="AU240" i="21"/>
  <c r="AV240" i="21" s="1"/>
  <c r="AS240" i="21"/>
  <c r="AQ240" i="21"/>
  <c r="AR240" i="21" s="1"/>
  <c r="AO240" i="21"/>
  <c r="AP240" i="21" s="1"/>
  <c r="AM240" i="21"/>
  <c r="AK240" i="21"/>
  <c r="AL240" i="21" s="1"/>
  <c r="AG240" i="21"/>
  <c r="AH240" i="21" s="1"/>
  <c r="AE240" i="21"/>
  <c r="AF240" i="21" s="1"/>
  <c r="AC240" i="21"/>
  <c r="AD240" i="21" s="1"/>
  <c r="AA240" i="21"/>
  <c r="W240" i="21"/>
  <c r="X240" i="21" s="1"/>
  <c r="U240" i="21"/>
  <c r="V240" i="21" s="1"/>
  <c r="S240" i="21"/>
  <c r="Q240" i="21"/>
  <c r="R240" i="21" s="1"/>
  <c r="P240" i="21"/>
  <c r="O240" i="21"/>
  <c r="N240" i="21"/>
  <c r="M240" i="21"/>
  <c r="L240" i="21"/>
  <c r="K240" i="21"/>
  <c r="J240" i="21"/>
  <c r="I240" i="21"/>
  <c r="H240" i="21"/>
  <c r="G240" i="21"/>
  <c r="F240" i="21"/>
  <c r="E240" i="21"/>
  <c r="D240" i="21"/>
  <c r="C240" i="21"/>
  <c r="B240" i="21"/>
  <c r="A240" i="21"/>
  <c r="BG239" i="21"/>
  <c r="BH239" i="21" s="1"/>
  <c r="BE239" i="21"/>
  <c r="BF239" i="21" s="1"/>
  <c r="AW239" i="21"/>
  <c r="AX239" i="21" s="1"/>
  <c r="AU239" i="21"/>
  <c r="AV239" i="21" s="1"/>
  <c r="AS239" i="21"/>
  <c r="AT239" i="21" s="1"/>
  <c r="AQ239" i="21"/>
  <c r="AO239" i="21"/>
  <c r="AP239" i="21" s="1"/>
  <c r="AM239" i="21"/>
  <c r="AN239" i="21" s="1"/>
  <c r="AK239" i="21"/>
  <c r="AL239" i="21" s="1"/>
  <c r="AG239" i="21"/>
  <c r="AH239" i="21" s="1"/>
  <c r="AE239" i="21"/>
  <c r="AC239" i="21"/>
  <c r="AD239" i="21" s="1"/>
  <c r="AA239" i="21"/>
  <c r="AB239" i="21" s="1"/>
  <c r="W239" i="21"/>
  <c r="U239" i="21"/>
  <c r="V239" i="21" s="1"/>
  <c r="S239" i="21"/>
  <c r="T239" i="21" s="1"/>
  <c r="Q239" i="21"/>
  <c r="R239" i="21" s="1"/>
  <c r="P239" i="21"/>
  <c r="O239" i="21"/>
  <c r="N239" i="21"/>
  <c r="M239" i="21"/>
  <c r="L239" i="21"/>
  <c r="K239" i="21"/>
  <c r="J239" i="21"/>
  <c r="I239" i="21"/>
  <c r="H239" i="21"/>
  <c r="G239" i="21"/>
  <c r="F239" i="21"/>
  <c r="E239" i="21"/>
  <c r="D239" i="21"/>
  <c r="C239" i="21"/>
  <c r="B239" i="21"/>
  <c r="A239" i="21"/>
  <c r="BG238" i="21"/>
  <c r="BH238" i="21" s="1"/>
  <c r="BE238" i="21"/>
  <c r="AW238" i="21"/>
  <c r="AX238" i="21" s="1"/>
  <c r="AU238" i="21"/>
  <c r="AS238" i="21"/>
  <c r="AT238" i="21" s="1"/>
  <c r="AQ238" i="21"/>
  <c r="AR238" i="21" s="1"/>
  <c r="AO238" i="21"/>
  <c r="AP238" i="21" s="1"/>
  <c r="AM238" i="21"/>
  <c r="AN238" i="21" s="1"/>
  <c r="AK238" i="21"/>
  <c r="AG238" i="21"/>
  <c r="AH238" i="21" s="1"/>
  <c r="AE238" i="21"/>
  <c r="AF238" i="21" s="1"/>
  <c r="AC238" i="21"/>
  <c r="AA238" i="21"/>
  <c r="AB238" i="21" s="1"/>
  <c r="W238" i="21"/>
  <c r="X238" i="21" s="1"/>
  <c r="U238" i="21"/>
  <c r="V238" i="21" s="1"/>
  <c r="S238" i="21"/>
  <c r="T238" i="21" s="1"/>
  <c r="Q238" i="21"/>
  <c r="P238" i="21"/>
  <c r="O238" i="21"/>
  <c r="N238" i="21"/>
  <c r="M238" i="21"/>
  <c r="L238" i="21"/>
  <c r="K238" i="21"/>
  <c r="J238" i="21"/>
  <c r="I238" i="21"/>
  <c r="H238" i="21"/>
  <c r="G238" i="21"/>
  <c r="F238" i="21"/>
  <c r="E238" i="21"/>
  <c r="D238" i="21"/>
  <c r="C238" i="21"/>
  <c r="B238" i="21"/>
  <c r="A238" i="21"/>
  <c r="BG237" i="21"/>
  <c r="BH237" i="21" s="1"/>
  <c r="BE237" i="21"/>
  <c r="BF237" i="21" s="1"/>
  <c r="AW237" i="21"/>
  <c r="AX237" i="21" s="1"/>
  <c r="AU237" i="21"/>
  <c r="AV237" i="21" s="1"/>
  <c r="AS237" i="21"/>
  <c r="AT237" i="21" s="1"/>
  <c r="AQ237" i="21"/>
  <c r="AR237" i="21" s="1"/>
  <c r="AO237" i="21"/>
  <c r="AM237" i="21"/>
  <c r="AN237" i="21" s="1"/>
  <c r="AK237" i="21"/>
  <c r="AL237" i="21" s="1"/>
  <c r="AG237" i="21"/>
  <c r="AE237" i="21"/>
  <c r="AF237" i="21" s="1"/>
  <c r="AC237" i="21"/>
  <c r="AD237" i="21" s="1"/>
  <c r="AA237" i="21"/>
  <c r="AB237" i="21" s="1"/>
  <c r="W237" i="21"/>
  <c r="X237" i="21" s="1"/>
  <c r="U237" i="21"/>
  <c r="S237" i="21"/>
  <c r="T237" i="21" s="1"/>
  <c r="Q237" i="21"/>
  <c r="R237" i="21" s="1"/>
  <c r="P237" i="21"/>
  <c r="O237" i="21"/>
  <c r="N237" i="21"/>
  <c r="M237" i="21"/>
  <c r="L237" i="21"/>
  <c r="K237" i="21"/>
  <c r="J237" i="21"/>
  <c r="I237" i="21"/>
  <c r="H237" i="21"/>
  <c r="G237" i="21"/>
  <c r="F237" i="21"/>
  <c r="E237" i="21"/>
  <c r="D237" i="21"/>
  <c r="C237" i="21"/>
  <c r="B237" i="21"/>
  <c r="A237" i="21"/>
  <c r="BG236" i="21"/>
  <c r="BE236" i="21"/>
  <c r="BF236" i="21" s="1"/>
  <c r="AW236" i="21"/>
  <c r="AX236" i="21" s="1"/>
  <c r="AU236" i="21"/>
  <c r="AV236" i="21" s="1"/>
  <c r="AS236" i="21"/>
  <c r="AQ236" i="21"/>
  <c r="AR236" i="21" s="1"/>
  <c r="AO236" i="21"/>
  <c r="AP236" i="21" s="1"/>
  <c r="AM236" i="21"/>
  <c r="AK236" i="21"/>
  <c r="AL236" i="21" s="1"/>
  <c r="AG236" i="21"/>
  <c r="AH236" i="21" s="1"/>
  <c r="AE236" i="21"/>
  <c r="AF236" i="21" s="1"/>
  <c r="AC236" i="21"/>
  <c r="AD236" i="21" s="1"/>
  <c r="AA236" i="21"/>
  <c r="W236" i="21"/>
  <c r="X236" i="21" s="1"/>
  <c r="U236" i="21"/>
  <c r="V236" i="21" s="1"/>
  <c r="S236" i="21"/>
  <c r="Q236" i="21"/>
  <c r="R236" i="21" s="1"/>
  <c r="P236" i="21"/>
  <c r="O236" i="21"/>
  <c r="N236" i="21"/>
  <c r="M236" i="21"/>
  <c r="L236" i="21"/>
  <c r="K236" i="21"/>
  <c r="J236" i="21"/>
  <c r="I236" i="21"/>
  <c r="H236" i="21"/>
  <c r="G236" i="21"/>
  <c r="F236" i="21"/>
  <c r="E236" i="21"/>
  <c r="D236" i="21"/>
  <c r="C236" i="21"/>
  <c r="B236" i="21"/>
  <c r="A236" i="21"/>
  <c r="BG235" i="21"/>
  <c r="BH235" i="21" s="1"/>
  <c r="BE235" i="21"/>
  <c r="BF235" i="21" s="1"/>
  <c r="AW235" i="21"/>
  <c r="AX235" i="21" s="1"/>
  <c r="AU235" i="21"/>
  <c r="AV235" i="21" s="1"/>
  <c r="AS235" i="21"/>
  <c r="AT235" i="21" s="1"/>
  <c r="AQ235" i="21"/>
  <c r="AO235" i="21"/>
  <c r="AP235" i="21" s="1"/>
  <c r="AM235" i="21"/>
  <c r="AN235" i="21" s="1"/>
  <c r="AK235" i="21"/>
  <c r="AL235" i="21" s="1"/>
  <c r="AG235" i="21"/>
  <c r="AH235" i="21" s="1"/>
  <c r="AE235" i="21"/>
  <c r="AC235" i="21"/>
  <c r="AD235" i="21" s="1"/>
  <c r="AA235" i="21"/>
  <c r="AB235" i="21" s="1"/>
  <c r="W235" i="21"/>
  <c r="U235" i="21"/>
  <c r="V235" i="21" s="1"/>
  <c r="S235" i="21"/>
  <c r="T235" i="21" s="1"/>
  <c r="Q235" i="21"/>
  <c r="R235" i="21" s="1"/>
  <c r="P235" i="21"/>
  <c r="O235" i="21"/>
  <c r="N235" i="21"/>
  <c r="M235" i="21"/>
  <c r="L235" i="21"/>
  <c r="K235" i="21"/>
  <c r="J235" i="21"/>
  <c r="I235" i="21"/>
  <c r="H235" i="21"/>
  <c r="G235" i="21"/>
  <c r="F235" i="21"/>
  <c r="E235" i="21"/>
  <c r="D235" i="21"/>
  <c r="C235" i="21"/>
  <c r="B235" i="21"/>
  <c r="A235" i="21"/>
  <c r="BG234" i="21"/>
  <c r="BH234" i="21" s="1"/>
  <c r="BE234" i="21"/>
  <c r="BF234" i="21" s="1"/>
  <c r="AW234" i="21"/>
  <c r="AX234" i="21" s="1"/>
  <c r="AU234" i="21"/>
  <c r="AS234" i="21"/>
  <c r="AT234" i="21" s="1"/>
  <c r="AQ234" i="21"/>
  <c r="AR234" i="21" s="1"/>
  <c r="AO234" i="21"/>
  <c r="AP234" i="21" s="1"/>
  <c r="AM234" i="21"/>
  <c r="AN234" i="21" s="1"/>
  <c r="AK234" i="21"/>
  <c r="AG234" i="21"/>
  <c r="AH234" i="21" s="1"/>
  <c r="AE234" i="21"/>
  <c r="AF234" i="21" s="1"/>
  <c r="AC234" i="21"/>
  <c r="AA234" i="21"/>
  <c r="AB234" i="21" s="1"/>
  <c r="W234" i="21"/>
  <c r="X234" i="21" s="1"/>
  <c r="U234" i="21"/>
  <c r="V234" i="21" s="1"/>
  <c r="S234" i="21"/>
  <c r="T234" i="21" s="1"/>
  <c r="Q234" i="21"/>
  <c r="P234" i="21"/>
  <c r="O234" i="21"/>
  <c r="N234" i="21"/>
  <c r="M234" i="21"/>
  <c r="L234" i="21"/>
  <c r="K234" i="21"/>
  <c r="J234" i="21"/>
  <c r="I234" i="21"/>
  <c r="H234" i="21"/>
  <c r="G234" i="21"/>
  <c r="F234" i="21"/>
  <c r="E234" i="21"/>
  <c r="D234" i="21"/>
  <c r="C234" i="21"/>
  <c r="B234" i="21"/>
  <c r="A234" i="21"/>
  <c r="BG233" i="21"/>
  <c r="BH233" i="21" s="1"/>
  <c r="BE233" i="21"/>
  <c r="BF233" i="21" s="1"/>
  <c r="AW233" i="21"/>
  <c r="AX233" i="21" s="1"/>
  <c r="AU233" i="21"/>
  <c r="AV233" i="21" s="1"/>
  <c r="AS233" i="21"/>
  <c r="AT233" i="21" s="1"/>
  <c r="AQ233" i="21"/>
  <c r="AR233" i="21" s="1"/>
  <c r="BB233" i="21" s="1"/>
  <c r="AO233" i="21"/>
  <c r="AM233" i="21"/>
  <c r="AN233" i="21" s="1"/>
  <c r="AK233" i="21"/>
  <c r="AL233" i="21" s="1"/>
  <c r="AG233" i="21"/>
  <c r="AE233" i="21"/>
  <c r="AF233" i="21" s="1"/>
  <c r="AC233" i="21"/>
  <c r="AD233" i="21" s="1"/>
  <c r="AA233" i="21"/>
  <c r="AB233" i="21" s="1"/>
  <c r="W233" i="21"/>
  <c r="X233" i="21" s="1"/>
  <c r="U233" i="21"/>
  <c r="S233" i="21"/>
  <c r="T233" i="21" s="1"/>
  <c r="Q233" i="21"/>
  <c r="R233" i="21" s="1"/>
  <c r="P233" i="21"/>
  <c r="O233" i="21"/>
  <c r="N233" i="21"/>
  <c r="M233" i="21"/>
  <c r="L233" i="21"/>
  <c r="K233" i="21"/>
  <c r="J233" i="21"/>
  <c r="I233" i="21"/>
  <c r="H233" i="21"/>
  <c r="G233" i="21"/>
  <c r="F233" i="21"/>
  <c r="E233" i="21"/>
  <c r="D233" i="21"/>
  <c r="C233" i="21"/>
  <c r="B233" i="21"/>
  <c r="A233" i="21"/>
  <c r="BG232" i="21"/>
  <c r="BE232" i="21"/>
  <c r="BF232" i="21" s="1"/>
  <c r="AW232" i="21"/>
  <c r="AX232" i="21" s="1"/>
  <c r="AU232" i="21"/>
  <c r="AV232" i="21" s="1"/>
  <c r="AS232" i="21"/>
  <c r="AQ232" i="21"/>
  <c r="AR232" i="21" s="1"/>
  <c r="AO232" i="21"/>
  <c r="AP232" i="21" s="1"/>
  <c r="AM232" i="21"/>
  <c r="AK232" i="21"/>
  <c r="AL232" i="21" s="1"/>
  <c r="AG232" i="21"/>
  <c r="AH232" i="21" s="1"/>
  <c r="AE232" i="21"/>
  <c r="AF232" i="21" s="1"/>
  <c r="AC232" i="21"/>
  <c r="AD232" i="21" s="1"/>
  <c r="AA232" i="21"/>
  <c r="AB232" i="21" s="1"/>
  <c r="W232" i="21"/>
  <c r="X232" i="21" s="1"/>
  <c r="U232" i="21"/>
  <c r="V232" i="21" s="1"/>
  <c r="S232" i="21"/>
  <c r="Q232" i="21"/>
  <c r="R232" i="21" s="1"/>
  <c r="P232" i="21"/>
  <c r="O232" i="21"/>
  <c r="N232" i="21"/>
  <c r="M232" i="21"/>
  <c r="L232" i="21"/>
  <c r="K232" i="21"/>
  <c r="J232" i="21"/>
  <c r="I232" i="21"/>
  <c r="H232" i="21"/>
  <c r="G232" i="21"/>
  <c r="F232" i="21"/>
  <c r="E232" i="21"/>
  <c r="D232" i="21"/>
  <c r="C232" i="21"/>
  <c r="B232" i="21"/>
  <c r="A232" i="21"/>
  <c r="BG231" i="21"/>
  <c r="BE231" i="21"/>
  <c r="BF231" i="21" s="1"/>
  <c r="AW231" i="21"/>
  <c r="AU231" i="21"/>
  <c r="AV231" i="21" s="1"/>
  <c r="AS231" i="21"/>
  <c r="AT231" i="21" s="1"/>
  <c r="AQ231" i="21"/>
  <c r="AO231" i="21"/>
  <c r="AP231" i="21" s="1"/>
  <c r="AM231" i="21"/>
  <c r="AN231" i="21" s="1"/>
  <c r="AK231" i="21"/>
  <c r="AL231" i="21" s="1"/>
  <c r="AG231" i="21"/>
  <c r="AH231" i="21" s="1"/>
  <c r="AE231" i="21"/>
  <c r="AF231" i="21" s="1"/>
  <c r="AC231" i="21"/>
  <c r="AD231" i="21" s="1"/>
  <c r="AA231" i="21"/>
  <c r="AB231" i="21" s="1"/>
  <c r="W231" i="21"/>
  <c r="U231" i="21"/>
  <c r="V231" i="21" s="1"/>
  <c r="S231" i="21"/>
  <c r="Q231" i="21"/>
  <c r="R231" i="21" s="1"/>
  <c r="P231" i="21"/>
  <c r="O231" i="21"/>
  <c r="N231" i="21"/>
  <c r="M231" i="21"/>
  <c r="L231" i="21"/>
  <c r="K231" i="21"/>
  <c r="J231" i="21"/>
  <c r="I231" i="21"/>
  <c r="H231" i="21"/>
  <c r="G231" i="21"/>
  <c r="F231" i="21"/>
  <c r="E231" i="21"/>
  <c r="D231" i="21"/>
  <c r="C231" i="21"/>
  <c r="B231" i="21"/>
  <c r="A231" i="21"/>
  <c r="BG230" i="21"/>
  <c r="BH230" i="21" s="1"/>
  <c r="BE230" i="21"/>
  <c r="AW230" i="21"/>
  <c r="AX230" i="21" s="1"/>
  <c r="AU230" i="21"/>
  <c r="AS230" i="21"/>
  <c r="AT230" i="21" s="1"/>
  <c r="AQ230" i="21"/>
  <c r="AR230" i="21" s="1"/>
  <c r="AO230" i="21"/>
  <c r="AM230" i="21"/>
  <c r="AN230" i="21" s="1"/>
  <c r="AK230" i="21"/>
  <c r="AL230" i="21" s="1"/>
  <c r="AG230" i="21"/>
  <c r="AH230" i="21" s="1"/>
  <c r="AE230" i="21"/>
  <c r="AF230" i="21" s="1"/>
  <c r="AC230" i="21"/>
  <c r="AA230" i="21"/>
  <c r="AB230" i="21" s="1"/>
  <c r="W230" i="21"/>
  <c r="X230" i="21" s="1"/>
  <c r="U230" i="21"/>
  <c r="V230" i="21" s="1"/>
  <c r="S230" i="21"/>
  <c r="T230" i="21" s="1"/>
  <c r="Q230" i="21"/>
  <c r="R230" i="21" s="1"/>
  <c r="P230" i="21"/>
  <c r="O230" i="21"/>
  <c r="N230" i="21"/>
  <c r="M230" i="21"/>
  <c r="L230" i="21"/>
  <c r="K230" i="21"/>
  <c r="J230" i="21"/>
  <c r="I230" i="21"/>
  <c r="H230" i="21"/>
  <c r="G230" i="21"/>
  <c r="F230" i="21"/>
  <c r="E230" i="21"/>
  <c r="D230" i="21"/>
  <c r="C230" i="21"/>
  <c r="B230" i="21"/>
  <c r="A230" i="21"/>
  <c r="BG229" i="21"/>
  <c r="BH229" i="21" s="1"/>
  <c r="BE229" i="21"/>
  <c r="BF229" i="21" s="1"/>
  <c r="AW229" i="21"/>
  <c r="AX229" i="21" s="1"/>
  <c r="AU229" i="21"/>
  <c r="AV229" i="21" s="1"/>
  <c r="AS229" i="21"/>
  <c r="AQ229" i="21"/>
  <c r="AR229" i="21" s="1"/>
  <c r="AO229" i="21"/>
  <c r="AM229" i="21"/>
  <c r="AK229" i="21"/>
  <c r="AL229" i="21" s="1"/>
  <c r="AG229" i="21"/>
  <c r="AE229" i="21"/>
  <c r="AF229" i="21" s="1"/>
  <c r="AC229" i="21"/>
  <c r="AA229" i="21"/>
  <c r="AB229" i="21" s="1"/>
  <c r="W229" i="21"/>
  <c r="X229" i="21" s="1"/>
  <c r="U229" i="21"/>
  <c r="S229" i="21"/>
  <c r="T229" i="21" s="1"/>
  <c r="Z229" i="21" s="1"/>
  <c r="Q229" i="21"/>
  <c r="R229" i="21" s="1"/>
  <c r="P229" i="21"/>
  <c r="O229" i="21"/>
  <c r="N229" i="21"/>
  <c r="M229" i="21"/>
  <c r="L229" i="21"/>
  <c r="K229" i="21"/>
  <c r="J229" i="21"/>
  <c r="I229" i="21"/>
  <c r="H229" i="21"/>
  <c r="G229" i="21"/>
  <c r="F229" i="21"/>
  <c r="E229" i="21"/>
  <c r="D229" i="21"/>
  <c r="C229" i="21"/>
  <c r="B229" i="21"/>
  <c r="A229" i="21"/>
  <c r="BG228" i="21"/>
  <c r="BE228" i="21"/>
  <c r="BF228" i="21" s="1"/>
  <c r="AW228" i="21"/>
  <c r="AU228" i="21"/>
  <c r="AV228" i="21" s="1"/>
  <c r="AS228" i="21"/>
  <c r="AQ228" i="21"/>
  <c r="AR228" i="21" s="1"/>
  <c r="AO228" i="21"/>
  <c r="AP228" i="21" s="1"/>
  <c r="AM228" i="21"/>
  <c r="AK228" i="21"/>
  <c r="AL228" i="21" s="1"/>
  <c r="AG228" i="21"/>
  <c r="AH228" i="21" s="1"/>
  <c r="AE228" i="21"/>
  <c r="AF228" i="21" s="1"/>
  <c r="AC228" i="21"/>
  <c r="AD228" i="21" s="1"/>
  <c r="AA228" i="21"/>
  <c r="AB228" i="21" s="1"/>
  <c r="W228" i="21"/>
  <c r="X228" i="21" s="1"/>
  <c r="U228" i="21"/>
  <c r="V228" i="21" s="1"/>
  <c r="S228" i="21"/>
  <c r="T228" i="21" s="1"/>
  <c r="Q228" i="21"/>
  <c r="P228" i="21"/>
  <c r="O228" i="21"/>
  <c r="N228" i="21"/>
  <c r="M228" i="21"/>
  <c r="L228" i="21"/>
  <c r="K228" i="21"/>
  <c r="J228" i="21"/>
  <c r="I228" i="21"/>
  <c r="H228" i="21"/>
  <c r="G228" i="21"/>
  <c r="F228" i="21"/>
  <c r="E228" i="21"/>
  <c r="D228" i="21"/>
  <c r="C228" i="21"/>
  <c r="B228" i="21"/>
  <c r="A228" i="21"/>
  <c r="BG227" i="21"/>
  <c r="BE227" i="21"/>
  <c r="BF227" i="21" s="1"/>
  <c r="AW227" i="21"/>
  <c r="AX227" i="21" s="1"/>
  <c r="AU227" i="21"/>
  <c r="AV227" i="21" s="1"/>
  <c r="AS227" i="21"/>
  <c r="AQ227" i="21"/>
  <c r="AR227" i="21" s="1"/>
  <c r="AO227" i="21"/>
  <c r="AM227" i="21"/>
  <c r="AK227" i="21"/>
  <c r="AL227" i="21" s="1"/>
  <c r="AG227" i="21"/>
  <c r="AE227" i="21"/>
  <c r="AF227" i="21" s="1"/>
  <c r="AC227" i="21"/>
  <c r="AD227" i="21" s="1"/>
  <c r="AA227" i="21"/>
  <c r="AB227" i="21" s="1"/>
  <c r="W227" i="21"/>
  <c r="X227" i="21" s="1"/>
  <c r="U227" i="21"/>
  <c r="S227" i="21"/>
  <c r="Q227" i="21"/>
  <c r="R227" i="21" s="1"/>
  <c r="P227" i="21"/>
  <c r="O227" i="21"/>
  <c r="N227" i="21"/>
  <c r="M227" i="21"/>
  <c r="L227" i="21"/>
  <c r="K227" i="21"/>
  <c r="J227" i="21"/>
  <c r="I227" i="21"/>
  <c r="H227" i="21"/>
  <c r="G227" i="21"/>
  <c r="F227" i="21"/>
  <c r="E227" i="21"/>
  <c r="D227" i="21"/>
  <c r="C227" i="21"/>
  <c r="B227" i="21"/>
  <c r="A227" i="21"/>
  <c r="BG226" i="21"/>
  <c r="BE226" i="21"/>
  <c r="BF226" i="21" s="1"/>
  <c r="AW226" i="21"/>
  <c r="AX226" i="21" s="1"/>
  <c r="AU226" i="21"/>
  <c r="AV226" i="21" s="1"/>
  <c r="AS226" i="21"/>
  <c r="AQ226" i="21"/>
  <c r="AO226" i="21"/>
  <c r="AP226" i="21" s="1"/>
  <c r="AM226" i="21"/>
  <c r="AK226" i="21"/>
  <c r="AL226" i="21" s="1"/>
  <c r="AG226" i="21"/>
  <c r="AH226" i="21" s="1"/>
  <c r="AE226" i="21"/>
  <c r="AF226" i="21" s="1"/>
  <c r="AC226" i="21"/>
  <c r="AD226" i="21" s="1"/>
  <c r="AA226" i="21"/>
  <c r="W226" i="21"/>
  <c r="U226" i="21"/>
  <c r="V226" i="21" s="1"/>
  <c r="S226" i="21"/>
  <c r="Q226" i="21"/>
  <c r="R226" i="21" s="1"/>
  <c r="P226" i="21"/>
  <c r="O226" i="21"/>
  <c r="N226" i="21"/>
  <c r="M226" i="21"/>
  <c r="L226" i="21"/>
  <c r="K226" i="21"/>
  <c r="J226" i="21"/>
  <c r="I226" i="21"/>
  <c r="H226" i="21"/>
  <c r="G226" i="21"/>
  <c r="F226" i="21"/>
  <c r="E226" i="21"/>
  <c r="D226" i="21"/>
  <c r="C226" i="21"/>
  <c r="B226" i="21"/>
  <c r="A226" i="21"/>
  <c r="BG225" i="21"/>
  <c r="BH225" i="21" s="1"/>
  <c r="BE225" i="21"/>
  <c r="BF225" i="21" s="1"/>
  <c r="AW225" i="21"/>
  <c r="AX225" i="21" s="1"/>
  <c r="AU225" i="21"/>
  <c r="AV225" i="21" s="1"/>
  <c r="AS225" i="21"/>
  <c r="AT225" i="21" s="1"/>
  <c r="AQ225" i="21"/>
  <c r="AO225" i="21"/>
  <c r="AP225" i="21" s="1"/>
  <c r="AM225" i="21"/>
  <c r="AN225" i="21" s="1"/>
  <c r="AK225" i="21"/>
  <c r="AL225" i="21" s="1"/>
  <c r="AG225" i="21"/>
  <c r="AH225" i="21" s="1"/>
  <c r="AE225" i="21"/>
  <c r="AC225" i="21"/>
  <c r="AD225" i="21" s="1"/>
  <c r="AJ225" i="21" s="1"/>
  <c r="AA225" i="21"/>
  <c r="AB225" i="21" s="1"/>
  <c r="W225" i="21"/>
  <c r="U225" i="21"/>
  <c r="V225" i="21" s="1"/>
  <c r="S225" i="21"/>
  <c r="T225" i="21" s="1"/>
  <c r="Q225" i="21"/>
  <c r="R225" i="21" s="1"/>
  <c r="P225" i="21"/>
  <c r="O225" i="21"/>
  <c r="N225" i="21"/>
  <c r="M225" i="21"/>
  <c r="L225" i="21"/>
  <c r="K225" i="21"/>
  <c r="J225" i="21"/>
  <c r="I225" i="21"/>
  <c r="H225" i="21"/>
  <c r="G225" i="21"/>
  <c r="F225" i="21"/>
  <c r="E225" i="21"/>
  <c r="D225" i="21"/>
  <c r="C225" i="21"/>
  <c r="B225" i="21"/>
  <c r="A225" i="21"/>
  <c r="BG224" i="21"/>
  <c r="BH224" i="21" s="1"/>
  <c r="BE224" i="21"/>
  <c r="AW224" i="21"/>
  <c r="AX224" i="21" s="1"/>
  <c r="AU224" i="21"/>
  <c r="AS224" i="21"/>
  <c r="AT224" i="21" s="1"/>
  <c r="AQ224" i="21"/>
  <c r="AR224" i="21" s="1"/>
  <c r="AO224" i="21"/>
  <c r="AP224" i="21" s="1"/>
  <c r="AM224" i="21"/>
  <c r="AN224" i="21" s="1"/>
  <c r="AK224" i="21"/>
  <c r="AG224" i="21"/>
  <c r="AH224" i="21" s="1"/>
  <c r="AE224" i="21"/>
  <c r="AF224" i="21" s="1"/>
  <c r="AC224" i="21"/>
  <c r="AA224" i="21"/>
  <c r="AB224" i="21" s="1"/>
  <c r="W224" i="21"/>
  <c r="X224" i="21" s="1"/>
  <c r="U224" i="21"/>
  <c r="V224" i="21" s="1"/>
  <c r="S224" i="21"/>
  <c r="T224" i="21" s="1"/>
  <c r="Q224" i="21"/>
  <c r="R224" i="21" s="1"/>
  <c r="P224" i="21"/>
  <c r="O224" i="21"/>
  <c r="N224" i="21"/>
  <c r="M224" i="21"/>
  <c r="L224" i="21"/>
  <c r="K224" i="21"/>
  <c r="J224" i="21"/>
  <c r="I224" i="21"/>
  <c r="H224" i="21"/>
  <c r="G224" i="21"/>
  <c r="F224" i="21"/>
  <c r="E224" i="21"/>
  <c r="D224" i="21"/>
  <c r="C224" i="21"/>
  <c r="B224" i="21"/>
  <c r="A224" i="21"/>
  <c r="BG223" i="21"/>
  <c r="BH223" i="21" s="1"/>
  <c r="BE223" i="21"/>
  <c r="BF223" i="21" s="1"/>
  <c r="AW223" i="21"/>
  <c r="AX223" i="21" s="1"/>
  <c r="AU223" i="21"/>
  <c r="AV223" i="21" s="1"/>
  <c r="AS223" i="21"/>
  <c r="AT223" i="21" s="1"/>
  <c r="AQ223" i="21"/>
  <c r="AR223" i="21" s="1"/>
  <c r="AO223" i="21"/>
  <c r="AP223" i="21" s="1"/>
  <c r="AM223" i="21"/>
  <c r="AN223" i="21" s="1"/>
  <c r="AK223" i="21"/>
  <c r="AL223" i="21" s="1"/>
  <c r="AG223" i="21"/>
  <c r="AE223" i="21"/>
  <c r="AF223" i="21" s="1"/>
  <c r="AC223" i="21"/>
  <c r="AD223" i="21" s="1"/>
  <c r="AA223" i="21"/>
  <c r="AB223" i="21" s="1"/>
  <c r="W223" i="21"/>
  <c r="X223" i="21" s="1"/>
  <c r="U223" i="21"/>
  <c r="V223" i="21" s="1"/>
  <c r="S223" i="21"/>
  <c r="T223" i="21" s="1"/>
  <c r="Q223" i="21"/>
  <c r="R223" i="21" s="1"/>
  <c r="P223" i="21"/>
  <c r="O223" i="21"/>
  <c r="N223" i="21"/>
  <c r="M223" i="21"/>
  <c r="L223" i="21"/>
  <c r="K223" i="21"/>
  <c r="J223" i="21"/>
  <c r="I223" i="21"/>
  <c r="H223" i="21"/>
  <c r="G223" i="21"/>
  <c r="F223" i="21"/>
  <c r="E223" i="21"/>
  <c r="D223" i="21"/>
  <c r="C223" i="21"/>
  <c r="B223" i="21"/>
  <c r="A223" i="21"/>
  <c r="BG222" i="21"/>
  <c r="BE222" i="21"/>
  <c r="BF222" i="21" s="1"/>
  <c r="AW222" i="21"/>
  <c r="AX222" i="21" s="1"/>
  <c r="AU222" i="21"/>
  <c r="AV222" i="21" s="1"/>
  <c r="AS222" i="21"/>
  <c r="AT222" i="21" s="1"/>
  <c r="AQ222" i="21"/>
  <c r="AR222" i="21" s="1"/>
  <c r="AO222" i="21"/>
  <c r="AP222" i="21" s="1"/>
  <c r="AM222" i="21"/>
  <c r="AK222" i="21"/>
  <c r="AL222" i="21" s="1"/>
  <c r="AG222" i="21"/>
  <c r="AH222" i="21" s="1"/>
  <c r="AE222" i="21"/>
  <c r="AF222" i="21" s="1"/>
  <c r="AC222" i="21"/>
  <c r="AD222" i="21" s="1"/>
  <c r="AA222" i="21"/>
  <c r="AB222" i="21" s="1"/>
  <c r="W222" i="21"/>
  <c r="X222" i="21" s="1"/>
  <c r="U222" i="21"/>
  <c r="V222" i="21" s="1"/>
  <c r="S222" i="21"/>
  <c r="T222" i="21" s="1"/>
  <c r="Q222" i="21"/>
  <c r="R222" i="21" s="1"/>
  <c r="P222" i="21"/>
  <c r="O222" i="21"/>
  <c r="N222" i="21"/>
  <c r="M222" i="21"/>
  <c r="L222" i="21"/>
  <c r="K222" i="21"/>
  <c r="J222" i="21"/>
  <c r="I222" i="21"/>
  <c r="H222" i="21"/>
  <c r="G222" i="21"/>
  <c r="F222" i="21"/>
  <c r="E222" i="21"/>
  <c r="D222" i="21"/>
  <c r="C222" i="21"/>
  <c r="B222" i="21"/>
  <c r="A222" i="21"/>
  <c r="BG221" i="21"/>
  <c r="BH221" i="21" s="1"/>
  <c r="BE221" i="21"/>
  <c r="BF221" i="21" s="1"/>
  <c r="AW221" i="21"/>
  <c r="AX221" i="21" s="1"/>
  <c r="AU221" i="21"/>
  <c r="AV221" i="21" s="1"/>
  <c r="AS221" i="21"/>
  <c r="AT221" i="21" s="1"/>
  <c r="AQ221" i="21"/>
  <c r="AO221" i="21"/>
  <c r="AP221" i="21" s="1"/>
  <c r="AM221" i="21"/>
  <c r="AN221" i="21" s="1"/>
  <c r="AK221" i="21"/>
  <c r="AL221" i="21" s="1"/>
  <c r="AG221" i="21"/>
  <c r="AH221" i="21" s="1"/>
  <c r="AE221" i="21"/>
  <c r="AF221" i="21" s="1"/>
  <c r="AC221" i="21"/>
  <c r="AD221" i="21" s="1"/>
  <c r="AA221" i="21"/>
  <c r="AB221" i="21" s="1"/>
  <c r="W221" i="21"/>
  <c r="U221" i="21"/>
  <c r="V221" i="21" s="1"/>
  <c r="S221" i="21"/>
  <c r="Q221" i="21"/>
  <c r="R221" i="21" s="1"/>
  <c r="P221" i="21"/>
  <c r="O221" i="21"/>
  <c r="N221" i="21"/>
  <c r="M221" i="21"/>
  <c r="L221" i="21"/>
  <c r="K221" i="21"/>
  <c r="J221" i="21"/>
  <c r="I221" i="21"/>
  <c r="H221" i="21"/>
  <c r="G221" i="21"/>
  <c r="F221" i="21"/>
  <c r="E221" i="21"/>
  <c r="D221" i="21"/>
  <c r="C221" i="21"/>
  <c r="B221" i="21"/>
  <c r="A221" i="21"/>
  <c r="BG220" i="21"/>
  <c r="BH220" i="21" s="1"/>
  <c r="BE220" i="21"/>
  <c r="BF220" i="21" s="1"/>
  <c r="AW220" i="21"/>
  <c r="AX220" i="21" s="1"/>
  <c r="AU220" i="21"/>
  <c r="AS220" i="21"/>
  <c r="AT220" i="21" s="1"/>
  <c r="AQ220" i="21"/>
  <c r="AO220" i="21"/>
  <c r="AP220" i="21" s="1"/>
  <c r="AM220" i="21"/>
  <c r="AN220" i="21" s="1"/>
  <c r="AK220" i="21"/>
  <c r="AL220" i="21" s="1"/>
  <c r="AG220" i="21"/>
  <c r="AH220" i="21" s="1"/>
  <c r="AE220" i="21"/>
  <c r="AF220" i="21" s="1"/>
  <c r="AC220" i="21"/>
  <c r="AA220" i="21"/>
  <c r="AB220" i="21" s="1"/>
  <c r="W220" i="21"/>
  <c r="X220" i="21" s="1"/>
  <c r="U220" i="21"/>
  <c r="V220" i="21" s="1"/>
  <c r="S220" i="21"/>
  <c r="T220" i="21" s="1"/>
  <c r="Q220" i="21"/>
  <c r="P220" i="21"/>
  <c r="O220" i="21"/>
  <c r="N220" i="21"/>
  <c r="M220" i="21"/>
  <c r="L220" i="21"/>
  <c r="K220" i="21"/>
  <c r="J220" i="21"/>
  <c r="I220" i="21"/>
  <c r="H220" i="21"/>
  <c r="G220" i="21"/>
  <c r="F220" i="21"/>
  <c r="E220" i="21"/>
  <c r="D220" i="21"/>
  <c r="C220" i="21"/>
  <c r="B220" i="21"/>
  <c r="A220" i="21"/>
  <c r="BG219" i="21"/>
  <c r="BH219" i="21" s="1"/>
  <c r="BE219" i="21"/>
  <c r="BF219" i="21" s="1"/>
  <c r="AW219" i="21"/>
  <c r="AX219" i="21" s="1"/>
  <c r="AU219" i="21"/>
  <c r="AV219" i="21" s="1"/>
  <c r="AS219" i="21"/>
  <c r="AT219" i="21" s="1"/>
  <c r="AQ219" i="21"/>
  <c r="AR219" i="21" s="1"/>
  <c r="AO219" i="21"/>
  <c r="AM219" i="21"/>
  <c r="AN219" i="21" s="1"/>
  <c r="AK219" i="21"/>
  <c r="AL219" i="21" s="1"/>
  <c r="AG219" i="21"/>
  <c r="AE219" i="21"/>
  <c r="AF219" i="21" s="1"/>
  <c r="AC219" i="21"/>
  <c r="AA219" i="21"/>
  <c r="AB219" i="21" s="1"/>
  <c r="W219" i="21"/>
  <c r="X219" i="21" s="1"/>
  <c r="U219" i="21"/>
  <c r="S219" i="21"/>
  <c r="T219" i="21" s="1"/>
  <c r="Q219" i="21"/>
  <c r="R219" i="21" s="1"/>
  <c r="P219" i="21"/>
  <c r="O219" i="21"/>
  <c r="N219" i="21"/>
  <c r="M219" i="21"/>
  <c r="L219" i="21"/>
  <c r="K219" i="21"/>
  <c r="J219" i="21"/>
  <c r="I219" i="21"/>
  <c r="H219" i="21"/>
  <c r="G219" i="21"/>
  <c r="F219" i="21"/>
  <c r="E219" i="21"/>
  <c r="D219" i="21"/>
  <c r="C219" i="21"/>
  <c r="B219" i="21"/>
  <c r="A219" i="21"/>
  <c r="BG218" i="21"/>
  <c r="BE218" i="21"/>
  <c r="BF218" i="21" s="1"/>
  <c r="AW218" i="21"/>
  <c r="AX218" i="21" s="1"/>
  <c r="AU218" i="21"/>
  <c r="AV218" i="21" s="1"/>
  <c r="AS218" i="21"/>
  <c r="AT218" i="21" s="1"/>
  <c r="AQ218" i="21"/>
  <c r="AR218" i="21" s="1"/>
  <c r="AO218" i="21"/>
  <c r="AP218" i="21" s="1"/>
  <c r="AM218" i="21"/>
  <c r="AK218" i="21"/>
  <c r="AL218" i="21" s="1"/>
  <c r="AG218" i="21"/>
  <c r="AH218" i="21" s="1"/>
  <c r="AE218" i="21"/>
  <c r="AF218" i="21" s="1"/>
  <c r="AC218" i="21"/>
  <c r="AD218" i="21" s="1"/>
  <c r="AA218" i="21"/>
  <c r="AB218" i="21" s="1"/>
  <c r="W218" i="21"/>
  <c r="X218" i="21" s="1"/>
  <c r="U218" i="21"/>
  <c r="V218" i="21" s="1"/>
  <c r="S218" i="21"/>
  <c r="Q218" i="21"/>
  <c r="R218" i="21" s="1"/>
  <c r="P218" i="21"/>
  <c r="O218" i="21"/>
  <c r="N218" i="21"/>
  <c r="M218" i="21"/>
  <c r="L218" i="21"/>
  <c r="K218" i="21"/>
  <c r="J218" i="21"/>
  <c r="I218" i="21"/>
  <c r="H218" i="21"/>
  <c r="G218" i="21"/>
  <c r="F218" i="21"/>
  <c r="E218" i="21"/>
  <c r="D218" i="21"/>
  <c r="C218" i="21"/>
  <c r="B218" i="21"/>
  <c r="A218" i="21"/>
  <c r="BG217" i="21"/>
  <c r="BH217" i="21" s="1"/>
  <c r="BE217" i="21"/>
  <c r="BF217" i="21" s="1"/>
  <c r="AW217" i="21"/>
  <c r="AX217" i="21" s="1"/>
  <c r="AU217" i="21"/>
  <c r="AV217" i="21" s="1"/>
  <c r="AS217" i="21"/>
  <c r="AT217" i="21" s="1"/>
  <c r="AQ217" i="21"/>
  <c r="AO217" i="21"/>
  <c r="AP217" i="21" s="1"/>
  <c r="AM217" i="21"/>
  <c r="AK217" i="21"/>
  <c r="AL217" i="21" s="1"/>
  <c r="AG217" i="21"/>
  <c r="AH217" i="21" s="1"/>
  <c r="AE217" i="21"/>
  <c r="AF217" i="21" s="1"/>
  <c r="AC217" i="21"/>
  <c r="AD217" i="21" s="1"/>
  <c r="AA217" i="21"/>
  <c r="AB217" i="21" s="1"/>
  <c r="W217" i="21"/>
  <c r="U217" i="21"/>
  <c r="V217" i="21" s="1"/>
  <c r="S217" i="21"/>
  <c r="Q217" i="21"/>
  <c r="R217" i="21" s="1"/>
  <c r="P217" i="21"/>
  <c r="O217" i="21"/>
  <c r="N217" i="21"/>
  <c r="M217" i="21"/>
  <c r="L217" i="21"/>
  <c r="K217" i="21"/>
  <c r="J217" i="21"/>
  <c r="I217" i="21"/>
  <c r="H217" i="21"/>
  <c r="G217" i="21"/>
  <c r="F217" i="21"/>
  <c r="E217" i="21"/>
  <c r="D217" i="21"/>
  <c r="C217" i="21"/>
  <c r="B217" i="21"/>
  <c r="A217" i="21"/>
  <c r="BG216" i="21"/>
  <c r="BH216" i="21" s="1"/>
  <c r="BE216" i="21"/>
  <c r="BF216" i="21" s="1"/>
  <c r="AW216" i="21"/>
  <c r="AX216" i="21" s="1"/>
  <c r="AU216" i="21"/>
  <c r="AS216" i="21"/>
  <c r="AT216" i="21" s="1"/>
  <c r="AQ216" i="21"/>
  <c r="AR216" i="21" s="1"/>
  <c r="AO216" i="21"/>
  <c r="AP216" i="21" s="1"/>
  <c r="AM216" i="21"/>
  <c r="AN216" i="21" s="1"/>
  <c r="AK216" i="21"/>
  <c r="AG216" i="21"/>
  <c r="AH216" i="21" s="1"/>
  <c r="AE216" i="21"/>
  <c r="AF216" i="21" s="1"/>
  <c r="AC216" i="21"/>
  <c r="AA216" i="21"/>
  <c r="AB216" i="21" s="1"/>
  <c r="W216" i="21"/>
  <c r="X216" i="21" s="1"/>
  <c r="U216" i="21"/>
  <c r="V216" i="21" s="1"/>
  <c r="S216" i="21"/>
  <c r="T216" i="21" s="1"/>
  <c r="Q216" i="21"/>
  <c r="P216" i="21"/>
  <c r="O216" i="21"/>
  <c r="N216" i="21"/>
  <c r="M216" i="21"/>
  <c r="L216" i="21"/>
  <c r="K216" i="21"/>
  <c r="J216" i="21"/>
  <c r="I216" i="21"/>
  <c r="H216" i="21"/>
  <c r="G216" i="21"/>
  <c r="F216" i="21"/>
  <c r="E216" i="21"/>
  <c r="D216" i="21"/>
  <c r="C216" i="21"/>
  <c r="B216" i="21"/>
  <c r="A216" i="21"/>
  <c r="BG215" i="21"/>
  <c r="BH215" i="21" s="1"/>
  <c r="BE215" i="21"/>
  <c r="BF215" i="21" s="1"/>
  <c r="AW215" i="21"/>
  <c r="AX215" i="21" s="1"/>
  <c r="AU215" i="21"/>
  <c r="AS215" i="21"/>
  <c r="AT215" i="21" s="1"/>
  <c r="AQ215" i="21"/>
  <c r="AR215" i="21" s="1"/>
  <c r="AO215" i="21"/>
  <c r="AM215" i="21"/>
  <c r="AN215" i="21" s="1"/>
  <c r="AK215" i="21"/>
  <c r="AL215" i="21" s="1"/>
  <c r="AG215" i="21"/>
  <c r="AE215" i="21"/>
  <c r="AF215" i="21" s="1"/>
  <c r="AC215" i="21"/>
  <c r="AD215" i="21" s="1"/>
  <c r="AA215" i="21"/>
  <c r="AB215" i="21" s="1"/>
  <c r="W215" i="21"/>
  <c r="X215" i="21" s="1"/>
  <c r="U215" i="21"/>
  <c r="V215" i="21" s="1"/>
  <c r="S215" i="21"/>
  <c r="T215" i="21" s="1"/>
  <c r="Q215" i="21"/>
  <c r="R215" i="21" s="1"/>
  <c r="P215" i="21"/>
  <c r="O215" i="21"/>
  <c r="N215" i="21"/>
  <c r="M215" i="21"/>
  <c r="L215" i="21"/>
  <c r="K215" i="21"/>
  <c r="J215" i="21"/>
  <c r="I215" i="21"/>
  <c r="H215" i="21"/>
  <c r="G215" i="21"/>
  <c r="F215" i="21"/>
  <c r="E215" i="21"/>
  <c r="D215" i="21"/>
  <c r="C215" i="21"/>
  <c r="B215" i="21"/>
  <c r="A215" i="21"/>
  <c r="BG214" i="21"/>
  <c r="BE214" i="21"/>
  <c r="BF214" i="21" s="1"/>
  <c r="AW214" i="21"/>
  <c r="AX214" i="21" s="1"/>
  <c r="AU214" i="21"/>
  <c r="AV214" i="21" s="1"/>
  <c r="AS214" i="21"/>
  <c r="AT214" i="21" s="1"/>
  <c r="AQ214" i="21"/>
  <c r="AR214" i="21" s="1"/>
  <c r="AO214" i="21"/>
  <c r="AP214" i="21" s="1"/>
  <c r="AM214" i="21"/>
  <c r="AK214" i="21"/>
  <c r="AL214" i="21" s="1"/>
  <c r="AG214" i="21"/>
  <c r="AH214" i="21" s="1"/>
  <c r="AE214" i="21"/>
  <c r="AF214" i="21" s="1"/>
  <c r="AC214" i="21"/>
  <c r="AD214" i="21" s="1"/>
  <c r="AA214" i="21"/>
  <c r="AB214" i="21" s="1"/>
  <c r="W214" i="21"/>
  <c r="X214" i="21" s="1"/>
  <c r="U214" i="21"/>
  <c r="V214" i="21" s="1"/>
  <c r="S214" i="21"/>
  <c r="Q214" i="21"/>
  <c r="R214" i="21" s="1"/>
  <c r="P214" i="21"/>
  <c r="O214" i="21"/>
  <c r="N214" i="21"/>
  <c r="M214" i="21"/>
  <c r="L214" i="21"/>
  <c r="K214" i="21"/>
  <c r="J214" i="21"/>
  <c r="I214" i="21"/>
  <c r="H214" i="21"/>
  <c r="G214" i="21"/>
  <c r="F214" i="21"/>
  <c r="E214" i="21"/>
  <c r="D214" i="21"/>
  <c r="C214" i="21"/>
  <c r="B214" i="21"/>
  <c r="A214" i="21"/>
  <c r="BG213" i="21"/>
  <c r="BE213" i="21"/>
  <c r="BF213" i="21" s="1"/>
  <c r="AW213" i="21"/>
  <c r="AX213" i="21" s="1"/>
  <c r="AU213" i="21"/>
  <c r="AV213" i="21" s="1"/>
  <c r="AS213" i="21"/>
  <c r="AT213" i="21" s="1"/>
  <c r="AQ213" i="21"/>
  <c r="AO213" i="21"/>
  <c r="AP213" i="21" s="1"/>
  <c r="AM213" i="21"/>
  <c r="AK213" i="21"/>
  <c r="AL213" i="21" s="1"/>
  <c r="AG213" i="21"/>
  <c r="AH213" i="21" s="1"/>
  <c r="AE213" i="21"/>
  <c r="AF213" i="21" s="1"/>
  <c r="AC213" i="21"/>
  <c r="AD213" i="21" s="1"/>
  <c r="AA213" i="21"/>
  <c r="AB213" i="21" s="1"/>
  <c r="W213" i="21"/>
  <c r="U213" i="21"/>
  <c r="V213" i="21" s="1"/>
  <c r="S213" i="21"/>
  <c r="T213" i="21" s="1"/>
  <c r="Q213" i="21"/>
  <c r="R213" i="21" s="1"/>
  <c r="P213" i="21"/>
  <c r="O213" i="21"/>
  <c r="N213" i="21"/>
  <c r="M213" i="21"/>
  <c r="L213" i="21"/>
  <c r="K213" i="21"/>
  <c r="J213" i="21"/>
  <c r="I213" i="21"/>
  <c r="H213" i="21"/>
  <c r="G213" i="21"/>
  <c r="F213" i="21"/>
  <c r="E213" i="21"/>
  <c r="D213" i="21"/>
  <c r="C213" i="21"/>
  <c r="B213" i="21"/>
  <c r="A213" i="21"/>
  <c r="BG212" i="21"/>
  <c r="BH212" i="21" s="1"/>
  <c r="BE212" i="21"/>
  <c r="AW212" i="21"/>
  <c r="AX212" i="21" s="1"/>
  <c r="AU212" i="21"/>
  <c r="AS212" i="21"/>
  <c r="AT212" i="21" s="1"/>
  <c r="AQ212" i="21"/>
  <c r="AR212" i="21" s="1"/>
  <c r="AO212" i="21"/>
  <c r="AP212" i="21" s="1"/>
  <c r="AM212" i="21"/>
  <c r="AN212" i="21" s="1"/>
  <c r="AK212" i="21"/>
  <c r="AG212" i="21"/>
  <c r="AH212" i="21" s="1"/>
  <c r="AE212" i="21"/>
  <c r="AF212" i="21" s="1"/>
  <c r="AC212" i="21"/>
  <c r="AA212" i="21"/>
  <c r="AB212" i="21" s="1"/>
  <c r="W212" i="21"/>
  <c r="U212" i="21"/>
  <c r="V212" i="21" s="1"/>
  <c r="S212" i="21"/>
  <c r="T212" i="21" s="1"/>
  <c r="Q212" i="21"/>
  <c r="P212" i="21"/>
  <c r="O212" i="21"/>
  <c r="N212" i="21"/>
  <c r="M212" i="21"/>
  <c r="L212" i="21"/>
  <c r="K212" i="21"/>
  <c r="J212" i="21"/>
  <c r="I212" i="21"/>
  <c r="H212" i="21"/>
  <c r="G212" i="21"/>
  <c r="F212" i="21"/>
  <c r="E212" i="21"/>
  <c r="D212" i="21"/>
  <c r="C212" i="21"/>
  <c r="B212" i="21"/>
  <c r="A212" i="21"/>
  <c r="BG211" i="21"/>
  <c r="BH211" i="21" s="1"/>
  <c r="BE211" i="21"/>
  <c r="BF211" i="21" s="1"/>
  <c r="AW211" i="21"/>
  <c r="AX211" i="21" s="1"/>
  <c r="AU211" i="21"/>
  <c r="AV211" i="21" s="1"/>
  <c r="AS211" i="21"/>
  <c r="AT211" i="21" s="1"/>
  <c r="AQ211" i="21"/>
  <c r="AR211" i="21" s="1"/>
  <c r="AO211" i="21"/>
  <c r="AP211" i="21" s="1"/>
  <c r="AM211" i="21"/>
  <c r="AN211" i="21" s="1"/>
  <c r="AK211" i="21"/>
  <c r="AL211" i="21" s="1"/>
  <c r="AG211" i="21"/>
  <c r="AE211" i="21"/>
  <c r="AF211" i="21" s="1"/>
  <c r="AC211" i="21"/>
  <c r="AD211" i="21" s="1"/>
  <c r="AA211" i="21"/>
  <c r="AB211" i="21" s="1"/>
  <c r="W211" i="21"/>
  <c r="X211" i="21" s="1"/>
  <c r="U211" i="21"/>
  <c r="V211" i="21" s="1"/>
  <c r="S211" i="21"/>
  <c r="T211" i="21" s="1"/>
  <c r="Q211" i="21"/>
  <c r="R211" i="21" s="1"/>
  <c r="P211" i="21"/>
  <c r="O211" i="21"/>
  <c r="N211" i="21"/>
  <c r="M211" i="21"/>
  <c r="L211" i="21"/>
  <c r="K211" i="21"/>
  <c r="J211" i="21"/>
  <c r="I211" i="21"/>
  <c r="H211" i="21"/>
  <c r="G211" i="21"/>
  <c r="F211" i="21"/>
  <c r="E211" i="21"/>
  <c r="D211" i="21"/>
  <c r="C211" i="21"/>
  <c r="B211" i="21"/>
  <c r="A211" i="21"/>
  <c r="BG210" i="21"/>
  <c r="BE210" i="21"/>
  <c r="BF210" i="21" s="1"/>
  <c r="AW210" i="21"/>
  <c r="AX210" i="21" s="1"/>
  <c r="AU210" i="21"/>
  <c r="AV210" i="21" s="1"/>
  <c r="AS210" i="21"/>
  <c r="AT210" i="21" s="1"/>
  <c r="AQ210" i="21"/>
  <c r="AR210" i="21" s="1"/>
  <c r="AO210" i="21"/>
  <c r="AP210" i="21" s="1"/>
  <c r="AM210" i="21"/>
  <c r="AK210" i="21"/>
  <c r="AL210" i="21" s="1"/>
  <c r="AG210" i="21"/>
  <c r="AE210" i="21"/>
  <c r="AF210" i="21" s="1"/>
  <c r="AC210" i="21"/>
  <c r="AD210" i="21" s="1"/>
  <c r="AA210" i="21"/>
  <c r="AB210" i="21" s="1"/>
  <c r="W210" i="21"/>
  <c r="X210" i="21" s="1"/>
  <c r="U210" i="21"/>
  <c r="V210" i="21" s="1"/>
  <c r="S210" i="21"/>
  <c r="Q210" i="21"/>
  <c r="R210" i="21" s="1"/>
  <c r="P210" i="21"/>
  <c r="O210" i="21"/>
  <c r="N210" i="21"/>
  <c r="M210" i="21"/>
  <c r="L210" i="21"/>
  <c r="K210" i="21"/>
  <c r="J210" i="21"/>
  <c r="I210" i="21"/>
  <c r="H210" i="21"/>
  <c r="G210" i="21"/>
  <c r="F210" i="21"/>
  <c r="E210" i="21"/>
  <c r="D210" i="21"/>
  <c r="C210" i="21"/>
  <c r="B210" i="21"/>
  <c r="A210" i="21"/>
  <c r="BG209" i="21"/>
  <c r="BE209" i="21"/>
  <c r="BF209" i="21" s="1"/>
  <c r="AW209" i="21"/>
  <c r="AX209" i="21" s="1"/>
  <c r="AU209" i="21"/>
  <c r="AV209" i="21" s="1"/>
  <c r="AS209" i="21"/>
  <c r="AT209" i="21" s="1"/>
  <c r="AQ209" i="21"/>
  <c r="AO209" i="21"/>
  <c r="AP209" i="21" s="1"/>
  <c r="AM209" i="21"/>
  <c r="AN209" i="21" s="1"/>
  <c r="AK209" i="21"/>
  <c r="AL209" i="21" s="1"/>
  <c r="AG209" i="21"/>
  <c r="AH209" i="21" s="1"/>
  <c r="AE209" i="21"/>
  <c r="AC209" i="21"/>
  <c r="AD209" i="21" s="1"/>
  <c r="AJ209" i="21" s="1"/>
  <c r="AA209" i="21"/>
  <c r="AB209" i="21" s="1"/>
  <c r="W209" i="21"/>
  <c r="U209" i="21"/>
  <c r="V209" i="21" s="1"/>
  <c r="S209" i="21"/>
  <c r="T209" i="21" s="1"/>
  <c r="Q209" i="21"/>
  <c r="R209" i="21" s="1"/>
  <c r="P209" i="21"/>
  <c r="O209" i="21"/>
  <c r="N209" i="21"/>
  <c r="M209" i="21"/>
  <c r="L209" i="21"/>
  <c r="K209" i="21"/>
  <c r="J209" i="21"/>
  <c r="I209" i="21"/>
  <c r="H209" i="21"/>
  <c r="G209" i="21"/>
  <c r="F209" i="21"/>
  <c r="E209" i="21"/>
  <c r="D209" i="21"/>
  <c r="C209" i="21"/>
  <c r="B209" i="21"/>
  <c r="A209" i="21"/>
  <c r="BG208" i="21"/>
  <c r="BH208" i="21" s="1"/>
  <c r="BE208" i="21"/>
  <c r="AW208" i="21"/>
  <c r="AX208" i="21" s="1"/>
  <c r="AU208" i="21"/>
  <c r="AS208" i="21"/>
  <c r="AT208" i="21" s="1"/>
  <c r="AQ208" i="21"/>
  <c r="AR208" i="21" s="1"/>
  <c r="AO208" i="21"/>
  <c r="AP208" i="21" s="1"/>
  <c r="AM208" i="21"/>
  <c r="AN208" i="21" s="1"/>
  <c r="AK208" i="21"/>
  <c r="AG208" i="21"/>
  <c r="AH208" i="21" s="1"/>
  <c r="AE208" i="21"/>
  <c r="AF208" i="21" s="1"/>
  <c r="AC208" i="21"/>
  <c r="AA208" i="21"/>
  <c r="AB208" i="21" s="1"/>
  <c r="W208" i="21"/>
  <c r="X208" i="21" s="1"/>
  <c r="U208" i="21"/>
  <c r="V208" i="21" s="1"/>
  <c r="S208" i="21"/>
  <c r="T208" i="21" s="1"/>
  <c r="Q208" i="21"/>
  <c r="R208" i="21" s="1"/>
  <c r="P208" i="21"/>
  <c r="O208" i="21"/>
  <c r="N208" i="21"/>
  <c r="M208" i="21"/>
  <c r="L208" i="21"/>
  <c r="K208" i="21"/>
  <c r="J208" i="21"/>
  <c r="I208" i="21"/>
  <c r="H208" i="21"/>
  <c r="G208" i="21"/>
  <c r="F208" i="21"/>
  <c r="E208" i="21"/>
  <c r="D208" i="21"/>
  <c r="C208" i="21"/>
  <c r="B208" i="21"/>
  <c r="A208" i="21"/>
  <c r="BG207" i="21"/>
  <c r="BH207" i="21" s="1"/>
  <c r="BE207" i="21"/>
  <c r="BF207" i="21" s="1"/>
  <c r="AW207" i="21"/>
  <c r="AX207" i="21" s="1"/>
  <c r="AU207" i="21"/>
  <c r="AV207" i="21" s="1"/>
  <c r="AS207" i="21"/>
  <c r="AT207" i="21" s="1"/>
  <c r="AQ207" i="21"/>
  <c r="AR207" i="21" s="1"/>
  <c r="AO207" i="21"/>
  <c r="AP207" i="21" s="1"/>
  <c r="AM207" i="21"/>
  <c r="AN207" i="21" s="1"/>
  <c r="AK207" i="21"/>
  <c r="AL207" i="21" s="1"/>
  <c r="AG207" i="21"/>
  <c r="AE207" i="21"/>
  <c r="AF207" i="21" s="1"/>
  <c r="AC207" i="21"/>
  <c r="AD207" i="21" s="1"/>
  <c r="AA207" i="21"/>
  <c r="AB207" i="21" s="1"/>
  <c r="W207" i="21"/>
  <c r="X207" i="21" s="1"/>
  <c r="U207" i="21"/>
  <c r="V207" i="21" s="1"/>
  <c r="S207" i="21"/>
  <c r="T207" i="21" s="1"/>
  <c r="Q207" i="21"/>
  <c r="R207" i="21" s="1"/>
  <c r="P207" i="21"/>
  <c r="O207" i="21"/>
  <c r="N207" i="21"/>
  <c r="M207" i="21"/>
  <c r="L207" i="21"/>
  <c r="K207" i="21"/>
  <c r="J207" i="21"/>
  <c r="I207" i="21"/>
  <c r="H207" i="21"/>
  <c r="G207" i="21"/>
  <c r="F207" i="21"/>
  <c r="E207" i="21"/>
  <c r="D207" i="21"/>
  <c r="C207" i="21"/>
  <c r="B207" i="21"/>
  <c r="A207" i="21"/>
  <c r="BG206" i="21"/>
  <c r="BE206" i="21"/>
  <c r="BF206" i="21" s="1"/>
  <c r="AW206" i="21"/>
  <c r="AX206" i="21" s="1"/>
  <c r="AU206" i="21"/>
  <c r="AV206" i="21" s="1"/>
  <c r="AS206" i="21"/>
  <c r="AT206" i="21" s="1"/>
  <c r="AQ206" i="21"/>
  <c r="AR206" i="21" s="1"/>
  <c r="AO206" i="21"/>
  <c r="AP206" i="21" s="1"/>
  <c r="AM206" i="21"/>
  <c r="AK206" i="21"/>
  <c r="AL206" i="21" s="1"/>
  <c r="AG206" i="21"/>
  <c r="AE206" i="21"/>
  <c r="AF206" i="21" s="1"/>
  <c r="AC206" i="21"/>
  <c r="AD206" i="21" s="1"/>
  <c r="AA206" i="21"/>
  <c r="AB206" i="21" s="1"/>
  <c r="W206" i="21"/>
  <c r="X206" i="21" s="1"/>
  <c r="U206" i="21"/>
  <c r="V206" i="21" s="1"/>
  <c r="S206" i="21"/>
  <c r="T206" i="21" s="1"/>
  <c r="Q206" i="21"/>
  <c r="R206" i="21" s="1"/>
  <c r="P206" i="21"/>
  <c r="O206" i="21"/>
  <c r="N206" i="21"/>
  <c r="M206" i="21"/>
  <c r="L206" i="21"/>
  <c r="K206" i="21"/>
  <c r="J206" i="21"/>
  <c r="I206" i="21"/>
  <c r="H206" i="21"/>
  <c r="G206" i="21"/>
  <c r="F206" i="21"/>
  <c r="E206" i="21"/>
  <c r="D206" i="21"/>
  <c r="C206" i="21"/>
  <c r="B206" i="21"/>
  <c r="A206" i="21"/>
  <c r="BG205" i="21"/>
  <c r="BH205" i="21" s="1"/>
  <c r="BE205" i="21"/>
  <c r="BF205" i="21" s="1"/>
  <c r="AW205" i="21"/>
  <c r="AU205" i="21"/>
  <c r="AV205" i="21" s="1"/>
  <c r="AS205" i="21"/>
  <c r="AT205" i="21" s="1"/>
  <c r="AQ205" i="21"/>
  <c r="AO205" i="21"/>
  <c r="AP205" i="21" s="1"/>
  <c r="AM205" i="21"/>
  <c r="AN205" i="21" s="1"/>
  <c r="AK205" i="21"/>
  <c r="AL205" i="21" s="1"/>
  <c r="AG205" i="21"/>
  <c r="AH205" i="21" s="1"/>
  <c r="AE205" i="21"/>
  <c r="AF205" i="21" s="1"/>
  <c r="AC205" i="21"/>
  <c r="AD205" i="21" s="1"/>
  <c r="AA205" i="21"/>
  <c r="AB205" i="21" s="1"/>
  <c r="W205" i="21"/>
  <c r="U205" i="21"/>
  <c r="V205" i="21" s="1"/>
  <c r="S205" i="21"/>
  <c r="T205" i="21" s="1"/>
  <c r="Q205" i="21"/>
  <c r="R205" i="21" s="1"/>
  <c r="P205" i="21"/>
  <c r="O205" i="21"/>
  <c r="N205" i="21"/>
  <c r="M205" i="21"/>
  <c r="L205" i="21"/>
  <c r="K205" i="21"/>
  <c r="J205" i="21"/>
  <c r="I205" i="21"/>
  <c r="H205" i="21"/>
  <c r="G205" i="21"/>
  <c r="F205" i="21"/>
  <c r="E205" i="21"/>
  <c r="D205" i="21"/>
  <c r="C205" i="21"/>
  <c r="B205" i="21"/>
  <c r="A205" i="21"/>
  <c r="BG204" i="21"/>
  <c r="BH204" i="21" s="1"/>
  <c r="BE204" i="21"/>
  <c r="AW204" i="21"/>
  <c r="AX204" i="21" s="1"/>
  <c r="AU204" i="21"/>
  <c r="AS204" i="21"/>
  <c r="AT204" i="21" s="1"/>
  <c r="AQ204" i="21"/>
  <c r="AR204" i="21" s="1"/>
  <c r="AO204" i="21"/>
  <c r="AP204" i="21" s="1"/>
  <c r="AM204" i="21"/>
  <c r="AN204" i="21" s="1"/>
  <c r="AK204" i="21"/>
  <c r="AL204" i="21" s="1"/>
  <c r="AG204" i="21"/>
  <c r="AH204" i="21" s="1"/>
  <c r="AE204" i="21"/>
  <c r="AF204" i="21" s="1"/>
  <c r="AC204" i="21"/>
  <c r="AA204" i="21"/>
  <c r="AB204" i="21" s="1"/>
  <c r="W204" i="21"/>
  <c r="X204" i="21" s="1"/>
  <c r="U204" i="21"/>
  <c r="V204" i="21" s="1"/>
  <c r="S204" i="21"/>
  <c r="T204" i="21" s="1"/>
  <c r="Q204" i="21"/>
  <c r="R204" i="21" s="1"/>
  <c r="P204" i="21"/>
  <c r="O204" i="21"/>
  <c r="N204" i="21"/>
  <c r="M204" i="21"/>
  <c r="L204" i="21"/>
  <c r="K204" i="21"/>
  <c r="J204" i="21"/>
  <c r="I204" i="21"/>
  <c r="H204" i="21"/>
  <c r="G204" i="21"/>
  <c r="F204" i="21"/>
  <c r="E204" i="21"/>
  <c r="D204" i="21"/>
  <c r="C204" i="21"/>
  <c r="B204" i="21"/>
  <c r="A204" i="21"/>
  <c r="BG203" i="21"/>
  <c r="BH203" i="21" s="1"/>
  <c r="BE203" i="21"/>
  <c r="BF203" i="21" s="1"/>
  <c r="AW203" i="21"/>
  <c r="AX203" i="21" s="1"/>
  <c r="AU203" i="21"/>
  <c r="AV203" i="21" s="1"/>
  <c r="AS203" i="21"/>
  <c r="AT203" i="21" s="1"/>
  <c r="AQ203" i="21"/>
  <c r="AR203" i="21" s="1"/>
  <c r="AO203" i="21"/>
  <c r="AP203" i="21" s="1"/>
  <c r="AM203" i="21"/>
  <c r="AN203" i="21" s="1"/>
  <c r="BB203" i="21" s="1"/>
  <c r="AK203" i="21"/>
  <c r="AL203" i="21" s="1"/>
  <c r="AG203" i="21"/>
  <c r="AE203" i="21"/>
  <c r="AF203" i="21" s="1"/>
  <c r="AC203" i="21"/>
  <c r="AA203" i="21"/>
  <c r="AB203" i="21" s="1"/>
  <c r="W203" i="21"/>
  <c r="X203" i="21" s="1"/>
  <c r="U203" i="21"/>
  <c r="V203" i="21" s="1"/>
  <c r="S203" i="21"/>
  <c r="T203" i="21" s="1"/>
  <c r="Q203" i="21"/>
  <c r="R203" i="21" s="1"/>
  <c r="P203" i="21"/>
  <c r="O203" i="21"/>
  <c r="N203" i="21"/>
  <c r="M203" i="21"/>
  <c r="L203" i="21"/>
  <c r="K203" i="21"/>
  <c r="J203" i="21"/>
  <c r="I203" i="21"/>
  <c r="H203" i="21"/>
  <c r="G203" i="21"/>
  <c r="F203" i="21"/>
  <c r="E203" i="21"/>
  <c r="D203" i="21"/>
  <c r="C203" i="21"/>
  <c r="B203" i="21"/>
  <c r="A203" i="21"/>
  <c r="BG202" i="21"/>
  <c r="BE202" i="21"/>
  <c r="BF202" i="21" s="1"/>
  <c r="AW202" i="21"/>
  <c r="AX202" i="21" s="1"/>
  <c r="AU202" i="21"/>
  <c r="AV202" i="21" s="1"/>
  <c r="AS202" i="21"/>
  <c r="AT202" i="21" s="1"/>
  <c r="AQ202" i="21"/>
  <c r="AR202" i="21" s="1"/>
  <c r="AO202" i="21"/>
  <c r="AP202" i="21" s="1"/>
  <c r="AM202" i="21"/>
  <c r="AK202" i="21"/>
  <c r="AL202" i="21" s="1"/>
  <c r="AG202" i="21"/>
  <c r="AH202" i="21" s="1"/>
  <c r="AE202" i="21"/>
  <c r="AF202" i="21" s="1"/>
  <c r="AC202" i="21"/>
  <c r="AD202" i="21" s="1"/>
  <c r="AA202" i="21"/>
  <c r="W202" i="21"/>
  <c r="X202" i="21" s="1"/>
  <c r="U202" i="21"/>
  <c r="V202" i="21" s="1"/>
  <c r="S202" i="21"/>
  <c r="Q202" i="21"/>
  <c r="R202" i="21" s="1"/>
  <c r="P202" i="21"/>
  <c r="O202" i="21"/>
  <c r="N202" i="21"/>
  <c r="M202" i="21"/>
  <c r="L202" i="21"/>
  <c r="K202" i="21"/>
  <c r="J202" i="21"/>
  <c r="I202" i="21"/>
  <c r="H202" i="21"/>
  <c r="G202" i="21"/>
  <c r="F202" i="21"/>
  <c r="E202" i="21"/>
  <c r="D202" i="21"/>
  <c r="C202" i="21"/>
  <c r="B202" i="21"/>
  <c r="A202" i="21"/>
  <c r="BG201" i="21"/>
  <c r="BH201" i="21" s="1"/>
  <c r="BE201" i="21"/>
  <c r="BF201" i="21" s="1"/>
  <c r="AW201" i="21"/>
  <c r="AX201" i="21" s="1"/>
  <c r="AU201" i="21"/>
  <c r="AV201" i="21" s="1"/>
  <c r="AS201" i="21"/>
  <c r="AT201" i="21" s="1"/>
  <c r="AQ201" i="21"/>
  <c r="AO201" i="21"/>
  <c r="AP201" i="21" s="1"/>
  <c r="AM201" i="21"/>
  <c r="AN201" i="21" s="1"/>
  <c r="AK201" i="21"/>
  <c r="AL201" i="21" s="1"/>
  <c r="AG201" i="21"/>
  <c r="AH201" i="21" s="1"/>
  <c r="AE201" i="21"/>
  <c r="AC201" i="21"/>
  <c r="AD201" i="21" s="1"/>
  <c r="AA201" i="21"/>
  <c r="AB201" i="21" s="1"/>
  <c r="W201" i="21"/>
  <c r="U201" i="21"/>
  <c r="V201" i="21" s="1"/>
  <c r="S201" i="21"/>
  <c r="T201" i="21" s="1"/>
  <c r="Q201" i="21"/>
  <c r="R201" i="21" s="1"/>
  <c r="P201" i="21"/>
  <c r="O201" i="21"/>
  <c r="N201" i="21"/>
  <c r="M201" i="21"/>
  <c r="L201" i="21"/>
  <c r="K201" i="21"/>
  <c r="J201" i="21"/>
  <c r="I201" i="21"/>
  <c r="H201" i="21"/>
  <c r="G201" i="21"/>
  <c r="F201" i="21"/>
  <c r="E201" i="21"/>
  <c r="D201" i="21"/>
  <c r="C201" i="21"/>
  <c r="B201" i="21"/>
  <c r="A201" i="21"/>
  <c r="BG200" i="21"/>
  <c r="BH200" i="21" s="1"/>
  <c r="BE200" i="21"/>
  <c r="BF200" i="21" s="1"/>
  <c r="AW200" i="21"/>
  <c r="AX200" i="21" s="1"/>
  <c r="AU200" i="21"/>
  <c r="AS200" i="21"/>
  <c r="AT200" i="21" s="1"/>
  <c r="AQ200" i="21"/>
  <c r="AR200" i="21" s="1"/>
  <c r="AO200" i="21"/>
  <c r="AP200" i="21" s="1"/>
  <c r="AM200" i="21"/>
  <c r="AN200" i="21" s="1"/>
  <c r="AK200" i="21"/>
  <c r="AL200" i="21" s="1"/>
  <c r="AG200" i="21"/>
  <c r="AH200" i="21" s="1"/>
  <c r="AE200" i="21"/>
  <c r="AF200" i="21" s="1"/>
  <c r="AC200" i="21"/>
  <c r="AA200" i="21"/>
  <c r="AB200" i="21" s="1"/>
  <c r="W200" i="21"/>
  <c r="X200" i="21" s="1"/>
  <c r="U200" i="21"/>
  <c r="V200" i="21" s="1"/>
  <c r="S200" i="21"/>
  <c r="T200" i="21" s="1"/>
  <c r="Q200" i="21"/>
  <c r="R200" i="21" s="1"/>
  <c r="P200" i="21"/>
  <c r="O200" i="21"/>
  <c r="N200" i="21"/>
  <c r="M200" i="21"/>
  <c r="L200" i="21"/>
  <c r="K200" i="21"/>
  <c r="J200" i="21"/>
  <c r="I200" i="21"/>
  <c r="H200" i="21"/>
  <c r="G200" i="21"/>
  <c r="F200" i="21"/>
  <c r="E200" i="21"/>
  <c r="D200" i="21"/>
  <c r="C200" i="21"/>
  <c r="B200" i="21"/>
  <c r="A200" i="21"/>
  <c r="BG199" i="21"/>
  <c r="BH199" i="21" s="1"/>
  <c r="BE199" i="21"/>
  <c r="BF199" i="21" s="1"/>
  <c r="AW199" i="21"/>
  <c r="AX199" i="21" s="1"/>
  <c r="AU199" i="21"/>
  <c r="AS199" i="21"/>
  <c r="AT199" i="21" s="1"/>
  <c r="AQ199" i="21"/>
  <c r="AR199" i="21" s="1"/>
  <c r="AO199" i="21"/>
  <c r="AP199" i="21" s="1"/>
  <c r="AM199" i="21"/>
  <c r="AN199" i="21" s="1"/>
  <c r="AK199" i="21"/>
  <c r="AL199" i="21" s="1"/>
  <c r="AG199" i="21"/>
  <c r="AE199" i="21"/>
  <c r="AF199" i="21" s="1"/>
  <c r="AC199" i="21"/>
  <c r="AA199" i="21"/>
  <c r="AB199" i="21" s="1"/>
  <c r="W199" i="21"/>
  <c r="X199" i="21" s="1"/>
  <c r="U199" i="21"/>
  <c r="V199" i="21" s="1"/>
  <c r="S199" i="21"/>
  <c r="T199" i="21" s="1"/>
  <c r="Q199" i="21"/>
  <c r="R199" i="21" s="1"/>
  <c r="P199" i="21"/>
  <c r="O199" i="21"/>
  <c r="N199" i="21"/>
  <c r="M199" i="21"/>
  <c r="L199" i="21"/>
  <c r="K199" i="21"/>
  <c r="J199" i="21"/>
  <c r="I199" i="21"/>
  <c r="H199" i="21"/>
  <c r="G199" i="21"/>
  <c r="F199" i="21"/>
  <c r="E199" i="21"/>
  <c r="D199" i="21"/>
  <c r="C199" i="21"/>
  <c r="B199" i="21"/>
  <c r="A199" i="21"/>
  <c r="BG198" i="21"/>
  <c r="BH198" i="21" s="1"/>
  <c r="BE198" i="21"/>
  <c r="BF198" i="21" s="1"/>
  <c r="AW198" i="21"/>
  <c r="AX198" i="21" s="1"/>
  <c r="AU198" i="21"/>
  <c r="AV198" i="21" s="1"/>
  <c r="AS198" i="21"/>
  <c r="AQ198" i="21"/>
  <c r="AR198" i="21" s="1"/>
  <c r="AO198" i="21"/>
  <c r="AP198" i="21" s="1"/>
  <c r="AM198" i="21"/>
  <c r="AK198" i="21"/>
  <c r="AL198" i="21" s="1"/>
  <c r="AG198" i="21"/>
  <c r="AH198" i="21" s="1"/>
  <c r="AE198" i="21"/>
  <c r="AF198" i="21" s="1"/>
  <c r="AC198" i="21"/>
  <c r="AD198" i="21" s="1"/>
  <c r="AA198" i="21"/>
  <c r="AB198" i="21" s="1"/>
  <c r="W198" i="21"/>
  <c r="X198" i="21" s="1"/>
  <c r="U198" i="21"/>
  <c r="V198" i="21" s="1"/>
  <c r="S198" i="21"/>
  <c r="Q198" i="21"/>
  <c r="R198" i="21" s="1"/>
  <c r="P198" i="21"/>
  <c r="O198" i="21"/>
  <c r="N198" i="21"/>
  <c r="M198" i="21"/>
  <c r="L198" i="21"/>
  <c r="K198" i="21"/>
  <c r="J198" i="21"/>
  <c r="I198" i="21"/>
  <c r="H198" i="21"/>
  <c r="G198" i="21"/>
  <c r="F198" i="21"/>
  <c r="E198" i="21"/>
  <c r="D198" i="21"/>
  <c r="C198" i="21"/>
  <c r="B198" i="21"/>
  <c r="A198" i="21"/>
  <c r="BG197" i="21"/>
  <c r="BH197" i="21" s="1"/>
  <c r="BE197" i="21"/>
  <c r="BF197" i="21" s="1"/>
  <c r="AW197" i="21"/>
  <c r="AU197" i="21"/>
  <c r="AV197" i="21" s="1"/>
  <c r="AS197" i="21"/>
  <c r="AT197" i="21" s="1"/>
  <c r="AQ197" i="21"/>
  <c r="AO197" i="21"/>
  <c r="AP197" i="21" s="1"/>
  <c r="AM197" i="21"/>
  <c r="AN197" i="21" s="1"/>
  <c r="AK197" i="21"/>
  <c r="AL197" i="21" s="1"/>
  <c r="AG197" i="21"/>
  <c r="AH197" i="21" s="1"/>
  <c r="AE197" i="21"/>
  <c r="AF197" i="21" s="1"/>
  <c r="AC197" i="21"/>
  <c r="AD197" i="21" s="1"/>
  <c r="AA197" i="21"/>
  <c r="AB197" i="21" s="1"/>
  <c r="W197" i="21"/>
  <c r="U197" i="21"/>
  <c r="V197" i="21" s="1"/>
  <c r="S197" i="21"/>
  <c r="T197" i="21" s="1"/>
  <c r="Q197" i="21"/>
  <c r="R197" i="21" s="1"/>
  <c r="P197" i="21"/>
  <c r="O197" i="21"/>
  <c r="N197" i="21"/>
  <c r="M197" i="21"/>
  <c r="L197" i="21"/>
  <c r="K197" i="21"/>
  <c r="J197" i="21"/>
  <c r="I197" i="21"/>
  <c r="H197" i="21"/>
  <c r="G197" i="21"/>
  <c r="F197" i="21"/>
  <c r="E197" i="21"/>
  <c r="D197" i="21"/>
  <c r="C197" i="21"/>
  <c r="B197" i="21"/>
  <c r="A197" i="21"/>
  <c r="BG196" i="21"/>
  <c r="BH196" i="21" s="1"/>
  <c r="BE196" i="21"/>
  <c r="BF196" i="21" s="1"/>
  <c r="AW196" i="21"/>
  <c r="AX196" i="21" s="1"/>
  <c r="AU196" i="21"/>
  <c r="AS196" i="21"/>
  <c r="AT196" i="21" s="1"/>
  <c r="AQ196" i="21"/>
  <c r="AR196" i="21" s="1"/>
  <c r="AO196" i="21"/>
  <c r="AP196" i="21" s="1"/>
  <c r="AM196" i="21"/>
  <c r="AN196" i="21" s="1"/>
  <c r="AK196" i="21"/>
  <c r="AL196" i="21" s="1"/>
  <c r="AG196" i="21"/>
  <c r="AH196" i="21" s="1"/>
  <c r="AE196" i="21"/>
  <c r="AF196" i="21" s="1"/>
  <c r="AC196" i="21"/>
  <c r="AA196" i="21"/>
  <c r="AB196" i="21" s="1"/>
  <c r="W196" i="21"/>
  <c r="U196" i="21"/>
  <c r="V196" i="21" s="1"/>
  <c r="S196" i="21"/>
  <c r="T196" i="21" s="1"/>
  <c r="Q196" i="21"/>
  <c r="R196" i="21" s="1"/>
  <c r="P196" i="21"/>
  <c r="O196" i="21"/>
  <c r="N196" i="21"/>
  <c r="M196" i="21"/>
  <c r="L196" i="21"/>
  <c r="K196" i="21"/>
  <c r="J196" i="21"/>
  <c r="I196" i="21"/>
  <c r="H196" i="21"/>
  <c r="G196" i="21"/>
  <c r="F196" i="21"/>
  <c r="E196" i="21"/>
  <c r="D196" i="21"/>
  <c r="C196" i="21"/>
  <c r="B196" i="21"/>
  <c r="A196" i="21"/>
  <c r="BG195" i="21"/>
  <c r="BH195" i="21" s="1"/>
  <c r="BE195" i="21"/>
  <c r="BF195" i="21" s="1"/>
  <c r="AW195" i="21"/>
  <c r="AX195" i="21" s="1"/>
  <c r="AU195" i="21"/>
  <c r="AS195" i="21"/>
  <c r="AT195" i="21" s="1"/>
  <c r="AQ195" i="21"/>
  <c r="AR195" i="21" s="1"/>
  <c r="AO195" i="21"/>
  <c r="AP195" i="21" s="1"/>
  <c r="AM195" i="21"/>
  <c r="AN195" i="21" s="1"/>
  <c r="AK195" i="21"/>
  <c r="AL195" i="21" s="1"/>
  <c r="AG195" i="21"/>
  <c r="AE195" i="21"/>
  <c r="AF195" i="21" s="1"/>
  <c r="AC195" i="21"/>
  <c r="AA195" i="21"/>
  <c r="AB195" i="21" s="1"/>
  <c r="W195" i="21"/>
  <c r="X195" i="21" s="1"/>
  <c r="U195" i="21"/>
  <c r="S195" i="21"/>
  <c r="T195" i="21" s="1"/>
  <c r="Q195" i="21"/>
  <c r="R195" i="21" s="1"/>
  <c r="P195" i="21"/>
  <c r="O195" i="21"/>
  <c r="N195" i="21"/>
  <c r="M195" i="21"/>
  <c r="L195" i="21"/>
  <c r="K195" i="21"/>
  <c r="J195" i="21"/>
  <c r="I195" i="21"/>
  <c r="H195" i="21"/>
  <c r="G195" i="21"/>
  <c r="F195" i="21"/>
  <c r="E195" i="21"/>
  <c r="D195" i="21"/>
  <c r="C195" i="21"/>
  <c r="B195" i="21"/>
  <c r="A195" i="21"/>
  <c r="BG194" i="21"/>
  <c r="BE194" i="21"/>
  <c r="BF194" i="21" s="1"/>
  <c r="AW194" i="21"/>
  <c r="AX194" i="21" s="1"/>
  <c r="AU194" i="21"/>
  <c r="AV194" i="21" s="1"/>
  <c r="AS194" i="21"/>
  <c r="AQ194" i="21"/>
  <c r="AR194" i="21" s="1"/>
  <c r="AO194" i="21"/>
  <c r="AP194" i="21" s="1"/>
  <c r="AM194" i="21"/>
  <c r="AK194" i="21"/>
  <c r="AL194" i="21" s="1"/>
  <c r="AG194" i="21"/>
  <c r="AH194" i="21" s="1"/>
  <c r="AE194" i="21"/>
  <c r="AF194" i="21" s="1"/>
  <c r="AC194" i="21"/>
  <c r="AD194" i="21" s="1"/>
  <c r="AA194" i="21"/>
  <c r="W194" i="21"/>
  <c r="X194" i="21" s="1"/>
  <c r="U194" i="21"/>
  <c r="V194" i="21" s="1"/>
  <c r="S194" i="21"/>
  <c r="Q194" i="21"/>
  <c r="R194" i="21" s="1"/>
  <c r="P194" i="21"/>
  <c r="O194" i="21"/>
  <c r="N194" i="21"/>
  <c r="M194" i="21"/>
  <c r="L194" i="21"/>
  <c r="K194" i="21"/>
  <c r="J194" i="21"/>
  <c r="I194" i="21"/>
  <c r="H194" i="21"/>
  <c r="G194" i="21"/>
  <c r="F194" i="21"/>
  <c r="E194" i="21"/>
  <c r="D194" i="21"/>
  <c r="C194" i="21"/>
  <c r="B194" i="21"/>
  <c r="A194" i="21"/>
  <c r="BG193" i="21"/>
  <c r="BH193" i="21" s="1"/>
  <c r="BE193" i="21"/>
  <c r="BF193" i="21" s="1"/>
  <c r="AW193" i="21"/>
  <c r="AX193" i="21" s="1"/>
  <c r="AU193" i="21"/>
  <c r="AV193" i="21" s="1"/>
  <c r="AS193" i="21"/>
  <c r="AT193" i="21" s="1"/>
  <c r="AQ193" i="21"/>
  <c r="AR193" i="21" s="1"/>
  <c r="AO193" i="21"/>
  <c r="AP193" i="21" s="1"/>
  <c r="AM193" i="21"/>
  <c r="AN193" i="21" s="1"/>
  <c r="AK193" i="21"/>
  <c r="AL193" i="21" s="1"/>
  <c r="AG193" i="21"/>
  <c r="AH193" i="21" s="1"/>
  <c r="AE193" i="21"/>
  <c r="AF193" i="21" s="1"/>
  <c r="AC193" i="21"/>
  <c r="AD193" i="21" s="1"/>
  <c r="AA193" i="21"/>
  <c r="AB193" i="21" s="1"/>
  <c r="W193" i="21"/>
  <c r="U193" i="21"/>
  <c r="V193" i="21" s="1"/>
  <c r="S193" i="21"/>
  <c r="T193" i="21" s="1"/>
  <c r="Q193" i="21"/>
  <c r="R193" i="21" s="1"/>
  <c r="P193" i="21"/>
  <c r="O193" i="21"/>
  <c r="N193" i="21"/>
  <c r="M193" i="21"/>
  <c r="L193" i="21"/>
  <c r="K193" i="21"/>
  <c r="J193" i="21"/>
  <c r="I193" i="21"/>
  <c r="H193" i="21"/>
  <c r="G193" i="21"/>
  <c r="F193" i="21"/>
  <c r="E193" i="21"/>
  <c r="D193" i="21"/>
  <c r="C193" i="21"/>
  <c r="B193" i="21"/>
  <c r="A193" i="21"/>
  <c r="BG192" i="21"/>
  <c r="BH192" i="21" s="1"/>
  <c r="BE192" i="21"/>
  <c r="BF192" i="21" s="1"/>
  <c r="AW192" i="21"/>
  <c r="AX192" i="21" s="1"/>
  <c r="AU192" i="21"/>
  <c r="AS192" i="21"/>
  <c r="AT192" i="21" s="1"/>
  <c r="AQ192" i="21"/>
  <c r="AO192" i="21"/>
  <c r="AP192" i="21" s="1"/>
  <c r="AM192" i="21"/>
  <c r="AN192" i="21" s="1"/>
  <c r="AK192" i="21"/>
  <c r="AL192" i="21" s="1"/>
  <c r="AG192" i="21"/>
  <c r="AH192" i="21" s="1"/>
  <c r="AE192" i="21"/>
  <c r="AF192" i="21" s="1"/>
  <c r="AC192" i="21"/>
  <c r="AA192" i="21"/>
  <c r="AB192" i="21" s="1"/>
  <c r="W192" i="21"/>
  <c r="X192" i="21" s="1"/>
  <c r="U192" i="21"/>
  <c r="V192" i="21" s="1"/>
  <c r="S192" i="21"/>
  <c r="T192" i="21" s="1"/>
  <c r="Q192" i="21"/>
  <c r="R192" i="21" s="1"/>
  <c r="P192" i="21"/>
  <c r="O192" i="21"/>
  <c r="N192" i="21"/>
  <c r="M192" i="21"/>
  <c r="L192" i="21"/>
  <c r="K192" i="21"/>
  <c r="J192" i="21"/>
  <c r="I192" i="21"/>
  <c r="H192" i="21"/>
  <c r="G192" i="21"/>
  <c r="F192" i="21"/>
  <c r="E192" i="21"/>
  <c r="D192" i="21"/>
  <c r="C192" i="21"/>
  <c r="B192" i="21"/>
  <c r="A192" i="21"/>
  <c r="BG191" i="21"/>
  <c r="BH191" i="21" s="1"/>
  <c r="BE191" i="21"/>
  <c r="BF191" i="21" s="1"/>
  <c r="AW191" i="21"/>
  <c r="AX191" i="21" s="1"/>
  <c r="AU191" i="21"/>
  <c r="AS191" i="21"/>
  <c r="AT191" i="21" s="1"/>
  <c r="AQ191" i="21"/>
  <c r="AR191" i="21" s="1"/>
  <c r="AO191" i="21"/>
  <c r="AM191" i="21"/>
  <c r="AN191" i="21" s="1"/>
  <c r="AK191" i="21"/>
  <c r="AL191" i="21" s="1"/>
  <c r="AG191" i="21"/>
  <c r="AE191" i="21"/>
  <c r="AF191" i="21" s="1"/>
  <c r="AC191" i="21"/>
  <c r="AD191" i="21" s="1"/>
  <c r="AA191" i="21"/>
  <c r="AB191" i="21" s="1"/>
  <c r="W191" i="21"/>
  <c r="X191" i="21" s="1"/>
  <c r="U191" i="21"/>
  <c r="V191" i="21" s="1"/>
  <c r="S191" i="21"/>
  <c r="T191" i="21" s="1"/>
  <c r="Q191" i="21"/>
  <c r="R191" i="21" s="1"/>
  <c r="P191" i="21"/>
  <c r="O191" i="21"/>
  <c r="N191" i="21"/>
  <c r="M191" i="21"/>
  <c r="L191" i="21"/>
  <c r="K191" i="21"/>
  <c r="J191" i="21"/>
  <c r="I191" i="21"/>
  <c r="H191" i="21"/>
  <c r="G191" i="21"/>
  <c r="F191" i="21"/>
  <c r="E191" i="21"/>
  <c r="D191" i="21"/>
  <c r="C191" i="21"/>
  <c r="B191" i="21"/>
  <c r="A191" i="21"/>
  <c r="BG190" i="21"/>
  <c r="BE190" i="21"/>
  <c r="BF190" i="21" s="1"/>
  <c r="AW190" i="21"/>
  <c r="AX190" i="21" s="1"/>
  <c r="AU190" i="21"/>
  <c r="AV190" i="21" s="1"/>
  <c r="AS190" i="21"/>
  <c r="AQ190" i="21"/>
  <c r="AR190" i="21" s="1"/>
  <c r="AO190" i="21"/>
  <c r="AP190" i="21" s="1"/>
  <c r="AM190" i="21"/>
  <c r="AK190" i="21"/>
  <c r="AL190" i="21" s="1"/>
  <c r="AG190" i="21"/>
  <c r="AH190" i="21" s="1"/>
  <c r="AE190" i="21"/>
  <c r="AF190" i="21" s="1"/>
  <c r="AC190" i="21"/>
  <c r="AD190" i="21" s="1"/>
  <c r="AA190" i="21"/>
  <c r="AB190" i="21" s="1"/>
  <c r="W190" i="21"/>
  <c r="X190" i="21" s="1"/>
  <c r="U190" i="21"/>
  <c r="V190" i="21" s="1"/>
  <c r="S190" i="21"/>
  <c r="T190" i="21" s="1"/>
  <c r="Q190" i="21"/>
  <c r="R190" i="21" s="1"/>
  <c r="P190" i="21"/>
  <c r="O190" i="21"/>
  <c r="N190" i="21"/>
  <c r="M190" i="21"/>
  <c r="L190" i="21"/>
  <c r="K190" i="21"/>
  <c r="J190" i="21"/>
  <c r="I190" i="21"/>
  <c r="H190" i="21"/>
  <c r="G190" i="21"/>
  <c r="F190" i="21"/>
  <c r="E190" i="21"/>
  <c r="D190" i="21"/>
  <c r="C190" i="21"/>
  <c r="B190" i="21"/>
  <c r="A190" i="21"/>
  <c r="BG189" i="21"/>
  <c r="BH189" i="21" s="1"/>
  <c r="BE189" i="21"/>
  <c r="BF189" i="21" s="1"/>
  <c r="AW189" i="21"/>
  <c r="AX189" i="21" s="1"/>
  <c r="AU189" i="21"/>
  <c r="AV189" i="21" s="1"/>
  <c r="AS189" i="21"/>
  <c r="AT189" i="21" s="1"/>
  <c r="AQ189" i="21"/>
  <c r="AO189" i="21"/>
  <c r="AP189" i="21" s="1"/>
  <c r="AM189" i="21"/>
  <c r="AN189" i="21" s="1"/>
  <c r="AK189" i="21"/>
  <c r="AL189" i="21" s="1"/>
  <c r="AG189" i="21"/>
  <c r="AH189" i="21" s="1"/>
  <c r="AE189" i="21"/>
  <c r="AF189" i="21" s="1"/>
  <c r="AC189" i="21"/>
  <c r="AD189" i="21" s="1"/>
  <c r="AA189" i="21"/>
  <c r="AB189" i="21" s="1"/>
  <c r="W189" i="21"/>
  <c r="U189" i="21"/>
  <c r="V189" i="21" s="1"/>
  <c r="S189" i="21"/>
  <c r="T189" i="21" s="1"/>
  <c r="Q189" i="21"/>
  <c r="R189" i="21" s="1"/>
  <c r="P189" i="21"/>
  <c r="O189" i="21"/>
  <c r="N189" i="21"/>
  <c r="M189" i="21"/>
  <c r="L189" i="21"/>
  <c r="K189" i="21"/>
  <c r="J189" i="21"/>
  <c r="I189" i="21"/>
  <c r="H189" i="21"/>
  <c r="G189" i="21"/>
  <c r="F189" i="21"/>
  <c r="E189" i="21"/>
  <c r="D189" i="21"/>
  <c r="C189" i="21"/>
  <c r="B189" i="21"/>
  <c r="A189" i="21"/>
  <c r="BG188" i="21"/>
  <c r="BH188" i="21" s="1"/>
  <c r="BE188" i="21"/>
  <c r="BF188" i="21" s="1"/>
  <c r="AW188" i="21"/>
  <c r="AX188" i="21" s="1"/>
  <c r="AU188" i="21"/>
  <c r="AS188" i="21"/>
  <c r="AT188" i="21" s="1"/>
  <c r="AQ188" i="21"/>
  <c r="AR188" i="21" s="1"/>
  <c r="AO188" i="21"/>
  <c r="AP188" i="21" s="1"/>
  <c r="AM188" i="21"/>
  <c r="AN188" i="21" s="1"/>
  <c r="AK188" i="21"/>
  <c r="AL188" i="21" s="1"/>
  <c r="AG188" i="21"/>
  <c r="AH188" i="21" s="1"/>
  <c r="AE188" i="21"/>
  <c r="AF188" i="21" s="1"/>
  <c r="AC188" i="21"/>
  <c r="AD188" i="21" s="1"/>
  <c r="AA188" i="21"/>
  <c r="AB188" i="21" s="1"/>
  <c r="W188" i="21"/>
  <c r="U188" i="21"/>
  <c r="V188" i="21" s="1"/>
  <c r="S188" i="21"/>
  <c r="T188" i="21" s="1"/>
  <c r="Q188" i="21"/>
  <c r="P188" i="21"/>
  <c r="O188" i="21"/>
  <c r="N188" i="21"/>
  <c r="M188" i="21"/>
  <c r="L188" i="21"/>
  <c r="K188" i="21"/>
  <c r="J188" i="21"/>
  <c r="I188" i="21"/>
  <c r="H188" i="21"/>
  <c r="G188" i="21"/>
  <c r="F188" i="21"/>
  <c r="E188" i="21"/>
  <c r="D188" i="21"/>
  <c r="C188" i="21"/>
  <c r="B188" i="21"/>
  <c r="A188" i="21"/>
  <c r="BG187" i="21"/>
  <c r="BH187" i="21" s="1"/>
  <c r="BE187" i="21"/>
  <c r="BF187" i="21" s="1"/>
  <c r="AW187" i="21"/>
  <c r="AX187" i="21" s="1"/>
  <c r="AU187" i="21"/>
  <c r="AV187" i="21" s="1"/>
  <c r="AS187" i="21"/>
  <c r="AT187" i="21" s="1"/>
  <c r="AQ187" i="21"/>
  <c r="AO187" i="21"/>
  <c r="AP187" i="21" s="1"/>
  <c r="AM187" i="21"/>
  <c r="AN187" i="21" s="1"/>
  <c r="AK187" i="21"/>
  <c r="AL187" i="21" s="1"/>
  <c r="AG187" i="21"/>
  <c r="AH187" i="21" s="1"/>
  <c r="AE187" i="21"/>
  <c r="AF187" i="21" s="1"/>
  <c r="AC187" i="21"/>
  <c r="AD187" i="21" s="1"/>
  <c r="AA187" i="21"/>
  <c r="AB187" i="21" s="1"/>
  <c r="W187" i="21"/>
  <c r="X187" i="21" s="1"/>
  <c r="U187" i="21"/>
  <c r="S187" i="21"/>
  <c r="T187" i="21" s="1"/>
  <c r="Q187" i="21"/>
  <c r="R187" i="21" s="1"/>
  <c r="P187" i="21"/>
  <c r="O187" i="21"/>
  <c r="N187" i="21"/>
  <c r="M187" i="21"/>
  <c r="L187" i="21"/>
  <c r="K187" i="21"/>
  <c r="J187" i="21"/>
  <c r="I187" i="21"/>
  <c r="H187" i="21"/>
  <c r="G187" i="21"/>
  <c r="F187" i="21"/>
  <c r="E187" i="21"/>
  <c r="D187" i="21"/>
  <c r="C187" i="21"/>
  <c r="B187" i="21"/>
  <c r="A187" i="21"/>
  <c r="BG186" i="21"/>
  <c r="BH186" i="21" s="1"/>
  <c r="BE186" i="21"/>
  <c r="BF186" i="21" s="1"/>
  <c r="AW186" i="21"/>
  <c r="AX186" i="21" s="1"/>
  <c r="AU186" i="21"/>
  <c r="AS186" i="21"/>
  <c r="AT186" i="21" s="1"/>
  <c r="AQ186" i="21"/>
  <c r="AR186" i="21" s="1"/>
  <c r="AO186" i="21"/>
  <c r="AP186" i="21" s="1"/>
  <c r="AM186" i="21"/>
  <c r="AN186" i="21" s="1"/>
  <c r="AK186" i="21"/>
  <c r="AL186" i="21" s="1"/>
  <c r="AG186" i="21"/>
  <c r="AH186" i="21" s="1"/>
  <c r="AE186" i="21"/>
  <c r="AF186" i="21" s="1"/>
  <c r="AC186" i="21"/>
  <c r="AD186" i="21" s="1"/>
  <c r="AA186" i="21"/>
  <c r="W186" i="21"/>
  <c r="X186" i="21" s="1"/>
  <c r="U186" i="21"/>
  <c r="V186" i="21" s="1"/>
  <c r="S186" i="21"/>
  <c r="Q186" i="21"/>
  <c r="R186" i="21" s="1"/>
  <c r="P186" i="21"/>
  <c r="O186" i="21"/>
  <c r="N186" i="21"/>
  <c r="M186" i="21"/>
  <c r="L186" i="21"/>
  <c r="K186" i="21"/>
  <c r="J186" i="21"/>
  <c r="I186" i="21"/>
  <c r="H186" i="21"/>
  <c r="G186" i="21"/>
  <c r="F186" i="21"/>
  <c r="E186" i="21"/>
  <c r="D186" i="21"/>
  <c r="C186" i="21"/>
  <c r="B186" i="21"/>
  <c r="A186" i="21"/>
  <c r="BG185" i="21"/>
  <c r="BH185" i="21" s="1"/>
  <c r="BE185" i="21"/>
  <c r="BF185" i="21" s="1"/>
  <c r="AW185" i="21"/>
  <c r="AX185" i="21" s="1"/>
  <c r="AU185" i="21"/>
  <c r="AV185" i="21" s="1"/>
  <c r="AS185" i="21"/>
  <c r="AT185" i="21" s="1"/>
  <c r="AQ185" i="21"/>
  <c r="AR185" i="21" s="1"/>
  <c r="AO185" i="21"/>
  <c r="AP185" i="21" s="1"/>
  <c r="AM185" i="21"/>
  <c r="AN185" i="21" s="1"/>
  <c r="AK185" i="21"/>
  <c r="AL185" i="21" s="1"/>
  <c r="AG185" i="21"/>
  <c r="AH185" i="21" s="1"/>
  <c r="AE185" i="21"/>
  <c r="AC185" i="21"/>
  <c r="AD185" i="21" s="1"/>
  <c r="AJ185" i="21" s="1"/>
  <c r="AA185" i="21"/>
  <c r="AB185" i="21" s="1"/>
  <c r="W185" i="21"/>
  <c r="U185" i="21"/>
  <c r="V185" i="21" s="1"/>
  <c r="S185" i="21"/>
  <c r="T185" i="21" s="1"/>
  <c r="Q185" i="21"/>
  <c r="R185" i="21" s="1"/>
  <c r="P185" i="21"/>
  <c r="O185" i="21"/>
  <c r="N185" i="21"/>
  <c r="M185" i="21"/>
  <c r="L185" i="21"/>
  <c r="K185" i="21"/>
  <c r="J185" i="21"/>
  <c r="I185" i="21"/>
  <c r="H185" i="21"/>
  <c r="G185" i="21"/>
  <c r="F185" i="21"/>
  <c r="E185" i="21"/>
  <c r="D185" i="21"/>
  <c r="C185" i="21"/>
  <c r="B185" i="21"/>
  <c r="A185" i="21"/>
  <c r="BG184" i="21"/>
  <c r="BE184" i="21"/>
  <c r="BF184" i="21" s="1"/>
  <c r="AW184" i="21"/>
  <c r="AU184" i="21"/>
  <c r="AV184" i="21" s="1"/>
  <c r="AS184" i="21"/>
  <c r="AT184" i="21" s="1"/>
  <c r="AQ184" i="21"/>
  <c r="AO184" i="21"/>
  <c r="AP184" i="21" s="1"/>
  <c r="AM184" i="21"/>
  <c r="AN184" i="21" s="1"/>
  <c r="AK184" i="21"/>
  <c r="AL184" i="21" s="1"/>
  <c r="AG184" i="21"/>
  <c r="AH184" i="21" s="1"/>
  <c r="AE184" i="21"/>
  <c r="AF184" i="21" s="1"/>
  <c r="AC184" i="21"/>
  <c r="AD184" i="21" s="1"/>
  <c r="AA184" i="21"/>
  <c r="AB184" i="21" s="1"/>
  <c r="W184" i="21"/>
  <c r="X184" i="21" s="1"/>
  <c r="U184" i="21"/>
  <c r="V184" i="21" s="1"/>
  <c r="S184" i="21"/>
  <c r="T184" i="21" s="1"/>
  <c r="Q184" i="21"/>
  <c r="R184" i="21" s="1"/>
  <c r="P184" i="21"/>
  <c r="O184" i="21"/>
  <c r="N184" i="21"/>
  <c r="M184" i="21"/>
  <c r="L184" i="21"/>
  <c r="K184" i="21"/>
  <c r="J184" i="21"/>
  <c r="I184" i="21"/>
  <c r="H184" i="21"/>
  <c r="G184" i="21"/>
  <c r="F184" i="21"/>
  <c r="E184" i="21"/>
  <c r="D184" i="21"/>
  <c r="C184" i="21"/>
  <c r="B184" i="21"/>
  <c r="A184" i="21"/>
  <c r="BG183" i="21"/>
  <c r="BH183" i="21" s="1"/>
  <c r="BE183" i="21"/>
  <c r="BF183" i="21" s="1"/>
  <c r="AW183" i="21"/>
  <c r="AX183" i="21" s="1"/>
  <c r="AU183" i="21"/>
  <c r="AS183" i="21"/>
  <c r="AT183" i="21" s="1"/>
  <c r="AQ183" i="21"/>
  <c r="AR183" i="21" s="1"/>
  <c r="AO183" i="21"/>
  <c r="AP183" i="21" s="1"/>
  <c r="AM183" i="21"/>
  <c r="AN183" i="21" s="1"/>
  <c r="AK183" i="21"/>
  <c r="AL183" i="21" s="1"/>
  <c r="AG183" i="21"/>
  <c r="AH183" i="21" s="1"/>
  <c r="AE183" i="21"/>
  <c r="AF183" i="21" s="1"/>
  <c r="AC183" i="21"/>
  <c r="AD183" i="21" s="1"/>
  <c r="AA183" i="21"/>
  <c r="AB183" i="21" s="1"/>
  <c r="W183" i="21"/>
  <c r="X183" i="21" s="1"/>
  <c r="U183" i="21"/>
  <c r="V183" i="21" s="1"/>
  <c r="S183" i="21"/>
  <c r="T183" i="21" s="1"/>
  <c r="Q183" i="21"/>
  <c r="R183" i="21" s="1"/>
  <c r="P183" i="21"/>
  <c r="O183" i="21"/>
  <c r="N183" i="21"/>
  <c r="M183" i="21"/>
  <c r="L183" i="21"/>
  <c r="K183" i="21"/>
  <c r="J183" i="21"/>
  <c r="I183" i="21"/>
  <c r="H183" i="21"/>
  <c r="G183" i="21"/>
  <c r="F183" i="21"/>
  <c r="E183" i="21"/>
  <c r="D183" i="21"/>
  <c r="C183" i="21"/>
  <c r="B183" i="21"/>
  <c r="A183" i="21"/>
  <c r="BG182" i="21"/>
  <c r="BH182" i="21" s="1"/>
  <c r="BE182" i="21"/>
  <c r="BF182" i="21" s="1"/>
  <c r="AW182" i="21"/>
  <c r="AX182" i="21" s="1"/>
  <c r="AU182" i="21"/>
  <c r="AV182" i="21" s="1"/>
  <c r="AS182" i="21"/>
  <c r="AT182" i="21" s="1"/>
  <c r="AQ182" i="21"/>
  <c r="AR182" i="21" s="1"/>
  <c r="AO182" i="21"/>
  <c r="AP182" i="21" s="1"/>
  <c r="AM182" i="21"/>
  <c r="AN182" i="21" s="1"/>
  <c r="AK182" i="21"/>
  <c r="AL182" i="21" s="1"/>
  <c r="AG182" i="21"/>
  <c r="AH182" i="21" s="1"/>
  <c r="AE182" i="21"/>
  <c r="AF182" i="21" s="1"/>
  <c r="AC182" i="21"/>
  <c r="AD182" i="21" s="1"/>
  <c r="AA182" i="21"/>
  <c r="AB182" i="21" s="1"/>
  <c r="W182" i="21"/>
  <c r="X182" i="21" s="1"/>
  <c r="U182" i="21"/>
  <c r="V182" i="21" s="1"/>
  <c r="S182" i="21"/>
  <c r="T182" i="21" s="1"/>
  <c r="Q182" i="21"/>
  <c r="R182" i="21" s="1"/>
  <c r="P182" i="21"/>
  <c r="O182" i="21"/>
  <c r="N182" i="21"/>
  <c r="M182" i="21"/>
  <c r="L182" i="21"/>
  <c r="K182" i="21"/>
  <c r="J182" i="21"/>
  <c r="I182" i="21"/>
  <c r="H182" i="21"/>
  <c r="G182" i="21"/>
  <c r="F182" i="21"/>
  <c r="E182" i="21"/>
  <c r="D182" i="21"/>
  <c r="C182" i="21"/>
  <c r="B182" i="21"/>
  <c r="A182" i="21"/>
  <c r="BG181" i="21"/>
  <c r="BE181" i="21"/>
  <c r="BF181" i="21" s="1"/>
  <c r="AW181" i="21"/>
  <c r="AX181" i="21" s="1"/>
  <c r="AU181" i="21"/>
  <c r="AV181" i="21" s="1"/>
  <c r="AS181" i="21"/>
  <c r="AT181" i="21" s="1"/>
  <c r="AQ181" i="21"/>
  <c r="AR181" i="21" s="1"/>
  <c r="AO181" i="21"/>
  <c r="AP181" i="21" s="1"/>
  <c r="AM181" i="21"/>
  <c r="AK181" i="21"/>
  <c r="AL181" i="21" s="1"/>
  <c r="AG181" i="21"/>
  <c r="AH181" i="21" s="1"/>
  <c r="AE181" i="21"/>
  <c r="AF181" i="21" s="1"/>
  <c r="AC181" i="21"/>
  <c r="AD181" i="21" s="1"/>
  <c r="AA181" i="21"/>
  <c r="AB181" i="21" s="1"/>
  <c r="W181" i="21"/>
  <c r="U181" i="21"/>
  <c r="V181" i="21" s="1"/>
  <c r="S181" i="21"/>
  <c r="Q181" i="21"/>
  <c r="R181" i="21" s="1"/>
  <c r="P181" i="21"/>
  <c r="O181" i="21"/>
  <c r="N181" i="21"/>
  <c r="M181" i="21"/>
  <c r="L181" i="21"/>
  <c r="K181" i="21"/>
  <c r="J181" i="21"/>
  <c r="I181" i="21"/>
  <c r="H181" i="21"/>
  <c r="G181" i="21"/>
  <c r="F181" i="21"/>
  <c r="E181" i="21"/>
  <c r="D181" i="21"/>
  <c r="C181" i="21"/>
  <c r="B181" i="21"/>
  <c r="A181" i="21"/>
  <c r="BG180" i="21"/>
  <c r="BH180" i="21" s="1"/>
  <c r="BE180" i="21"/>
  <c r="BF180" i="21" s="1"/>
  <c r="AW180" i="21"/>
  <c r="AX180" i="21" s="1"/>
  <c r="AU180" i="21"/>
  <c r="AV180" i="21" s="1"/>
  <c r="AS180" i="21"/>
  <c r="AT180" i="21" s="1"/>
  <c r="AQ180" i="21"/>
  <c r="AO180" i="21"/>
  <c r="AP180" i="21" s="1"/>
  <c r="AM180" i="21"/>
  <c r="AN180" i="21" s="1"/>
  <c r="AK180" i="21"/>
  <c r="AL180" i="21" s="1"/>
  <c r="AG180" i="21"/>
  <c r="AH180" i="21" s="1"/>
  <c r="AE180" i="21"/>
  <c r="AF180" i="21" s="1"/>
  <c r="AC180" i="21"/>
  <c r="AD180" i="21" s="1"/>
  <c r="AA180" i="21"/>
  <c r="AB180" i="21" s="1"/>
  <c r="W180" i="21"/>
  <c r="U180" i="21"/>
  <c r="V180" i="21" s="1"/>
  <c r="S180" i="21"/>
  <c r="T180" i="21" s="1"/>
  <c r="Q180" i="21"/>
  <c r="R180" i="21" s="1"/>
  <c r="P180" i="21"/>
  <c r="O180" i="21"/>
  <c r="N180" i="21"/>
  <c r="M180" i="21"/>
  <c r="L180" i="21"/>
  <c r="K180" i="21"/>
  <c r="J180" i="21"/>
  <c r="I180" i="21"/>
  <c r="H180" i="21"/>
  <c r="G180" i="21"/>
  <c r="F180" i="21"/>
  <c r="E180" i="21"/>
  <c r="D180" i="21"/>
  <c r="C180" i="21"/>
  <c r="B180" i="21"/>
  <c r="A180" i="21"/>
  <c r="BG179" i="21"/>
  <c r="BH179" i="21" s="1"/>
  <c r="BE179" i="21"/>
  <c r="BF179" i="21" s="1"/>
  <c r="AW179" i="21"/>
  <c r="AX179" i="21" s="1"/>
  <c r="AU179" i="21"/>
  <c r="AS179" i="21"/>
  <c r="AT179" i="21" s="1"/>
  <c r="AQ179" i="21"/>
  <c r="AR179" i="21" s="1"/>
  <c r="AO179" i="21"/>
  <c r="AP179" i="21" s="1"/>
  <c r="AM179" i="21"/>
  <c r="AN179" i="21" s="1"/>
  <c r="AK179" i="21"/>
  <c r="AG179" i="21"/>
  <c r="AH179" i="21" s="1"/>
  <c r="AE179" i="21"/>
  <c r="AF179" i="21" s="1"/>
  <c r="AC179" i="21"/>
  <c r="AA179" i="21"/>
  <c r="AB179" i="21" s="1"/>
  <c r="W179" i="21"/>
  <c r="X179" i="21" s="1"/>
  <c r="U179" i="21"/>
  <c r="V179" i="21" s="1"/>
  <c r="S179" i="21"/>
  <c r="T179" i="21" s="1"/>
  <c r="Q179" i="21"/>
  <c r="R179" i="21" s="1"/>
  <c r="P179" i="21"/>
  <c r="O179" i="21"/>
  <c r="N179" i="21"/>
  <c r="M179" i="21"/>
  <c r="L179" i="21"/>
  <c r="K179" i="21"/>
  <c r="J179" i="21"/>
  <c r="I179" i="21"/>
  <c r="H179" i="21"/>
  <c r="G179" i="21"/>
  <c r="F179" i="21"/>
  <c r="E179" i="21"/>
  <c r="D179" i="21"/>
  <c r="C179" i="21"/>
  <c r="B179" i="21"/>
  <c r="A179" i="21"/>
  <c r="BG178" i="21"/>
  <c r="BH178" i="21" s="1"/>
  <c r="BE178" i="21"/>
  <c r="BF178" i="21" s="1"/>
  <c r="AW178" i="21"/>
  <c r="AX178" i="21" s="1"/>
  <c r="AU178" i="21"/>
  <c r="AS178" i="21"/>
  <c r="AT178" i="21" s="1"/>
  <c r="AQ178" i="21"/>
  <c r="AR178" i="21" s="1"/>
  <c r="AO178" i="21"/>
  <c r="AM178" i="21"/>
  <c r="AN178" i="21" s="1"/>
  <c r="AK178" i="21"/>
  <c r="AL178" i="21" s="1"/>
  <c r="AG178" i="21"/>
  <c r="AE178" i="21"/>
  <c r="AF178" i="21" s="1"/>
  <c r="AC178" i="21"/>
  <c r="AD178" i="21" s="1"/>
  <c r="AA178" i="21"/>
  <c r="AB178" i="21" s="1"/>
  <c r="W178" i="21"/>
  <c r="X178" i="21" s="1"/>
  <c r="U178" i="21"/>
  <c r="V178" i="21" s="1"/>
  <c r="S178" i="21"/>
  <c r="T178" i="21" s="1"/>
  <c r="Q178" i="21"/>
  <c r="R178" i="21" s="1"/>
  <c r="P178" i="21"/>
  <c r="O178" i="21"/>
  <c r="N178" i="21"/>
  <c r="M178" i="21"/>
  <c r="L178" i="21"/>
  <c r="K178" i="21"/>
  <c r="J178" i="21"/>
  <c r="I178" i="21"/>
  <c r="H178" i="21"/>
  <c r="G178" i="21"/>
  <c r="F178" i="21"/>
  <c r="E178" i="21"/>
  <c r="D178" i="21"/>
  <c r="C178" i="21"/>
  <c r="B178" i="21"/>
  <c r="A178" i="21"/>
  <c r="BG177" i="21"/>
  <c r="BE177" i="21"/>
  <c r="BF177" i="21" s="1"/>
  <c r="AW177" i="21"/>
  <c r="AX177" i="21" s="1"/>
  <c r="AU177" i="21"/>
  <c r="AV177" i="21" s="1"/>
  <c r="AS177" i="21"/>
  <c r="AT177" i="21" s="1"/>
  <c r="AQ177" i="21"/>
  <c r="AR177" i="21" s="1"/>
  <c r="AO177" i="21"/>
  <c r="AP177" i="21" s="1"/>
  <c r="AM177" i="21"/>
  <c r="AK177" i="21"/>
  <c r="AL177" i="21" s="1"/>
  <c r="AG177" i="21"/>
  <c r="AH177" i="21" s="1"/>
  <c r="AE177" i="21"/>
  <c r="AF177" i="21" s="1"/>
  <c r="AC177" i="21"/>
  <c r="AD177" i="21" s="1"/>
  <c r="AJ177" i="21" s="1"/>
  <c r="AA177" i="21"/>
  <c r="AB177" i="21" s="1"/>
  <c r="W177" i="21"/>
  <c r="X177" i="21" s="1"/>
  <c r="U177" i="21"/>
  <c r="V177" i="21" s="1"/>
  <c r="S177" i="21"/>
  <c r="Q177" i="21"/>
  <c r="R177" i="21" s="1"/>
  <c r="P177" i="21"/>
  <c r="O177" i="21"/>
  <c r="N177" i="21"/>
  <c r="M177" i="21"/>
  <c r="L177" i="21"/>
  <c r="K177" i="21"/>
  <c r="J177" i="21"/>
  <c r="I177" i="21"/>
  <c r="H177" i="21"/>
  <c r="G177" i="21"/>
  <c r="F177" i="21"/>
  <c r="E177" i="21"/>
  <c r="D177" i="21"/>
  <c r="C177" i="21"/>
  <c r="B177" i="21"/>
  <c r="A177" i="21"/>
  <c r="BG176" i="21"/>
  <c r="BH176" i="21" s="1"/>
  <c r="BE176" i="21"/>
  <c r="BF176" i="21" s="1"/>
  <c r="AW176" i="21"/>
  <c r="AX176" i="21" s="1"/>
  <c r="AU176" i="21"/>
  <c r="AV176" i="21" s="1"/>
  <c r="AS176" i="21"/>
  <c r="AT176" i="21" s="1"/>
  <c r="AQ176" i="21"/>
  <c r="AR176" i="21" s="1"/>
  <c r="AO176" i="21"/>
  <c r="AP176" i="21" s="1"/>
  <c r="AM176" i="21"/>
  <c r="AN176" i="21" s="1"/>
  <c r="AK176" i="21"/>
  <c r="AL176" i="21" s="1"/>
  <c r="AG176" i="21"/>
  <c r="AH176" i="21" s="1"/>
  <c r="AE176" i="21"/>
  <c r="AC176" i="21"/>
  <c r="AA176" i="21"/>
  <c r="AB176" i="21" s="1"/>
  <c r="W176" i="21"/>
  <c r="X176" i="21" s="1"/>
  <c r="U176" i="21"/>
  <c r="V176" i="21" s="1"/>
  <c r="S176" i="21"/>
  <c r="Q176" i="21"/>
  <c r="R176" i="21" s="1"/>
  <c r="P176" i="21"/>
  <c r="O176" i="21"/>
  <c r="N176" i="21"/>
  <c r="M176" i="21"/>
  <c r="L176" i="21"/>
  <c r="K176" i="21"/>
  <c r="J176" i="21"/>
  <c r="I176" i="21"/>
  <c r="H176" i="21"/>
  <c r="G176" i="21"/>
  <c r="F176" i="21"/>
  <c r="E176" i="21"/>
  <c r="D176" i="21"/>
  <c r="C176" i="21"/>
  <c r="B176" i="21"/>
  <c r="A176" i="21"/>
  <c r="BG175" i="21"/>
  <c r="BH175" i="21" s="1"/>
  <c r="BE175" i="21"/>
  <c r="AW175" i="21"/>
  <c r="AX175" i="21" s="1"/>
  <c r="AU175" i="21"/>
  <c r="AS175" i="21"/>
  <c r="AT175" i="21" s="1"/>
  <c r="AQ175" i="21"/>
  <c r="AR175" i="21" s="1"/>
  <c r="AO175" i="21"/>
  <c r="AM175" i="21"/>
  <c r="AN175" i="21" s="1"/>
  <c r="AK175" i="21"/>
  <c r="AG175" i="21"/>
  <c r="AH175" i="21" s="1"/>
  <c r="AE175" i="21"/>
  <c r="AF175" i="21" s="1"/>
  <c r="AC175" i="21"/>
  <c r="AA175" i="21"/>
  <c r="AB175" i="21" s="1"/>
  <c r="W175" i="21"/>
  <c r="X175" i="21" s="1"/>
  <c r="U175" i="21"/>
  <c r="V175" i="21" s="1"/>
  <c r="S175" i="21"/>
  <c r="T175" i="21" s="1"/>
  <c r="Q175" i="21"/>
  <c r="R175" i="21" s="1"/>
  <c r="P175" i="21"/>
  <c r="O175" i="21"/>
  <c r="N175" i="21"/>
  <c r="M175" i="21"/>
  <c r="L175" i="21"/>
  <c r="K175" i="21"/>
  <c r="J175" i="21"/>
  <c r="I175" i="21"/>
  <c r="H175" i="21"/>
  <c r="G175" i="21"/>
  <c r="F175" i="21"/>
  <c r="E175" i="21"/>
  <c r="D175" i="21"/>
  <c r="C175" i="21"/>
  <c r="B175" i="21"/>
  <c r="A175" i="21"/>
  <c r="BG174" i="21"/>
  <c r="BH174" i="21" s="1"/>
  <c r="BE174" i="21"/>
  <c r="BF174" i="21" s="1"/>
  <c r="AW174" i="21"/>
  <c r="AX174" i="21" s="1"/>
  <c r="AU174" i="21"/>
  <c r="AV174" i="21" s="1"/>
  <c r="AS174" i="21"/>
  <c r="AQ174" i="21"/>
  <c r="AR174" i="21" s="1"/>
  <c r="AO174" i="21"/>
  <c r="AM174" i="21"/>
  <c r="AK174" i="21"/>
  <c r="AL174" i="21" s="1"/>
  <c r="AG174" i="21"/>
  <c r="AH174" i="21" s="1"/>
  <c r="AE174" i="21"/>
  <c r="AF174" i="21" s="1"/>
  <c r="AC174" i="21"/>
  <c r="AA174" i="21"/>
  <c r="AB174" i="21" s="1"/>
  <c r="W174" i="21"/>
  <c r="X174" i="21" s="1"/>
  <c r="U174" i="21"/>
  <c r="V174" i="21" s="1"/>
  <c r="S174" i="21"/>
  <c r="T174" i="21" s="1"/>
  <c r="Q174" i="21"/>
  <c r="R174" i="21" s="1"/>
  <c r="P174" i="21"/>
  <c r="O174" i="21"/>
  <c r="N174" i="21"/>
  <c r="M174" i="21"/>
  <c r="L174" i="21"/>
  <c r="K174" i="21"/>
  <c r="J174" i="21"/>
  <c r="I174" i="21"/>
  <c r="H174" i="21"/>
  <c r="G174" i="21"/>
  <c r="F174" i="21"/>
  <c r="E174" i="21"/>
  <c r="D174" i="21"/>
  <c r="C174" i="21"/>
  <c r="B174" i="21"/>
  <c r="A174" i="21"/>
  <c r="BG173" i="21"/>
  <c r="BE173" i="21"/>
  <c r="BF173" i="21" s="1"/>
  <c r="AW173" i="21"/>
  <c r="AX173" i="21" s="1"/>
  <c r="AU173" i="21"/>
  <c r="AV173" i="21" s="1"/>
  <c r="AS173" i="21"/>
  <c r="AQ173" i="21"/>
  <c r="AR173" i="21" s="1"/>
  <c r="AO173" i="21"/>
  <c r="AP173" i="21" s="1"/>
  <c r="AM173" i="21"/>
  <c r="AK173" i="21"/>
  <c r="AL173" i="21" s="1"/>
  <c r="AG173" i="21"/>
  <c r="AH173" i="21" s="1"/>
  <c r="AE173" i="21"/>
  <c r="AF173" i="21" s="1"/>
  <c r="AC173" i="21"/>
  <c r="AD173" i="21" s="1"/>
  <c r="AA173" i="21"/>
  <c r="AB173" i="21" s="1"/>
  <c r="W173" i="21"/>
  <c r="X173" i="21" s="1"/>
  <c r="U173" i="21"/>
  <c r="V173" i="21" s="1"/>
  <c r="S173" i="21"/>
  <c r="T173" i="21" s="1"/>
  <c r="Q173" i="21"/>
  <c r="R173" i="21" s="1"/>
  <c r="P173" i="21"/>
  <c r="O173" i="21"/>
  <c r="N173" i="21"/>
  <c r="M173" i="21"/>
  <c r="L173" i="21"/>
  <c r="K173" i="21"/>
  <c r="J173" i="21"/>
  <c r="I173" i="21"/>
  <c r="H173" i="21"/>
  <c r="G173" i="21"/>
  <c r="F173" i="21"/>
  <c r="E173" i="21"/>
  <c r="D173" i="21"/>
  <c r="C173" i="21"/>
  <c r="B173" i="21"/>
  <c r="A173" i="21"/>
  <c r="BG172" i="21"/>
  <c r="BH172" i="21" s="1"/>
  <c r="BE172" i="21"/>
  <c r="BF172" i="21" s="1"/>
  <c r="AW172" i="21"/>
  <c r="AU172" i="21"/>
  <c r="AS172" i="21"/>
  <c r="AT172" i="21" s="1"/>
  <c r="AQ172" i="21"/>
  <c r="AR172" i="21" s="1"/>
  <c r="AO172" i="21"/>
  <c r="AP172" i="21" s="1"/>
  <c r="AM172" i="21"/>
  <c r="AK172" i="21"/>
  <c r="AL172" i="21" s="1"/>
  <c r="AG172" i="21"/>
  <c r="AH172" i="21" s="1"/>
  <c r="AE172" i="21"/>
  <c r="AC172" i="21"/>
  <c r="AD172" i="21" s="1"/>
  <c r="AA172" i="21"/>
  <c r="AB172" i="21" s="1"/>
  <c r="W172" i="21"/>
  <c r="U172" i="21"/>
  <c r="V172" i="21" s="1"/>
  <c r="S172" i="21"/>
  <c r="T172" i="21" s="1"/>
  <c r="Q172" i="21"/>
  <c r="P172" i="21"/>
  <c r="O172" i="21"/>
  <c r="N172" i="21"/>
  <c r="M172" i="21"/>
  <c r="L172" i="21"/>
  <c r="K172" i="21"/>
  <c r="J172" i="21"/>
  <c r="I172" i="21"/>
  <c r="H172" i="21"/>
  <c r="G172" i="21"/>
  <c r="F172" i="21"/>
  <c r="E172" i="21"/>
  <c r="D172" i="21"/>
  <c r="C172" i="21"/>
  <c r="B172" i="21"/>
  <c r="A172" i="21"/>
  <c r="BG171" i="21"/>
  <c r="BH171" i="21" s="1"/>
  <c r="BE171" i="21"/>
  <c r="AW171" i="21"/>
  <c r="AX171" i="21" s="1"/>
  <c r="AU171" i="21"/>
  <c r="AS171" i="21"/>
  <c r="AT171" i="21" s="1"/>
  <c r="AQ171" i="21"/>
  <c r="AR171" i="21" s="1"/>
  <c r="AO171" i="21"/>
  <c r="AP171" i="21" s="1"/>
  <c r="AM171" i="21"/>
  <c r="AN171" i="21" s="1"/>
  <c r="AK171" i="21"/>
  <c r="AL171" i="21" s="1"/>
  <c r="AG171" i="21"/>
  <c r="AH171" i="21" s="1"/>
  <c r="AE171" i="21"/>
  <c r="AF171" i="21" s="1"/>
  <c r="AC171" i="21"/>
  <c r="AD171" i="21" s="1"/>
  <c r="AA171" i="21"/>
  <c r="AB171" i="21" s="1"/>
  <c r="W171" i="21"/>
  <c r="X171" i="21" s="1"/>
  <c r="U171" i="21"/>
  <c r="S171" i="21"/>
  <c r="T171" i="21" s="1"/>
  <c r="Q171" i="21"/>
  <c r="P171" i="21"/>
  <c r="O171" i="21"/>
  <c r="N171" i="21"/>
  <c r="M171" i="21"/>
  <c r="L171" i="21"/>
  <c r="K171" i="21"/>
  <c r="J171" i="21"/>
  <c r="I171" i="21"/>
  <c r="H171" i="21"/>
  <c r="G171" i="21"/>
  <c r="F171" i="21"/>
  <c r="E171" i="21"/>
  <c r="D171" i="21"/>
  <c r="C171" i="21"/>
  <c r="B171" i="21"/>
  <c r="A171" i="21"/>
  <c r="BG170" i="21"/>
  <c r="BE170" i="21"/>
  <c r="BF170" i="21" s="1"/>
  <c r="AW170" i="21"/>
  <c r="AX170" i="21" s="1"/>
  <c r="AU170" i="21"/>
  <c r="AS170" i="21"/>
  <c r="AT170" i="21" s="1"/>
  <c r="AQ170" i="21"/>
  <c r="AR170" i="21" s="1"/>
  <c r="AO170" i="21"/>
  <c r="AP170" i="21" s="1"/>
  <c r="AM170" i="21"/>
  <c r="AN170" i="21" s="1"/>
  <c r="AK170" i="21"/>
  <c r="AL170" i="21" s="1"/>
  <c r="AG170" i="21"/>
  <c r="AE170" i="21"/>
  <c r="AF170" i="21" s="1"/>
  <c r="AC170" i="21"/>
  <c r="AD170" i="21" s="1"/>
  <c r="AA170" i="21"/>
  <c r="AB170" i="21" s="1"/>
  <c r="W170" i="21"/>
  <c r="X170" i="21" s="1"/>
  <c r="U170" i="21"/>
  <c r="S170" i="21"/>
  <c r="T170" i="21" s="1"/>
  <c r="Q170" i="21"/>
  <c r="R170" i="21" s="1"/>
  <c r="P170" i="21"/>
  <c r="O170" i="21"/>
  <c r="N170" i="21"/>
  <c r="M170" i="21"/>
  <c r="L170" i="21"/>
  <c r="K170" i="21"/>
  <c r="J170" i="21"/>
  <c r="I170" i="21"/>
  <c r="H170" i="21"/>
  <c r="G170" i="21"/>
  <c r="F170" i="21"/>
  <c r="E170" i="21"/>
  <c r="D170" i="21"/>
  <c r="C170" i="21"/>
  <c r="B170" i="21"/>
  <c r="A170" i="21"/>
  <c r="BG169" i="21"/>
  <c r="BE169" i="21"/>
  <c r="BF169" i="21" s="1"/>
  <c r="AW169" i="21"/>
  <c r="AX169" i="21" s="1"/>
  <c r="AU169" i="21"/>
  <c r="AV169" i="21" s="1"/>
  <c r="AS169" i="21"/>
  <c r="AT169" i="21" s="1"/>
  <c r="AQ169" i="21"/>
  <c r="AR169" i="21" s="1"/>
  <c r="BB169" i="21" s="1"/>
  <c r="AO169" i="21"/>
  <c r="AP169" i="21" s="1"/>
  <c r="AM169" i="21"/>
  <c r="AN169" i="21" s="1"/>
  <c r="AK169" i="21"/>
  <c r="AL169" i="21" s="1"/>
  <c r="AG169" i="21"/>
  <c r="AH169" i="21" s="1"/>
  <c r="AE169" i="21"/>
  <c r="AF169" i="21" s="1"/>
  <c r="AC169" i="21"/>
  <c r="AD169" i="21" s="1"/>
  <c r="AA169" i="21"/>
  <c r="W169" i="21"/>
  <c r="U169" i="21"/>
  <c r="V169" i="21" s="1"/>
  <c r="S169" i="21"/>
  <c r="T169" i="21" s="1"/>
  <c r="Q169" i="21"/>
  <c r="R169" i="21" s="1"/>
  <c r="P169" i="21"/>
  <c r="O169" i="21"/>
  <c r="N169" i="21"/>
  <c r="M169" i="21"/>
  <c r="L169" i="21"/>
  <c r="K169" i="21"/>
  <c r="J169" i="21"/>
  <c r="I169" i="21"/>
  <c r="H169" i="21"/>
  <c r="G169" i="21"/>
  <c r="F169" i="21"/>
  <c r="E169" i="21"/>
  <c r="D169" i="21"/>
  <c r="C169" i="21"/>
  <c r="B169" i="21"/>
  <c r="A169" i="21"/>
  <c r="BG168" i="21"/>
  <c r="BE168" i="21"/>
  <c r="BF168" i="21" s="1"/>
  <c r="AW168" i="21"/>
  <c r="AU168" i="21"/>
  <c r="AV168" i="21" s="1"/>
  <c r="AS168" i="21"/>
  <c r="AT168" i="21" s="1"/>
  <c r="AQ168" i="21"/>
  <c r="AO168" i="21"/>
  <c r="AP168" i="21" s="1"/>
  <c r="AM168" i="21"/>
  <c r="AN168" i="21" s="1"/>
  <c r="AK168" i="21"/>
  <c r="AG168" i="21"/>
  <c r="AH168" i="21" s="1"/>
  <c r="AE168" i="21"/>
  <c r="AC168" i="21"/>
  <c r="AD168" i="21" s="1"/>
  <c r="AA168" i="21"/>
  <c r="AB168" i="21" s="1"/>
  <c r="W168" i="21"/>
  <c r="U168" i="21"/>
  <c r="V168" i="21" s="1"/>
  <c r="S168" i="21"/>
  <c r="T168" i="21" s="1"/>
  <c r="Q168" i="21"/>
  <c r="R168" i="21" s="1"/>
  <c r="P168" i="21"/>
  <c r="O168" i="21"/>
  <c r="N168" i="21"/>
  <c r="M168" i="21"/>
  <c r="L168" i="21"/>
  <c r="K168" i="21"/>
  <c r="J168" i="21"/>
  <c r="I168" i="21"/>
  <c r="H168" i="21"/>
  <c r="G168" i="21"/>
  <c r="F168" i="21"/>
  <c r="E168" i="21"/>
  <c r="D168" i="21"/>
  <c r="C168" i="21"/>
  <c r="B168" i="21"/>
  <c r="A168" i="21"/>
  <c r="BG167" i="21"/>
  <c r="BH167" i="21" s="1"/>
  <c r="BE167" i="21"/>
  <c r="BF167" i="21" s="1"/>
  <c r="AW167" i="21"/>
  <c r="AX167" i="21" s="1"/>
  <c r="AU167" i="21"/>
  <c r="AV167" i="21" s="1"/>
  <c r="AS167" i="21"/>
  <c r="AT167" i="21" s="1"/>
  <c r="AQ167" i="21"/>
  <c r="AR167" i="21" s="1"/>
  <c r="AO167" i="21"/>
  <c r="AM167" i="21"/>
  <c r="AN167" i="21" s="1"/>
  <c r="AK167" i="21"/>
  <c r="AG167" i="21"/>
  <c r="AE167" i="21"/>
  <c r="AF167" i="21" s="1"/>
  <c r="AC167" i="21"/>
  <c r="AD167" i="21" s="1"/>
  <c r="AA167" i="21"/>
  <c r="AB167" i="21" s="1"/>
  <c r="W167" i="21"/>
  <c r="U167" i="21"/>
  <c r="V167" i="21" s="1"/>
  <c r="S167" i="21"/>
  <c r="T167" i="21" s="1"/>
  <c r="Q167" i="21"/>
  <c r="R167" i="21" s="1"/>
  <c r="P167" i="21"/>
  <c r="O167" i="21"/>
  <c r="N167" i="21"/>
  <c r="M167" i="21"/>
  <c r="L167" i="21"/>
  <c r="K167" i="21"/>
  <c r="J167" i="21"/>
  <c r="I167" i="21"/>
  <c r="H167" i="21"/>
  <c r="G167" i="21"/>
  <c r="F167" i="21"/>
  <c r="E167" i="21"/>
  <c r="D167" i="21"/>
  <c r="C167" i="21"/>
  <c r="B167" i="21"/>
  <c r="A167" i="21"/>
  <c r="BG166" i="21"/>
  <c r="BH166" i="21" s="1"/>
  <c r="BE166" i="21"/>
  <c r="BF166" i="21" s="1"/>
  <c r="AW166" i="21"/>
  <c r="AX166" i="21" s="1"/>
  <c r="AU166" i="21"/>
  <c r="AV166" i="21" s="1"/>
  <c r="AS166" i="21"/>
  <c r="AT166" i="21" s="1"/>
  <c r="AQ166" i="21"/>
  <c r="AR166" i="21" s="1"/>
  <c r="AO166" i="21"/>
  <c r="AM166" i="21"/>
  <c r="AN166" i="21" s="1"/>
  <c r="AK166" i="21"/>
  <c r="AL166" i="21" s="1"/>
  <c r="AG166" i="21"/>
  <c r="AE166" i="21"/>
  <c r="AF166" i="21" s="1"/>
  <c r="AC166" i="21"/>
  <c r="AD166" i="21" s="1"/>
  <c r="AA166" i="21"/>
  <c r="AB166" i="21" s="1"/>
  <c r="W166" i="21"/>
  <c r="X166" i="21" s="1"/>
  <c r="U166" i="21"/>
  <c r="V166" i="21" s="1"/>
  <c r="S166" i="21"/>
  <c r="T166" i="21" s="1"/>
  <c r="Q166" i="21"/>
  <c r="R166" i="21" s="1"/>
  <c r="P166" i="21"/>
  <c r="O166" i="21"/>
  <c r="N166" i="21"/>
  <c r="M166" i="21"/>
  <c r="L166" i="21"/>
  <c r="K166" i="21"/>
  <c r="J166" i="21"/>
  <c r="I166" i="21"/>
  <c r="H166" i="21"/>
  <c r="G166" i="21"/>
  <c r="F166" i="21"/>
  <c r="E166" i="21"/>
  <c r="D166" i="21"/>
  <c r="C166" i="21"/>
  <c r="B166" i="21"/>
  <c r="A166" i="21"/>
  <c r="BG165" i="21"/>
  <c r="BH165" i="21" s="1"/>
  <c r="BE165" i="21"/>
  <c r="BF165" i="21" s="1"/>
  <c r="AW165" i="21"/>
  <c r="AX165" i="21" s="1"/>
  <c r="AU165" i="21"/>
  <c r="AV165" i="21" s="1"/>
  <c r="AS165" i="21"/>
  <c r="AQ165" i="21"/>
  <c r="AO165" i="21"/>
  <c r="AP165" i="21" s="1"/>
  <c r="AM165" i="21"/>
  <c r="AN165" i="21" s="1"/>
  <c r="AK165" i="21"/>
  <c r="AL165" i="21" s="1"/>
  <c r="AG165" i="21"/>
  <c r="AE165" i="21"/>
  <c r="AF165" i="21" s="1"/>
  <c r="AC165" i="21"/>
  <c r="AD165" i="21" s="1"/>
  <c r="AA165" i="21"/>
  <c r="W165" i="21"/>
  <c r="X165" i="21" s="1"/>
  <c r="U165" i="21"/>
  <c r="V165" i="21" s="1"/>
  <c r="S165" i="21"/>
  <c r="Q165" i="21"/>
  <c r="R165" i="21" s="1"/>
  <c r="P165" i="21"/>
  <c r="O165" i="21"/>
  <c r="N165" i="21"/>
  <c r="M165" i="21"/>
  <c r="L165" i="21"/>
  <c r="K165" i="21"/>
  <c r="J165" i="21"/>
  <c r="I165" i="21"/>
  <c r="H165" i="21"/>
  <c r="G165" i="21"/>
  <c r="F165" i="21"/>
  <c r="E165" i="21"/>
  <c r="D165" i="21"/>
  <c r="C165" i="21"/>
  <c r="B165" i="21"/>
  <c r="A165" i="21"/>
  <c r="BG164" i="21"/>
  <c r="BH164" i="21" s="1"/>
  <c r="BE164" i="21"/>
  <c r="AW164" i="21"/>
  <c r="AU164" i="21"/>
  <c r="AV164" i="21" s="1"/>
  <c r="AS164" i="21"/>
  <c r="AT164" i="21" s="1"/>
  <c r="AQ164" i="21"/>
  <c r="AO164" i="21"/>
  <c r="AP164" i="21" s="1"/>
  <c r="AM164" i="21"/>
  <c r="AN164" i="21" s="1"/>
  <c r="AK164" i="21"/>
  <c r="AL164" i="21" s="1"/>
  <c r="AG164" i="21"/>
  <c r="AH164" i="21" s="1"/>
  <c r="AE164" i="21"/>
  <c r="AF164" i="21" s="1"/>
  <c r="AC164" i="21"/>
  <c r="AD164" i="21" s="1"/>
  <c r="AA164" i="21"/>
  <c r="AB164" i="21" s="1"/>
  <c r="W164" i="21"/>
  <c r="X164" i="21" s="1"/>
  <c r="U164" i="21"/>
  <c r="V164" i="21" s="1"/>
  <c r="S164" i="21"/>
  <c r="T164" i="21" s="1"/>
  <c r="Q164" i="21"/>
  <c r="P164" i="21"/>
  <c r="O164" i="21"/>
  <c r="N164" i="21"/>
  <c r="M164" i="21"/>
  <c r="L164" i="21"/>
  <c r="K164" i="21"/>
  <c r="J164" i="21"/>
  <c r="I164" i="21"/>
  <c r="H164" i="21"/>
  <c r="G164" i="21"/>
  <c r="F164" i="21"/>
  <c r="E164" i="21"/>
  <c r="D164" i="21"/>
  <c r="C164" i="21"/>
  <c r="B164" i="21"/>
  <c r="A164" i="21"/>
  <c r="BG163" i="21"/>
  <c r="BH163" i="21" s="1"/>
  <c r="BE163" i="21"/>
  <c r="AW163" i="21"/>
  <c r="AX163" i="21" s="1"/>
  <c r="AU163" i="21"/>
  <c r="AV163" i="21" s="1"/>
  <c r="AS163" i="21"/>
  <c r="AT163" i="21" s="1"/>
  <c r="AQ163" i="21"/>
  <c r="AO163" i="21"/>
  <c r="AP163" i="21" s="1"/>
  <c r="AM163" i="21"/>
  <c r="AN163" i="21" s="1"/>
  <c r="AK163" i="21"/>
  <c r="AL163" i="21" s="1"/>
  <c r="AG163" i="21"/>
  <c r="AH163" i="21" s="1"/>
  <c r="AE163" i="21"/>
  <c r="AF163" i="21" s="1"/>
  <c r="AC163" i="21"/>
  <c r="AA163" i="21"/>
  <c r="AB163" i="21" s="1"/>
  <c r="W163" i="21"/>
  <c r="X163" i="21" s="1"/>
  <c r="U163" i="21"/>
  <c r="V163" i="21" s="1"/>
  <c r="S163" i="21"/>
  <c r="T163" i="21" s="1"/>
  <c r="Z163" i="21" s="1"/>
  <c r="Q163" i="21"/>
  <c r="P163" i="21"/>
  <c r="O163" i="21"/>
  <c r="N163" i="21"/>
  <c r="M163" i="21"/>
  <c r="L163" i="21"/>
  <c r="K163" i="21"/>
  <c r="J163" i="21"/>
  <c r="I163" i="21"/>
  <c r="H163" i="21"/>
  <c r="G163" i="21"/>
  <c r="F163" i="21"/>
  <c r="E163" i="21"/>
  <c r="D163" i="21"/>
  <c r="C163" i="21"/>
  <c r="B163" i="21"/>
  <c r="A163" i="21"/>
  <c r="BG162" i="21"/>
  <c r="BH162" i="21" s="1"/>
  <c r="BE162" i="21"/>
  <c r="BF162" i="21" s="1"/>
  <c r="AW162" i="21"/>
  <c r="AX162" i="21" s="1"/>
  <c r="AU162" i="21"/>
  <c r="AV162" i="21" s="1"/>
  <c r="AS162" i="21"/>
  <c r="AT162" i="21" s="1"/>
  <c r="AQ162" i="21"/>
  <c r="AR162" i="21" s="1"/>
  <c r="AO162" i="21"/>
  <c r="AP162" i="21" s="1"/>
  <c r="AM162" i="21"/>
  <c r="AN162" i="21" s="1"/>
  <c r="AK162" i="21"/>
  <c r="AL162" i="21" s="1"/>
  <c r="AG162" i="21"/>
  <c r="AH162" i="21" s="1"/>
  <c r="AE162" i="21"/>
  <c r="AF162" i="21" s="1"/>
  <c r="AC162" i="21"/>
  <c r="AD162" i="21" s="1"/>
  <c r="AA162" i="21"/>
  <c r="AB162" i="21" s="1"/>
  <c r="W162" i="21"/>
  <c r="X162" i="21" s="1"/>
  <c r="U162" i="21"/>
  <c r="V162" i="21" s="1"/>
  <c r="S162" i="21"/>
  <c r="Q162" i="21"/>
  <c r="R162" i="21" s="1"/>
  <c r="P162" i="21"/>
  <c r="O162" i="21"/>
  <c r="N162" i="21"/>
  <c r="M162" i="21"/>
  <c r="L162" i="21"/>
  <c r="K162" i="21"/>
  <c r="J162" i="21"/>
  <c r="I162" i="21"/>
  <c r="H162" i="21"/>
  <c r="G162" i="21"/>
  <c r="F162" i="21"/>
  <c r="E162" i="21"/>
  <c r="D162" i="21"/>
  <c r="C162" i="21"/>
  <c r="B162" i="21"/>
  <c r="A162" i="21"/>
  <c r="BG161" i="21"/>
  <c r="BE161" i="21"/>
  <c r="BF161" i="21" s="1"/>
  <c r="AW161" i="21"/>
  <c r="AX161" i="21" s="1"/>
  <c r="AU161" i="21"/>
  <c r="AV161" i="21" s="1"/>
  <c r="AS161" i="21"/>
  <c r="AT161" i="21" s="1"/>
  <c r="AQ161" i="21"/>
  <c r="AO161" i="21"/>
  <c r="AP161" i="21" s="1"/>
  <c r="AM161" i="21"/>
  <c r="AN161" i="21" s="1"/>
  <c r="AK161" i="21"/>
  <c r="AL161" i="21" s="1"/>
  <c r="AG161" i="21"/>
  <c r="AH161" i="21" s="1"/>
  <c r="AE161" i="21"/>
  <c r="AC161" i="21"/>
  <c r="AD161" i="21" s="1"/>
  <c r="AA161" i="21"/>
  <c r="W161" i="21"/>
  <c r="U161" i="21"/>
  <c r="V161" i="21" s="1"/>
  <c r="S161" i="21"/>
  <c r="Q161" i="21"/>
  <c r="R161" i="21" s="1"/>
  <c r="P161" i="21"/>
  <c r="O161" i="21"/>
  <c r="N161" i="21"/>
  <c r="M161" i="21"/>
  <c r="L161" i="21"/>
  <c r="K161" i="21"/>
  <c r="J161" i="21"/>
  <c r="I161" i="21"/>
  <c r="H161" i="21"/>
  <c r="G161" i="21"/>
  <c r="F161" i="21"/>
  <c r="E161" i="21"/>
  <c r="D161" i="21"/>
  <c r="C161" i="21"/>
  <c r="B161" i="21"/>
  <c r="A161" i="21"/>
  <c r="BG160" i="21"/>
  <c r="BH160" i="21" s="1"/>
  <c r="BE160" i="21"/>
  <c r="AW160" i="21"/>
  <c r="AX160" i="21" s="1"/>
  <c r="AU160" i="21"/>
  <c r="AS160" i="21"/>
  <c r="AT160" i="21" s="1"/>
  <c r="AQ160" i="21"/>
  <c r="AR160" i="21" s="1"/>
  <c r="AO160" i="21"/>
  <c r="AP160" i="21" s="1"/>
  <c r="AM160" i="21"/>
  <c r="AK160" i="21"/>
  <c r="AL160" i="21" s="1"/>
  <c r="AG160" i="21"/>
  <c r="AH160" i="21" s="1"/>
  <c r="AE160" i="21"/>
  <c r="AC160" i="21"/>
  <c r="AA160" i="21"/>
  <c r="AB160" i="21" s="1"/>
  <c r="W160" i="21"/>
  <c r="U160" i="21"/>
  <c r="V160" i="21" s="1"/>
  <c r="S160" i="21"/>
  <c r="Q160" i="21"/>
  <c r="R160" i="21" s="1"/>
  <c r="P160" i="21"/>
  <c r="O160" i="21"/>
  <c r="N160" i="21"/>
  <c r="M160" i="21"/>
  <c r="L160" i="21"/>
  <c r="K160" i="21"/>
  <c r="J160" i="21"/>
  <c r="I160" i="21"/>
  <c r="H160" i="21"/>
  <c r="G160" i="21"/>
  <c r="F160" i="21"/>
  <c r="E160" i="21"/>
  <c r="D160" i="21"/>
  <c r="C160" i="21"/>
  <c r="B160" i="21"/>
  <c r="A160" i="21"/>
  <c r="BG159" i="21"/>
  <c r="BH159" i="21" s="1"/>
  <c r="BE159" i="21"/>
  <c r="BF159" i="21" s="1"/>
  <c r="AW159" i="21"/>
  <c r="AU159" i="21"/>
  <c r="AV159" i="21" s="1"/>
  <c r="AS159" i="21"/>
  <c r="AT159" i="21" s="1"/>
  <c r="AQ159" i="21"/>
  <c r="AO159" i="21"/>
  <c r="AP159" i="21" s="1"/>
  <c r="AM159" i="21"/>
  <c r="AN159" i="21" s="1"/>
  <c r="AK159" i="21"/>
  <c r="AG159" i="21"/>
  <c r="AH159" i="21" s="1"/>
  <c r="AE159" i="21"/>
  <c r="AC159" i="21"/>
  <c r="AA159" i="21"/>
  <c r="AB159" i="21" s="1"/>
  <c r="W159" i="21"/>
  <c r="U159" i="21"/>
  <c r="V159" i="21" s="1"/>
  <c r="S159" i="21"/>
  <c r="T159" i="21" s="1"/>
  <c r="Q159" i="21"/>
  <c r="R159" i="21" s="1"/>
  <c r="P159" i="21"/>
  <c r="O159" i="21"/>
  <c r="N159" i="21"/>
  <c r="M159" i="21"/>
  <c r="L159" i="21"/>
  <c r="K159" i="21"/>
  <c r="J159" i="21"/>
  <c r="I159" i="21"/>
  <c r="H159" i="21"/>
  <c r="G159" i="21"/>
  <c r="F159" i="21"/>
  <c r="E159" i="21"/>
  <c r="D159" i="21"/>
  <c r="C159" i="21"/>
  <c r="B159" i="21"/>
  <c r="A159" i="21"/>
  <c r="BG158" i="21"/>
  <c r="BH158" i="21" s="1"/>
  <c r="BE158" i="21"/>
  <c r="AW158" i="21"/>
  <c r="AX158" i="21" s="1"/>
  <c r="AU158" i="21"/>
  <c r="AS158" i="21"/>
  <c r="AT158" i="21" s="1"/>
  <c r="AQ158" i="21"/>
  <c r="AR158" i="21" s="1"/>
  <c r="AO158" i="21"/>
  <c r="AM158" i="21"/>
  <c r="AN158" i="21" s="1"/>
  <c r="AK158" i="21"/>
  <c r="AG158" i="21"/>
  <c r="AE158" i="21"/>
  <c r="AF158" i="21" s="1"/>
  <c r="AC158" i="21"/>
  <c r="AA158" i="21"/>
  <c r="AB158" i="21" s="1"/>
  <c r="W158" i="21"/>
  <c r="X158" i="21" s="1"/>
  <c r="U158" i="21"/>
  <c r="V158" i="21" s="1"/>
  <c r="S158" i="21"/>
  <c r="T158" i="21" s="1"/>
  <c r="Q158" i="21"/>
  <c r="P158" i="21"/>
  <c r="O158" i="21"/>
  <c r="N158" i="21"/>
  <c r="M158" i="21"/>
  <c r="L158" i="21"/>
  <c r="K158" i="21"/>
  <c r="J158" i="21"/>
  <c r="I158" i="21"/>
  <c r="H158" i="21"/>
  <c r="G158" i="21"/>
  <c r="F158" i="21"/>
  <c r="E158" i="21"/>
  <c r="D158" i="21"/>
  <c r="C158" i="21"/>
  <c r="B158" i="21"/>
  <c r="A158" i="21"/>
  <c r="BG157" i="21"/>
  <c r="BH157" i="21" s="1"/>
  <c r="BE157" i="21"/>
  <c r="BF157" i="21" s="1"/>
  <c r="AW157" i="21"/>
  <c r="AX157" i="21" s="1"/>
  <c r="AU157" i="21"/>
  <c r="AV157" i="21" s="1"/>
  <c r="AS157" i="21"/>
  <c r="AQ157" i="21"/>
  <c r="AR157" i="21" s="1"/>
  <c r="AO157" i="21"/>
  <c r="AP157" i="21" s="1"/>
  <c r="AM157" i="21"/>
  <c r="AK157" i="21"/>
  <c r="AL157" i="21" s="1"/>
  <c r="AG157" i="21"/>
  <c r="AE157" i="21"/>
  <c r="AF157" i="21" s="1"/>
  <c r="AC157" i="21"/>
  <c r="AD157" i="21" s="1"/>
  <c r="AA157" i="21"/>
  <c r="AB157" i="21" s="1"/>
  <c r="W157" i="21"/>
  <c r="X157" i="21" s="1"/>
  <c r="U157" i="21"/>
  <c r="S157" i="21"/>
  <c r="T157" i="21" s="1"/>
  <c r="Q157" i="21"/>
  <c r="R157" i="21" s="1"/>
  <c r="P157" i="21"/>
  <c r="O157" i="21"/>
  <c r="N157" i="21"/>
  <c r="M157" i="21"/>
  <c r="L157" i="21"/>
  <c r="K157" i="21"/>
  <c r="J157" i="21"/>
  <c r="I157" i="21"/>
  <c r="H157" i="21"/>
  <c r="G157" i="21"/>
  <c r="F157" i="21"/>
  <c r="E157" i="21"/>
  <c r="D157" i="21"/>
  <c r="C157" i="21"/>
  <c r="B157" i="21"/>
  <c r="A157" i="21"/>
  <c r="BG156" i="21"/>
  <c r="BE156" i="21"/>
  <c r="BF156" i="21" s="1"/>
  <c r="AW156" i="21"/>
  <c r="AU156" i="21"/>
  <c r="AV156" i="21" s="1"/>
  <c r="AS156" i="21"/>
  <c r="AT156" i="21" s="1"/>
  <c r="AQ156" i="21"/>
  <c r="AO156" i="21"/>
  <c r="AP156" i="21" s="1"/>
  <c r="AM156" i="21"/>
  <c r="AK156" i="21"/>
  <c r="AL156" i="21" s="1"/>
  <c r="AG156" i="21"/>
  <c r="AH156" i="21" s="1"/>
  <c r="AE156" i="21"/>
  <c r="AF156" i="21" s="1"/>
  <c r="AC156" i="21"/>
  <c r="AD156" i="21" s="1"/>
  <c r="AA156" i="21"/>
  <c r="W156" i="21"/>
  <c r="X156" i="21" s="1"/>
  <c r="U156" i="21"/>
  <c r="V156" i="21" s="1"/>
  <c r="S156" i="21"/>
  <c r="Q156" i="21"/>
  <c r="R156" i="21" s="1"/>
  <c r="P156" i="21"/>
  <c r="O156" i="21"/>
  <c r="N156" i="21"/>
  <c r="M156" i="21"/>
  <c r="L156" i="21"/>
  <c r="K156" i="21"/>
  <c r="J156" i="21"/>
  <c r="I156" i="21"/>
  <c r="H156" i="21"/>
  <c r="G156" i="21"/>
  <c r="F156" i="21"/>
  <c r="E156" i="21"/>
  <c r="D156" i="21"/>
  <c r="C156" i="21"/>
  <c r="B156" i="21"/>
  <c r="A156" i="21"/>
  <c r="BG155" i="21"/>
  <c r="BH155" i="21" s="1"/>
  <c r="BE155" i="21"/>
  <c r="AW155" i="21"/>
  <c r="AX155" i="21" s="1"/>
  <c r="AU155" i="21"/>
  <c r="AS155" i="21"/>
  <c r="AT155" i="21" s="1"/>
  <c r="AQ155" i="21"/>
  <c r="AO155" i="21"/>
  <c r="AP155" i="21" s="1"/>
  <c r="AM155" i="21"/>
  <c r="AN155" i="21" s="1"/>
  <c r="AK155" i="21"/>
  <c r="AL155" i="21" s="1"/>
  <c r="AG155" i="21"/>
  <c r="AH155" i="21" s="1"/>
  <c r="AE155" i="21"/>
  <c r="AC155" i="21"/>
  <c r="AD155" i="21" s="1"/>
  <c r="AA155" i="21"/>
  <c r="AB155" i="21" s="1"/>
  <c r="W155" i="21"/>
  <c r="U155" i="21"/>
  <c r="V155" i="21" s="1"/>
  <c r="S155" i="21"/>
  <c r="T155" i="21" s="1"/>
  <c r="Q155" i="21"/>
  <c r="P155" i="21"/>
  <c r="O155" i="21"/>
  <c r="N155" i="21"/>
  <c r="M155" i="21"/>
  <c r="L155" i="21"/>
  <c r="K155" i="21"/>
  <c r="J155" i="21"/>
  <c r="I155" i="21"/>
  <c r="H155" i="21"/>
  <c r="G155" i="21"/>
  <c r="F155" i="21"/>
  <c r="E155" i="21"/>
  <c r="D155" i="21"/>
  <c r="C155" i="21"/>
  <c r="B155" i="21"/>
  <c r="A155" i="21"/>
  <c r="BG154" i="21"/>
  <c r="BH154" i="21" s="1"/>
  <c r="BE154" i="21"/>
  <c r="BF154" i="21" s="1"/>
  <c r="AW154" i="21"/>
  <c r="AX154" i="21" s="1"/>
  <c r="AU154" i="21"/>
  <c r="AS154" i="21"/>
  <c r="AT154" i="21" s="1"/>
  <c r="AQ154" i="21"/>
  <c r="AR154" i="21" s="1"/>
  <c r="AO154" i="21"/>
  <c r="AP154" i="21" s="1"/>
  <c r="AM154" i="21"/>
  <c r="AN154" i="21" s="1"/>
  <c r="AK154" i="21"/>
  <c r="AG154" i="21"/>
  <c r="AH154" i="21" s="1"/>
  <c r="AE154" i="21"/>
  <c r="AF154" i="21" s="1"/>
  <c r="AC154" i="21"/>
  <c r="AA154" i="21"/>
  <c r="AB154" i="21" s="1"/>
  <c r="W154" i="21"/>
  <c r="X154" i="21" s="1"/>
  <c r="U154" i="21"/>
  <c r="S154" i="21"/>
  <c r="T154" i="21" s="1"/>
  <c r="Q154" i="21"/>
  <c r="R154" i="21" s="1"/>
  <c r="P154" i="21"/>
  <c r="O154" i="21"/>
  <c r="N154" i="21"/>
  <c r="M154" i="21"/>
  <c r="L154" i="21"/>
  <c r="K154" i="21"/>
  <c r="J154" i="21"/>
  <c r="I154" i="21"/>
  <c r="H154" i="21"/>
  <c r="G154" i="21"/>
  <c r="F154" i="21"/>
  <c r="E154" i="21"/>
  <c r="D154" i="21"/>
  <c r="C154" i="21"/>
  <c r="B154" i="21"/>
  <c r="A154" i="21"/>
  <c r="BG153" i="21"/>
  <c r="BE153" i="21"/>
  <c r="BF153" i="21" s="1"/>
  <c r="AW153" i="21"/>
  <c r="AX153" i="21" s="1"/>
  <c r="AU153" i="21"/>
  <c r="AV153" i="21" s="1"/>
  <c r="AS153" i="21"/>
  <c r="AT153" i="21" s="1"/>
  <c r="AQ153" i="21"/>
  <c r="AR153" i="21" s="1"/>
  <c r="BB153" i="21" s="1"/>
  <c r="AO153" i="21"/>
  <c r="AM153" i="21"/>
  <c r="AN153" i="21" s="1"/>
  <c r="AK153" i="21"/>
  <c r="AL153" i="21" s="1"/>
  <c r="AG153" i="21"/>
  <c r="AE153" i="21"/>
  <c r="AF153" i="21" s="1"/>
  <c r="AC153" i="21"/>
  <c r="AD153" i="21" s="1"/>
  <c r="AA153" i="21"/>
  <c r="W153" i="21"/>
  <c r="X153" i="21" s="1"/>
  <c r="U153" i="21"/>
  <c r="V153" i="21" s="1"/>
  <c r="S153" i="21"/>
  <c r="Q153" i="21"/>
  <c r="R153" i="21" s="1"/>
  <c r="P153" i="21"/>
  <c r="O153" i="21"/>
  <c r="N153" i="21"/>
  <c r="M153" i="21"/>
  <c r="L153" i="21"/>
  <c r="K153" i="21"/>
  <c r="J153" i="21"/>
  <c r="I153" i="21"/>
  <c r="H153" i="21"/>
  <c r="G153" i="21"/>
  <c r="F153" i="21"/>
  <c r="E153" i="21"/>
  <c r="D153" i="21"/>
  <c r="C153" i="21"/>
  <c r="B153" i="21"/>
  <c r="A153" i="21"/>
  <c r="BG152" i="21"/>
  <c r="BE152" i="21"/>
  <c r="BF152" i="21" s="1"/>
  <c r="AW152" i="21"/>
  <c r="AX152" i="21" s="1"/>
  <c r="AU152" i="21"/>
  <c r="AV152" i="21" s="1"/>
  <c r="AS152" i="21"/>
  <c r="AQ152" i="21"/>
  <c r="AR152" i="21" s="1"/>
  <c r="AO152" i="21"/>
  <c r="AP152" i="21" s="1"/>
  <c r="AM152" i="21"/>
  <c r="AK152" i="21"/>
  <c r="AL152" i="21" s="1"/>
  <c r="AG152" i="21"/>
  <c r="AH152" i="21" s="1"/>
  <c r="AE152" i="21"/>
  <c r="AC152" i="21"/>
  <c r="AD152" i="21" s="1"/>
  <c r="AA152" i="21"/>
  <c r="AB152" i="21" s="1"/>
  <c r="W152" i="21"/>
  <c r="U152" i="21"/>
  <c r="V152" i="21" s="1"/>
  <c r="S152" i="21"/>
  <c r="Q152" i="21"/>
  <c r="R152" i="21" s="1"/>
  <c r="P152" i="21"/>
  <c r="O152" i="21"/>
  <c r="N152" i="21"/>
  <c r="M152" i="21"/>
  <c r="L152" i="21"/>
  <c r="K152" i="21"/>
  <c r="J152" i="21"/>
  <c r="I152" i="21"/>
  <c r="H152" i="21"/>
  <c r="G152" i="21"/>
  <c r="F152" i="21"/>
  <c r="E152" i="21"/>
  <c r="D152" i="21"/>
  <c r="C152" i="21"/>
  <c r="B152" i="21"/>
  <c r="A152" i="21"/>
  <c r="BG151" i="21"/>
  <c r="BH151" i="21" s="1"/>
  <c r="BE151" i="21"/>
  <c r="BF151" i="21" s="1"/>
  <c r="AW151" i="21"/>
  <c r="AU151" i="21"/>
  <c r="AV151" i="21" s="1"/>
  <c r="AS151" i="21"/>
  <c r="AT151" i="21" s="1"/>
  <c r="AQ151" i="21"/>
  <c r="AO151" i="21"/>
  <c r="AP151" i="21" s="1"/>
  <c r="AM151" i="21"/>
  <c r="AN151" i="21" s="1"/>
  <c r="AK151" i="21"/>
  <c r="AL151" i="21" s="1"/>
  <c r="AG151" i="21"/>
  <c r="AH151" i="21" s="1"/>
  <c r="AE151" i="21"/>
  <c r="AC151" i="21"/>
  <c r="AD151" i="21" s="1"/>
  <c r="AJ151" i="21" s="1"/>
  <c r="AA151" i="21"/>
  <c r="AB151" i="21" s="1"/>
  <c r="W151" i="21"/>
  <c r="U151" i="21"/>
  <c r="V151" i="21" s="1"/>
  <c r="S151" i="21"/>
  <c r="T151" i="21" s="1"/>
  <c r="Q151" i="21"/>
  <c r="R151" i="21" s="1"/>
  <c r="P151" i="21"/>
  <c r="O151" i="21"/>
  <c r="N151" i="21"/>
  <c r="M151" i="21"/>
  <c r="L151" i="21"/>
  <c r="K151" i="21"/>
  <c r="J151" i="21"/>
  <c r="I151" i="21"/>
  <c r="H151" i="21"/>
  <c r="G151" i="21"/>
  <c r="F151" i="21"/>
  <c r="E151" i="21"/>
  <c r="D151" i="21"/>
  <c r="C151" i="21"/>
  <c r="B151" i="21"/>
  <c r="A151" i="21"/>
  <c r="BG150" i="21"/>
  <c r="BH150" i="21" s="1"/>
  <c r="BE150" i="21"/>
  <c r="AW150" i="21"/>
  <c r="AX150" i="21" s="1"/>
  <c r="AU150" i="21"/>
  <c r="AS150" i="21"/>
  <c r="AT150" i="21" s="1"/>
  <c r="AQ150" i="21"/>
  <c r="AR150" i="21" s="1"/>
  <c r="AO150" i="21"/>
  <c r="AP150" i="21" s="1"/>
  <c r="AM150" i="21"/>
  <c r="AN150" i="21" s="1"/>
  <c r="AK150" i="21"/>
  <c r="AL150" i="21" s="1"/>
  <c r="AG150" i="21"/>
  <c r="AH150" i="21" s="1"/>
  <c r="AE150" i="21"/>
  <c r="AF150" i="21" s="1"/>
  <c r="AC150" i="21"/>
  <c r="AA150" i="21"/>
  <c r="AB150" i="21" s="1"/>
  <c r="W150" i="21"/>
  <c r="X150" i="21" s="1"/>
  <c r="U150" i="21"/>
  <c r="V150" i="21" s="1"/>
  <c r="S150" i="21"/>
  <c r="T150" i="21" s="1"/>
  <c r="Q150" i="21"/>
  <c r="P150" i="21"/>
  <c r="O150" i="21"/>
  <c r="N150" i="21"/>
  <c r="M150" i="21"/>
  <c r="L150" i="21"/>
  <c r="K150" i="21"/>
  <c r="J150" i="21"/>
  <c r="I150" i="21"/>
  <c r="H150" i="21"/>
  <c r="G150" i="21"/>
  <c r="F150" i="21"/>
  <c r="E150" i="21"/>
  <c r="D150" i="21"/>
  <c r="C150" i="21"/>
  <c r="B150" i="21"/>
  <c r="A150" i="21"/>
  <c r="BG149" i="21"/>
  <c r="BH149" i="21" s="1"/>
  <c r="BE149" i="21"/>
  <c r="BF149" i="21" s="1"/>
  <c r="AW149" i="21"/>
  <c r="AX149" i="21" s="1"/>
  <c r="AU149" i="21"/>
  <c r="AV149" i="21" s="1"/>
  <c r="AS149" i="21"/>
  <c r="AT149" i="21" s="1"/>
  <c r="AQ149" i="21"/>
  <c r="AR149" i="21" s="1"/>
  <c r="AO149" i="21"/>
  <c r="AP149" i="21" s="1"/>
  <c r="AM149" i="21"/>
  <c r="AN149" i="21" s="1"/>
  <c r="AK149" i="21"/>
  <c r="AL149" i="21" s="1"/>
  <c r="AG149" i="21"/>
  <c r="AE149" i="21"/>
  <c r="AF149" i="21" s="1"/>
  <c r="AC149" i="21"/>
  <c r="AD149" i="21" s="1"/>
  <c r="AA149" i="21"/>
  <c r="AB149" i="21" s="1"/>
  <c r="W149" i="21"/>
  <c r="X149" i="21" s="1"/>
  <c r="U149" i="21"/>
  <c r="S149" i="21"/>
  <c r="T149" i="21" s="1"/>
  <c r="Q149" i="21"/>
  <c r="R149" i="21" s="1"/>
  <c r="P149" i="21"/>
  <c r="O149" i="21"/>
  <c r="N149" i="21"/>
  <c r="M149" i="21"/>
  <c r="L149" i="21"/>
  <c r="K149" i="21"/>
  <c r="J149" i="21"/>
  <c r="I149" i="21"/>
  <c r="H149" i="21"/>
  <c r="G149" i="21"/>
  <c r="F149" i="21"/>
  <c r="E149" i="21"/>
  <c r="D149" i="21"/>
  <c r="C149" i="21"/>
  <c r="B149" i="21"/>
  <c r="A149" i="21"/>
  <c r="BG148" i="21"/>
  <c r="BE148" i="21"/>
  <c r="BF148" i="21" s="1"/>
  <c r="AW148" i="21"/>
  <c r="AX148" i="21" s="1"/>
  <c r="AU148" i="21"/>
  <c r="AV148" i="21" s="1"/>
  <c r="AS148" i="21"/>
  <c r="AT148" i="21" s="1"/>
  <c r="AQ148" i="21"/>
  <c r="AR148" i="21" s="1"/>
  <c r="AO148" i="21"/>
  <c r="AP148" i="21" s="1"/>
  <c r="AM148" i="21"/>
  <c r="AK148" i="21"/>
  <c r="AL148" i="21" s="1"/>
  <c r="AG148" i="21"/>
  <c r="AH148" i="21" s="1"/>
  <c r="AE148" i="21"/>
  <c r="AF148" i="21" s="1"/>
  <c r="AC148" i="21"/>
  <c r="AD148" i="21" s="1"/>
  <c r="AA148" i="21"/>
  <c r="W148" i="21"/>
  <c r="X148" i="21" s="1"/>
  <c r="U148" i="21"/>
  <c r="V148" i="21" s="1"/>
  <c r="S148" i="21"/>
  <c r="Q148" i="21"/>
  <c r="R148" i="21" s="1"/>
  <c r="P148" i="21"/>
  <c r="O148" i="21"/>
  <c r="N148" i="21"/>
  <c r="M148" i="21"/>
  <c r="L148" i="21"/>
  <c r="K148" i="21"/>
  <c r="J148" i="21"/>
  <c r="I148" i="21"/>
  <c r="H148" i="21"/>
  <c r="G148" i="21"/>
  <c r="F148" i="21"/>
  <c r="E148" i="21"/>
  <c r="D148" i="21"/>
  <c r="C148" i="21"/>
  <c r="B148" i="21"/>
  <c r="A148" i="21"/>
  <c r="BG147" i="21"/>
  <c r="BH147" i="21" s="1"/>
  <c r="BE147" i="21"/>
  <c r="BF147" i="21" s="1"/>
  <c r="AW147" i="21"/>
  <c r="AX147" i="21" s="1"/>
  <c r="AU147" i="21"/>
  <c r="AV147" i="21" s="1"/>
  <c r="AS147" i="21"/>
  <c r="AT147" i="21" s="1"/>
  <c r="AQ147" i="21"/>
  <c r="AO147" i="21"/>
  <c r="AP147" i="21" s="1"/>
  <c r="AM147" i="21"/>
  <c r="AN147" i="21" s="1"/>
  <c r="AK147" i="21"/>
  <c r="AL147" i="21" s="1"/>
  <c r="AG147" i="21"/>
  <c r="AH147" i="21" s="1"/>
  <c r="AE147" i="21"/>
  <c r="AC147" i="21"/>
  <c r="AD147" i="21" s="1"/>
  <c r="AA147" i="21"/>
  <c r="AB147" i="21" s="1"/>
  <c r="W147" i="21"/>
  <c r="U147" i="21"/>
  <c r="V147" i="21" s="1"/>
  <c r="S147" i="21"/>
  <c r="T147" i="21" s="1"/>
  <c r="Q147" i="21"/>
  <c r="R147" i="21" s="1"/>
  <c r="P147" i="21"/>
  <c r="O147" i="21"/>
  <c r="N147" i="21"/>
  <c r="M147" i="21"/>
  <c r="L147" i="21"/>
  <c r="K147" i="21"/>
  <c r="J147" i="21"/>
  <c r="I147" i="21"/>
  <c r="H147" i="21"/>
  <c r="G147" i="21"/>
  <c r="F147" i="21"/>
  <c r="E147" i="21"/>
  <c r="D147" i="21"/>
  <c r="C147" i="21"/>
  <c r="B147" i="21"/>
  <c r="A147" i="21"/>
  <c r="BG146" i="21"/>
  <c r="BH146" i="21" s="1"/>
  <c r="BE146" i="21"/>
  <c r="BF146" i="21" s="1"/>
  <c r="AW146" i="21"/>
  <c r="AX146" i="21" s="1"/>
  <c r="AU146" i="21"/>
  <c r="AS146" i="21"/>
  <c r="AT146" i="21" s="1"/>
  <c r="AQ146" i="21"/>
  <c r="AR146" i="21" s="1"/>
  <c r="AO146" i="21"/>
  <c r="AP146" i="21" s="1"/>
  <c r="AM146" i="21"/>
  <c r="AN146" i="21" s="1"/>
  <c r="AK146" i="21"/>
  <c r="AG146" i="21"/>
  <c r="AH146" i="21" s="1"/>
  <c r="AE146" i="21"/>
  <c r="AF146" i="21" s="1"/>
  <c r="AC146" i="21"/>
  <c r="AA146" i="21"/>
  <c r="AB146" i="21" s="1"/>
  <c r="W146" i="21"/>
  <c r="X146" i="21" s="1"/>
  <c r="U146" i="21"/>
  <c r="V146" i="21" s="1"/>
  <c r="S146" i="21"/>
  <c r="T146" i="21" s="1"/>
  <c r="Q146" i="21"/>
  <c r="R146" i="21" s="1"/>
  <c r="P146" i="21"/>
  <c r="O146" i="21"/>
  <c r="N146" i="21"/>
  <c r="M146" i="21"/>
  <c r="L146" i="21"/>
  <c r="K146" i="21"/>
  <c r="J146" i="21"/>
  <c r="I146" i="21"/>
  <c r="H146" i="21"/>
  <c r="G146" i="21"/>
  <c r="F146" i="21"/>
  <c r="E146" i="21"/>
  <c r="D146" i="21"/>
  <c r="C146" i="21"/>
  <c r="B146" i="21"/>
  <c r="A146" i="21"/>
  <c r="BG145" i="21"/>
  <c r="BH145" i="21" s="1"/>
  <c r="BE145" i="21"/>
  <c r="BF145" i="21" s="1"/>
  <c r="AW145" i="21"/>
  <c r="AX145" i="21" s="1"/>
  <c r="AU145" i="21"/>
  <c r="AV145" i="21" s="1"/>
  <c r="AS145" i="21"/>
  <c r="AT145" i="21" s="1"/>
  <c r="AQ145" i="21"/>
  <c r="AR145" i="21" s="1"/>
  <c r="AO145" i="21"/>
  <c r="AM145" i="21"/>
  <c r="AN145" i="21" s="1"/>
  <c r="AK145" i="21"/>
  <c r="AL145" i="21" s="1"/>
  <c r="AG145" i="21"/>
  <c r="AE145" i="21"/>
  <c r="AF145" i="21" s="1"/>
  <c r="AC145" i="21"/>
  <c r="AD145" i="21" s="1"/>
  <c r="AA145" i="21"/>
  <c r="AB145" i="21" s="1"/>
  <c r="W145" i="21"/>
  <c r="X145" i="21" s="1"/>
  <c r="U145" i="21"/>
  <c r="S145" i="21"/>
  <c r="T145" i="21" s="1"/>
  <c r="Q145" i="21"/>
  <c r="R145" i="21" s="1"/>
  <c r="P145" i="21"/>
  <c r="O145" i="21"/>
  <c r="N145" i="21"/>
  <c r="M145" i="21"/>
  <c r="L145" i="21"/>
  <c r="K145" i="21"/>
  <c r="J145" i="21"/>
  <c r="I145" i="21"/>
  <c r="H145" i="21"/>
  <c r="G145" i="21"/>
  <c r="F145" i="21"/>
  <c r="E145" i="21"/>
  <c r="D145" i="21"/>
  <c r="C145" i="21"/>
  <c r="B145" i="21"/>
  <c r="A145" i="21"/>
  <c r="BG144" i="21"/>
  <c r="BE144" i="21"/>
  <c r="BF144" i="21" s="1"/>
  <c r="AW144" i="21"/>
  <c r="AX144" i="21" s="1"/>
  <c r="AU144" i="21"/>
  <c r="AV144" i="21" s="1"/>
  <c r="AS144" i="21"/>
  <c r="AQ144" i="21"/>
  <c r="AR144" i="21" s="1"/>
  <c r="AO144" i="21"/>
  <c r="AP144" i="21" s="1"/>
  <c r="AM144" i="21"/>
  <c r="AK144" i="21"/>
  <c r="AL144" i="21" s="1"/>
  <c r="AG144" i="21"/>
  <c r="AH144" i="21" s="1"/>
  <c r="AE144" i="21"/>
  <c r="AF144" i="21" s="1"/>
  <c r="AC144" i="21"/>
  <c r="AD144" i="21" s="1"/>
  <c r="AA144" i="21"/>
  <c r="W144" i="21"/>
  <c r="X144" i="21" s="1"/>
  <c r="U144" i="21"/>
  <c r="V144" i="21" s="1"/>
  <c r="S144" i="21"/>
  <c r="Q144" i="21"/>
  <c r="R144" i="21" s="1"/>
  <c r="P144" i="21"/>
  <c r="O144" i="21"/>
  <c r="N144" i="21"/>
  <c r="M144" i="21"/>
  <c r="L144" i="21"/>
  <c r="K144" i="21"/>
  <c r="J144" i="21"/>
  <c r="I144" i="21"/>
  <c r="H144" i="21"/>
  <c r="G144" i="21"/>
  <c r="F144" i="21"/>
  <c r="E144" i="21"/>
  <c r="D144" i="21"/>
  <c r="C144" i="21"/>
  <c r="B144" i="21"/>
  <c r="A144" i="21"/>
  <c r="BG143" i="21"/>
  <c r="BH143" i="21" s="1"/>
  <c r="BE143" i="21"/>
  <c r="BF143" i="21" s="1"/>
  <c r="AW143" i="21"/>
  <c r="AU143" i="21"/>
  <c r="AV143" i="21" s="1"/>
  <c r="AS143" i="21"/>
  <c r="AT143" i="21" s="1"/>
  <c r="AQ143" i="21"/>
  <c r="AO143" i="21"/>
  <c r="AP143" i="21" s="1"/>
  <c r="AM143" i="21"/>
  <c r="AN143" i="21" s="1"/>
  <c r="AK143" i="21"/>
  <c r="AL143" i="21" s="1"/>
  <c r="AG143" i="21"/>
  <c r="AH143" i="21" s="1"/>
  <c r="AE143" i="21"/>
  <c r="AC143" i="21"/>
  <c r="AD143" i="21" s="1"/>
  <c r="AA143" i="21"/>
  <c r="AB143" i="21" s="1"/>
  <c r="W143" i="21"/>
  <c r="U143" i="21"/>
  <c r="V143" i="21" s="1"/>
  <c r="S143" i="21"/>
  <c r="T143" i="21" s="1"/>
  <c r="Q143" i="21"/>
  <c r="R143" i="21" s="1"/>
  <c r="P143" i="21"/>
  <c r="O143" i="21"/>
  <c r="N143" i="21"/>
  <c r="M143" i="21"/>
  <c r="L143" i="21"/>
  <c r="K143" i="21"/>
  <c r="J143" i="21"/>
  <c r="I143" i="21"/>
  <c r="H143" i="21"/>
  <c r="G143" i="21"/>
  <c r="F143" i="21"/>
  <c r="E143" i="21"/>
  <c r="D143" i="21"/>
  <c r="C143" i="21"/>
  <c r="B143" i="21"/>
  <c r="A143" i="21"/>
  <c r="BG142" i="21"/>
  <c r="BH142" i="21" s="1"/>
  <c r="BE142" i="21"/>
  <c r="AW142" i="21"/>
  <c r="AX142" i="21" s="1"/>
  <c r="AU142" i="21"/>
  <c r="AS142" i="21"/>
  <c r="AT142" i="21" s="1"/>
  <c r="AQ142" i="21"/>
  <c r="AR142" i="21" s="1"/>
  <c r="AO142" i="21"/>
  <c r="AP142" i="21" s="1"/>
  <c r="AM142" i="21"/>
  <c r="AN142" i="21" s="1"/>
  <c r="AK142" i="21"/>
  <c r="AG142" i="21"/>
  <c r="AH142" i="21" s="1"/>
  <c r="AE142" i="21"/>
  <c r="AF142" i="21" s="1"/>
  <c r="AC142" i="21"/>
  <c r="AA142" i="21"/>
  <c r="AB142" i="21" s="1"/>
  <c r="W142" i="21"/>
  <c r="X142" i="21" s="1"/>
  <c r="U142" i="21"/>
  <c r="V142" i="21" s="1"/>
  <c r="S142" i="21"/>
  <c r="T142" i="21" s="1"/>
  <c r="Q142" i="21"/>
  <c r="P142" i="21"/>
  <c r="O142" i="21"/>
  <c r="N142" i="21"/>
  <c r="M142" i="21"/>
  <c r="L142" i="21"/>
  <c r="K142" i="21"/>
  <c r="J142" i="21"/>
  <c r="I142" i="21"/>
  <c r="H142" i="21"/>
  <c r="G142" i="21"/>
  <c r="F142" i="21"/>
  <c r="E142" i="21"/>
  <c r="D142" i="21"/>
  <c r="C142" i="21"/>
  <c r="B142" i="21"/>
  <c r="A142" i="21"/>
  <c r="BG141" i="21"/>
  <c r="BH141" i="21" s="1"/>
  <c r="BE141" i="21"/>
  <c r="BF141" i="21" s="1"/>
  <c r="AW141" i="21"/>
  <c r="AX141" i="21" s="1"/>
  <c r="AU141" i="21"/>
  <c r="AV141" i="21" s="1"/>
  <c r="AS141" i="21"/>
  <c r="AT141" i="21" s="1"/>
  <c r="AQ141" i="21"/>
  <c r="AR141" i="21" s="1"/>
  <c r="AO141" i="21"/>
  <c r="AM141" i="21"/>
  <c r="AN141" i="21" s="1"/>
  <c r="AK141" i="21"/>
  <c r="AL141" i="21" s="1"/>
  <c r="AG141" i="21"/>
  <c r="AE141" i="21"/>
  <c r="AF141" i="21" s="1"/>
  <c r="AC141" i="21"/>
  <c r="AD141" i="21" s="1"/>
  <c r="AA141" i="21"/>
  <c r="AB141" i="21" s="1"/>
  <c r="W141" i="21"/>
  <c r="X141" i="21" s="1"/>
  <c r="U141" i="21"/>
  <c r="S141" i="21"/>
  <c r="T141" i="21" s="1"/>
  <c r="Q141" i="21"/>
  <c r="R141" i="21" s="1"/>
  <c r="P141" i="21"/>
  <c r="O141" i="21"/>
  <c r="N141" i="21"/>
  <c r="M141" i="21"/>
  <c r="L141" i="21"/>
  <c r="K141" i="21"/>
  <c r="J141" i="21"/>
  <c r="I141" i="21"/>
  <c r="H141" i="21"/>
  <c r="G141" i="21"/>
  <c r="F141" i="21"/>
  <c r="E141" i="21"/>
  <c r="D141" i="21"/>
  <c r="C141" i="21"/>
  <c r="B141" i="21"/>
  <c r="A141" i="21"/>
  <c r="BG140" i="21"/>
  <c r="BE140" i="21"/>
  <c r="BF140" i="21" s="1"/>
  <c r="AW140" i="21"/>
  <c r="AX140" i="21" s="1"/>
  <c r="AU140" i="21"/>
  <c r="AV140" i="21" s="1"/>
  <c r="AS140" i="21"/>
  <c r="AQ140" i="21"/>
  <c r="AR140" i="21" s="1"/>
  <c r="AO140" i="21"/>
  <c r="AP140" i="21" s="1"/>
  <c r="AM140" i="21"/>
  <c r="AK140" i="21"/>
  <c r="AL140" i="21" s="1"/>
  <c r="AG140" i="21"/>
  <c r="AH140" i="21" s="1"/>
  <c r="AE140" i="21"/>
  <c r="AF140" i="21" s="1"/>
  <c r="AC140" i="21"/>
  <c r="AD140" i="21" s="1"/>
  <c r="AA140" i="21"/>
  <c r="AB140" i="21" s="1"/>
  <c r="W140" i="21"/>
  <c r="X140" i="21" s="1"/>
  <c r="U140" i="21"/>
  <c r="V140" i="21" s="1"/>
  <c r="S140" i="21"/>
  <c r="Q140" i="21"/>
  <c r="R140" i="21" s="1"/>
  <c r="P140" i="21"/>
  <c r="O140" i="21"/>
  <c r="N140" i="21"/>
  <c r="M140" i="21"/>
  <c r="L140" i="21"/>
  <c r="K140" i="21"/>
  <c r="J140" i="21"/>
  <c r="I140" i="21"/>
  <c r="H140" i="21"/>
  <c r="G140" i="21"/>
  <c r="F140" i="21"/>
  <c r="E140" i="21"/>
  <c r="D140" i="21"/>
  <c r="C140" i="21"/>
  <c r="B140" i="21"/>
  <c r="A140" i="21"/>
  <c r="BG139" i="21"/>
  <c r="BH139" i="21" s="1"/>
  <c r="BE139" i="21"/>
  <c r="BF139" i="21" s="1"/>
  <c r="AW139" i="21"/>
  <c r="AU139" i="21"/>
  <c r="AV139" i="21" s="1"/>
  <c r="AS139" i="21"/>
  <c r="AT139" i="21" s="1"/>
  <c r="AQ139" i="21"/>
  <c r="AO139" i="21"/>
  <c r="AP139" i="21" s="1"/>
  <c r="AM139" i="21"/>
  <c r="AN139" i="21" s="1"/>
  <c r="AK139" i="21"/>
  <c r="AL139" i="21" s="1"/>
  <c r="AG139" i="21"/>
  <c r="AH139" i="21" s="1"/>
  <c r="AE139" i="21"/>
  <c r="AF139" i="21" s="1"/>
  <c r="AC139" i="21"/>
  <c r="AD139" i="21" s="1"/>
  <c r="AA139" i="21"/>
  <c r="AB139" i="21" s="1"/>
  <c r="W139" i="21"/>
  <c r="U139" i="21"/>
  <c r="V139" i="21" s="1"/>
  <c r="S139" i="21"/>
  <c r="T139" i="21" s="1"/>
  <c r="Q139" i="21"/>
  <c r="R139" i="21" s="1"/>
  <c r="P139" i="21"/>
  <c r="O139" i="21"/>
  <c r="N139" i="21"/>
  <c r="M139" i="21"/>
  <c r="L139" i="21"/>
  <c r="K139" i="21"/>
  <c r="J139" i="21"/>
  <c r="I139" i="21"/>
  <c r="H139" i="21"/>
  <c r="G139" i="21"/>
  <c r="F139" i="21"/>
  <c r="E139" i="21"/>
  <c r="D139" i="21"/>
  <c r="C139" i="21"/>
  <c r="B139" i="21"/>
  <c r="A139" i="21"/>
  <c r="BG138" i="21"/>
  <c r="BH138" i="21" s="1"/>
  <c r="BE138" i="21"/>
  <c r="AW138" i="21"/>
  <c r="AX138" i="21" s="1"/>
  <c r="AU138" i="21"/>
  <c r="AS138" i="21"/>
  <c r="AT138" i="21" s="1"/>
  <c r="AQ138" i="21"/>
  <c r="AR138" i="21" s="1"/>
  <c r="AO138" i="21"/>
  <c r="AP138" i="21" s="1"/>
  <c r="AM138" i="21"/>
  <c r="AN138" i="21" s="1"/>
  <c r="AK138" i="21"/>
  <c r="AL138" i="21" s="1"/>
  <c r="AG138" i="21"/>
  <c r="AH138" i="21" s="1"/>
  <c r="AE138" i="21"/>
  <c r="AF138" i="21" s="1"/>
  <c r="AC138" i="21"/>
  <c r="AA138" i="21"/>
  <c r="AB138" i="21" s="1"/>
  <c r="W138" i="21"/>
  <c r="X138" i="21" s="1"/>
  <c r="U138" i="21"/>
  <c r="V138" i="21" s="1"/>
  <c r="S138" i="21"/>
  <c r="T138" i="21" s="1"/>
  <c r="Q138" i="21"/>
  <c r="P138" i="21"/>
  <c r="O138" i="21"/>
  <c r="N138" i="21"/>
  <c r="M138" i="21"/>
  <c r="L138" i="21"/>
  <c r="K138" i="21"/>
  <c r="J138" i="21"/>
  <c r="I138" i="21"/>
  <c r="H138" i="21"/>
  <c r="G138" i="21"/>
  <c r="F138" i="21"/>
  <c r="E138" i="21"/>
  <c r="D138" i="21"/>
  <c r="C138" i="21"/>
  <c r="B138" i="21"/>
  <c r="A138" i="21"/>
  <c r="BG137" i="21"/>
  <c r="BH137" i="21" s="1"/>
  <c r="BE137" i="21"/>
  <c r="BF137" i="21" s="1"/>
  <c r="AW137" i="21"/>
  <c r="AX137" i="21" s="1"/>
  <c r="AU137" i="21"/>
  <c r="AV137" i="21" s="1"/>
  <c r="AS137" i="21"/>
  <c r="AT137" i="21" s="1"/>
  <c r="AQ137" i="21"/>
  <c r="AR137" i="21" s="1"/>
  <c r="AO137" i="21"/>
  <c r="AP137" i="21" s="1"/>
  <c r="AM137" i="21"/>
  <c r="AN137" i="21" s="1"/>
  <c r="AK137" i="21"/>
  <c r="AL137" i="21" s="1"/>
  <c r="AG137" i="21"/>
  <c r="AE137" i="21"/>
  <c r="AF137" i="21" s="1"/>
  <c r="AC137" i="21"/>
  <c r="AD137" i="21" s="1"/>
  <c r="AA137" i="21"/>
  <c r="AB137" i="21" s="1"/>
  <c r="W137" i="21"/>
  <c r="X137" i="21" s="1"/>
  <c r="U137" i="21"/>
  <c r="S137" i="21"/>
  <c r="T137" i="21" s="1"/>
  <c r="Q137" i="21"/>
  <c r="R137" i="21" s="1"/>
  <c r="P137" i="21"/>
  <c r="O137" i="21"/>
  <c r="N137" i="21"/>
  <c r="M137" i="21"/>
  <c r="L137" i="21"/>
  <c r="K137" i="21"/>
  <c r="J137" i="21"/>
  <c r="I137" i="21"/>
  <c r="H137" i="21"/>
  <c r="G137" i="21"/>
  <c r="F137" i="21"/>
  <c r="E137" i="21"/>
  <c r="D137" i="21"/>
  <c r="C137" i="21"/>
  <c r="B137" i="21"/>
  <c r="A137" i="21"/>
  <c r="BG136" i="21"/>
  <c r="BE136" i="21"/>
  <c r="BF136" i="21" s="1"/>
  <c r="AW136" i="21"/>
  <c r="AX136" i="21" s="1"/>
  <c r="AU136" i="21"/>
  <c r="AV136" i="21" s="1"/>
  <c r="AS136" i="21"/>
  <c r="AT136" i="21" s="1"/>
  <c r="AQ136" i="21"/>
  <c r="AR136" i="21" s="1"/>
  <c r="AO136" i="21"/>
  <c r="AP136" i="21" s="1"/>
  <c r="AM136" i="21"/>
  <c r="AK136" i="21"/>
  <c r="AL136" i="21" s="1"/>
  <c r="AG136" i="21"/>
  <c r="AH136" i="21" s="1"/>
  <c r="AE136" i="21"/>
  <c r="AF136" i="21" s="1"/>
  <c r="AC136" i="21"/>
  <c r="AD136" i="21" s="1"/>
  <c r="AA136" i="21"/>
  <c r="W136" i="21"/>
  <c r="X136" i="21" s="1"/>
  <c r="U136" i="21"/>
  <c r="V136" i="21" s="1"/>
  <c r="S136" i="21"/>
  <c r="Q136" i="21"/>
  <c r="R136" i="21" s="1"/>
  <c r="P136" i="21"/>
  <c r="O136" i="21"/>
  <c r="N136" i="21"/>
  <c r="M136" i="21"/>
  <c r="L136" i="21"/>
  <c r="K136" i="21"/>
  <c r="J136" i="21"/>
  <c r="I136" i="21"/>
  <c r="H136" i="21"/>
  <c r="G136" i="21"/>
  <c r="F136" i="21"/>
  <c r="E136" i="21"/>
  <c r="D136" i="21"/>
  <c r="C136" i="21"/>
  <c r="B136" i="21"/>
  <c r="A136" i="21"/>
  <c r="BG135" i="21"/>
  <c r="BH135" i="21" s="1"/>
  <c r="BE135" i="21"/>
  <c r="BF135" i="21" s="1"/>
  <c r="AW135" i="21"/>
  <c r="AX135" i="21" s="1"/>
  <c r="AU135" i="21"/>
  <c r="AV135" i="21" s="1"/>
  <c r="AS135" i="21"/>
  <c r="AT135" i="21" s="1"/>
  <c r="AQ135" i="21"/>
  <c r="AO135" i="21"/>
  <c r="AP135" i="21" s="1"/>
  <c r="AM135" i="21"/>
  <c r="AN135" i="21" s="1"/>
  <c r="AK135" i="21"/>
  <c r="AL135" i="21" s="1"/>
  <c r="AG135" i="21"/>
  <c r="AH135" i="21" s="1"/>
  <c r="AE135" i="21"/>
  <c r="AC135" i="21"/>
  <c r="AD135" i="21" s="1"/>
  <c r="AA135" i="21"/>
  <c r="AB135" i="21" s="1"/>
  <c r="W135" i="21"/>
  <c r="U135" i="21"/>
  <c r="V135" i="21" s="1"/>
  <c r="S135" i="21"/>
  <c r="T135" i="21" s="1"/>
  <c r="Q135" i="21"/>
  <c r="R135" i="21" s="1"/>
  <c r="P135" i="21"/>
  <c r="O135" i="21"/>
  <c r="N135" i="21"/>
  <c r="M135" i="21"/>
  <c r="L135" i="21"/>
  <c r="K135" i="21"/>
  <c r="J135" i="21"/>
  <c r="I135" i="21"/>
  <c r="H135" i="21"/>
  <c r="G135" i="21"/>
  <c r="F135" i="21"/>
  <c r="E135" i="21"/>
  <c r="D135" i="21"/>
  <c r="C135" i="21"/>
  <c r="B135" i="21"/>
  <c r="A135" i="21"/>
  <c r="BG134" i="21"/>
  <c r="BH134" i="21" s="1"/>
  <c r="BE134" i="21"/>
  <c r="BF134" i="21" s="1"/>
  <c r="AW134" i="21"/>
  <c r="AX134" i="21" s="1"/>
  <c r="AU134" i="21"/>
  <c r="AS134" i="21"/>
  <c r="AT134" i="21" s="1"/>
  <c r="AQ134" i="21"/>
  <c r="AR134" i="21" s="1"/>
  <c r="AO134" i="21"/>
  <c r="AP134" i="21" s="1"/>
  <c r="AM134" i="21"/>
  <c r="AN134" i="21" s="1"/>
  <c r="AK134" i="21"/>
  <c r="AG134" i="21"/>
  <c r="AH134" i="21" s="1"/>
  <c r="AE134" i="21"/>
  <c r="AF134" i="21" s="1"/>
  <c r="AC134" i="21"/>
  <c r="AA134" i="21"/>
  <c r="AB134" i="21" s="1"/>
  <c r="W134" i="21"/>
  <c r="X134" i="21" s="1"/>
  <c r="U134" i="21"/>
  <c r="V134" i="21" s="1"/>
  <c r="S134" i="21"/>
  <c r="T134" i="21" s="1"/>
  <c r="Q134" i="21"/>
  <c r="R134" i="21" s="1"/>
  <c r="P134" i="21"/>
  <c r="O134" i="21"/>
  <c r="N134" i="21"/>
  <c r="M134" i="21"/>
  <c r="L134" i="21"/>
  <c r="K134" i="21"/>
  <c r="J134" i="21"/>
  <c r="I134" i="21"/>
  <c r="H134" i="21"/>
  <c r="G134" i="21"/>
  <c r="F134" i="21"/>
  <c r="E134" i="21"/>
  <c r="D134" i="21"/>
  <c r="C134" i="21"/>
  <c r="B134" i="21"/>
  <c r="A134" i="21"/>
  <c r="BG133" i="21"/>
  <c r="BH133" i="21" s="1"/>
  <c r="BE133" i="21"/>
  <c r="BF133" i="21" s="1"/>
  <c r="AW133" i="21"/>
  <c r="AX133" i="21" s="1"/>
  <c r="AU133" i="21"/>
  <c r="AV133" i="21" s="1"/>
  <c r="AS133" i="21"/>
  <c r="AT133" i="21" s="1"/>
  <c r="AQ133" i="21"/>
  <c r="AR133" i="21" s="1"/>
  <c r="AO133" i="21"/>
  <c r="AM133" i="21"/>
  <c r="AN133" i="21" s="1"/>
  <c r="AK133" i="21"/>
  <c r="AL133" i="21" s="1"/>
  <c r="AG133" i="21"/>
  <c r="AE133" i="21"/>
  <c r="AF133" i="21" s="1"/>
  <c r="AC133" i="21"/>
  <c r="AD133" i="21" s="1"/>
  <c r="AA133" i="21"/>
  <c r="AB133" i="21" s="1"/>
  <c r="W133" i="21"/>
  <c r="X133" i="21" s="1"/>
  <c r="U133" i="21"/>
  <c r="V133" i="21" s="1"/>
  <c r="S133" i="21"/>
  <c r="T133" i="21" s="1"/>
  <c r="Q133" i="21"/>
  <c r="R133" i="21" s="1"/>
  <c r="P133" i="21"/>
  <c r="O133" i="21"/>
  <c r="N133" i="21"/>
  <c r="M133" i="21"/>
  <c r="L133" i="21"/>
  <c r="K133" i="21"/>
  <c r="J133" i="21"/>
  <c r="I133" i="21"/>
  <c r="H133" i="21"/>
  <c r="G133" i="21"/>
  <c r="F133" i="21"/>
  <c r="E133" i="21"/>
  <c r="D133" i="21"/>
  <c r="C133" i="21"/>
  <c r="B133" i="21"/>
  <c r="A133" i="21"/>
  <c r="BG132" i="21"/>
  <c r="BE132" i="21"/>
  <c r="BF132" i="21" s="1"/>
  <c r="AW132" i="21"/>
  <c r="AX132" i="21" s="1"/>
  <c r="AU132" i="21"/>
  <c r="AV132" i="21" s="1"/>
  <c r="AS132" i="21"/>
  <c r="AQ132" i="21"/>
  <c r="AR132" i="21" s="1"/>
  <c r="AO132" i="21"/>
  <c r="AP132" i="21" s="1"/>
  <c r="AM132" i="21"/>
  <c r="AK132" i="21"/>
  <c r="AL132" i="21" s="1"/>
  <c r="AG132" i="21"/>
  <c r="AH132" i="21" s="1"/>
  <c r="AE132" i="21"/>
  <c r="AF132" i="21" s="1"/>
  <c r="AC132" i="21"/>
  <c r="AD132" i="21" s="1"/>
  <c r="AA132" i="21"/>
  <c r="AB132" i="21" s="1"/>
  <c r="W132" i="21"/>
  <c r="X132" i="21" s="1"/>
  <c r="U132" i="21"/>
  <c r="V132" i="21" s="1"/>
  <c r="S132" i="21"/>
  <c r="Q132" i="21"/>
  <c r="R132" i="21" s="1"/>
  <c r="P132" i="21"/>
  <c r="O132" i="21"/>
  <c r="N132" i="21"/>
  <c r="M132" i="21"/>
  <c r="L132" i="21"/>
  <c r="K132" i="21"/>
  <c r="J132" i="21"/>
  <c r="I132" i="21"/>
  <c r="H132" i="21"/>
  <c r="G132" i="21"/>
  <c r="F132" i="21"/>
  <c r="E132" i="21"/>
  <c r="D132" i="21"/>
  <c r="C132" i="21"/>
  <c r="B132" i="21"/>
  <c r="A132" i="21"/>
  <c r="BG131" i="21"/>
  <c r="BH131" i="21" s="1"/>
  <c r="BE131" i="21"/>
  <c r="BF131" i="21" s="1"/>
  <c r="AW131" i="21"/>
  <c r="AU131" i="21"/>
  <c r="AV131" i="21" s="1"/>
  <c r="AS131" i="21"/>
  <c r="AT131" i="21" s="1"/>
  <c r="AQ131" i="21"/>
  <c r="AO131" i="21"/>
  <c r="AP131" i="21" s="1"/>
  <c r="AM131" i="21"/>
  <c r="AN131" i="21" s="1"/>
  <c r="AK131" i="21"/>
  <c r="AL131" i="21" s="1"/>
  <c r="AG131" i="21"/>
  <c r="AH131" i="21" s="1"/>
  <c r="AE131" i="21"/>
  <c r="AF131" i="21" s="1"/>
  <c r="AC131" i="21"/>
  <c r="AD131" i="21" s="1"/>
  <c r="AA131" i="21"/>
  <c r="AB131" i="21" s="1"/>
  <c r="W131" i="21"/>
  <c r="U131" i="21"/>
  <c r="V131" i="21" s="1"/>
  <c r="S131" i="21"/>
  <c r="T131" i="21" s="1"/>
  <c r="Q131" i="21"/>
  <c r="R131" i="21" s="1"/>
  <c r="P131" i="21"/>
  <c r="O131" i="21"/>
  <c r="N131" i="21"/>
  <c r="M131" i="21"/>
  <c r="L131" i="21"/>
  <c r="K131" i="21"/>
  <c r="J131" i="21"/>
  <c r="I131" i="21"/>
  <c r="H131" i="21"/>
  <c r="G131" i="21"/>
  <c r="F131" i="21"/>
  <c r="E131" i="21"/>
  <c r="D131" i="21"/>
  <c r="C131" i="21"/>
  <c r="B131" i="21"/>
  <c r="A131" i="21"/>
  <c r="BG130" i="21"/>
  <c r="BH130" i="21" s="1"/>
  <c r="BE130" i="21"/>
  <c r="AW130" i="21"/>
  <c r="AX130" i="21" s="1"/>
  <c r="AU130" i="21"/>
  <c r="AS130" i="21"/>
  <c r="AT130" i="21" s="1"/>
  <c r="AQ130" i="21"/>
  <c r="AR130" i="21" s="1"/>
  <c r="AO130" i="21"/>
  <c r="AP130" i="21" s="1"/>
  <c r="AM130" i="21"/>
  <c r="AN130" i="21" s="1"/>
  <c r="AK130" i="21"/>
  <c r="AL130" i="21" s="1"/>
  <c r="AG130" i="21"/>
  <c r="AH130" i="21" s="1"/>
  <c r="AE130" i="21"/>
  <c r="AF130" i="21" s="1"/>
  <c r="AC130" i="21"/>
  <c r="AA130" i="21"/>
  <c r="AB130" i="21" s="1"/>
  <c r="W130" i="21"/>
  <c r="X130" i="21" s="1"/>
  <c r="U130" i="21"/>
  <c r="V130" i="21" s="1"/>
  <c r="S130" i="21"/>
  <c r="T130" i="21" s="1"/>
  <c r="Q130" i="21"/>
  <c r="P130" i="21"/>
  <c r="O130" i="21"/>
  <c r="N130" i="21"/>
  <c r="M130" i="21"/>
  <c r="L130" i="21"/>
  <c r="K130" i="21"/>
  <c r="J130" i="21"/>
  <c r="I130" i="21"/>
  <c r="H130" i="21"/>
  <c r="G130" i="21"/>
  <c r="F130" i="21"/>
  <c r="E130" i="21"/>
  <c r="D130" i="21"/>
  <c r="C130" i="21"/>
  <c r="B130" i="21"/>
  <c r="A130" i="21"/>
  <c r="BG129" i="21"/>
  <c r="BH129" i="21" s="1"/>
  <c r="BE129" i="21"/>
  <c r="BF129" i="21" s="1"/>
  <c r="AW129" i="21"/>
  <c r="AX129" i="21" s="1"/>
  <c r="AU129" i="21"/>
  <c r="AV129" i="21" s="1"/>
  <c r="AS129" i="21"/>
  <c r="AT129" i="21" s="1"/>
  <c r="AQ129" i="21"/>
  <c r="AR129" i="21" s="1"/>
  <c r="AO129" i="21"/>
  <c r="AP129" i="21" s="1"/>
  <c r="AM129" i="21"/>
  <c r="AN129" i="21" s="1"/>
  <c r="AK129" i="21"/>
  <c r="AL129" i="21" s="1"/>
  <c r="AG129" i="21"/>
  <c r="AE129" i="21"/>
  <c r="AF129" i="21" s="1"/>
  <c r="AC129" i="21"/>
  <c r="AD129" i="21" s="1"/>
  <c r="AA129" i="21"/>
  <c r="AB129" i="21" s="1"/>
  <c r="W129" i="21"/>
  <c r="X129" i="21" s="1"/>
  <c r="U129" i="21"/>
  <c r="S129" i="21"/>
  <c r="T129" i="21" s="1"/>
  <c r="Q129" i="21"/>
  <c r="R129" i="21" s="1"/>
  <c r="P129" i="21"/>
  <c r="O129" i="21"/>
  <c r="N129" i="21"/>
  <c r="M129" i="21"/>
  <c r="L129" i="21"/>
  <c r="K129" i="21"/>
  <c r="J129" i="21"/>
  <c r="I129" i="21"/>
  <c r="H129" i="21"/>
  <c r="G129" i="21"/>
  <c r="F129" i="21"/>
  <c r="E129" i="21"/>
  <c r="D129" i="21"/>
  <c r="C129" i="21"/>
  <c r="B129" i="21"/>
  <c r="A129" i="21"/>
  <c r="BG128" i="21"/>
  <c r="BE128" i="21"/>
  <c r="BF128" i="21" s="1"/>
  <c r="AW128" i="21"/>
  <c r="AU128" i="21"/>
  <c r="AV128" i="21" s="1"/>
  <c r="AS128" i="21"/>
  <c r="AQ128" i="21"/>
  <c r="AR128" i="21" s="1"/>
  <c r="AO128" i="21"/>
  <c r="AP128" i="21" s="1"/>
  <c r="AM128" i="21"/>
  <c r="AK128" i="21"/>
  <c r="AL128" i="21" s="1"/>
  <c r="AG128" i="21"/>
  <c r="AH128" i="21" s="1"/>
  <c r="AE128" i="21"/>
  <c r="AF128" i="21" s="1"/>
  <c r="AC128" i="21"/>
  <c r="AD128" i="21" s="1"/>
  <c r="AA128" i="21"/>
  <c r="W128" i="21"/>
  <c r="X128" i="21" s="1"/>
  <c r="U128" i="21"/>
  <c r="V128" i="21" s="1"/>
  <c r="S128" i="21"/>
  <c r="Q128" i="21"/>
  <c r="R128" i="21" s="1"/>
  <c r="P128" i="21"/>
  <c r="O128" i="21"/>
  <c r="N128" i="21"/>
  <c r="M128" i="21"/>
  <c r="L128" i="21"/>
  <c r="K128" i="21"/>
  <c r="J128" i="21"/>
  <c r="I128" i="21"/>
  <c r="H128" i="21"/>
  <c r="G128" i="21"/>
  <c r="F128" i="21"/>
  <c r="E128" i="21"/>
  <c r="D128" i="21"/>
  <c r="C128" i="21"/>
  <c r="B128" i="21"/>
  <c r="A128" i="21"/>
  <c r="BG127" i="21"/>
  <c r="BH127" i="21" s="1"/>
  <c r="BE127" i="21"/>
  <c r="BF127" i="21" s="1"/>
  <c r="AW127" i="21"/>
  <c r="AU127" i="21"/>
  <c r="AV127" i="21" s="1"/>
  <c r="AS127" i="21"/>
  <c r="AT127" i="21" s="1"/>
  <c r="AQ127" i="21"/>
  <c r="AO127" i="21"/>
  <c r="AP127" i="21" s="1"/>
  <c r="AM127" i="21"/>
  <c r="AN127" i="21" s="1"/>
  <c r="AK127" i="21"/>
  <c r="AL127" i="21" s="1"/>
  <c r="AG127" i="21"/>
  <c r="AH127" i="21" s="1"/>
  <c r="AE127" i="21"/>
  <c r="AC127" i="21"/>
  <c r="AD127" i="21" s="1"/>
  <c r="AA127" i="21"/>
  <c r="AB127" i="21" s="1"/>
  <c r="W127" i="21"/>
  <c r="U127" i="21"/>
  <c r="V127" i="21" s="1"/>
  <c r="S127" i="21"/>
  <c r="T127" i="21" s="1"/>
  <c r="Q127" i="21"/>
  <c r="R127" i="21" s="1"/>
  <c r="P127" i="21"/>
  <c r="O127" i="21"/>
  <c r="N127" i="21"/>
  <c r="M127" i="21"/>
  <c r="L127" i="21"/>
  <c r="K127" i="21"/>
  <c r="J127" i="21"/>
  <c r="I127" i="21"/>
  <c r="H127" i="21"/>
  <c r="G127" i="21"/>
  <c r="F127" i="21"/>
  <c r="E127" i="21"/>
  <c r="D127" i="21"/>
  <c r="C127" i="21"/>
  <c r="B127" i="21"/>
  <c r="A127" i="21"/>
  <c r="BG126" i="21"/>
  <c r="BH126" i="21" s="1"/>
  <c r="BE126" i="21"/>
  <c r="AW126" i="21"/>
  <c r="AX126" i="21" s="1"/>
  <c r="AU126" i="21"/>
  <c r="AS126" i="21"/>
  <c r="AT126" i="21" s="1"/>
  <c r="AQ126" i="21"/>
  <c r="AR126" i="21" s="1"/>
  <c r="AO126" i="21"/>
  <c r="AP126" i="21" s="1"/>
  <c r="AM126" i="21"/>
  <c r="AN126" i="21" s="1"/>
  <c r="AK126" i="21"/>
  <c r="AG126" i="21"/>
  <c r="AH126" i="21" s="1"/>
  <c r="AE126" i="21"/>
  <c r="AF126" i="21" s="1"/>
  <c r="AC126" i="21"/>
  <c r="AA126" i="21"/>
  <c r="AB126" i="21" s="1"/>
  <c r="W126" i="21"/>
  <c r="X126" i="21" s="1"/>
  <c r="U126" i="21"/>
  <c r="V126" i="21" s="1"/>
  <c r="S126" i="21"/>
  <c r="T126" i="21" s="1"/>
  <c r="Q126" i="21"/>
  <c r="P126" i="21"/>
  <c r="O126" i="21"/>
  <c r="N126" i="21"/>
  <c r="M126" i="21"/>
  <c r="L126" i="21"/>
  <c r="K126" i="21"/>
  <c r="J126" i="21"/>
  <c r="I126" i="21"/>
  <c r="H126" i="21"/>
  <c r="G126" i="21"/>
  <c r="F126" i="21"/>
  <c r="E126" i="21"/>
  <c r="D126" i="21"/>
  <c r="C126" i="21"/>
  <c r="B126" i="21"/>
  <c r="A126" i="21"/>
  <c r="BG125" i="21"/>
  <c r="BH125" i="21" s="1"/>
  <c r="BE125" i="21"/>
  <c r="BF125" i="21" s="1"/>
  <c r="AW125" i="21"/>
  <c r="AX125" i="21" s="1"/>
  <c r="AU125" i="21"/>
  <c r="AV125" i="21" s="1"/>
  <c r="AS125" i="21"/>
  <c r="AT125" i="21" s="1"/>
  <c r="AQ125" i="21"/>
  <c r="AR125" i="21" s="1"/>
  <c r="AO125" i="21"/>
  <c r="AM125" i="21"/>
  <c r="AN125" i="21" s="1"/>
  <c r="AK125" i="21"/>
  <c r="AL125" i="21" s="1"/>
  <c r="AG125" i="21"/>
  <c r="AE125" i="21"/>
  <c r="AF125" i="21" s="1"/>
  <c r="AC125" i="21"/>
  <c r="AD125" i="21" s="1"/>
  <c r="AA125" i="21"/>
  <c r="AB125" i="21" s="1"/>
  <c r="W125" i="21"/>
  <c r="X125" i="21" s="1"/>
  <c r="U125" i="21"/>
  <c r="S125" i="21"/>
  <c r="T125" i="21" s="1"/>
  <c r="Q125" i="21"/>
  <c r="R125" i="21" s="1"/>
  <c r="P125" i="21"/>
  <c r="O125" i="21"/>
  <c r="N125" i="21"/>
  <c r="M125" i="21"/>
  <c r="L125" i="21"/>
  <c r="K125" i="21"/>
  <c r="J125" i="21"/>
  <c r="I125" i="21"/>
  <c r="H125" i="21"/>
  <c r="G125" i="21"/>
  <c r="F125" i="21"/>
  <c r="E125" i="21"/>
  <c r="D125" i="21"/>
  <c r="C125" i="21"/>
  <c r="B125" i="21"/>
  <c r="A125" i="21"/>
  <c r="BG124" i="21"/>
  <c r="BE124" i="21"/>
  <c r="BF124" i="21" s="1"/>
  <c r="AW124" i="21"/>
  <c r="AX124" i="21" s="1"/>
  <c r="AU124" i="21"/>
  <c r="AV124" i="21" s="1"/>
  <c r="AS124" i="21"/>
  <c r="AQ124" i="21"/>
  <c r="AR124" i="21" s="1"/>
  <c r="AO124" i="21"/>
  <c r="AP124" i="21" s="1"/>
  <c r="AM124" i="21"/>
  <c r="AK124" i="21"/>
  <c r="AL124" i="21" s="1"/>
  <c r="AG124" i="21"/>
  <c r="AH124" i="21" s="1"/>
  <c r="AE124" i="21"/>
  <c r="AF124" i="21" s="1"/>
  <c r="AC124" i="21"/>
  <c r="AD124" i="21" s="1"/>
  <c r="AA124" i="21"/>
  <c r="W124" i="21"/>
  <c r="X124" i="21" s="1"/>
  <c r="U124" i="21"/>
  <c r="V124" i="21" s="1"/>
  <c r="S124" i="21"/>
  <c r="Q124" i="21"/>
  <c r="R124" i="21" s="1"/>
  <c r="P124" i="21"/>
  <c r="O124" i="21"/>
  <c r="N124" i="21"/>
  <c r="M124" i="21"/>
  <c r="L124" i="21"/>
  <c r="K124" i="21"/>
  <c r="J124" i="21"/>
  <c r="I124" i="21"/>
  <c r="H124" i="21"/>
  <c r="G124" i="21"/>
  <c r="F124" i="21"/>
  <c r="E124" i="21"/>
  <c r="D124" i="21"/>
  <c r="C124" i="21"/>
  <c r="B124" i="21"/>
  <c r="A124" i="21"/>
  <c r="BG123" i="21"/>
  <c r="BH123" i="21" s="1"/>
  <c r="BE123" i="21"/>
  <c r="BF123" i="21" s="1"/>
  <c r="AW123" i="21"/>
  <c r="AU123" i="21"/>
  <c r="AV123" i="21" s="1"/>
  <c r="AS123" i="21"/>
  <c r="AT123" i="21" s="1"/>
  <c r="AQ123" i="21"/>
  <c r="AO123" i="21"/>
  <c r="AP123" i="21" s="1"/>
  <c r="AM123" i="21"/>
  <c r="AN123" i="21" s="1"/>
  <c r="AK123" i="21"/>
  <c r="AL123" i="21" s="1"/>
  <c r="AG123" i="21"/>
  <c r="AH123" i="21" s="1"/>
  <c r="AE123" i="21"/>
  <c r="AC123" i="21"/>
  <c r="AD123" i="21" s="1"/>
  <c r="AA123" i="21"/>
  <c r="AB123" i="21" s="1"/>
  <c r="W123" i="21"/>
  <c r="X123" i="21" s="1"/>
  <c r="U123" i="21"/>
  <c r="V123" i="21" s="1"/>
  <c r="S123" i="21"/>
  <c r="T123" i="21" s="1"/>
  <c r="Z123" i="21" s="1"/>
  <c r="Q123" i="21"/>
  <c r="R123" i="21" s="1"/>
  <c r="P123" i="21"/>
  <c r="O123" i="21"/>
  <c r="N123" i="21"/>
  <c r="M123" i="21"/>
  <c r="L123" i="21"/>
  <c r="K123" i="21"/>
  <c r="J123" i="21"/>
  <c r="I123" i="21"/>
  <c r="H123" i="21"/>
  <c r="G123" i="21"/>
  <c r="F123" i="21"/>
  <c r="E123" i="21"/>
  <c r="D123" i="21"/>
  <c r="C123" i="21"/>
  <c r="B123" i="21"/>
  <c r="A123" i="21"/>
  <c r="BG122" i="21"/>
  <c r="BH122" i="21" s="1"/>
  <c r="BE122" i="21"/>
  <c r="BF122" i="21" s="1"/>
  <c r="AW122" i="21"/>
  <c r="AX122" i="21" s="1"/>
  <c r="AU122" i="21"/>
  <c r="AV122" i="21" s="1"/>
  <c r="AS122" i="21"/>
  <c r="AT122" i="21" s="1"/>
  <c r="AQ122" i="21"/>
  <c r="AR122" i="21" s="1"/>
  <c r="AO122" i="21"/>
  <c r="AP122" i="21" s="1"/>
  <c r="AM122" i="21"/>
  <c r="AN122" i="21" s="1"/>
  <c r="AK122" i="21"/>
  <c r="AL122" i="21" s="1"/>
  <c r="AG122" i="21"/>
  <c r="AE122" i="21"/>
  <c r="AF122" i="21" s="1"/>
  <c r="AC122" i="21"/>
  <c r="AA122" i="21"/>
  <c r="AB122" i="21" s="1"/>
  <c r="W122" i="21"/>
  <c r="X122" i="21" s="1"/>
  <c r="U122" i="21"/>
  <c r="S122" i="21"/>
  <c r="T122" i="21" s="1"/>
  <c r="Q122" i="21"/>
  <c r="R122" i="21" s="1"/>
  <c r="P122" i="21"/>
  <c r="O122" i="21"/>
  <c r="N122" i="21"/>
  <c r="M122" i="21"/>
  <c r="L122" i="21"/>
  <c r="K122" i="21"/>
  <c r="J122" i="21"/>
  <c r="I122" i="21"/>
  <c r="H122" i="21"/>
  <c r="G122" i="21"/>
  <c r="F122" i="21"/>
  <c r="E122" i="21"/>
  <c r="D122" i="21"/>
  <c r="C122" i="21"/>
  <c r="B122" i="21"/>
  <c r="A122" i="21"/>
  <c r="BG121" i="21"/>
  <c r="BE121" i="21"/>
  <c r="BF121" i="21" s="1"/>
  <c r="AW121" i="21"/>
  <c r="AX121" i="21" s="1"/>
  <c r="AU121" i="21"/>
  <c r="AV121" i="21" s="1"/>
  <c r="AS121" i="21"/>
  <c r="AT121" i="21" s="1"/>
  <c r="AQ121" i="21"/>
  <c r="AR121" i="21" s="1"/>
  <c r="AO121" i="21"/>
  <c r="AP121" i="21" s="1"/>
  <c r="AM121" i="21"/>
  <c r="AK121" i="21"/>
  <c r="AL121" i="21" s="1"/>
  <c r="AG121" i="21"/>
  <c r="AH121" i="21" s="1"/>
  <c r="AE121" i="21"/>
  <c r="AF121" i="21" s="1"/>
  <c r="AC121" i="21"/>
  <c r="AD121" i="21" s="1"/>
  <c r="AA121" i="21"/>
  <c r="W121" i="21"/>
  <c r="X121" i="21" s="1"/>
  <c r="U121" i="21"/>
  <c r="S121" i="21"/>
  <c r="Q121" i="21"/>
  <c r="R121" i="21" s="1"/>
  <c r="P121" i="21"/>
  <c r="O121" i="21"/>
  <c r="N121" i="21"/>
  <c r="M121" i="21"/>
  <c r="L121" i="21"/>
  <c r="K121" i="21"/>
  <c r="J121" i="21"/>
  <c r="I121" i="21"/>
  <c r="H121" i="21"/>
  <c r="G121" i="21"/>
  <c r="F121" i="21"/>
  <c r="E121" i="21"/>
  <c r="D121" i="21"/>
  <c r="C121" i="21"/>
  <c r="B121" i="21"/>
  <c r="A121" i="21"/>
  <c r="BG120" i="21"/>
  <c r="BH120" i="21" s="1"/>
  <c r="BE120" i="21"/>
  <c r="BF120" i="21" s="1"/>
  <c r="AW120" i="21"/>
  <c r="AX120" i="21" s="1"/>
  <c r="AU120" i="21"/>
  <c r="AV120" i="21" s="1"/>
  <c r="AS120" i="21"/>
  <c r="AQ120" i="21"/>
  <c r="AO120" i="21"/>
  <c r="AP120" i="21" s="1"/>
  <c r="AM120" i="21"/>
  <c r="AK120" i="21"/>
  <c r="AL120" i="21" s="1"/>
  <c r="AG120" i="21"/>
  <c r="AH120" i="21" s="1"/>
  <c r="AE120" i="21"/>
  <c r="AF120" i="21" s="1"/>
  <c r="AC120" i="21"/>
  <c r="AD120" i="21" s="1"/>
  <c r="AA120" i="21"/>
  <c r="AB120" i="21" s="1"/>
  <c r="W120" i="21"/>
  <c r="U120" i="21"/>
  <c r="V120" i="21" s="1"/>
  <c r="S120" i="21"/>
  <c r="Q120" i="21"/>
  <c r="R120" i="21" s="1"/>
  <c r="P120" i="21"/>
  <c r="O120" i="21"/>
  <c r="N120" i="21"/>
  <c r="M120" i="21"/>
  <c r="L120" i="21"/>
  <c r="K120" i="21"/>
  <c r="J120" i="21"/>
  <c r="I120" i="21"/>
  <c r="H120" i="21"/>
  <c r="G120" i="21"/>
  <c r="F120" i="21"/>
  <c r="E120" i="21"/>
  <c r="D120" i="21"/>
  <c r="C120" i="21"/>
  <c r="B120" i="21"/>
  <c r="A120" i="21"/>
  <c r="BG119" i="21"/>
  <c r="BH119" i="21" s="1"/>
  <c r="BE119" i="21"/>
  <c r="AW119" i="21"/>
  <c r="AX119" i="21" s="1"/>
  <c r="AU119" i="21"/>
  <c r="AS119" i="21"/>
  <c r="AT119" i="21" s="1"/>
  <c r="AQ119" i="21"/>
  <c r="AR119" i="21" s="1"/>
  <c r="AO119" i="21"/>
  <c r="AP119" i="21" s="1"/>
  <c r="AM119" i="21"/>
  <c r="AN119" i="21" s="1"/>
  <c r="AK119" i="21"/>
  <c r="AG119" i="21"/>
  <c r="AH119" i="21" s="1"/>
  <c r="AE119" i="21"/>
  <c r="AF119" i="21" s="1"/>
  <c r="AC119" i="21"/>
  <c r="AA119" i="21"/>
  <c r="AB119" i="21" s="1"/>
  <c r="W119" i="21"/>
  <c r="X119" i="21" s="1"/>
  <c r="U119" i="21"/>
  <c r="V119" i="21" s="1"/>
  <c r="S119" i="21"/>
  <c r="T119" i="21" s="1"/>
  <c r="Q119" i="21"/>
  <c r="R119" i="21" s="1"/>
  <c r="P119" i="21"/>
  <c r="O119" i="21"/>
  <c r="N119" i="21"/>
  <c r="M119" i="21"/>
  <c r="L119" i="21"/>
  <c r="K119" i="21"/>
  <c r="J119" i="21"/>
  <c r="I119" i="21"/>
  <c r="H119" i="21"/>
  <c r="G119" i="21"/>
  <c r="F119" i="21"/>
  <c r="E119" i="21"/>
  <c r="D119" i="21"/>
  <c r="C119" i="21"/>
  <c r="B119" i="21"/>
  <c r="A119" i="21"/>
  <c r="BG118" i="21"/>
  <c r="BH118" i="21" s="1"/>
  <c r="BE118" i="21"/>
  <c r="BF118" i="21" s="1"/>
  <c r="AW118" i="21"/>
  <c r="AX118" i="21" s="1"/>
  <c r="AU118" i="21"/>
  <c r="AS118" i="21"/>
  <c r="AT118" i="21" s="1"/>
  <c r="AQ118" i="21"/>
  <c r="AR118" i="21" s="1"/>
  <c r="AO118" i="21"/>
  <c r="AM118" i="21"/>
  <c r="AN118" i="21" s="1"/>
  <c r="AK118" i="21"/>
  <c r="AL118" i="21" s="1"/>
  <c r="AG118" i="21"/>
  <c r="AE118" i="21"/>
  <c r="AF118" i="21" s="1"/>
  <c r="AC118" i="21"/>
  <c r="AA118" i="21"/>
  <c r="AB118" i="21" s="1"/>
  <c r="W118" i="21"/>
  <c r="X118" i="21" s="1"/>
  <c r="U118" i="21"/>
  <c r="V118" i="21" s="1"/>
  <c r="S118" i="21"/>
  <c r="T118" i="21" s="1"/>
  <c r="Q118" i="21"/>
  <c r="R118" i="21" s="1"/>
  <c r="P118" i="21"/>
  <c r="O118" i="21"/>
  <c r="N118" i="21"/>
  <c r="M118" i="21"/>
  <c r="L118" i="21"/>
  <c r="K118" i="21"/>
  <c r="J118" i="21"/>
  <c r="I118" i="21"/>
  <c r="H118" i="21"/>
  <c r="G118" i="21"/>
  <c r="F118" i="21"/>
  <c r="E118" i="21"/>
  <c r="D118" i="21"/>
  <c r="C118" i="21"/>
  <c r="B118" i="21"/>
  <c r="A118" i="21"/>
  <c r="BG117" i="21"/>
  <c r="BE117" i="21"/>
  <c r="BF117" i="21" s="1"/>
  <c r="AW117" i="21"/>
  <c r="AX117" i="21" s="1"/>
  <c r="AU117" i="21"/>
  <c r="AV117" i="21" s="1"/>
  <c r="AS117" i="21"/>
  <c r="AQ117" i="21"/>
  <c r="AR117" i="21" s="1"/>
  <c r="AO117" i="21"/>
  <c r="AM117" i="21"/>
  <c r="AK117" i="21"/>
  <c r="AL117" i="21" s="1"/>
  <c r="AG117" i="21"/>
  <c r="AH117" i="21" s="1"/>
  <c r="AE117" i="21"/>
  <c r="AF117" i="21" s="1"/>
  <c r="AC117" i="21"/>
  <c r="AD117" i="21" s="1"/>
  <c r="AA117" i="21"/>
  <c r="W117" i="21"/>
  <c r="X117" i="21" s="1"/>
  <c r="U117" i="21"/>
  <c r="S117" i="21"/>
  <c r="Q117" i="21"/>
  <c r="R117" i="21" s="1"/>
  <c r="P117" i="21"/>
  <c r="O117" i="21"/>
  <c r="N117" i="21"/>
  <c r="M117" i="21"/>
  <c r="L117" i="21"/>
  <c r="K117" i="21"/>
  <c r="J117" i="21"/>
  <c r="I117" i="21"/>
  <c r="H117" i="21"/>
  <c r="G117" i="21"/>
  <c r="F117" i="21"/>
  <c r="E117" i="21"/>
  <c r="D117" i="21"/>
  <c r="C117" i="21"/>
  <c r="B117" i="21"/>
  <c r="A117" i="21"/>
  <c r="BG116" i="21"/>
  <c r="BE116" i="21"/>
  <c r="BF116" i="21" s="1"/>
  <c r="AW116" i="21"/>
  <c r="AX116" i="21" s="1"/>
  <c r="AU116" i="21"/>
  <c r="AV116" i="21" s="1"/>
  <c r="AS116" i="21"/>
  <c r="AT116" i="21" s="1"/>
  <c r="AQ116" i="21"/>
  <c r="AO116" i="21"/>
  <c r="AP116" i="21" s="1"/>
  <c r="AM116" i="21"/>
  <c r="AK116" i="21"/>
  <c r="AL116" i="21" s="1"/>
  <c r="AG116" i="21"/>
  <c r="AH116" i="21" s="1"/>
  <c r="AE116" i="21"/>
  <c r="AC116" i="21"/>
  <c r="AD116" i="21" s="1"/>
  <c r="AA116" i="21"/>
  <c r="AB116" i="21" s="1"/>
  <c r="W116" i="21"/>
  <c r="U116" i="21"/>
  <c r="V116" i="21" s="1"/>
  <c r="S116" i="21"/>
  <c r="T116" i="21" s="1"/>
  <c r="Q116" i="21"/>
  <c r="R116" i="21" s="1"/>
  <c r="P116" i="21"/>
  <c r="O116" i="21"/>
  <c r="N116" i="21"/>
  <c r="M116" i="21"/>
  <c r="L116" i="21"/>
  <c r="K116" i="21"/>
  <c r="J116" i="21"/>
  <c r="I116" i="21"/>
  <c r="H116" i="21"/>
  <c r="G116" i="21"/>
  <c r="F116" i="21"/>
  <c r="E116" i="21"/>
  <c r="D116" i="21"/>
  <c r="C116" i="21"/>
  <c r="B116" i="21"/>
  <c r="A116" i="21"/>
  <c r="BG115" i="21"/>
  <c r="BH115" i="21" s="1"/>
  <c r="BE115" i="21"/>
  <c r="AW115" i="21"/>
  <c r="AX115" i="21" s="1"/>
  <c r="AU115" i="21"/>
  <c r="AS115" i="21"/>
  <c r="AT115" i="21" s="1"/>
  <c r="AQ115" i="21"/>
  <c r="AR115" i="21" s="1"/>
  <c r="AO115" i="21"/>
  <c r="AP115" i="21" s="1"/>
  <c r="AM115" i="21"/>
  <c r="AN115" i="21" s="1"/>
  <c r="AK115" i="21"/>
  <c r="AL115" i="21" s="1"/>
  <c r="AG115" i="21"/>
  <c r="AH115" i="21" s="1"/>
  <c r="AE115" i="21"/>
  <c r="AF115" i="21" s="1"/>
  <c r="AC115" i="21"/>
  <c r="AA115" i="21"/>
  <c r="AB115" i="21" s="1"/>
  <c r="W115" i="21"/>
  <c r="U115" i="21"/>
  <c r="V115" i="21" s="1"/>
  <c r="S115" i="21"/>
  <c r="T115" i="21" s="1"/>
  <c r="Q115" i="21"/>
  <c r="P115" i="21"/>
  <c r="O115" i="21"/>
  <c r="N115" i="21"/>
  <c r="M115" i="21"/>
  <c r="L115" i="21"/>
  <c r="K115" i="21"/>
  <c r="J115" i="21"/>
  <c r="I115" i="21"/>
  <c r="H115" i="21"/>
  <c r="G115" i="21"/>
  <c r="F115" i="21"/>
  <c r="E115" i="21"/>
  <c r="D115" i="21"/>
  <c r="C115" i="21"/>
  <c r="B115" i="21"/>
  <c r="A115" i="21"/>
  <c r="BG114" i="21"/>
  <c r="BH114" i="21" s="1"/>
  <c r="BE114" i="21"/>
  <c r="BF114" i="21" s="1"/>
  <c r="AW114" i="21"/>
  <c r="AX114" i="21" s="1"/>
  <c r="AU114" i="21"/>
  <c r="AS114" i="21"/>
  <c r="AT114" i="21" s="1"/>
  <c r="AQ114" i="21"/>
  <c r="AR114" i="21" s="1"/>
  <c r="AO114" i="21"/>
  <c r="AP114" i="21" s="1"/>
  <c r="AM114" i="21"/>
  <c r="AN114" i="21" s="1"/>
  <c r="AK114" i="21"/>
  <c r="AL114" i="21" s="1"/>
  <c r="AG114" i="21"/>
  <c r="AE114" i="21"/>
  <c r="AF114" i="21" s="1"/>
  <c r="AC114" i="21"/>
  <c r="AD114" i="21" s="1"/>
  <c r="AA114" i="21"/>
  <c r="AB114" i="21" s="1"/>
  <c r="W114" i="21"/>
  <c r="X114" i="21" s="1"/>
  <c r="U114" i="21"/>
  <c r="S114" i="21"/>
  <c r="T114" i="21" s="1"/>
  <c r="Q114" i="21"/>
  <c r="P114" i="21"/>
  <c r="O114" i="21"/>
  <c r="N114" i="21"/>
  <c r="M114" i="21"/>
  <c r="L114" i="21"/>
  <c r="K114" i="21"/>
  <c r="J114" i="21"/>
  <c r="I114" i="21"/>
  <c r="H114" i="21"/>
  <c r="G114" i="21"/>
  <c r="F114" i="21"/>
  <c r="E114" i="21"/>
  <c r="D114" i="21"/>
  <c r="C114" i="21"/>
  <c r="B114" i="21"/>
  <c r="A114" i="21"/>
  <c r="BG113" i="21"/>
  <c r="BE113" i="21"/>
  <c r="BF113" i="21" s="1"/>
  <c r="AW113" i="21"/>
  <c r="AX113" i="21" s="1"/>
  <c r="AU113" i="21"/>
  <c r="AV113" i="21" s="1"/>
  <c r="AS113" i="21"/>
  <c r="AQ113" i="21"/>
  <c r="AR113" i="21" s="1"/>
  <c r="AO113" i="21"/>
  <c r="AM113" i="21"/>
  <c r="AN113" i="21" s="1"/>
  <c r="AK113" i="21"/>
  <c r="AL113" i="21" s="1"/>
  <c r="AG113" i="21"/>
  <c r="AE113" i="21"/>
  <c r="AF113" i="21" s="1"/>
  <c r="AC113" i="21"/>
  <c r="AA113" i="21"/>
  <c r="AB113" i="21" s="1"/>
  <c r="W113" i="21"/>
  <c r="X113" i="21" s="1"/>
  <c r="U113" i="21"/>
  <c r="S113" i="21"/>
  <c r="T113" i="21" s="1"/>
  <c r="Q113" i="21"/>
  <c r="P113" i="21"/>
  <c r="O113" i="21"/>
  <c r="N113" i="21"/>
  <c r="M113" i="21"/>
  <c r="L113" i="21"/>
  <c r="K113" i="21"/>
  <c r="J113" i="21"/>
  <c r="I113" i="21"/>
  <c r="H113" i="21"/>
  <c r="G113" i="21"/>
  <c r="F113" i="21"/>
  <c r="E113" i="21"/>
  <c r="D113" i="21"/>
  <c r="C113" i="21"/>
  <c r="B113" i="21"/>
  <c r="A113" i="21"/>
  <c r="BG112" i="21"/>
  <c r="BE112" i="21"/>
  <c r="BF112" i="21" s="1"/>
  <c r="AW112" i="21"/>
  <c r="AX112" i="21" s="1"/>
  <c r="AU112" i="21"/>
  <c r="AV112" i="21" s="1"/>
  <c r="AS112" i="21"/>
  <c r="AQ112" i="21"/>
  <c r="AR112" i="21" s="1"/>
  <c r="AO112" i="21"/>
  <c r="AM112" i="21"/>
  <c r="AK112" i="21"/>
  <c r="AL112" i="21" s="1"/>
  <c r="AG112" i="21"/>
  <c r="AE112" i="21"/>
  <c r="AF112" i="21" s="1"/>
  <c r="AC112" i="21"/>
  <c r="AD112" i="21" s="1"/>
  <c r="AA112" i="21"/>
  <c r="W112" i="21"/>
  <c r="X112" i="21" s="1"/>
  <c r="U112" i="21"/>
  <c r="V112" i="21" s="1"/>
  <c r="S112" i="21"/>
  <c r="Q112" i="21"/>
  <c r="R112" i="21" s="1"/>
  <c r="P112" i="21"/>
  <c r="O112" i="21"/>
  <c r="N112" i="21"/>
  <c r="M112" i="21"/>
  <c r="L112" i="21"/>
  <c r="K112" i="21"/>
  <c r="J112" i="21"/>
  <c r="I112" i="21"/>
  <c r="H112" i="21"/>
  <c r="G112" i="21"/>
  <c r="F112" i="21"/>
  <c r="E112" i="21"/>
  <c r="D112" i="21"/>
  <c r="C112" i="21"/>
  <c r="B112" i="21"/>
  <c r="A112" i="21"/>
  <c r="BG111" i="21"/>
  <c r="BE111" i="21"/>
  <c r="BF111" i="21" s="1"/>
  <c r="AW111" i="21"/>
  <c r="AU111" i="21"/>
  <c r="AV111" i="21" s="1"/>
  <c r="AS111" i="21"/>
  <c r="AQ111" i="21"/>
  <c r="AO111" i="21"/>
  <c r="AP111" i="21" s="1"/>
  <c r="AM111" i="21"/>
  <c r="AK111" i="21"/>
  <c r="AL111" i="21" s="1"/>
  <c r="AG111" i="21"/>
  <c r="AH111" i="21" s="1"/>
  <c r="AE111" i="21"/>
  <c r="AC111" i="21"/>
  <c r="AD111" i="21" s="1"/>
  <c r="AA111" i="21"/>
  <c r="AB111" i="21" s="1"/>
  <c r="W111" i="21"/>
  <c r="U111" i="21"/>
  <c r="V111" i="21" s="1"/>
  <c r="S111" i="21"/>
  <c r="Q111" i="21"/>
  <c r="R111" i="21" s="1"/>
  <c r="P111" i="21"/>
  <c r="O111" i="21"/>
  <c r="N111" i="21"/>
  <c r="M111" i="21"/>
  <c r="L111" i="21"/>
  <c r="K111" i="21"/>
  <c r="J111" i="21"/>
  <c r="I111" i="21"/>
  <c r="H111" i="21"/>
  <c r="G111" i="21"/>
  <c r="F111" i="21"/>
  <c r="E111" i="21"/>
  <c r="D111" i="21"/>
  <c r="C111" i="21"/>
  <c r="B111" i="21"/>
  <c r="A111" i="21"/>
  <c r="BG110" i="21"/>
  <c r="BH110" i="21" s="1"/>
  <c r="BE110" i="21"/>
  <c r="AW110" i="21"/>
  <c r="AU110" i="21"/>
  <c r="AS110" i="21"/>
  <c r="AT110" i="21" s="1"/>
  <c r="AQ110" i="21"/>
  <c r="AO110" i="21"/>
  <c r="AP110" i="21" s="1"/>
  <c r="AM110" i="21"/>
  <c r="AN110" i="21" s="1"/>
  <c r="AK110" i="21"/>
  <c r="AG110" i="21"/>
  <c r="AH110" i="21" s="1"/>
  <c r="AE110" i="21"/>
  <c r="AF110" i="21" s="1"/>
  <c r="AC110" i="21"/>
  <c r="AA110" i="21"/>
  <c r="AB110" i="21" s="1"/>
  <c r="W110" i="21"/>
  <c r="U110" i="21"/>
  <c r="V110" i="21" s="1"/>
  <c r="S110" i="21"/>
  <c r="T110" i="21" s="1"/>
  <c r="Q110" i="21"/>
  <c r="P110" i="21"/>
  <c r="O110" i="21"/>
  <c r="N110" i="21"/>
  <c r="M110" i="21"/>
  <c r="L110" i="21"/>
  <c r="K110" i="21"/>
  <c r="J110" i="21"/>
  <c r="I110" i="21"/>
  <c r="H110" i="21"/>
  <c r="G110" i="21"/>
  <c r="F110" i="21"/>
  <c r="E110" i="21"/>
  <c r="D110" i="21"/>
  <c r="C110" i="21"/>
  <c r="B110" i="21"/>
  <c r="A110" i="21"/>
  <c r="BG109" i="21"/>
  <c r="BH109" i="21" s="1"/>
  <c r="BE109" i="21"/>
  <c r="AW109" i="21"/>
  <c r="AX109" i="21" s="1"/>
  <c r="AU109" i="21"/>
  <c r="AS109" i="21"/>
  <c r="AT109" i="21" s="1"/>
  <c r="AQ109" i="21"/>
  <c r="AR109" i="21" s="1"/>
  <c r="AO109" i="21"/>
  <c r="AM109" i="21"/>
  <c r="AN109" i="21" s="1"/>
  <c r="AK109" i="21"/>
  <c r="AL109" i="21" s="1"/>
  <c r="AG109" i="21"/>
  <c r="AE109" i="21"/>
  <c r="AF109" i="21" s="1"/>
  <c r="AC109" i="21"/>
  <c r="AA109" i="21"/>
  <c r="AB109" i="21" s="1"/>
  <c r="W109" i="21"/>
  <c r="X109" i="21" s="1"/>
  <c r="U109" i="21"/>
  <c r="S109" i="21"/>
  <c r="T109" i="21" s="1"/>
  <c r="Q109" i="21"/>
  <c r="P109" i="21"/>
  <c r="O109" i="21"/>
  <c r="N109" i="21"/>
  <c r="M109" i="21"/>
  <c r="L109" i="21"/>
  <c r="K109" i="21"/>
  <c r="J109" i="21"/>
  <c r="I109" i="21"/>
  <c r="H109" i="21"/>
  <c r="G109" i="21"/>
  <c r="F109" i="21"/>
  <c r="E109" i="21"/>
  <c r="D109" i="21"/>
  <c r="C109" i="21"/>
  <c r="B109" i="21"/>
  <c r="A109" i="21"/>
  <c r="BG108" i="21"/>
  <c r="BE108" i="21"/>
  <c r="BF108" i="21" s="1"/>
  <c r="AW108" i="21"/>
  <c r="AX108" i="21" s="1"/>
  <c r="AU108" i="21"/>
  <c r="AV108" i="21" s="1"/>
  <c r="AS108" i="21"/>
  <c r="AQ108" i="21"/>
  <c r="AR108" i="21" s="1"/>
  <c r="AO108" i="21"/>
  <c r="AP108" i="21" s="1"/>
  <c r="AM108" i="21"/>
  <c r="AK108" i="21"/>
  <c r="AL108" i="21" s="1"/>
  <c r="AG108" i="21"/>
  <c r="AE108" i="21"/>
  <c r="AF108" i="21" s="1"/>
  <c r="AC108" i="21"/>
  <c r="AD108" i="21" s="1"/>
  <c r="AA108" i="21"/>
  <c r="W108" i="21"/>
  <c r="X108" i="21" s="1"/>
  <c r="U108" i="21"/>
  <c r="S108" i="21"/>
  <c r="Q108" i="21"/>
  <c r="R108" i="21" s="1"/>
  <c r="P108" i="21"/>
  <c r="O108" i="21"/>
  <c r="N108" i="21"/>
  <c r="M108" i="21"/>
  <c r="L108" i="21"/>
  <c r="K108" i="21"/>
  <c r="J108" i="21"/>
  <c r="I108" i="21"/>
  <c r="H108" i="21"/>
  <c r="G108" i="21"/>
  <c r="F108" i="21"/>
  <c r="E108" i="21"/>
  <c r="D108" i="21"/>
  <c r="C108" i="21"/>
  <c r="B108" i="21"/>
  <c r="A108" i="21"/>
  <c r="BG107" i="21"/>
  <c r="BE107" i="21"/>
  <c r="BF107" i="21" s="1"/>
  <c r="AW107" i="21"/>
  <c r="AU107" i="21"/>
  <c r="AV107" i="21" s="1"/>
  <c r="AS107" i="21"/>
  <c r="AT107" i="21" s="1"/>
  <c r="AQ107" i="21"/>
  <c r="AO107" i="21"/>
  <c r="AP107" i="21" s="1"/>
  <c r="AM107" i="21"/>
  <c r="AK107" i="21"/>
  <c r="AL107" i="21" s="1"/>
  <c r="AG107" i="21"/>
  <c r="AH107" i="21" s="1"/>
  <c r="AE107" i="21"/>
  <c r="AC107" i="21"/>
  <c r="AD107" i="21" s="1"/>
  <c r="AA107" i="21"/>
  <c r="W107" i="21"/>
  <c r="U107" i="21"/>
  <c r="V107" i="21" s="1"/>
  <c r="S107" i="21"/>
  <c r="Q107" i="21"/>
  <c r="R107" i="21" s="1"/>
  <c r="P107" i="21"/>
  <c r="O107" i="21"/>
  <c r="N107" i="21"/>
  <c r="M107" i="21"/>
  <c r="L107" i="21"/>
  <c r="K107" i="21"/>
  <c r="J107" i="21"/>
  <c r="I107" i="21"/>
  <c r="H107" i="21"/>
  <c r="G107" i="21"/>
  <c r="F107" i="21"/>
  <c r="E107" i="21"/>
  <c r="D107" i="21"/>
  <c r="C107" i="21"/>
  <c r="B107" i="21"/>
  <c r="A107" i="21"/>
  <c r="BG106" i="21"/>
  <c r="BH106" i="21" s="1"/>
  <c r="BE106" i="21"/>
  <c r="AW106" i="21"/>
  <c r="AX106" i="21" s="1"/>
  <c r="AU106" i="21"/>
  <c r="AS106" i="21"/>
  <c r="AT106" i="21" s="1"/>
  <c r="AQ106" i="21"/>
  <c r="AO106" i="21"/>
  <c r="AP106" i="21" s="1"/>
  <c r="AM106" i="21"/>
  <c r="AN106" i="21" s="1"/>
  <c r="AK106" i="21"/>
  <c r="AG106" i="21"/>
  <c r="AH106" i="21" s="1"/>
  <c r="AE106" i="21"/>
  <c r="AC106" i="21"/>
  <c r="AA106" i="21"/>
  <c r="AB106" i="21" s="1"/>
  <c r="W106" i="21"/>
  <c r="U106" i="21"/>
  <c r="V106" i="21" s="1"/>
  <c r="S106" i="21"/>
  <c r="T106" i="21" s="1"/>
  <c r="Q106" i="21"/>
  <c r="P106" i="21"/>
  <c r="O106" i="21"/>
  <c r="N106" i="21"/>
  <c r="M106" i="21"/>
  <c r="L106" i="21"/>
  <c r="K106" i="21"/>
  <c r="J106" i="21"/>
  <c r="I106" i="21"/>
  <c r="H106" i="21"/>
  <c r="G106" i="21"/>
  <c r="F106" i="21"/>
  <c r="E106" i="21"/>
  <c r="D106" i="21"/>
  <c r="C106" i="21"/>
  <c r="B106" i="21"/>
  <c r="A106" i="21"/>
  <c r="BG105" i="21"/>
  <c r="BH105" i="21" s="1"/>
  <c r="BE105" i="21"/>
  <c r="BF105" i="21" s="1"/>
  <c r="AW105" i="21"/>
  <c r="AX105" i="21" s="1"/>
  <c r="AU105" i="21"/>
  <c r="AS105" i="21"/>
  <c r="AT105" i="21" s="1"/>
  <c r="AQ105" i="21"/>
  <c r="AR105" i="21" s="1"/>
  <c r="AO105" i="21"/>
  <c r="AM105" i="21"/>
  <c r="AN105" i="21" s="1"/>
  <c r="AK105" i="21"/>
  <c r="AG105" i="21"/>
  <c r="AE105" i="21"/>
  <c r="AF105" i="21" s="1"/>
  <c r="AC105" i="21"/>
  <c r="AA105" i="21"/>
  <c r="AB105" i="21" s="1"/>
  <c r="W105" i="21"/>
  <c r="X105" i="21" s="1"/>
  <c r="U105" i="21"/>
  <c r="S105" i="21"/>
  <c r="T105" i="21" s="1"/>
  <c r="Q105" i="21"/>
  <c r="R105" i="21" s="1"/>
  <c r="P105" i="21"/>
  <c r="O105" i="21"/>
  <c r="N105" i="21"/>
  <c r="M105" i="21"/>
  <c r="L105" i="21"/>
  <c r="K105" i="21"/>
  <c r="J105" i="21"/>
  <c r="I105" i="21"/>
  <c r="H105" i="21"/>
  <c r="G105" i="21"/>
  <c r="F105" i="21"/>
  <c r="E105" i="21"/>
  <c r="D105" i="21"/>
  <c r="C105" i="21"/>
  <c r="B105" i="21"/>
  <c r="A105" i="21"/>
  <c r="BG104" i="21"/>
  <c r="BE104" i="21"/>
  <c r="BF104" i="21" s="1"/>
  <c r="AW104" i="21"/>
  <c r="AU104" i="21"/>
  <c r="AV104" i="21" s="1"/>
  <c r="AS104" i="21"/>
  <c r="AQ104" i="21"/>
  <c r="AR104" i="21" s="1"/>
  <c r="AO104" i="21"/>
  <c r="AM104" i="21"/>
  <c r="AK104" i="21"/>
  <c r="AL104" i="21" s="1"/>
  <c r="AG104" i="21"/>
  <c r="AE104" i="21"/>
  <c r="AF104" i="21" s="1"/>
  <c r="AC104" i="21"/>
  <c r="AD104" i="21" s="1"/>
  <c r="AA104" i="21"/>
  <c r="W104" i="21"/>
  <c r="X104" i="21" s="1"/>
  <c r="U104" i="21"/>
  <c r="V104" i="21" s="1"/>
  <c r="S104" i="21"/>
  <c r="Q104" i="21"/>
  <c r="R104" i="21" s="1"/>
  <c r="P104" i="21"/>
  <c r="O104" i="21"/>
  <c r="N104" i="21"/>
  <c r="M104" i="21"/>
  <c r="L104" i="21"/>
  <c r="K104" i="21"/>
  <c r="J104" i="21"/>
  <c r="I104" i="21"/>
  <c r="H104" i="21"/>
  <c r="G104" i="21"/>
  <c r="F104" i="21"/>
  <c r="E104" i="21"/>
  <c r="D104" i="21"/>
  <c r="C104" i="21"/>
  <c r="B104" i="21"/>
  <c r="A104" i="21"/>
  <c r="BG103" i="21"/>
  <c r="BE103" i="21"/>
  <c r="BF103" i="21" s="1"/>
  <c r="AW103" i="21"/>
  <c r="AU103" i="21"/>
  <c r="AV103" i="21" s="1"/>
  <c r="AS103" i="21"/>
  <c r="AQ103" i="21"/>
  <c r="AO103" i="21"/>
  <c r="AP103" i="21" s="1"/>
  <c r="AM103" i="21"/>
  <c r="AK103" i="21"/>
  <c r="AL103" i="21" s="1"/>
  <c r="AG103" i="21"/>
  <c r="AH103" i="21" s="1"/>
  <c r="AE103" i="21"/>
  <c r="AC103" i="21"/>
  <c r="AD103" i="21" s="1"/>
  <c r="AJ103" i="21" s="1"/>
  <c r="AA103" i="21"/>
  <c r="AB103" i="21" s="1"/>
  <c r="W103" i="21"/>
  <c r="U103" i="21"/>
  <c r="V103" i="21" s="1"/>
  <c r="S103" i="21"/>
  <c r="Q103" i="21"/>
  <c r="R103" i="21" s="1"/>
  <c r="P103" i="21"/>
  <c r="O103" i="21"/>
  <c r="N103" i="21"/>
  <c r="M103" i="21"/>
  <c r="L103" i="21"/>
  <c r="K103" i="21"/>
  <c r="J103" i="21"/>
  <c r="I103" i="21"/>
  <c r="H103" i="21"/>
  <c r="G103" i="21"/>
  <c r="F103" i="21"/>
  <c r="E103" i="21"/>
  <c r="D103" i="21"/>
  <c r="C103" i="21"/>
  <c r="B103" i="21"/>
  <c r="A103" i="21"/>
  <c r="BG102" i="21"/>
  <c r="BH102" i="21" s="1"/>
  <c r="BE102" i="21"/>
  <c r="AW102" i="21"/>
  <c r="AU102" i="21"/>
  <c r="AS102" i="21"/>
  <c r="AT102" i="21" s="1"/>
  <c r="AQ102" i="21"/>
  <c r="AO102" i="21"/>
  <c r="AP102" i="21" s="1"/>
  <c r="AM102" i="21"/>
  <c r="AN102" i="21" s="1"/>
  <c r="AK102" i="21"/>
  <c r="AG102" i="21"/>
  <c r="AH102" i="21" s="1"/>
  <c r="AE102" i="21"/>
  <c r="AF102" i="21" s="1"/>
  <c r="AC102" i="21"/>
  <c r="AA102" i="21"/>
  <c r="AB102" i="21" s="1"/>
  <c r="W102" i="21"/>
  <c r="U102" i="21"/>
  <c r="V102" i="21" s="1"/>
  <c r="S102" i="21"/>
  <c r="T102" i="21" s="1"/>
  <c r="Q102" i="21"/>
  <c r="P102" i="21"/>
  <c r="O102" i="21"/>
  <c r="N102" i="21"/>
  <c r="M102" i="21"/>
  <c r="L102" i="21"/>
  <c r="K102" i="21"/>
  <c r="J102" i="21"/>
  <c r="I102" i="21"/>
  <c r="H102" i="21"/>
  <c r="G102" i="21"/>
  <c r="F102" i="21"/>
  <c r="E102" i="21"/>
  <c r="D102" i="21"/>
  <c r="C102" i="21"/>
  <c r="B102" i="21"/>
  <c r="A102" i="21"/>
  <c r="BG101" i="21"/>
  <c r="BH101" i="21" s="1"/>
  <c r="BE101" i="21"/>
  <c r="AW101" i="21"/>
  <c r="AX101" i="21" s="1"/>
  <c r="AU101" i="21"/>
  <c r="AS101" i="21"/>
  <c r="AT101" i="21" s="1"/>
  <c r="AQ101" i="21"/>
  <c r="AR101" i="21" s="1"/>
  <c r="AO101" i="21"/>
  <c r="AM101" i="21"/>
  <c r="AN101" i="21" s="1"/>
  <c r="AK101" i="21"/>
  <c r="AL101" i="21" s="1"/>
  <c r="AG101" i="21"/>
  <c r="AE101" i="21"/>
  <c r="AF101" i="21" s="1"/>
  <c r="AC101" i="21"/>
  <c r="AA101" i="21"/>
  <c r="AB101" i="21" s="1"/>
  <c r="W101" i="21"/>
  <c r="X101" i="21" s="1"/>
  <c r="U101" i="21"/>
  <c r="S101" i="21"/>
  <c r="T101" i="21" s="1"/>
  <c r="Q101" i="21"/>
  <c r="P101" i="21"/>
  <c r="O101" i="21"/>
  <c r="N101" i="21"/>
  <c r="M101" i="21"/>
  <c r="L101" i="21"/>
  <c r="K101" i="21"/>
  <c r="J101" i="21"/>
  <c r="I101" i="21"/>
  <c r="H101" i="21"/>
  <c r="G101" i="21"/>
  <c r="F101" i="21"/>
  <c r="E101" i="21"/>
  <c r="D101" i="21"/>
  <c r="C101" i="21"/>
  <c r="B101" i="21"/>
  <c r="A101" i="21"/>
  <c r="BG100" i="21"/>
  <c r="BE100" i="21"/>
  <c r="BF100" i="21" s="1"/>
  <c r="AW100" i="21"/>
  <c r="AX100" i="21" s="1"/>
  <c r="AU100" i="21"/>
  <c r="AV100" i="21" s="1"/>
  <c r="AS100" i="21"/>
  <c r="AQ100" i="21"/>
  <c r="AR100" i="21" s="1"/>
  <c r="AO100" i="21"/>
  <c r="AP100" i="21" s="1"/>
  <c r="AM100" i="21"/>
  <c r="AK100" i="21"/>
  <c r="AL100" i="21" s="1"/>
  <c r="AG100" i="21"/>
  <c r="AE100" i="21"/>
  <c r="AF100" i="21" s="1"/>
  <c r="AC100" i="21"/>
  <c r="AD100" i="21" s="1"/>
  <c r="AA100" i="21"/>
  <c r="W100" i="21"/>
  <c r="X100" i="21" s="1"/>
  <c r="U100" i="21"/>
  <c r="S100" i="21"/>
  <c r="Q100" i="21"/>
  <c r="R100" i="21" s="1"/>
  <c r="P100" i="21"/>
  <c r="O100" i="21"/>
  <c r="N100" i="21"/>
  <c r="M100" i="21"/>
  <c r="L100" i="21"/>
  <c r="K100" i="21"/>
  <c r="J100" i="21"/>
  <c r="I100" i="21"/>
  <c r="H100" i="21"/>
  <c r="G100" i="21"/>
  <c r="F100" i="21"/>
  <c r="E100" i="21"/>
  <c r="D100" i="21"/>
  <c r="C100" i="21"/>
  <c r="B100" i="21"/>
  <c r="A100" i="21"/>
  <c r="BG99" i="21"/>
  <c r="BE99" i="21"/>
  <c r="BF99" i="21" s="1"/>
  <c r="AW99" i="21"/>
  <c r="AU99" i="21"/>
  <c r="AV99" i="21" s="1"/>
  <c r="AS99" i="21"/>
  <c r="AT99" i="21" s="1"/>
  <c r="AQ99" i="21"/>
  <c r="AO99" i="21"/>
  <c r="AP99" i="21" s="1"/>
  <c r="AM99" i="21"/>
  <c r="AK99" i="21"/>
  <c r="AL99" i="21" s="1"/>
  <c r="AG99" i="21"/>
  <c r="AH99" i="21" s="1"/>
  <c r="AE99" i="21"/>
  <c r="AC99" i="21"/>
  <c r="AD99" i="21" s="1"/>
  <c r="AA99" i="21"/>
  <c r="W99" i="21"/>
  <c r="U99" i="21"/>
  <c r="V99" i="21" s="1"/>
  <c r="S99" i="21"/>
  <c r="Q99" i="21"/>
  <c r="R99" i="21" s="1"/>
  <c r="P99" i="21"/>
  <c r="O99" i="21"/>
  <c r="N99" i="21"/>
  <c r="M99" i="21"/>
  <c r="L99" i="21"/>
  <c r="K99" i="21"/>
  <c r="J99" i="21"/>
  <c r="I99" i="21"/>
  <c r="H99" i="21"/>
  <c r="G99" i="21"/>
  <c r="F99" i="21"/>
  <c r="E99" i="21"/>
  <c r="D99" i="21"/>
  <c r="C99" i="21"/>
  <c r="B99" i="21"/>
  <c r="A99" i="21"/>
  <c r="BG98" i="21"/>
  <c r="BH98" i="21" s="1"/>
  <c r="BE98" i="21"/>
  <c r="AW98" i="21"/>
  <c r="AU98" i="21"/>
  <c r="AS98" i="21"/>
  <c r="AT98" i="21" s="1"/>
  <c r="AQ98" i="21"/>
  <c r="AO98" i="21"/>
  <c r="AP98" i="21" s="1"/>
  <c r="AM98" i="21"/>
  <c r="AN98" i="21" s="1"/>
  <c r="AK98" i="21"/>
  <c r="AG98" i="21"/>
  <c r="AH98" i="21" s="1"/>
  <c r="AE98" i="21"/>
  <c r="AC98" i="21"/>
  <c r="AA98" i="21"/>
  <c r="AB98" i="21" s="1"/>
  <c r="W98" i="21"/>
  <c r="U98" i="21"/>
  <c r="V98" i="21" s="1"/>
  <c r="S98" i="21"/>
  <c r="T98" i="21" s="1"/>
  <c r="Q98" i="21"/>
  <c r="P98" i="21"/>
  <c r="O98" i="21"/>
  <c r="N98" i="21"/>
  <c r="M98" i="21"/>
  <c r="L98" i="21"/>
  <c r="K98" i="21"/>
  <c r="J98" i="21"/>
  <c r="I98" i="21"/>
  <c r="H98" i="21"/>
  <c r="G98" i="21"/>
  <c r="F98" i="21"/>
  <c r="E98" i="21"/>
  <c r="D98" i="21"/>
  <c r="C98" i="21"/>
  <c r="B98" i="21"/>
  <c r="A98" i="21"/>
  <c r="BG97" i="21"/>
  <c r="BH97" i="21" s="1"/>
  <c r="BE97" i="21"/>
  <c r="BF97" i="21" s="1"/>
  <c r="AW97" i="21"/>
  <c r="AX97" i="21" s="1"/>
  <c r="AU97" i="21"/>
  <c r="AS97" i="21"/>
  <c r="AT97" i="21" s="1"/>
  <c r="AQ97" i="21"/>
  <c r="AR97" i="21" s="1"/>
  <c r="AO97" i="21"/>
  <c r="AM97" i="21"/>
  <c r="AN97" i="21" s="1"/>
  <c r="AK97" i="21"/>
  <c r="AG97" i="21"/>
  <c r="AE97" i="21"/>
  <c r="AF97" i="21" s="1"/>
  <c r="AC97" i="21"/>
  <c r="AA97" i="21"/>
  <c r="AB97" i="21" s="1"/>
  <c r="W97" i="21"/>
  <c r="X97" i="21" s="1"/>
  <c r="U97" i="21"/>
  <c r="S97" i="21"/>
  <c r="T97" i="21" s="1"/>
  <c r="Q97" i="21"/>
  <c r="R97" i="21" s="1"/>
  <c r="P97" i="21"/>
  <c r="O97" i="21"/>
  <c r="N97" i="21"/>
  <c r="M97" i="21"/>
  <c r="L97" i="21"/>
  <c r="K97" i="21"/>
  <c r="J97" i="21"/>
  <c r="I97" i="21"/>
  <c r="H97" i="21"/>
  <c r="G97" i="21"/>
  <c r="F97" i="21"/>
  <c r="E97" i="21"/>
  <c r="D97" i="21"/>
  <c r="C97" i="21"/>
  <c r="B97" i="21"/>
  <c r="A97" i="21"/>
  <c r="BG96" i="21"/>
  <c r="BE96" i="21"/>
  <c r="BF96" i="21" s="1"/>
  <c r="AW96" i="21"/>
  <c r="AX96" i="21" s="1"/>
  <c r="AU96" i="21"/>
  <c r="AV96" i="21" s="1"/>
  <c r="AS96" i="21"/>
  <c r="AT96" i="21" s="1"/>
  <c r="AQ96" i="21"/>
  <c r="AR96" i="21" s="1"/>
  <c r="AO96" i="21"/>
  <c r="AM96" i="21"/>
  <c r="AK96" i="21"/>
  <c r="AL96" i="21" s="1"/>
  <c r="AG96" i="21"/>
  <c r="AE96" i="21"/>
  <c r="AF96" i="21" s="1"/>
  <c r="AC96" i="21"/>
  <c r="AD96" i="21" s="1"/>
  <c r="AA96" i="21"/>
  <c r="W96" i="21"/>
  <c r="X96" i="21" s="1"/>
  <c r="U96" i="21"/>
  <c r="V96" i="21" s="1"/>
  <c r="S96" i="21"/>
  <c r="Q96" i="21"/>
  <c r="R96" i="21" s="1"/>
  <c r="P96" i="21"/>
  <c r="O96" i="21"/>
  <c r="N96" i="21"/>
  <c r="M96" i="21"/>
  <c r="L96" i="21"/>
  <c r="K96" i="21"/>
  <c r="J96" i="21"/>
  <c r="I96" i="21"/>
  <c r="H96" i="21"/>
  <c r="G96" i="21"/>
  <c r="F96" i="21"/>
  <c r="E96" i="21"/>
  <c r="D96" i="21"/>
  <c r="C96" i="21"/>
  <c r="B96" i="21"/>
  <c r="A96" i="21"/>
  <c r="BG95" i="21"/>
  <c r="BE95" i="21"/>
  <c r="BF95" i="21" s="1"/>
  <c r="AW95" i="21"/>
  <c r="AX95" i="21" s="1"/>
  <c r="AU95" i="21"/>
  <c r="AV95" i="21" s="1"/>
  <c r="AS95" i="21"/>
  <c r="AQ95" i="21"/>
  <c r="AO95" i="21"/>
  <c r="AP95" i="21" s="1"/>
  <c r="AM95" i="21"/>
  <c r="AK95" i="21"/>
  <c r="AL95" i="21" s="1"/>
  <c r="AG95" i="21"/>
  <c r="AH95" i="21" s="1"/>
  <c r="AE95" i="21"/>
  <c r="AF95" i="21" s="1"/>
  <c r="AC95" i="21"/>
  <c r="AD95" i="21" s="1"/>
  <c r="AA95" i="21"/>
  <c r="AB95" i="21" s="1"/>
  <c r="W95" i="21"/>
  <c r="X95" i="21" s="1"/>
  <c r="U95" i="21"/>
  <c r="V95" i="21" s="1"/>
  <c r="S95" i="21"/>
  <c r="Q95" i="21"/>
  <c r="R95" i="21" s="1"/>
  <c r="P95" i="21"/>
  <c r="O95" i="21"/>
  <c r="N95" i="21"/>
  <c r="M95" i="21"/>
  <c r="L95" i="21"/>
  <c r="K95" i="21"/>
  <c r="J95" i="21"/>
  <c r="I95" i="21"/>
  <c r="H95" i="21"/>
  <c r="G95" i="21"/>
  <c r="F95" i="21"/>
  <c r="E95" i="21"/>
  <c r="D95" i="21"/>
  <c r="C95" i="21"/>
  <c r="B95" i="21"/>
  <c r="A95" i="21"/>
  <c r="BG94" i="21"/>
  <c r="BH94" i="21" s="1"/>
  <c r="BE94" i="21"/>
  <c r="BF94" i="21" s="1"/>
  <c r="AW94" i="21"/>
  <c r="AU94" i="21"/>
  <c r="AV94" i="21" s="1"/>
  <c r="AS94" i="21"/>
  <c r="AT94" i="21" s="1"/>
  <c r="AQ94" i="21"/>
  <c r="AO94" i="21"/>
  <c r="AP94" i="21" s="1"/>
  <c r="AM94" i="21"/>
  <c r="AN94" i="21" s="1"/>
  <c r="AK94" i="21"/>
  <c r="AL94" i="21" s="1"/>
  <c r="AG94" i="21"/>
  <c r="AH94" i="21" s="1"/>
  <c r="AE94" i="21"/>
  <c r="AF94" i="21" s="1"/>
  <c r="AC94" i="21"/>
  <c r="AD94" i="21" s="1"/>
  <c r="AA94" i="21"/>
  <c r="AB94" i="21" s="1"/>
  <c r="W94" i="21"/>
  <c r="U94" i="21"/>
  <c r="V94" i="21" s="1"/>
  <c r="S94" i="21"/>
  <c r="T94" i="21" s="1"/>
  <c r="Q94" i="21"/>
  <c r="R94" i="21" s="1"/>
  <c r="P94" i="21"/>
  <c r="O94" i="21"/>
  <c r="N94" i="21"/>
  <c r="M94" i="21"/>
  <c r="L94" i="21"/>
  <c r="K94" i="21"/>
  <c r="J94" i="21"/>
  <c r="I94" i="21"/>
  <c r="H94" i="21"/>
  <c r="G94" i="21"/>
  <c r="F94" i="21"/>
  <c r="E94" i="21"/>
  <c r="D94" i="21"/>
  <c r="C94" i="21"/>
  <c r="B94" i="21"/>
  <c r="A94" i="21"/>
  <c r="BG93" i="21"/>
  <c r="BH93" i="21" s="1"/>
  <c r="BE93" i="21"/>
  <c r="AW93" i="21"/>
  <c r="AX93" i="21" s="1"/>
  <c r="AU93" i="21"/>
  <c r="AS93" i="21"/>
  <c r="AT93" i="21" s="1"/>
  <c r="AQ93" i="21"/>
  <c r="AR93" i="21" s="1"/>
  <c r="AO93" i="21"/>
  <c r="AP93" i="21" s="1"/>
  <c r="AM93" i="21"/>
  <c r="AN93" i="21" s="1"/>
  <c r="AK93" i="21"/>
  <c r="AL93" i="21" s="1"/>
  <c r="AG93" i="21"/>
  <c r="AH93" i="21" s="1"/>
  <c r="AE93" i="21"/>
  <c r="AF93" i="21" s="1"/>
  <c r="AC93" i="21"/>
  <c r="AA93" i="21"/>
  <c r="AB93" i="21" s="1"/>
  <c r="W93" i="21"/>
  <c r="X93" i="21" s="1"/>
  <c r="U93" i="21"/>
  <c r="V93" i="21" s="1"/>
  <c r="S93" i="21"/>
  <c r="T93" i="21" s="1"/>
  <c r="Q93" i="21"/>
  <c r="P93" i="21"/>
  <c r="O93" i="21"/>
  <c r="N93" i="21"/>
  <c r="M93" i="21"/>
  <c r="L93" i="21"/>
  <c r="K93" i="21"/>
  <c r="J93" i="21"/>
  <c r="I93" i="21"/>
  <c r="H93" i="21"/>
  <c r="G93" i="21"/>
  <c r="F93" i="21"/>
  <c r="E93" i="21"/>
  <c r="D93" i="21"/>
  <c r="C93" i="21"/>
  <c r="B93" i="21"/>
  <c r="A93" i="21"/>
  <c r="BG92" i="21"/>
  <c r="BH92" i="21" s="1"/>
  <c r="BE92" i="21"/>
  <c r="BF92" i="21" s="1"/>
  <c r="AW92" i="21"/>
  <c r="AX92" i="21" s="1"/>
  <c r="AU92" i="21"/>
  <c r="AV92" i="21" s="1"/>
  <c r="AS92" i="21"/>
  <c r="AT92" i="21" s="1"/>
  <c r="AQ92" i="21"/>
  <c r="AR92" i="21" s="1"/>
  <c r="AO92" i="21"/>
  <c r="AP92" i="21" s="1"/>
  <c r="AM92" i="21"/>
  <c r="AN92" i="21" s="1"/>
  <c r="AK92" i="21"/>
  <c r="AL92" i="21" s="1"/>
  <c r="AG92" i="21"/>
  <c r="AE92" i="21"/>
  <c r="AF92" i="21" s="1"/>
  <c r="AC92" i="21"/>
  <c r="AD92" i="21" s="1"/>
  <c r="AA92" i="21"/>
  <c r="AB92" i="21" s="1"/>
  <c r="W92" i="21"/>
  <c r="X92" i="21" s="1"/>
  <c r="U92" i="21"/>
  <c r="S92" i="21"/>
  <c r="T92" i="21" s="1"/>
  <c r="Q92" i="21"/>
  <c r="R92" i="21" s="1"/>
  <c r="P92" i="21"/>
  <c r="O92" i="21"/>
  <c r="N92" i="21"/>
  <c r="M92" i="21"/>
  <c r="L92" i="21"/>
  <c r="K92" i="21"/>
  <c r="J92" i="21"/>
  <c r="I92" i="21"/>
  <c r="H92" i="21"/>
  <c r="G92" i="21"/>
  <c r="F92" i="21"/>
  <c r="E92" i="21"/>
  <c r="D92" i="21"/>
  <c r="C92" i="21"/>
  <c r="B92" i="21"/>
  <c r="A92" i="21"/>
  <c r="BG91" i="21"/>
  <c r="BE91" i="21"/>
  <c r="BF91" i="21" s="1"/>
  <c r="AW91" i="21"/>
  <c r="AX91" i="21" s="1"/>
  <c r="AU91" i="21"/>
  <c r="AV91" i="21" s="1"/>
  <c r="AS91" i="21"/>
  <c r="AT91" i="21" s="1"/>
  <c r="AQ91" i="21"/>
  <c r="AR91" i="21" s="1"/>
  <c r="AO91" i="21"/>
  <c r="AP91" i="21" s="1"/>
  <c r="AM91" i="21"/>
  <c r="AK91" i="21"/>
  <c r="AL91" i="21" s="1"/>
  <c r="AG91" i="21"/>
  <c r="AH91" i="21" s="1"/>
  <c r="AE91" i="21"/>
  <c r="AF91" i="21" s="1"/>
  <c r="AC91" i="21"/>
  <c r="AD91" i="21" s="1"/>
  <c r="AA91" i="21"/>
  <c r="W91" i="21"/>
  <c r="X91" i="21" s="1"/>
  <c r="U91" i="21"/>
  <c r="V91" i="21" s="1"/>
  <c r="S91" i="21"/>
  <c r="Q91" i="21"/>
  <c r="R91" i="21" s="1"/>
  <c r="P91" i="21"/>
  <c r="O91" i="21"/>
  <c r="N91" i="21"/>
  <c r="M91" i="21"/>
  <c r="L91" i="21"/>
  <c r="K91" i="21"/>
  <c r="J91" i="21"/>
  <c r="I91" i="21"/>
  <c r="H91" i="21"/>
  <c r="G91" i="21"/>
  <c r="F91" i="21"/>
  <c r="E91" i="21"/>
  <c r="D91" i="21"/>
  <c r="C91" i="21"/>
  <c r="B91" i="21"/>
  <c r="A91" i="21"/>
  <c r="BG90" i="21"/>
  <c r="BH90" i="21" s="1"/>
  <c r="BE90" i="21"/>
  <c r="BF90" i="21" s="1"/>
  <c r="AW90" i="21"/>
  <c r="AX90" i="21" s="1"/>
  <c r="AU90" i="21"/>
  <c r="AV90" i="21" s="1"/>
  <c r="AS90" i="21"/>
  <c r="AT90" i="21" s="1"/>
  <c r="AQ90" i="21"/>
  <c r="AO90" i="21"/>
  <c r="AP90" i="21" s="1"/>
  <c r="AM90" i="21"/>
  <c r="AN90" i="21" s="1"/>
  <c r="AK90" i="21"/>
  <c r="AL90" i="21" s="1"/>
  <c r="AG90" i="21"/>
  <c r="AH90" i="21" s="1"/>
  <c r="AE90" i="21"/>
  <c r="AC90" i="21"/>
  <c r="AD90" i="21" s="1"/>
  <c r="AA90" i="21"/>
  <c r="AB90" i="21" s="1"/>
  <c r="W90" i="21"/>
  <c r="U90" i="21"/>
  <c r="V90" i="21" s="1"/>
  <c r="S90" i="21"/>
  <c r="T90" i="21" s="1"/>
  <c r="Q90" i="21"/>
  <c r="R90" i="21" s="1"/>
  <c r="P90" i="21"/>
  <c r="O90" i="21"/>
  <c r="N90" i="21"/>
  <c r="M90" i="21"/>
  <c r="L90" i="21"/>
  <c r="K90" i="21"/>
  <c r="J90" i="21"/>
  <c r="I90" i="21"/>
  <c r="H90" i="21"/>
  <c r="G90" i="21"/>
  <c r="F90" i="21"/>
  <c r="E90" i="21"/>
  <c r="D90" i="21"/>
  <c r="C90" i="21"/>
  <c r="B90" i="21"/>
  <c r="A90" i="21"/>
  <c r="BG89" i="21"/>
  <c r="BH89" i="21" s="1"/>
  <c r="BE89" i="21"/>
  <c r="BF89" i="21" s="1"/>
  <c r="AW89" i="21"/>
  <c r="AX89" i="21" s="1"/>
  <c r="AU89" i="21"/>
  <c r="AS89" i="21"/>
  <c r="AT89" i="21" s="1"/>
  <c r="AQ89" i="21"/>
  <c r="AR89" i="21" s="1"/>
  <c r="AO89" i="21"/>
  <c r="AP89" i="21" s="1"/>
  <c r="AM89" i="21"/>
  <c r="AN89" i="21" s="1"/>
  <c r="AK89" i="21"/>
  <c r="AG89" i="21"/>
  <c r="AH89" i="21" s="1"/>
  <c r="AE89" i="21"/>
  <c r="AF89" i="21" s="1"/>
  <c r="AC89" i="21"/>
  <c r="AA89" i="21"/>
  <c r="AB89" i="21" s="1"/>
  <c r="W89" i="21"/>
  <c r="X89" i="21" s="1"/>
  <c r="U89" i="21"/>
  <c r="V89" i="21" s="1"/>
  <c r="S89" i="21"/>
  <c r="T89" i="21" s="1"/>
  <c r="Q89" i="21"/>
  <c r="R89" i="21" s="1"/>
  <c r="P89" i="21"/>
  <c r="O89" i="21"/>
  <c r="N89" i="21"/>
  <c r="M89" i="21"/>
  <c r="L89" i="21"/>
  <c r="K89" i="21"/>
  <c r="J89" i="21"/>
  <c r="I89" i="21"/>
  <c r="H89" i="21"/>
  <c r="G89" i="21"/>
  <c r="F89" i="21"/>
  <c r="E89" i="21"/>
  <c r="D89" i="21"/>
  <c r="C89" i="21"/>
  <c r="B89" i="21"/>
  <c r="A89" i="21"/>
  <c r="BG88" i="21"/>
  <c r="BH88" i="21" s="1"/>
  <c r="BE88" i="21"/>
  <c r="BF88" i="21" s="1"/>
  <c r="AW88" i="21"/>
  <c r="AU88" i="21"/>
  <c r="AV88" i="21" s="1"/>
  <c r="AS88" i="21"/>
  <c r="AT88" i="21" s="1"/>
  <c r="AQ88" i="21"/>
  <c r="AR88" i="21" s="1"/>
  <c r="AO88" i="21"/>
  <c r="AM88" i="21"/>
  <c r="AN88" i="21" s="1"/>
  <c r="AK88" i="21"/>
  <c r="AL88" i="21" s="1"/>
  <c r="AG88" i="21"/>
  <c r="AE88" i="21"/>
  <c r="AF88" i="21" s="1"/>
  <c r="AC88" i="21"/>
  <c r="AD88" i="21" s="1"/>
  <c r="AA88" i="21"/>
  <c r="AB88" i="21" s="1"/>
  <c r="W88" i="21"/>
  <c r="X88" i="21" s="1"/>
  <c r="U88" i="21"/>
  <c r="V88" i="21" s="1"/>
  <c r="S88" i="21"/>
  <c r="T88" i="21" s="1"/>
  <c r="Q88" i="21"/>
  <c r="R88" i="21" s="1"/>
  <c r="P88" i="21"/>
  <c r="O88" i="21"/>
  <c r="N88" i="21"/>
  <c r="M88" i="21"/>
  <c r="L88" i="21"/>
  <c r="K88" i="21"/>
  <c r="J88" i="21"/>
  <c r="I88" i="21"/>
  <c r="H88" i="21"/>
  <c r="G88" i="21"/>
  <c r="F88" i="21"/>
  <c r="E88" i="21"/>
  <c r="D88" i="21"/>
  <c r="C88" i="21"/>
  <c r="B88" i="21"/>
  <c r="A88" i="21"/>
  <c r="BG87" i="21"/>
  <c r="BE87" i="21"/>
  <c r="BF87" i="21" s="1"/>
  <c r="AW87" i="21"/>
  <c r="AX87" i="21" s="1"/>
  <c r="AU87" i="21"/>
  <c r="AV87" i="21" s="1"/>
  <c r="AS87" i="21"/>
  <c r="AQ87" i="21"/>
  <c r="AR87" i="21" s="1"/>
  <c r="AO87" i="21"/>
  <c r="AP87" i="21" s="1"/>
  <c r="AM87" i="21"/>
  <c r="AK87" i="21"/>
  <c r="AL87" i="21" s="1"/>
  <c r="AG87" i="21"/>
  <c r="AH87" i="21" s="1"/>
  <c r="AE87" i="21"/>
  <c r="AF87" i="21" s="1"/>
  <c r="AC87" i="21"/>
  <c r="AD87" i="21" s="1"/>
  <c r="AA87" i="21"/>
  <c r="AB87" i="21" s="1"/>
  <c r="W87" i="21"/>
  <c r="X87" i="21" s="1"/>
  <c r="U87" i="21"/>
  <c r="V87" i="21" s="1"/>
  <c r="S87" i="21"/>
  <c r="Q87" i="21"/>
  <c r="R87" i="21" s="1"/>
  <c r="P87" i="21"/>
  <c r="O87" i="21"/>
  <c r="N87" i="21"/>
  <c r="M87" i="21"/>
  <c r="L87" i="21"/>
  <c r="K87" i="21"/>
  <c r="J87" i="21"/>
  <c r="I87" i="21"/>
  <c r="H87" i="21"/>
  <c r="G87" i="21"/>
  <c r="F87" i="21"/>
  <c r="E87" i="21"/>
  <c r="D87" i="21"/>
  <c r="C87" i="21"/>
  <c r="B87" i="21"/>
  <c r="A87" i="21"/>
  <c r="BG86" i="21"/>
  <c r="BH86" i="21" s="1"/>
  <c r="BE86" i="21"/>
  <c r="BF86" i="21" s="1"/>
  <c r="AW86" i="21"/>
  <c r="AU86" i="21"/>
  <c r="AV86" i="21" s="1"/>
  <c r="AS86" i="21"/>
  <c r="AT86" i="21" s="1"/>
  <c r="AQ86" i="21"/>
  <c r="AO86" i="21"/>
  <c r="AP86" i="21" s="1"/>
  <c r="AM86" i="21"/>
  <c r="AN86" i="21" s="1"/>
  <c r="AK86" i="21"/>
  <c r="AL86" i="21" s="1"/>
  <c r="AG86" i="21"/>
  <c r="AH86" i="21" s="1"/>
  <c r="AE86" i="21"/>
  <c r="AF86" i="21" s="1"/>
  <c r="AC86" i="21"/>
  <c r="AD86" i="21" s="1"/>
  <c r="AA86" i="21"/>
  <c r="AB86" i="21" s="1"/>
  <c r="W86" i="21"/>
  <c r="U86" i="21"/>
  <c r="V86" i="21" s="1"/>
  <c r="S86" i="21"/>
  <c r="T86" i="21" s="1"/>
  <c r="Q86" i="21"/>
  <c r="R86" i="21" s="1"/>
  <c r="P86" i="21"/>
  <c r="O86" i="21"/>
  <c r="N86" i="21"/>
  <c r="M86" i="21"/>
  <c r="L86" i="21"/>
  <c r="K86" i="21"/>
  <c r="J86" i="21"/>
  <c r="I86" i="21"/>
  <c r="H86" i="21"/>
  <c r="G86" i="21"/>
  <c r="F86" i="21"/>
  <c r="E86" i="21"/>
  <c r="D86" i="21"/>
  <c r="C86" i="21"/>
  <c r="B86" i="21"/>
  <c r="A86" i="21"/>
  <c r="BG85" i="21"/>
  <c r="BH85" i="21" s="1"/>
  <c r="BE85" i="21"/>
  <c r="AW85" i="21"/>
  <c r="AX85" i="21" s="1"/>
  <c r="AU85" i="21"/>
  <c r="AS85" i="21"/>
  <c r="AT85" i="21" s="1"/>
  <c r="AQ85" i="21"/>
  <c r="AR85" i="21" s="1"/>
  <c r="AO85" i="21"/>
  <c r="AP85" i="21" s="1"/>
  <c r="AM85" i="21"/>
  <c r="AN85" i="21" s="1"/>
  <c r="AK85" i="21"/>
  <c r="AL85" i="21" s="1"/>
  <c r="AG85" i="21"/>
  <c r="AH85" i="21" s="1"/>
  <c r="AE85" i="21"/>
  <c r="AF85" i="21" s="1"/>
  <c r="AC85" i="21"/>
  <c r="AA85" i="21"/>
  <c r="AB85" i="21" s="1"/>
  <c r="W85" i="21"/>
  <c r="X85" i="21" s="1"/>
  <c r="U85" i="21"/>
  <c r="V85" i="21" s="1"/>
  <c r="S85" i="21"/>
  <c r="T85" i="21" s="1"/>
  <c r="Q85" i="21"/>
  <c r="P85" i="21"/>
  <c r="O85" i="21"/>
  <c r="N85" i="21"/>
  <c r="M85" i="21"/>
  <c r="L85" i="21"/>
  <c r="K85" i="21"/>
  <c r="J85" i="21"/>
  <c r="I85" i="21"/>
  <c r="H85" i="21"/>
  <c r="G85" i="21"/>
  <c r="F85" i="21"/>
  <c r="E85" i="21"/>
  <c r="D85" i="21"/>
  <c r="C85" i="21"/>
  <c r="B85" i="21"/>
  <c r="A85" i="21"/>
  <c r="BG84" i="21"/>
  <c r="BH84" i="21" s="1"/>
  <c r="BE84" i="21"/>
  <c r="BF84" i="21" s="1"/>
  <c r="AW84" i="21"/>
  <c r="AX84" i="21" s="1"/>
  <c r="AU84" i="21"/>
  <c r="AV84" i="21" s="1"/>
  <c r="AS84" i="21"/>
  <c r="AT84" i="21" s="1"/>
  <c r="AQ84" i="21"/>
  <c r="AR84" i="21" s="1"/>
  <c r="AO84" i="21"/>
  <c r="AP84" i="21" s="1"/>
  <c r="AM84" i="21"/>
  <c r="AN84" i="21" s="1"/>
  <c r="AK84" i="21"/>
  <c r="AL84" i="21" s="1"/>
  <c r="AG84" i="21"/>
  <c r="AE84" i="21"/>
  <c r="AF84" i="21" s="1"/>
  <c r="AC84" i="21"/>
  <c r="AD84" i="21" s="1"/>
  <c r="AA84" i="21"/>
  <c r="AB84" i="21" s="1"/>
  <c r="W84" i="21"/>
  <c r="X84" i="21" s="1"/>
  <c r="U84" i="21"/>
  <c r="S84" i="21"/>
  <c r="T84" i="21" s="1"/>
  <c r="Q84" i="21"/>
  <c r="R84" i="21" s="1"/>
  <c r="P84" i="21"/>
  <c r="O84" i="21"/>
  <c r="N84" i="21"/>
  <c r="M84" i="21"/>
  <c r="L84" i="21"/>
  <c r="K84" i="21"/>
  <c r="J84" i="21"/>
  <c r="I84" i="21"/>
  <c r="H84" i="21"/>
  <c r="G84" i="21"/>
  <c r="F84" i="21"/>
  <c r="E84" i="21"/>
  <c r="D84" i="21"/>
  <c r="C84" i="21"/>
  <c r="B84" i="21"/>
  <c r="A84" i="21"/>
  <c r="BG83" i="21"/>
  <c r="BE83" i="21"/>
  <c r="BF83" i="21" s="1"/>
  <c r="AW83" i="21"/>
  <c r="AX83" i="21" s="1"/>
  <c r="AU83" i="21"/>
  <c r="AV83" i="21" s="1"/>
  <c r="AS83" i="21"/>
  <c r="AT83" i="21" s="1"/>
  <c r="AQ83" i="21"/>
  <c r="AR83" i="21" s="1"/>
  <c r="AO83" i="21"/>
  <c r="AP83" i="21" s="1"/>
  <c r="AM83" i="21"/>
  <c r="AK83" i="21"/>
  <c r="AL83" i="21" s="1"/>
  <c r="AG83" i="21"/>
  <c r="AH83" i="21" s="1"/>
  <c r="AE83" i="21"/>
  <c r="AF83" i="21" s="1"/>
  <c r="AC83" i="21"/>
  <c r="AD83" i="21" s="1"/>
  <c r="AA83" i="21"/>
  <c r="W83" i="21"/>
  <c r="X83" i="21" s="1"/>
  <c r="U83" i="21"/>
  <c r="V83" i="21" s="1"/>
  <c r="S83" i="21"/>
  <c r="Q83" i="21"/>
  <c r="R83" i="21" s="1"/>
  <c r="P83" i="21"/>
  <c r="O83" i="21"/>
  <c r="N83" i="21"/>
  <c r="M83" i="21"/>
  <c r="L83" i="21"/>
  <c r="K83" i="21"/>
  <c r="J83" i="21"/>
  <c r="I83" i="21"/>
  <c r="H83" i="21"/>
  <c r="G83" i="21"/>
  <c r="F83" i="21"/>
  <c r="E83" i="21"/>
  <c r="D83" i="21"/>
  <c r="C83" i="21"/>
  <c r="B83" i="21"/>
  <c r="A83" i="21"/>
  <c r="BG82" i="21"/>
  <c r="BH82" i="21" s="1"/>
  <c r="BE82" i="21"/>
  <c r="BF82" i="21" s="1"/>
  <c r="AW82" i="21"/>
  <c r="AX82" i="21" s="1"/>
  <c r="AU82" i="21"/>
  <c r="AV82" i="21" s="1"/>
  <c r="AS82" i="21"/>
  <c r="AT82" i="21" s="1"/>
  <c r="AQ82" i="21"/>
  <c r="AO82" i="21"/>
  <c r="AP82" i="21" s="1"/>
  <c r="AM82" i="21"/>
  <c r="AN82" i="21" s="1"/>
  <c r="AK82" i="21"/>
  <c r="AL82" i="21" s="1"/>
  <c r="AG82" i="21"/>
  <c r="AH82" i="21" s="1"/>
  <c r="AE82" i="21"/>
  <c r="AC82" i="21"/>
  <c r="AD82" i="21" s="1"/>
  <c r="AA82" i="21"/>
  <c r="AB82" i="21" s="1"/>
  <c r="W82" i="21"/>
  <c r="U82" i="21"/>
  <c r="V82" i="21" s="1"/>
  <c r="S82" i="21"/>
  <c r="T82" i="21" s="1"/>
  <c r="Q82" i="21"/>
  <c r="R82" i="21" s="1"/>
  <c r="P82" i="21"/>
  <c r="O82" i="21"/>
  <c r="N82" i="21"/>
  <c r="M82" i="21"/>
  <c r="L82" i="21"/>
  <c r="K82" i="21"/>
  <c r="J82" i="21"/>
  <c r="I82" i="21"/>
  <c r="H82" i="21"/>
  <c r="G82" i="21"/>
  <c r="F82" i="21"/>
  <c r="E82" i="21"/>
  <c r="D82" i="21"/>
  <c r="C82" i="21"/>
  <c r="B82" i="21"/>
  <c r="A82" i="21"/>
  <c r="BG81" i="21"/>
  <c r="BH81" i="21" s="1"/>
  <c r="BE81" i="21"/>
  <c r="BF81" i="21" s="1"/>
  <c r="AW81" i="21"/>
  <c r="AX81" i="21" s="1"/>
  <c r="AU81" i="21"/>
  <c r="AS81" i="21"/>
  <c r="AT81" i="21" s="1"/>
  <c r="AQ81" i="21"/>
  <c r="AO81" i="21"/>
  <c r="AP81" i="21" s="1"/>
  <c r="AM81" i="21"/>
  <c r="AN81" i="21" s="1"/>
  <c r="AK81" i="21"/>
  <c r="AG81" i="21"/>
  <c r="AH81" i="21" s="1"/>
  <c r="AE81" i="21"/>
  <c r="AF81" i="21" s="1"/>
  <c r="AC81" i="21"/>
  <c r="AA81" i="21"/>
  <c r="AB81" i="21" s="1"/>
  <c r="W81" i="21"/>
  <c r="X81" i="21" s="1"/>
  <c r="U81" i="21"/>
  <c r="V81" i="21" s="1"/>
  <c r="S81" i="21"/>
  <c r="T81" i="21" s="1"/>
  <c r="Q81" i="21"/>
  <c r="R81" i="21" s="1"/>
  <c r="P81" i="21"/>
  <c r="O81" i="21"/>
  <c r="N81" i="21"/>
  <c r="M81" i="21"/>
  <c r="L81" i="21"/>
  <c r="K81" i="21"/>
  <c r="J81" i="21"/>
  <c r="I81" i="21"/>
  <c r="H81" i="21"/>
  <c r="G81" i="21"/>
  <c r="F81" i="21"/>
  <c r="E81" i="21"/>
  <c r="D81" i="21"/>
  <c r="C81" i="21"/>
  <c r="B81" i="21"/>
  <c r="A81" i="21"/>
  <c r="BG80" i="21"/>
  <c r="BH80" i="21" s="1"/>
  <c r="BE80" i="21"/>
  <c r="BF80" i="21" s="1"/>
  <c r="AW80" i="21"/>
  <c r="AU80" i="21"/>
  <c r="AV80" i="21" s="1"/>
  <c r="AS80" i="21"/>
  <c r="AT80" i="21" s="1"/>
  <c r="AQ80" i="21"/>
  <c r="AR80" i="21" s="1"/>
  <c r="AO80" i="21"/>
  <c r="AM80" i="21"/>
  <c r="AN80" i="21" s="1"/>
  <c r="AK80" i="21"/>
  <c r="AL80" i="21" s="1"/>
  <c r="AG80" i="21"/>
  <c r="AE80" i="21"/>
  <c r="AF80" i="21" s="1"/>
  <c r="AC80" i="21"/>
  <c r="AD80" i="21" s="1"/>
  <c r="AA80" i="21"/>
  <c r="AB80" i="21" s="1"/>
  <c r="W80" i="21"/>
  <c r="X80" i="21" s="1"/>
  <c r="U80" i="21"/>
  <c r="V80" i="21" s="1"/>
  <c r="S80" i="21"/>
  <c r="T80" i="21" s="1"/>
  <c r="Q80" i="21"/>
  <c r="R80" i="21" s="1"/>
  <c r="P80" i="21"/>
  <c r="O80" i="21"/>
  <c r="N80" i="21"/>
  <c r="M80" i="21"/>
  <c r="L80" i="21"/>
  <c r="K80" i="21"/>
  <c r="J80" i="21"/>
  <c r="I80" i="21"/>
  <c r="H80" i="21"/>
  <c r="G80" i="21"/>
  <c r="F80" i="21"/>
  <c r="E80" i="21"/>
  <c r="D80" i="21"/>
  <c r="C80" i="21"/>
  <c r="B80" i="21"/>
  <c r="A80" i="21"/>
  <c r="BG79" i="21"/>
  <c r="BE79" i="21"/>
  <c r="BF79" i="21" s="1"/>
  <c r="AW79" i="21"/>
  <c r="AX79" i="21" s="1"/>
  <c r="AU79" i="21"/>
  <c r="AV79" i="21" s="1"/>
  <c r="AS79" i="21"/>
  <c r="AQ79" i="21"/>
  <c r="AR79" i="21" s="1"/>
  <c r="AO79" i="21"/>
  <c r="AP79" i="21" s="1"/>
  <c r="AM79" i="21"/>
  <c r="AK79" i="21"/>
  <c r="AL79" i="21" s="1"/>
  <c r="AG79" i="21"/>
  <c r="AH79" i="21" s="1"/>
  <c r="AE79" i="21"/>
  <c r="AF79" i="21" s="1"/>
  <c r="AC79" i="21"/>
  <c r="AD79" i="21" s="1"/>
  <c r="AJ79" i="21" s="1"/>
  <c r="AA79" i="21"/>
  <c r="AB79" i="21" s="1"/>
  <c r="W79" i="21"/>
  <c r="X79" i="21" s="1"/>
  <c r="U79" i="21"/>
  <c r="V79" i="21" s="1"/>
  <c r="S79" i="21"/>
  <c r="Q79" i="21"/>
  <c r="R79" i="21" s="1"/>
  <c r="P79" i="21"/>
  <c r="O79" i="21"/>
  <c r="N79" i="21"/>
  <c r="M79" i="21"/>
  <c r="L79" i="21"/>
  <c r="K79" i="21"/>
  <c r="J79" i="21"/>
  <c r="I79" i="21"/>
  <c r="H79" i="21"/>
  <c r="G79" i="21"/>
  <c r="F79" i="21"/>
  <c r="E79" i="21"/>
  <c r="D79" i="21"/>
  <c r="C79" i="21"/>
  <c r="B79" i="21"/>
  <c r="A79" i="21"/>
  <c r="BG78" i="21"/>
  <c r="BH78" i="21" s="1"/>
  <c r="BE78" i="21"/>
  <c r="BF78" i="21" s="1"/>
  <c r="AW78" i="21"/>
  <c r="AU78" i="21"/>
  <c r="AV78" i="21" s="1"/>
  <c r="AS78" i="21"/>
  <c r="AT78" i="21" s="1"/>
  <c r="AQ78" i="21"/>
  <c r="AO78" i="21"/>
  <c r="AP78" i="21" s="1"/>
  <c r="AM78" i="21"/>
  <c r="AN78" i="21" s="1"/>
  <c r="AK78" i="21"/>
  <c r="AL78" i="21" s="1"/>
  <c r="AG78" i="21"/>
  <c r="AH78" i="21" s="1"/>
  <c r="AE78" i="21"/>
  <c r="AF78" i="21" s="1"/>
  <c r="AC78" i="21"/>
  <c r="AD78" i="21" s="1"/>
  <c r="AA78" i="21"/>
  <c r="W78" i="21"/>
  <c r="U78" i="21"/>
  <c r="V78" i="21" s="1"/>
  <c r="S78" i="21"/>
  <c r="Q78" i="21"/>
  <c r="R78" i="21" s="1"/>
  <c r="P78" i="21"/>
  <c r="O78" i="21"/>
  <c r="N78" i="21"/>
  <c r="M78" i="21"/>
  <c r="L78" i="21"/>
  <c r="K78" i="21"/>
  <c r="J78" i="21"/>
  <c r="I78" i="21"/>
  <c r="H78" i="21"/>
  <c r="G78" i="21"/>
  <c r="F78" i="21"/>
  <c r="E78" i="21"/>
  <c r="D78" i="21"/>
  <c r="C78" i="21"/>
  <c r="B78" i="21"/>
  <c r="A78" i="21"/>
  <c r="BG77" i="21"/>
  <c r="BH77" i="21" s="1"/>
  <c r="BE77" i="21"/>
  <c r="AW77" i="21"/>
  <c r="AX77" i="21" s="1"/>
  <c r="AU77" i="21"/>
  <c r="AS77" i="21"/>
  <c r="AT77" i="21" s="1"/>
  <c r="AQ77" i="21"/>
  <c r="AR77" i="21" s="1"/>
  <c r="AO77" i="21"/>
  <c r="AP77" i="21" s="1"/>
  <c r="AM77" i="21"/>
  <c r="AN77" i="21" s="1"/>
  <c r="AK77" i="21"/>
  <c r="AL77" i="21" s="1"/>
  <c r="AG77" i="21"/>
  <c r="AH77" i="21" s="1"/>
  <c r="AE77" i="21"/>
  <c r="AF77" i="21" s="1"/>
  <c r="AC77" i="21"/>
  <c r="AA77" i="21"/>
  <c r="AB77" i="21" s="1"/>
  <c r="W77" i="21"/>
  <c r="X77" i="21" s="1"/>
  <c r="U77" i="21"/>
  <c r="V77" i="21" s="1"/>
  <c r="S77" i="21"/>
  <c r="T77" i="21" s="1"/>
  <c r="Q77" i="21"/>
  <c r="P77" i="21"/>
  <c r="O77" i="21"/>
  <c r="N77" i="21"/>
  <c r="M77" i="21"/>
  <c r="L77" i="21"/>
  <c r="K77" i="21"/>
  <c r="J77" i="21"/>
  <c r="I77" i="21"/>
  <c r="H77" i="21"/>
  <c r="G77" i="21"/>
  <c r="F77" i="21"/>
  <c r="E77" i="21"/>
  <c r="D77" i="21"/>
  <c r="C77" i="21"/>
  <c r="B77" i="21"/>
  <c r="A77" i="21"/>
  <c r="BG76" i="21"/>
  <c r="BH76" i="21" s="1"/>
  <c r="BE76" i="21"/>
  <c r="BF76" i="21" s="1"/>
  <c r="AW76" i="21"/>
  <c r="AX76" i="21" s="1"/>
  <c r="AU76" i="21"/>
  <c r="AV76" i="21" s="1"/>
  <c r="AS76" i="21"/>
  <c r="AT76" i="21" s="1"/>
  <c r="AQ76" i="21"/>
  <c r="AR76" i="21" s="1"/>
  <c r="AO76" i="21"/>
  <c r="AP76" i="21" s="1"/>
  <c r="AM76" i="21"/>
  <c r="AN76" i="21" s="1"/>
  <c r="AK76" i="21"/>
  <c r="AL76" i="21" s="1"/>
  <c r="AG76" i="21"/>
  <c r="AE76" i="21"/>
  <c r="AF76" i="21" s="1"/>
  <c r="AC76" i="21"/>
  <c r="AD76" i="21" s="1"/>
  <c r="AA76" i="21"/>
  <c r="AB76" i="21" s="1"/>
  <c r="W76" i="21"/>
  <c r="X76" i="21" s="1"/>
  <c r="U76" i="21"/>
  <c r="S76" i="21"/>
  <c r="T76" i="21" s="1"/>
  <c r="Q76" i="21"/>
  <c r="R76" i="21" s="1"/>
  <c r="P76" i="21"/>
  <c r="O76" i="21"/>
  <c r="N76" i="21"/>
  <c r="M76" i="21"/>
  <c r="L76" i="21"/>
  <c r="K76" i="21"/>
  <c r="J76" i="21"/>
  <c r="I76" i="21"/>
  <c r="H76" i="21"/>
  <c r="G76" i="21"/>
  <c r="F76" i="21"/>
  <c r="E76" i="21"/>
  <c r="D76" i="21"/>
  <c r="C76" i="21"/>
  <c r="B76" i="21"/>
  <c r="A76" i="21"/>
  <c r="BG75" i="21"/>
  <c r="BE75" i="21"/>
  <c r="BF75" i="21" s="1"/>
  <c r="AW75" i="21"/>
  <c r="AX75" i="21" s="1"/>
  <c r="AU75" i="21"/>
  <c r="AV75" i="21" s="1"/>
  <c r="AS75" i="21"/>
  <c r="AT75" i="21" s="1"/>
  <c r="AQ75" i="21"/>
  <c r="AR75" i="21" s="1"/>
  <c r="AO75" i="21"/>
  <c r="AP75" i="21" s="1"/>
  <c r="AM75" i="21"/>
  <c r="AK75" i="21"/>
  <c r="AL75" i="21" s="1"/>
  <c r="AG75" i="21"/>
  <c r="AH75" i="21" s="1"/>
  <c r="AE75" i="21"/>
  <c r="AF75" i="21" s="1"/>
  <c r="AC75" i="21"/>
  <c r="AD75" i="21" s="1"/>
  <c r="AA75" i="21"/>
  <c r="W75" i="21"/>
  <c r="X75" i="21" s="1"/>
  <c r="U75" i="21"/>
  <c r="V75" i="21" s="1"/>
  <c r="S75" i="21"/>
  <c r="Q75" i="21"/>
  <c r="R75" i="21" s="1"/>
  <c r="P75" i="21"/>
  <c r="O75" i="21"/>
  <c r="N75" i="21"/>
  <c r="M75" i="21"/>
  <c r="L75" i="21"/>
  <c r="K75" i="21"/>
  <c r="J75" i="21"/>
  <c r="I75" i="21"/>
  <c r="H75" i="21"/>
  <c r="G75" i="21"/>
  <c r="F75" i="21"/>
  <c r="E75" i="21"/>
  <c r="D75" i="21"/>
  <c r="C75" i="21"/>
  <c r="B75" i="21"/>
  <c r="A75" i="21"/>
  <c r="BG74" i="21"/>
  <c r="BH74" i="21" s="1"/>
  <c r="BE74" i="21"/>
  <c r="BF74" i="21" s="1"/>
  <c r="AW74" i="21"/>
  <c r="AX74" i="21" s="1"/>
  <c r="AU74" i="21"/>
  <c r="AV74" i="21" s="1"/>
  <c r="AS74" i="21"/>
  <c r="AT74" i="21" s="1"/>
  <c r="AQ74" i="21"/>
  <c r="AO74" i="21"/>
  <c r="AP74" i="21" s="1"/>
  <c r="AM74" i="21"/>
  <c r="AK74" i="21"/>
  <c r="AL74" i="21" s="1"/>
  <c r="AG74" i="21"/>
  <c r="AH74" i="21" s="1"/>
  <c r="AE74" i="21"/>
  <c r="AC74" i="21"/>
  <c r="AD74" i="21" s="1"/>
  <c r="AA74" i="21"/>
  <c r="AB74" i="21" s="1"/>
  <c r="W74" i="21"/>
  <c r="U74" i="21"/>
  <c r="V74" i="21" s="1"/>
  <c r="S74" i="21"/>
  <c r="T74" i="21" s="1"/>
  <c r="Q74" i="21"/>
  <c r="R74" i="21" s="1"/>
  <c r="P74" i="21"/>
  <c r="O74" i="21"/>
  <c r="N74" i="21"/>
  <c r="M74" i="21"/>
  <c r="L74" i="21"/>
  <c r="K74" i="21"/>
  <c r="J74" i="21"/>
  <c r="I74" i="21"/>
  <c r="H74" i="21"/>
  <c r="G74" i="21"/>
  <c r="F74" i="21"/>
  <c r="E74" i="21"/>
  <c r="D74" i="21"/>
  <c r="C74" i="21"/>
  <c r="B74" i="21"/>
  <c r="A74" i="21"/>
  <c r="BG73" i="21"/>
  <c r="BH73" i="21" s="1"/>
  <c r="BE73" i="21"/>
  <c r="BF73" i="21" s="1"/>
  <c r="AW73" i="21"/>
  <c r="AX73" i="21" s="1"/>
  <c r="AU73" i="21"/>
  <c r="AS73" i="21"/>
  <c r="AT73" i="21" s="1"/>
  <c r="AQ73" i="21"/>
  <c r="AR73" i="21" s="1"/>
  <c r="AO73" i="21"/>
  <c r="AP73" i="21" s="1"/>
  <c r="AM73" i="21"/>
  <c r="AN73" i="21" s="1"/>
  <c r="AK73" i="21"/>
  <c r="AG73" i="21"/>
  <c r="AH73" i="21" s="1"/>
  <c r="AE73" i="21"/>
  <c r="AF73" i="21" s="1"/>
  <c r="AC73" i="21"/>
  <c r="AA73" i="21"/>
  <c r="AB73" i="21" s="1"/>
  <c r="W73" i="21"/>
  <c r="X73" i="21" s="1"/>
  <c r="U73" i="21"/>
  <c r="V73" i="21" s="1"/>
  <c r="S73" i="21"/>
  <c r="T73" i="21" s="1"/>
  <c r="Q73" i="21"/>
  <c r="R73" i="21" s="1"/>
  <c r="P73" i="21"/>
  <c r="O73" i="21"/>
  <c r="N73" i="21"/>
  <c r="M73" i="21"/>
  <c r="L73" i="21"/>
  <c r="K73" i="21"/>
  <c r="J73" i="21"/>
  <c r="I73" i="21"/>
  <c r="H73" i="21"/>
  <c r="G73" i="21"/>
  <c r="F73" i="21"/>
  <c r="E73" i="21"/>
  <c r="D73" i="21"/>
  <c r="C73" i="21"/>
  <c r="B73" i="21"/>
  <c r="A73" i="21"/>
  <c r="BG72" i="21"/>
  <c r="BH72" i="21" s="1"/>
  <c r="BE72" i="21"/>
  <c r="BF72" i="21" s="1"/>
  <c r="AW72" i="21"/>
  <c r="AX72" i="21" s="1"/>
  <c r="AU72" i="21"/>
  <c r="AV72" i="21" s="1"/>
  <c r="AS72" i="21"/>
  <c r="AT72" i="21" s="1"/>
  <c r="AQ72" i="21"/>
  <c r="AR72" i="21" s="1"/>
  <c r="AO72" i="21"/>
  <c r="AM72" i="21"/>
  <c r="AN72" i="21" s="1"/>
  <c r="AK72" i="21"/>
  <c r="AL72" i="21" s="1"/>
  <c r="AG72" i="21"/>
  <c r="AE72" i="21"/>
  <c r="AF72" i="21" s="1"/>
  <c r="AC72" i="21"/>
  <c r="AD72" i="21" s="1"/>
  <c r="AA72" i="21"/>
  <c r="AB72" i="21" s="1"/>
  <c r="W72" i="21"/>
  <c r="X72" i="21" s="1"/>
  <c r="U72" i="21"/>
  <c r="S72" i="21"/>
  <c r="T72" i="21" s="1"/>
  <c r="Q72" i="21"/>
  <c r="R72" i="21" s="1"/>
  <c r="P72" i="21"/>
  <c r="O72" i="21"/>
  <c r="N72" i="21"/>
  <c r="M72" i="21"/>
  <c r="L72" i="21"/>
  <c r="K72" i="21"/>
  <c r="J72" i="21"/>
  <c r="I72" i="21"/>
  <c r="H72" i="21"/>
  <c r="G72" i="21"/>
  <c r="F72" i="21"/>
  <c r="E72" i="21"/>
  <c r="D72" i="21"/>
  <c r="C72" i="21"/>
  <c r="B72" i="21"/>
  <c r="A72" i="21"/>
  <c r="BG71" i="21"/>
  <c r="BE71" i="21"/>
  <c r="BF71" i="21" s="1"/>
  <c r="AW71" i="21"/>
  <c r="AX71" i="21" s="1"/>
  <c r="AU71" i="21"/>
  <c r="AV71" i="21" s="1"/>
  <c r="AS71" i="21"/>
  <c r="AQ71" i="21"/>
  <c r="AR71" i="21" s="1"/>
  <c r="AO71" i="21"/>
  <c r="AP71" i="21" s="1"/>
  <c r="AM71" i="21"/>
  <c r="AK71" i="21"/>
  <c r="AL71" i="21" s="1"/>
  <c r="AG71" i="21"/>
  <c r="AH71" i="21" s="1"/>
  <c r="AE71" i="21"/>
  <c r="AF71" i="21" s="1"/>
  <c r="AC71" i="21"/>
  <c r="AD71" i="21" s="1"/>
  <c r="AJ71" i="21" s="1"/>
  <c r="AA71" i="21"/>
  <c r="AB71" i="21" s="1"/>
  <c r="W71" i="21"/>
  <c r="X71" i="21" s="1"/>
  <c r="U71" i="21"/>
  <c r="V71" i="21" s="1"/>
  <c r="S71" i="21"/>
  <c r="Q71" i="21"/>
  <c r="R71" i="21" s="1"/>
  <c r="P71" i="21"/>
  <c r="O71" i="21"/>
  <c r="N71" i="21"/>
  <c r="M71" i="21"/>
  <c r="L71" i="21"/>
  <c r="K71" i="21"/>
  <c r="J71" i="21"/>
  <c r="I71" i="21"/>
  <c r="H71" i="21"/>
  <c r="G71" i="21"/>
  <c r="F71" i="21"/>
  <c r="E71" i="21"/>
  <c r="D71" i="21"/>
  <c r="C71" i="21"/>
  <c r="B71" i="21"/>
  <c r="A71" i="21"/>
  <c r="BG70" i="21"/>
  <c r="BH70" i="21" s="1"/>
  <c r="BE70" i="21"/>
  <c r="BF70" i="21" s="1"/>
  <c r="AW70" i="21"/>
  <c r="AX70" i="21" s="1"/>
  <c r="AU70" i="21"/>
  <c r="AV70" i="21" s="1"/>
  <c r="AS70" i="21"/>
  <c r="AT70" i="21" s="1"/>
  <c r="AQ70" i="21"/>
  <c r="AO70" i="21"/>
  <c r="AP70" i="21" s="1"/>
  <c r="AM70" i="21"/>
  <c r="AK70" i="21"/>
  <c r="AL70" i="21" s="1"/>
  <c r="AG70" i="21"/>
  <c r="AH70" i="21" s="1"/>
  <c r="AE70" i="21"/>
  <c r="AF70" i="21" s="1"/>
  <c r="AC70" i="21"/>
  <c r="AD70" i="21" s="1"/>
  <c r="AA70" i="21"/>
  <c r="AB70" i="21" s="1"/>
  <c r="W70" i="21"/>
  <c r="U70" i="21"/>
  <c r="V70" i="21" s="1"/>
  <c r="S70" i="21"/>
  <c r="T70" i="21" s="1"/>
  <c r="Q70" i="21"/>
  <c r="R70" i="21" s="1"/>
  <c r="P70" i="21"/>
  <c r="O70" i="21"/>
  <c r="N70" i="21"/>
  <c r="M70" i="21"/>
  <c r="L70" i="21"/>
  <c r="K70" i="21"/>
  <c r="J70" i="21"/>
  <c r="I70" i="21"/>
  <c r="H70" i="21"/>
  <c r="G70" i="21"/>
  <c r="F70" i="21"/>
  <c r="E70" i="21"/>
  <c r="D70" i="21"/>
  <c r="C70" i="21"/>
  <c r="B70" i="21"/>
  <c r="A70" i="21"/>
  <c r="BG69" i="21"/>
  <c r="BH69" i="21" s="1"/>
  <c r="BE69" i="21"/>
  <c r="AW69" i="21"/>
  <c r="AX69" i="21" s="1"/>
  <c r="AU69" i="21"/>
  <c r="AS69" i="21"/>
  <c r="AT69" i="21" s="1"/>
  <c r="AQ69" i="21"/>
  <c r="AR69" i="21" s="1"/>
  <c r="AO69" i="21"/>
  <c r="AP69" i="21" s="1"/>
  <c r="AM69" i="21"/>
  <c r="AN69" i="21" s="1"/>
  <c r="AK69" i="21"/>
  <c r="AG69" i="21"/>
  <c r="AH69" i="21" s="1"/>
  <c r="AE69" i="21"/>
  <c r="AF69" i="21" s="1"/>
  <c r="AC69" i="21"/>
  <c r="AA69" i="21"/>
  <c r="AB69" i="21" s="1"/>
  <c r="W69" i="21"/>
  <c r="X69" i="21" s="1"/>
  <c r="U69" i="21"/>
  <c r="V69" i="21" s="1"/>
  <c r="S69" i="21"/>
  <c r="T69" i="21" s="1"/>
  <c r="Q69" i="21"/>
  <c r="R69" i="21" s="1"/>
  <c r="P69" i="21"/>
  <c r="O69" i="21"/>
  <c r="N69" i="21"/>
  <c r="M69" i="21"/>
  <c r="L69" i="21"/>
  <c r="K69" i="21"/>
  <c r="J69" i="21"/>
  <c r="I69" i="21"/>
  <c r="H69" i="21"/>
  <c r="G69" i="21"/>
  <c r="F69" i="21"/>
  <c r="E69" i="21"/>
  <c r="D69" i="21"/>
  <c r="C69" i="21"/>
  <c r="B69" i="21"/>
  <c r="A69" i="21"/>
  <c r="BG68" i="21"/>
  <c r="BH68" i="21" s="1"/>
  <c r="BE68" i="21"/>
  <c r="AW68" i="21"/>
  <c r="AX68" i="21" s="1"/>
  <c r="AU68" i="21"/>
  <c r="AV68" i="21" s="1"/>
  <c r="AS68" i="21"/>
  <c r="AT68" i="21" s="1"/>
  <c r="AQ68" i="21"/>
  <c r="AR68" i="21" s="1"/>
  <c r="AO68" i="21"/>
  <c r="AM68" i="21"/>
  <c r="AN68" i="21" s="1"/>
  <c r="AK68" i="21"/>
  <c r="AL68" i="21" s="1"/>
  <c r="AG68" i="21"/>
  <c r="AE68" i="21"/>
  <c r="AF68" i="21" s="1"/>
  <c r="AC68" i="21"/>
  <c r="AA68" i="21"/>
  <c r="AB68" i="21" s="1"/>
  <c r="W68" i="21"/>
  <c r="X68" i="21" s="1"/>
  <c r="U68" i="21"/>
  <c r="S68" i="21"/>
  <c r="T68" i="21" s="1"/>
  <c r="Q68" i="21"/>
  <c r="R68" i="21" s="1"/>
  <c r="P68" i="21"/>
  <c r="O68" i="21"/>
  <c r="N68" i="21"/>
  <c r="M68" i="21"/>
  <c r="L68" i="21"/>
  <c r="K68" i="21"/>
  <c r="J68" i="21"/>
  <c r="I68" i="21"/>
  <c r="H68" i="21"/>
  <c r="G68" i="21"/>
  <c r="F68" i="21"/>
  <c r="E68" i="21"/>
  <c r="D68" i="21"/>
  <c r="C68" i="21"/>
  <c r="B68" i="21"/>
  <c r="A68" i="21"/>
  <c r="BG67" i="21"/>
  <c r="BE67" i="21"/>
  <c r="BF67" i="21" s="1"/>
  <c r="AW67" i="21"/>
  <c r="AX67" i="21" s="1"/>
  <c r="AU67" i="21"/>
  <c r="AV67" i="21" s="1"/>
  <c r="AS67" i="21"/>
  <c r="AT67" i="21" s="1"/>
  <c r="AQ67" i="21"/>
  <c r="AR67" i="21" s="1"/>
  <c r="AO67" i="21"/>
  <c r="AP67" i="21" s="1"/>
  <c r="AM67" i="21"/>
  <c r="AK67" i="21"/>
  <c r="AL67" i="21" s="1"/>
  <c r="AG67" i="21"/>
  <c r="AH67" i="21" s="1"/>
  <c r="AE67" i="21"/>
  <c r="AF67" i="21" s="1"/>
  <c r="AC67" i="21"/>
  <c r="AD67" i="21" s="1"/>
  <c r="AA67" i="21"/>
  <c r="W67" i="21"/>
  <c r="X67" i="21" s="1"/>
  <c r="U67" i="21"/>
  <c r="V67" i="21" s="1"/>
  <c r="S67" i="21"/>
  <c r="Q67" i="21"/>
  <c r="R67" i="21" s="1"/>
  <c r="P67" i="21"/>
  <c r="O67" i="21"/>
  <c r="N67" i="21"/>
  <c r="M67" i="21"/>
  <c r="L67" i="21"/>
  <c r="K67" i="21"/>
  <c r="J67" i="21"/>
  <c r="I67" i="21"/>
  <c r="H67" i="21"/>
  <c r="G67" i="21"/>
  <c r="F67" i="21"/>
  <c r="E67" i="21"/>
  <c r="D67" i="21"/>
  <c r="C67" i="21"/>
  <c r="B67" i="21"/>
  <c r="A67" i="21"/>
  <c r="BG66" i="21"/>
  <c r="BE66" i="21"/>
  <c r="BF66" i="21" s="1"/>
  <c r="AW66" i="21"/>
  <c r="AX66" i="21" s="1"/>
  <c r="AU66" i="21"/>
  <c r="AV66" i="21" s="1"/>
  <c r="AS66" i="21"/>
  <c r="AT66" i="21" s="1"/>
  <c r="AQ66" i="21"/>
  <c r="AO66" i="21"/>
  <c r="AP66" i="21" s="1"/>
  <c r="AM66" i="21"/>
  <c r="AN66" i="21" s="1"/>
  <c r="AK66" i="21"/>
  <c r="AL66" i="21" s="1"/>
  <c r="AG66" i="21"/>
  <c r="AH66" i="21" s="1"/>
  <c r="AE66" i="21"/>
  <c r="AF66" i="21" s="1"/>
  <c r="AC66" i="21"/>
  <c r="AD66" i="21" s="1"/>
  <c r="AA66" i="21"/>
  <c r="AB66" i="21" s="1"/>
  <c r="W66" i="21"/>
  <c r="U66" i="21"/>
  <c r="V66" i="21" s="1"/>
  <c r="S66" i="21"/>
  <c r="Q66" i="21"/>
  <c r="R66" i="21" s="1"/>
  <c r="P66" i="21"/>
  <c r="O66" i="21"/>
  <c r="N66" i="21"/>
  <c r="M66" i="21"/>
  <c r="L66" i="21"/>
  <c r="K66" i="21"/>
  <c r="J66" i="21"/>
  <c r="I66" i="21"/>
  <c r="H66" i="21"/>
  <c r="G66" i="21"/>
  <c r="F66" i="21"/>
  <c r="E66" i="21"/>
  <c r="D66" i="21"/>
  <c r="C66" i="21"/>
  <c r="B66" i="21"/>
  <c r="A66" i="21"/>
  <c r="BG65" i="21"/>
  <c r="BH65" i="21" s="1"/>
  <c r="BE65" i="21"/>
  <c r="AW65" i="21"/>
  <c r="AX65" i="21" s="1"/>
  <c r="AU65" i="21"/>
  <c r="AS65" i="21"/>
  <c r="AT65" i="21" s="1"/>
  <c r="AQ65" i="21"/>
  <c r="AR65" i="21" s="1"/>
  <c r="AO65" i="21"/>
  <c r="AP65" i="21" s="1"/>
  <c r="AM65" i="21"/>
  <c r="AN65" i="21" s="1"/>
  <c r="AK65" i="21"/>
  <c r="AL65" i="21" s="1"/>
  <c r="AG65" i="21"/>
  <c r="AH65" i="21" s="1"/>
  <c r="AE65" i="21"/>
  <c r="AC65" i="21"/>
  <c r="AA65" i="21"/>
  <c r="AB65" i="21" s="1"/>
  <c r="W65" i="21"/>
  <c r="X65" i="21" s="1"/>
  <c r="U65" i="21"/>
  <c r="V65" i="21" s="1"/>
  <c r="S65" i="21"/>
  <c r="T65" i="21" s="1"/>
  <c r="Q65" i="21"/>
  <c r="P65" i="21"/>
  <c r="O65" i="21"/>
  <c r="N65" i="21"/>
  <c r="M65" i="21"/>
  <c r="L65" i="21"/>
  <c r="K65" i="21"/>
  <c r="J65" i="21"/>
  <c r="I65" i="21"/>
  <c r="H65" i="21"/>
  <c r="G65" i="21"/>
  <c r="F65" i="21"/>
  <c r="E65" i="21"/>
  <c r="D65" i="21"/>
  <c r="C65" i="21"/>
  <c r="B65" i="21"/>
  <c r="A65" i="21"/>
  <c r="BG64" i="21"/>
  <c r="BH64" i="21" s="1"/>
  <c r="BE64" i="21"/>
  <c r="BF64" i="21" s="1"/>
  <c r="AW64" i="21"/>
  <c r="AX64" i="21" s="1"/>
  <c r="AU64" i="21"/>
  <c r="AS64" i="21"/>
  <c r="AT64" i="21" s="1"/>
  <c r="AQ64" i="21"/>
  <c r="AR64" i="21" s="1"/>
  <c r="AO64" i="21"/>
  <c r="AM64" i="21"/>
  <c r="AN64" i="21" s="1"/>
  <c r="AK64" i="21"/>
  <c r="AL64" i="21" s="1"/>
  <c r="AG64" i="21"/>
  <c r="AE64" i="21"/>
  <c r="AF64" i="21" s="1"/>
  <c r="AC64" i="21"/>
  <c r="AA64" i="21"/>
  <c r="AB64" i="21" s="1"/>
  <c r="W64" i="21"/>
  <c r="X64" i="21" s="1"/>
  <c r="U64" i="21"/>
  <c r="V64" i="21" s="1"/>
  <c r="S64" i="21"/>
  <c r="T64" i="21" s="1"/>
  <c r="Q64" i="21"/>
  <c r="R64" i="21" s="1"/>
  <c r="P64" i="21"/>
  <c r="O64" i="21"/>
  <c r="N64" i="21"/>
  <c r="M64" i="21"/>
  <c r="L64" i="21"/>
  <c r="K64" i="21"/>
  <c r="J64" i="21"/>
  <c r="I64" i="21"/>
  <c r="H64" i="21"/>
  <c r="G64" i="21"/>
  <c r="F64" i="21"/>
  <c r="E64" i="21"/>
  <c r="D64" i="21"/>
  <c r="C64" i="21"/>
  <c r="B64" i="21"/>
  <c r="A64" i="21"/>
  <c r="BG63" i="21"/>
  <c r="BE63" i="21"/>
  <c r="BF63" i="21" s="1"/>
  <c r="AW63" i="21"/>
  <c r="AX63" i="21" s="1"/>
  <c r="AU63" i="21"/>
  <c r="AV63" i="21" s="1"/>
  <c r="AS63" i="21"/>
  <c r="AQ63" i="21"/>
  <c r="AR63" i="21" s="1"/>
  <c r="AO63" i="21"/>
  <c r="AP63" i="21" s="1"/>
  <c r="AM63" i="21"/>
  <c r="AK63" i="21"/>
  <c r="AL63" i="21" s="1"/>
  <c r="AG63" i="21"/>
  <c r="AH63" i="21" s="1"/>
  <c r="AE63" i="21"/>
  <c r="AF63" i="21" s="1"/>
  <c r="AC63" i="21"/>
  <c r="AD63" i="21" s="1"/>
  <c r="AJ63" i="21" s="1"/>
  <c r="AA63" i="21"/>
  <c r="W63" i="21"/>
  <c r="X63" i="21" s="1"/>
  <c r="U63" i="21"/>
  <c r="V63" i="21" s="1"/>
  <c r="S63" i="21"/>
  <c r="T63" i="21" s="1"/>
  <c r="Q63" i="21"/>
  <c r="R63" i="21" s="1"/>
  <c r="P63" i="21"/>
  <c r="O63" i="21"/>
  <c r="N63" i="21"/>
  <c r="M63" i="21"/>
  <c r="L63" i="21"/>
  <c r="K63" i="21"/>
  <c r="J63" i="21"/>
  <c r="I63" i="21"/>
  <c r="H63" i="21"/>
  <c r="G63" i="21"/>
  <c r="F63" i="21"/>
  <c r="E63" i="21"/>
  <c r="D63" i="21"/>
  <c r="C63" i="21"/>
  <c r="B63" i="21"/>
  <c r="A63" i="21"/>
  <c r="BG62" i="21"/>
  <c r="BH62" i="21" s="1"/>
  <c r="BE62" i="21"/>
  <c r="BF62" i="21" s="1"/>
  <c r="AW62" i="21"/>
  <c r="AX62" i="21" s="1"/>
  <c r="AU62" i="21"/>
  <c r="AV62" i="21" s="1"/>
  <c r="AS62" i="21"/>
  <c r="AT62" i="21" s="1"/>
  <c r="AQ62" i="21"/>
  <c r="AO62" i="21"/>
  <c r="AP62" i="21" s="1"/>
  <c r="AM62" i="21"/>
  <c r="AK62" i="21"/>
  <c r="AL62" i="21" s="1"/>
  <c r="AG62" i="21"/>
  <c r="AH62" i="21" s="1"/>
  <c r="AE62" i="21"/>
  <c r="AC62" i="21"/>
  <c r="AD62" i="21" s="1"/>
  <c r="AA62" i="21"/>
  <c r="AB62" i="21" s="1"/>
  <c r="W62" i="21"/>
  <c r="U62" i="21"/>
  <c r="V62" i="21" s="1"/>
  <c r="S62" i="21"/>
  <c r="T62" i="21" s="1"/>
  <c r="Q62" i="21"/>
  <c r="R62" i="21" s="1"/>
  <c r="P62" i="21"/>
  <c r="O62" i="21"/>
  <c r="N62" i="21"/>
  <c r="M62" i="21"/>
  <c r="L62" i="21"/>
  <c r="K62" i="21"/>
  <c r="J62" i="21"/>
  <c r="I62" i="21"/>
  <c r="H62" i="21"/>
  <c r="G62" i="21"/>
  <c r="F62" i="21"/>
  <c r="E62" i="21"/>
  <c r="D62" i="21"/>
  <c r="C62" i="21"/>
  <c r="B62" i="21"/>
  <c r="A62" i="21"/>
  <c r="BG61" i="21"/>
  <c r="BH61" i="21" s="1"/>
  <c r="BE61" i="21"/>
  <c r="BF61" i="21" s="1"/>
  <c r="AW61" i="21"/>
  <c r="AU61" i="21"/>
  <c r="AS61" i="21"/>
  <c r="AT61" i="21" s="1"/>
  <c r="AQ61" i="21"/>
  <c r="AR61" i="21" s="1"/>
  <c r="AO61" i="21"/>
  <c r="AP61" i="21" s="1"/>
  <c r="AM61" i="21"/>
  <c r="AN61" i="21" s="1"/>
  <c r="AK61" i="21"/>
  <c r="AG61" i="21"/>
  <c r="AH61" i="21" s="1"/>
  <c r="AE61" i="21"/>
  <c r="AF61" i="21" s="1"/>
  <c r="AC61" i="21"/>
  <c r="AA61" i="21"/>
  <c r="AB61" i="21" s="1"/>
  <c r="W61" i="21"/>
  <c r="U61" i="21"/>
  <c r="V61" i="21" s="1"/>
  <c r="S61" i="21"/>
  <c r="T61" i="21" s="1"/>
  <c r="Q61" i="21"/>
  <c r="P61" i="21"/>
  <c r="O61" i="21"/>
  <c r="N61" i="21"/>
  <c r="M61" i="21"/>
  <c r="L61" i="21"/>
  <c r="K61" i="21"/>
  <c r="J61" i="21"/>
  <c r="I61" i="21"/>
  <c r="H61" i="21"/>
  <c r="G61" i="21"/>
  <c r="F61" i="21"/>
  <c r="E61" i="21"/>
  <c r="D61" i="21"/>
  <c r="C61" i="21"/>
  <c r="B61" i="21"/>
  <c r="A61" i="21"/>
  <c r="BG60" i="21"/>
  <c r="BH60" i="21" s="1"/>
  <c r="BE60" i="21"/>
  <c r="BF60" i="21" s="1"/>
  <c r="AW60" i="21"/>
  <c r="AX60" i="21" s="1"/>
  <c r="AU60" i="21"/>
  <c r="AS60" i="21"/>
  <c r="AT60" i="21" s="1"/>
  <c r="AQ60" i="21"/>
  <c r="AR60" i="21" s="1"/>
  <c r="AO60" i="21"/>
  <c r="AP60" i="21" s="1"/>
  <c r="AM60" i="21"/>
  <c r="AN60" i="21" s="1"/>
  <c r="AK60" i="21"/>
  <c r="AL60" i="21" s="1"/>
  <c r="AG60" i="21"/>
  <c r="AE60" i="21"/>
  <c r="AF60" i="21" s="1"/>
  <c r="AC60" i="21"/>
  <c r="AD60" i="21" s="1"/>
  <c r="AA60" i="21"/>
  <c r="AB60" i="21" s="1"/>
  <c r="W60" i="21"/>
  <c r="X60" i="21" s="1"/>
  <c r="U60" i="21"/>
  <c r="S60" i="21"/>
  <c r="T60" i="21" s="1"/>
  <c r="Q60" i="21"/>
  <c r="R60" i="21" s="1"/>
  <c r="P60" i="21"/>
  <c r="O60" i="21"/>
  <c r="N60" i="21"/>
  <c r="M60" i="21"/>
  <c r="L60" i="21"/>
  <c r="K60" i="21"/>
  <c r="J60" i="21"/>
  <c r="I60" i="21"/>
  <c r="H60" i="21"/>
  <c r="G60" i="21"/>
  <c r="F60" i="21"/>
  <c r="E60" i="21"/>
  <c r="D60" i="21"/>
  <c r="C60" i="21"/>
  <c r="B60" i="21"/>
  <c r="A60" i="21"/>
  <c r="BG59" i="21"/>
  <c r="BE59" i="21"/>
  <c r="BF59" i="21" s="1"/>
  <c r="AW59" i="21"/>
  <c r="AX59" i="21" s="1"/>
  <c r="AU59" i="21"/>
  <c r="AV59" i="21" s="1"/>
  <c r="AS59" i="21"/>
  <c r="AQ59" i="21"/>
  <c r="AR59" i="21" s="1"/>
  <c r="AO59" i="21"/>
  <c r="AP59" i="21" s="1"/>
  <c r="AM59" i="21"/>
  <c r="AK59" i="21"/>
  <c r="AL59" i="21" s="1"/>
  <c r="AG59" i="21"/>
  <c r="AH59" i="21" s="1"/>
  <c r="AE59" i="21"/>
  <c r="AF59" i="21" s="1"/>
  <c r="AC59" i="21"/>
  <c r="AD59" i="21" s="1"/>
  <c r="AA59" i="21"/>
  <c r="W59" i="21"/>
  <c r="X59" i="21" s="1"/>
  <c r="U59" i="21"/>
  <c r="V59" i="21" s="1"/>
  <c r="S59" i="21"/>
  <c r="Q59" i="21"/>
  <c r="R59" i="21" s="1"/>
  <c r="P59" i="21"/>
  <c r="O59" i="21"/>
  <c r="N59" i="21"/>
  <c r="M59" i="21"/>
  <c r="L59" i="21"/>
  <c r="K59" i="21"/>
  <c r="J59" i="21"/>
  <c r="I59" i="21"/>
  <c r="H59" i="21"/>
  <c r="G59" i="21"/>
  <c r="F59" i="21"/>
  <c r="E59" i="21"/>
  <c r="D59" i="21"/>
  <c r="C59" i="21"/>
  <c r="B59" i="21"/>
  <c r="A59" i="21"/>
  <c r="BG58" i="21"/>
  <c r="BE58" i="21"/>
  <c r="BF58" i="21" s="1"/>
  <c r="AW58" i="21"/>
  <c r="AX58" i="21" s="1"/>
  <c r="AU58" i="21"/>
  <c r="AV58" i="21" s="1"/>
  <c r="AS58" i="21"/>
  <c r="AT58" i="21" s="1"/>
  <c r="AQ58" i="21"/>
  <c r="AO58" i="21"/>
  <c r="AP58" i="21" s="1"/>
  <c r="AM58" i="21"/>
  <c r="AN58" i="21" s="1"/>
  <c r="AK58" i="21"/>
  <c r="AL58" i="21" s="1"/>
  <c r="AG58" i="21"/>
  <c r="AH58" i="21" s="1"/>
  <c r="AE58" i="21"/>
  <c r="AF58" i="21" s="1"/>
  <c r="AC58" i="21"/>
  <c r="AD58" i="21" s="1"/>
  <c r="AA58" i="21"/>
  <c r="W58" i="21"/>
  <c r="U58" i="21"/>
  <c r="V58" i="21" s="1"/>
  <c r="S58" i="21"/>
  <c r="T58" i="21" s="1"/>
  <c r="Q58" i="21"/>
  <c r="R58" i="21" s="1"/>
  <c r="P58" i="21"/>
  <c r="O58" i="21"/>
  <c r="N58" i="21"/>
  <c r="M58" i="21"/>
  <c r="L58" i="21"/>
  <c r="K58" i="21"/>
  <c r="J58" i="21"/>
  <c r="I58" i="21"/>
  <c r="H58" i="21"/>
  <c r="G58" i="21"/>
  <c r="F58" i="21"/>
  <c r="E58" i="21"/>
  <c r="D58" i="21"/>
  <c r="C58" i="21"/>
  <c r="B58" i="21"/>
  <c r="A58" i="21"/>
  <c r="BG57" i="21"/>
  <c r="BH57" i="21" s="1"/>
  <c r="BE57" i="21"/>
  <c r="AW57" i="21"/>
  <c r="AX57" i="21" s="1"/>
  <c r="AU57" i="21"/>
  <c r="AS57" i="21"/>
  <c r="AT57" i="21" s="1"/>
  <c r="AQ57" i="21"/>
  <c r="AO57" i="21"/>
  <c r="AP57" i="21" s="1"/>
  <c r="AM57" i="21"/>
  <c r="AN57" i="21" s="1"/>
  <c r="AK57" i="21"/>
  <c r="AG57" i="21"/>
  <c r="AH57" i="21" s="1"/>
  <c r="AE57" i="21"/>
  <c r="AF57" i="21" s="1"/>
  <c r="AC57" i="21"/>
  <c r="AA57" i="21"/>
  <c r="AB57" i="21" s="1"/>
  <c r="W57" i="21"/>
  <c r="U57" i="21"/>
  <c r="V57" i="21" s="1"/>
  <c r="S57" i="21"/>
  <c r="T57" i="21" s="1"/>
  <c r="Q57" i="21"/>
  <c r="R57" i="21" s="1"/>
  <c r="P57" i="21"/>
  <c r="O57" i="21"/>
  <c r="N57" i="21"/>
  <c r="M57" i="21"/>
  <c r="L57" i="21"/>
  <c r="K57" i="21"/>
  <c r="J57" i="21"/>
  <c r="I57" i="21"/>
  <c r="H57" i="21"/>
  <c r="G57" i="21"/>
  <c r="F57" i="21"/>
  <c r="E57" i="21"/>
  <c r="D57" i="21"/>
  <c r="C57" i="21"/>
  <c r="B57" i="21"/>
  <c r="A57" i="21"/>
  <c r="BG56" i="21"/>
  <c r="BH56" i="21" s="1"/>
  <c r="BE56" i="21"/>
  <c r="BF56" i="21" s="1"/>
  <c r="AW56" i="21"/>
  <c r="AU56" i="21"/>
  <c r="AV56" i="21" s="1"/>
  <c r="AS56" i="21"/>
  <c r="AT56" i="21" s="1"/>
  <c r="AQ56" i="21"/>
  <c r="AR56" i="21" s="1"/>
  <c r="AO56" i="21"/>
  <c r="AM56" i="21"/>
  <c r="AN56" i="21" s="1"/>
  <c r="AK56" i="21"/>
  <c r="AG56" i="21"/>
  <c r="AH56" i="21" s="1"/>
  <c r="AE56" i="21"/>
  <c r="AF56" i="21" s="1"/>
  <c r="AC56" i="21"/>
  <c r="AD56" i="21" s="1"/>
  <c r="AA56" i="21"/>
  <c r="AB56" i="21" s="1"/>
  <c r="W56" i="21"/>
  <c r="U56" i="21"/>
  <c r="V56" i="21" s="1"/>
  <c r="S56" i="21"/>
  <c r="T56" i="21" s="1"/>
  <c r="Q56" i="21"/>
  <c r="R56" i="21" s="1"/>
  <c r="P56" i="21"/>
  <c r="O56" i="21"/>
  <c r="N56" i="21"/>
  <c r="M56" i="21"/>
  <c r="L56" i="21"/>
  <c r="K56" i="21"/>
  <c r="J56" i="21"/>
  <c r="I56" i="21"/>
  <c r="H56" i="21"/>
  <c r="G56" i="21"/>
  <c r="F56" i="21"/>
  <c r="E56" i="21"/>
  <c r="D56" i="21"/>
  <c r="C56" i="21"/>
  <c r="B56" i="21"/>
  <c r="A56" i="21"/>
  <c r="BG55" i="21"/>
  <c r="BE55" i="21"/>
  <c r="BF55" i="21" s="1"/>
  <c r="AW55" i="21"/>
  <c r="AX55" i="21" s="1"/>
  <c r="AU55" i="21"/>
  <c r="AV55" i="21" s="1"/>
  <c r="AS55" i="21"/>
  <c r="AQ55" i="21"/>
  <c r="AO55" i="21"/>
  <c r="AP55" i="21" s="1"/>
  <c r="AM55" i="21"/>
  <c r="AK55" i="21"/>
  <c r="AL55" i="21" s="1"/>
  <c r="AG55" i="21"/>
  <c r="AE55" i="21"/>
  <c r="AF55" i="21" s="1"/>
  <c r="AC55" i="21"/>
  <c r="AA55" i="21"/>
  <c r="AB55" i="21" s="1"/>
  <c r="W55" i="21"/>
  <c r="X55" i="21" s="1"/>
  <c r="U55" i="21"/>
  <c r="V55" i="21" s="1"/>
  <c r="S55" i="21"/>
  <c r="T55" i="21" s="1"/>
  <c r="Q55" i="21"/>
  <c r="R55" i="21" s="1"/>
  <c r="P55" i="21"/>
  <c r="O55" i="21"/>
  <c r="N55" i="21"/>
  <c r="M55" i="21"/>
  <c r="L55" i="21"/>
  <c r="K55" i="21"/>
  <c r="J55" i="21"/>
  <c r="I55" i="21"/>
  <c r="H55" i="21"/>
  <c r="G55" i="21"/>
  <c r="F55" i="21"/>
  <c r="E55" i="21"/>
  <c r="D55" i="21"/>
  <c r="C55" i="21"/>
  <c r="B55" i="21"/>
  <c r="A55" i="21"/>
  <c r="BG54" i="21"/>
  <c r="BH54" i="21" s="1"/>
  <c r="BE54" i="21"/>
  <c r="AW54" i="21"/>
  <c r="AU54" i="21"/>
  <c r="AS54" i="21"/>
  <c r="AT54" i="21" s="1"/>
  <c r="AQ54" i="21"/>
  <c r="AO54" i="21"/>
  <c r="AP54" i="21" s="1"/>
  <c r="AM54" i="21"/>
  <c r="AN54" i="21" s="1"/>
  <c r="AK54" i="21"/>
  <c r="AL54" i="21" s="1"/>
  <c r="AG54" i="21"/>
  <c r="AH54" i="21" s="1"/>
  <c r="AE54" i="21"/>
  <c r="AF54" i="21" s="1"/>
  <c r="AC54" i="21"/>
  <c r="AD54" i="21" s="1"/>
  <c r="AA54" i="21"/>
  <c r="W54" i="21"/>
  <c r="X54" i="21" s="1"/>
  <c r="U54" i="21"/>
  <c r="V54" i="21" s="1"/>
  <c r="S54" i="21"/>
  <c r="Q54" i="21"/>
  <c r="R54" i="21" s="1"/>
  <c r="P54" i="21"/>
  <c r="O54" i="21"/>
  <c r="N54" i="21"/>
  <c r="M54" i="21"/>
  <c r="L54" i="21"/>
  <c r="K54" i="21"/>
  <c r="J54" i="21"/>
  <c r="I54" i="21"/>
  <c r="H54" i="21"/>
  <c r="G54" i="21"/>
  <c r="F54" i="21"/>
  <c r="E54" i="21"/>
  <c r="D54" i="21"/>
  <c r="C54" i="21"/>
  <c r="B54" i="21"/>
  <c r="A54" i="21"/>
  <c r="BG53" i="21"/>
  <c r="BH53" i="21" s="1"/>
  <c r="BE53" i="21"/>
  <c r="AW53" i="21"/>
  <c r="AX53" i="21" s="1"/>
  <c r="AU53" i="21"/>
  <c r="AV53" i="21" s="1"/>
  <c r="AS53" i="21"/>
  <c r="AT53" i="21" s="1"/>
  <c r="AQ53" i="21"/>
  <c r="AR53" i="21" s="1"/>
  <c r="AO53" i="21"/>
  <c r="AP53" i="21" s="1"/>
  <c r="AM53" i="21"/>
  <c r="AN53" i="21" s="1"/>
  <c r="AK53" i="21"/>
  <c r="AG53" i="21"/>
  <c r="AH53" i="21" s="1"/>
  <c r="AE53" i="21"/>
  <c r="AF53" i="21" s="1"/>
  <c r="AC53" i="21"/>
  <c r="AA53" i="21"/>
  <c r="AB53" i="21" s="1"/>
  <c r="W53" i="21"/>
  <c r="X53" i="21" s="1"/>
  <c r="U53" i="21"/>
  <c r="V53" i="21" s="1"/>
  <c r="S53" i="21"/>
  <c r="T53" i="21" s="1"/>
  <c r="Q53" i="21"/>
  <c r="P53" i="21"/>
  <c r="O53" i="21"/>
  <c r="N53" i="21"/>
  <c r="M53" i="21"/>
  <c r="L53" i="21"/>
  <c r="K53" i="21"/>
  <c r="J53" i="21"/>
  <c r="I53" i="21"/>
  <c r="H53" i="21"/>
  <c r="G53" i="21"/>
  <c r="F53" i="21"/>
  <c r="E53" i="21"/>
  <c r="D53" i="21"/>
  <c r="C53" i="21"/>
  <c r="B53" i="21"/>
  <c r="A53" i="21"/>
  <c r="BG52" i="21"/>
  <c r="BE52" i="21"/>
  <c r="BF52" i="21" s="1"/>
  <c r="AW52" i="21"/>
  <c r="AX52" i="21" s="1"/>
  <c r="AU52" i="21"/>
  <c r="AV52" i="21" s="1"/>
  <c r="AS52" i="21"/>
  <c r="AT52" i="21" s="1"/>
  <c r="AQ52" i="21"/>
  <c r="AR52" i="21" s="1"/>
  <c r="AO52" i="21"/>
  <c r="AM52" i="21"/>
  <c r="AN52" i="21" s="1"/>
  <c r="AK52" i="21"/>
  <c r="AL52" i="21" s="1"/>
  <c r="AG52" i="21"/>
  <c r="AE52" i="21"/>
  <c r="AF52" i="21" s="1"/>
  <c r="AC52" i="21"/>
  <c r="AD52" i="21" s="1"/>
  <c r="AA52" i="21"/>
  <c r="AB52" i="21" s="1"/>
  <c r="W52" i="21"/>
  <c r="X52" i="21" s="1"/>
  <c r="U52" i="21"/>
  <c r="S52" i="21"/>
  <c r="Q52" i="21"/>
  <c r="R52" i="21" s="1"/>
  <c r="P52" i="21"/>
  <c r="O52" i="21"/>
  <c r="N52" i="21"/>
  <c r="M52" i="21"/>
  <c r="L52" i="21"/>
  <c r="K52" i="21"/>
  <c r="J52" i="21"/>
  <c r="I52" i="21"/>
  <c r="H52" i="21"/>
  <c r="G52" i="21"/>
  <c r="F52" i="21"/>
  <c r="E52" i="21"/>
  <c r="D52" i="21"/>
  <c r="C52" i="21"/>
  <c r="B52" i="21"/>
  <c r="A52" i="21"/>
  <c r="BG51" i="21"/>
  <c r="BE51" i="21"/>
  <c r="BF51" i="21" s="1"/>
  <c r="AW51" i="21"/>
  <c r="AX51" i="21" s="1"/>
  <c r="AU51" i="21"/>
  <c r="AV51" i="21" s="1"/>
  <c r="AS51" i="21"/>
  <c r="AQ51" i="21"/>
  <c r="AR51" i="21" s="1"/>
  <c r="AO51" i="21"/>
  <c r="AP51" i="21" s="1"/>
  <c r="AM51" i="21"/>
  <c r="AK51" i="21"/>
  <c r="AL51" i="21" s="1"/>
  <c r="AG51" i="21"/>
  <c r="AH51" i="21" s="1"/>
  <c r="AE51" i="21"/>
  <c r="AF51" i="21" s="1"/>
  <c r="AC51" i="21"/>
  <c r="AD51" i="21" s="1"/>
  <c r="AA51" i="21"/>
  <c r="W51" i="21"/>
  <c r="U51" i="21"/>
  <c r="V51" i="21" s="1"/>
  <c r="S51" i="21"/>
  <c r="Q51" i="21"/>
  <c r="R51" i="21" s="1"/>
  <c r="P51" i="21"/>
  <c r="O51" i="21"/>
  <c r="N51" i="21"/>
  <c r="M51" i="21"/>
  <c r="L51" i="21"/>
  <c r="K51" i="21"/>
  <c r="J51" i="21"/>
  <c r="I51" i="21"/>
  <c r="H51" i="21"/>
  <c r="G51" i="21"/>
  <c r="F51" i="21"/>
  <c r="E51" i="21"/>
  <c r="D51" i="21"/>
  <c r="C51" i="21"/>
  <c r="B51" i="21"/>
  <c r="A51" i="21"/>
  <c r="BG50" i="21"/>
  <c r="BH50" i="21" s="1"/>
  <c r="BE50" i="21"/>
  <c r="BF50" i="21" s="1"/>
  <c r="AW50" i="21"/>
  <c r="AX50" i="21" s="1"/>
  <c r="AU50" i="21"/>
  <c r="AV50" i="21" s="1"/>
  <c r="AS50" i="21"/>
  <c r="AT50" i="21" s="1"/>
  <c r="AQ50" i="21"/>
  <c r="AO50" i="21"/>
  <c r="AP50" i="21" s="1"/>
  <c r="AM50" i="21"/>
  <c r="AN50" i="21" s="1"/>
  <c r="AK50" i="21"/>
  <c r="AL50" i="21" s="1"/>
  <c r="AG50" i="21"/>
  <c r="AH50" i="21" s="1"/>
  <c r="AE50" i="21"/>
  <c r="AC50" i="21"/>
  <c r="AA50" i="21"/>
  <c r="AB50" i="21" s="1"/>
  <c r="W50" i="21"/>
  <c r="U50" i="21"/>
  <c r="V50" i="21" s="1"/>
  <c r="S50" i="21"/>
  <c r="T50" i="21" s="1"/>
  <c r="Q50" i="21"/>
  <c r="R50" i="21" s="1"/>
  <c r="P50" i="21"/>
  <c r="O50" i="21"/>
  <c r="N50" i="21"/>
  <c r="M50" i="21"/>
  <c r="L50" i="21"/>
  <c r="K50" i="21"/>
  <c r="J50" i="21"/>
  <c r="I50" i="21"/>
  <c r="H50" i="21"/>
  <c r="G50" i="21"/>
  <c r="F50" i="21"/>
  <c r="E50" i="21"/>
  <c r="D50" i="21"/>
  <c r="C50" i="21"/>
  <c r="B50" i="21"/>
  <c r="A50" i="21"/>
  <c r="BG49" i="21"/>
  <c r="BH49" i="21" s="1"/>
  <c r="BE49" i="21"/>
  <c r="AW49" i="21"/>
  <c r="AX49" i="21" s="1"/>
  <c r="AU49" i="21"/>
  <c r="AS49" i="21"/>
  <c r="AT49" i="21" s="1"/>
  <c r="AQ49" i="21"/>
  <c r="AR49" i="21" s="1"/>
  <c r="AO49" i="21"/>
  <c r="AP49" i="21" s="1"/>
  <c r="AM49" i="21"/>
  <c r="AN49" i="21" s="1"/>
  <c r="AK49" i="21"/>
  <c r="AG49" i="21"/>
  <c r="AE49" i="21"/>
  <c r="AF49" i="21" s="1"/>
  <c r="AC49" i="21"/>
  <c r="AA49" i="21"/>
  <c r="AB49" i="21" s="1"/>
  <c r="W49" i="21"/>
  <c r="X49" i="21" s="1"/>
  <c r="U49" i="21"/>
  <c r="V49" i="21" s="1"/>
  <c r="S49" i="21"/>
  <c r="T49" i="21" s="1"/>
  <c r="Q49" i="21"/>
  <c r="P49" i="21"/>
  <c r="O49" i="21"/>
  <c r="N49" i="21"/>
  <c r="M49" i="21"/>
  <c r="L49" i="21"/>
  <c r="K49" i="21"/>
  <c r="J49" i="21"/>
  <c r="I49" i="21"/>
  <c r="H49" i="21"/>
  <c r="G49" i="21"/>
  <c r="F49" i="21"/>
  <c r="E49" i="21"/>
  <c r="D49" i="21"/>
  <c r="C49" i="21"/>
  <c r="B49" i="21"/>
  <c r="A49" i="21"/>
  <c r="BG48" i="21"/>
  <c r="BH48" i="21" s="1"/>
  <c r="BE48" i="21"/>
  <c r="BF48" i="21" s="1"/>
  <c r="AW48" i="21"/>
  <c r="AU48" i="21"/>
  <c r="AV48" i="21" s="1"/>
  <c r="AS48" i="21"/>
  <c r="AT48" i="21" s="1"/>
  <c r="AQ48" i="21"/>
  <c r="AR48" i="21" s="1"/>
  <c r="AO48" i="21"/>
  <c r="AM48" i="21"/>
  <c r="AK48" i="21"/>
  <c r="AL48" i="21" s="1"/>
  <c r="AG48" i="21"/>
  <c r="AE48" i="21"/>
  <c r="AF48" i="21" s="1"/>
  <c r="AC48" i="21"/>
  <c r="AD48" i="21" s="1"/>
  <c r="AA48" i="21"/>
  <c r="AB48" i="21" s="1"/>
  <c r="W48" i="21"/>
  <c r="X48" i="21" s="1"/>
  <c r="U48" i="21"/>
  <c r="S48" i="21"/>
  <c r="T48" i="21" s="1"/>
  <c r="Q48" i="21"/>
  <c r="R48" i="21" s="1"/>
  <c r="P48" i="21"/>
  <c r="O48" i="21"/>
  <c r="N48" i="21"/>
  <c r="M48" i="21"/>
  <c r="L48" i="21"/>
  <c r="K48" i="21"/>
  <c r="J48" i="21"/>
  <c r="I48" i="21"/>
  <c r="H48" i="21"/>
  <c r="G48" i="21"/>
  <c r="F48" i="21"/>
  <c r="E48" i="21"/>
  <c r="D48" i="21"/>
  <c r="C48" i="21"/>
  <c r="B48" i="21"/>
  <c r="A48" i="21"/>
  <c r="BG47" i="21"/>
  <c r="BE47" i="21"/>
  <c r="BF47" i="21" s="1"/>
  <c r="AW47" i="21"/>
  <c r="AX47" i="21" s="1"/>
  <c r="AU47" i="21"/>
  <c r="AV47" i="21" s="1"/>
  <c r="AS47" i="21"/>
  <c r="AT47" i="21" s="1"/>
  <c r="AQ47" i="21"/>
  <c r="AO47" i="21"/>
  <c r="AP47" i="21" s="1"/>
  <c r="AM47" i="21"/>
  <c r="AK47" i="21"/>
  <c r="AL47" i="21" s="1"/>
  <c r="AG47" i="21"/>
  <c r="AH47" i="21" s="1"/>
  <c r="AE47" i="21"/>
  <c r="AF47" i="21" s="1"/>
  <c r="AC47" i="21"/>
  <c r="AD47" i="21" s="1"/>
  <c r="AJ47" i="21" s="1"/>
  <c r="AA47" i="21"/>
  <c r="W47" i="21"/>
  <c r="X47" i="21" s="1"/>
  <c r="U47" i="21"/>
  <c r="V47" i="21" s="1"/>
  <c r="S47" i="21"/>
  <c r="Q47" i="21"/>
  <c r="R47" i="21" s="1"/>
  <c r="P47" i="21"/>
  <c r="O47" i="21"/>
  <c r="N47" i="21"/>
  <c r="M47" i="21"/>
  <c r="L47" i="21"/>
  <c r="K47" i="21"/>
  <c r="J47" i="21"/>
  <c r="I47" i="21"/>
  <c r="H47" i="21"/>
  <c r="G47" i="21"/>
  <c r="F47" i="21"/>
  <c r="E47" i="21"/>
  <c r="D47" i="21"/>
  <c r="C47" i="21"/>
  <c r="B47" i="21"/>
  <c r="A47" i="21"/>
  <c r="BG46" i="21"/>
  <c r="BH46" i="21" s="1"/>
  <c r="BE46" i="21"/>
  <c r="BF46" i="21" s="1"/>
  <c r="AW46" i="21"/>
  <c r="AX46" i="21" s="1"/>
  <c r="AU46" i="21"/>
  <c r="AS46" i="21"/>
  <c r="AT46" i="21" s="1"/>
  <c r="AQ46" i="21"/>
  <c r="AO46" i="21"/>
  <c r="AP46" i="21" s="1"/>
  <c r="AM46" i="21"/>
  <c r="AN46" i="21" s="1"/>
  <c r="AK46" i="21"/>
  <c r="AL46" i="21" s="1"/>
  <c r="AG46" i="21"/>
  <c r="AH46" i="21" s="1"/>
  <c r="AE46" i="21"/>
  <c r="AC46" i="21"/>
  <c r="AD46" i="21" s="1"/>
  <c r="AA46" i="21"/>
  <c r="AB46" i="21" s="1"/>
  <c r="W46" i="21"/>
  <c r="U46" i="21"/>
  <c r="V46" i="21" s="1"/>
  <c r="S46" i="21"/>
  <c r="T46" i="21" s="1"/>
  <c r="Q46" i="21"/>
  <c r="R46" i="21" s="1"/>
  <c r="P46" i="21"/>
  <c r="O46" i="21"/>
  <c r="N46" i="21"/>
  <c r="M46" i="21"/>
  <c r="L46" i="21"/>
  <c r="K46" i="21"/>
  <c r="J46" i="21"/>
  <c r="I46" i="21"/>
  <c r="H46" i="21"/>
  <c r="G46" i="21"/>
  <c r="F46" i="21"/>
  <c r="E46" i="21"/>
  <c r="D46" i="21"/>
  <c r="C46" i="21"/>
  <c r="B46" i="21"/>
  <c r="A46" i="21"/>
  <c r="BG45" i="21"/>
  <c r="BH45" i="21" s="1"/>
  <c r="BE45" i="21"/>
  <c r="BF45" i="21" s="1"/>
  <c r="AW45" i="21"/>
  <c r="AX45" i="21" s="1"/>
  <c r="AU45" i="21"/>
  <c r="AS45" i="21"/>
  <c r="AT45" i="21" s="1"/>
  <c r="AQ45" i="21"/>
  <c r="AR45" i="21" s="1"/>
  <c r="AO45" i="21"/>
  <c r="AP45" i="21" s="1"/>
  <c r="AM45" i="21"/>
  <c r="AN45" i="21" s="1"/>
  <c r="AK45" i="21"/>
  <c r="AG45" i="21"/>
  <c r="AH45" i="21" s="1"/>
  <c r="AE45" i="21"/>
  <c r="AF45" i="21" s="1"/>
  <c r="AC45" i="21"/>
  <c r="AA45" i="21"/>
  <c r="AB45" i="21" s="1"/>
  <c r="W45" i="21"/>
  <c r="X45" i="21" s="1"/>
  <c r="U45" i="21"/>
  <c r="V45" i="21" s="1"/>
  <c r="S45" i="21"/>
  <c r="T45" i="21" s="1"/>
  <c r="Q45" i="21"/>
  <c r="P45" i="21"/>
  <c r="O45" i="21"/>
  <c r="N45" i="21"/>
  <c r="M45" i="21"/>
  <c r="L45" i="21"/>
  <c r="K45" i="21"/>
  <c r="J45" i="21"/>
  <c r="I45" i="21"/>
  <c r="H45" i="21"/>
  <c r="G45" i="21"/>
  <c r="F45" i="21"/>
  <c r="E45" i="21"/>
  <c r="D45" i="21"/>
  <c r="C45" i="21"/>
  <c r="B45" i="21"/>
  <c r="A45" i="21"/>
  <c r="BG44" i="21"/>
  <c r="BE44" i="21"/>
  <c r="BF44" i="21" s="1"/>
  <c r="AW44" i="21"/>
  <c r="AX44" i="21" s="1"/>
  <c r="AU44" i="21"/>
  <c r="AV44" i="21" s="1"/>
  <c r="AS44" i="21"/>
  <c r="AT44" i="21" s="1"/>
  <c r="AQ44" i="21"/>
  <c r="AR44" i="21" s="1"/>
  <c r="AO44" i="21"/>
  <c r="AM44" i="21"/>
  <c r="AN44" i="21" s="1"/>
  <c r="AK44" i="21"/>
  <c r="AL44" i="21" s="1"/>
  <c r="AG44" i="21"/>
  <c r="AE44" i="21"/>
  <c r="AF44" i="21" s="1"/>
  <c r="AC44" i="21"/>
  <c r="AD44" i="21" s="1"/>
  <c r="AA44" i="21"/>
  <c r="AB44" i="21" s="1"/>
  <c r="W44" i="21"/>
  <c r="X44" i="21" s="1"/>
  <c r="U44" i="21"/>
  <c r="S44" i="21"/>
  <c r="T44" i="21" s="1"/>
  <c r="Q44" i="21"/>
  <c r="R44" i="21" s="1"/>
  <c r="P44" i="21"/>
  <c r="O44" i="21"/>
  <c r="N44" i="21"/>
  <c r="M44" i="21"/>
  <c r="L44" i="21"/>
  <c r="K44" i="21"/>
  <c r="J44" i="21"/>
  <c r="I44" i="21"/>
  <c r="H44" i="21"/>
  <c r="G44" i="21"/>
  <c r="F44" i="21"/>
  <c r="E44" i="21"/>
  <c r="D44" i="21"/>
  <c r="C44" i="21"/>
  <c r="B44" i="21"/>
  <c r="A44" i="21"/>
  <c r="BG43" i="21"/>
  <c r="BE43" i="21"/>
  <c r="BF43" i="21" s="1"/>
  <c r="AW43" i="21"/>
  <c r="AX43" i="21" s="1"/>
  <c r="AU43" i="21"/>
  <c r="AV43" i="21" s="1"/>
  <c r="AS43" i="21"/>
  <c r="AQ43" i="21"/>
  <c r="AR43" i="21" s="1"/>
  <c r="AO43" i="21"/>
  <c r="AP43" i="21" s="1"/>
  <c r="AM43" i="21"/>
  <c r="AK43" i="21"/>
  <c r="AL43" i="21" s="1"/>
  <c r="AG43" i="21"/>
  <c r="AH43" i="21" s="1"/>
  <c r="AE43" i="21"/>
  <c r="AF43" i="21" s="1"/>
  <c r="AC43" i="21"/>
  <c r="AD43" i="21" s="1"/>
  <c r="AA43" i="21"/>
  <c r="W43" i="21"/>
  <c r="X43" i="21" s="1"/>
  <c r="U43" i="21"/>
  <c r="V43" i="21" s="1"/>
  <c r="S43" i="21"/>
  <c r="Q43" i="21"/>
  <c r="R43" i="21" s="1"/>
  <c r="P43" i="21"/>
  <c r="O43" i="21"/>
  <c r="N43" i="21"/>
  <c r="M43" i="21"/>
  <c r="L43" i="21"/>
  <c r="K43" i="21"/>
  <c r="J43" i="21"/>
  <c r="I43" i="21"/>
  <c r="H43" i="21"/>
  <c r="G43" i="21"/>
  <c r="F43" i="21"/>
  <c r="E43" i="21"/>
  <c r="D43" i="21"/>
  <c r="C43" i="21"/>
  <c r="B43" i="21"/>
  <c r="A43" i="21"/>
  <c r="BG42" i="21"/>
  <c r="BH42" i="21" s="1"/>
  <c r="BE42" i="21"/>
  <c r="BF42" i="21" s="1"/>
  <c r="AW42" i="21"/>
  <c r="AX42" i="21" s="1"/>
  <c r="AU42" i="21"/>
  <c r="AV42" i="21" s="1"/>
  <c r="AS42" i="21"/>
  <c r="AT42" i="21" s="1"/>
  <c r="AQ42" i="21"/>
  <c r="AO42" i="21"/>
  <c r="AP42" i="21" s="1"/>
  <c r="AM42" i="21"/>
  <c r="AN42" i="21" s="1"/>
  <c r="AK42" i="21"/>
  <c r="AL42" i="21" s="1"/>
  <c r="AG42" i="21"/>
  <c r="AH42" i="21" s="1"/>
  <c r="AE42" i="21"/>
  <c r="AC42" i="21"/>
  <c r="AD42" i="21" s="1"/>
  <c r="AA42" i="21"/>
  <c r="AB42" i="21" s="1"/>
  <c r="W42" i="21"/>
  <c r="U42" i="21"/>
  <c r="V42" i="21" s="1"/>
  <c r="S42" i="21"/>
  <c r="T42" i="21" s="1"/>
  <c r="Q42" i="21"/>
  <c r="R42" i="21" s="1"/>
  <c r="P42" i="21"/>
  <c r="O42" i="21"/>
  <c r="N42" i="21"/>
  <c r="M42" i="21"/>
  <c r="L42" i="21"/>
  <c r="K42" i="21"/>
  <c r="J42" i="21"/>
  <c r="I42" i="21"/>
  <c r="H42" i="21"/>
  <c r="G42" i="21"/>
  <c r="F42" i="21"/>
  <c r="E42" i="21"/>
  <c r="D42" i="21"/>
  <c r="C42" i="21"/>
  <c r="B42" i="21"/>
  <c r="A42" i="21"/>
  <c r="BG41" i="21"/>
  <c r="BH41" i="21" s="1"/>
  <c r="BE41" i="21"/>
  <c r="AW41" i="21"/>
  <c r="AX41" i="21" s="1"/>
  <c r="AU41" i="21"/>
  <c r="AS41" i="21"/>
  <c r="AT41" i="21" s="1"/>
  <c r="AQ41" i="21"/>
  <c r="AR41" i="21" s="1"/>
  <c r="AO41" i="21"/>
  <c r="AP41" i="21" s="1"/>
  <c r="AM41" i="21"/>
  <c r="AN41" i="21" s="1"/>
  <c r="AK41" i="21"/>
  <c r="AG41" i="21"/>
  <c r="AH41" i="21" s="1"/>
  <c r="AE41" i="21"/>
  <c r="AF41" i="21" s="1"/>
  <c r="AC41" i="21"/>
  <c r="AA41" i="21"/>
  <c r="AB41" i="21" s="1"/>
  <c r="W41" i="21"/>
  <c r="X41" i="21" s="1"/>
  <c r="U41" i="21"/>
  <c r="V41" i="21" s="1"/>
  <c r="S41" i="21"/>
  <c r="T41" i="21" s="1"/>
  <c r="Q41" i="21"/>
  <c r="P41" i="21"/>
  <c r="O41" i="21"/>
  <c r="N41" i="21"/>
  <c r="M41" i="21"/>
  <c r="L41" i="21"/>
  <c r="K41" i="21"/>
  <c r="J41" i="21"/>
  <c r="I41" i="21"/>
  <c r="H41" i="21"/>
  <c r="G41" i="21"/>
  <c r="F41" i="21"/>
  <c r="E41" i="21"/>
  <c r="D41" i="21"/>
  <c r="C41" i="21"/>
  <c r="B41" i="21"/>
  <c r="A41" i="21"/>
  <c r="BG40" i="21"/>
  <c r="BH40" i="21" s="1"/>
  <c r="BE40" i="21"/>
  <c r="BF40" i="21" s="1"/>
  <c r="AW40" i="21"/>
  <c r="AU40" i="21"/>
  <c r="AV40" i="21" s="1"/>
  <c r="AS40" i="21"/>
  <c r="AT40" i="21" s="1"/>
  <c r="AQ40" i="21"/>
  <c r="AR40" i="21" s="1"/>
  <c r="AO40" i="21"/>
  <c r="AM40" i="21"/>
  <c r="AN40" i="21" s="1"/>
  <c r="AK40" i="21"/>
  <c r="AL40" i="21" s="1"/>
  <c r="AG40" i="21"/>
  <c r="AE40" i="21"/>
  <c r="AF40" i="21" s="1"/>
  <c r="AC40" i="21"/>
  <c r="AD40" i="21" s="1"/>
  <c r="AA40" i="21"/>
  <c r="AB40" i="21" s="1"/>
  <c r="W40" i="21"/>
  <c r="X40" i="21" s="1"/>
  <c r="U40" i="21"/>
  <c r="S40" i="21"/>
  <c r="T40" i="21" s="1"/>
  <c r="Q40" i="21"/>
  <c r="R40" i="21" s="1"/>
  <c r="P40" i="21"/>
  <c r="O40" i="21"/>
  <c r="N40" i="21"/>
  <c r="M40" i="21"/>
  <c r="L40" i="21"/>
  <c r="K40" i="21"/>
  <c r="J40" i="21"/>
  <c r="I40" i="21"/>
  <c r="H40" i="21"/>
  <c r="G40" i="21"/>
  <c r="F40" i="21"/>
  <c r="E40" i="21"/>
  <c r="D40" i="21"/>
  <c r="C40" i="21"/>
  <c r="B40" i="21"/>
  <c r="A40" i="21"/>
  <c r="BG39" i="21"/>
  <c r="BE39" i="21"/>
  <c r="BF39" i="21" s="1"/>
  <c r="AW39" i="21"/>
  <c r="AX39" i="21" s="1"/>
  <c r="AU39" i="21"/>
  <c r="AV39" i="21" s="1"/>
  <c r="AS39" i="21"/>
  <c r="AT39" i="21" s="1"/>
  <c r="AQ39" i="21"/>
  <c r="AR39" i="21" s="1"/>
  <c r="AO39" i="21"/>
  <c r="AP39" i="21" s="1"/>
  <c r="AM39" i="21"/>
  <c r="AK39" i="21"/>
  <c r="AL39" i="21" s="1"/>
  <c r="AG39" i="21"/>
  <c r="AH39" i="21" s="1"/>
  <c r="AE39" i="21"/>
  <c r="AF39" i="21" s="1"/>
  <c r="AC39" i="21"/>
  <c r="AD39" i="21" s="1"/>
  <c r="AA39" i="21"/>
  <c r="AB39" i="21" s="1"/>
  <c r="W39" i="21"/>
  <c r="X39" i="21" s="1"/>
  <c r="U39" i="21"/>
  <c r="V39" i="21" s="1"/>
  <c r="S39" i="21"/>
  <c r="Q39" i="21"/>
  <c r="R39" i="21" s="1"/>
  <c r="P39" i="21"/>
  <c r="O39" i="21"/>
  <c r="N39" i="21"/>
  <c r="M39" i="21"/>
  <c r="L39" i="21"/>
  <c r="K39" i="21"/>
  <c r="J39" i="21"/>
  <c r="I39" i="21"/>
  <c r="H39" i="21"/>
  <c r="G39" i="21"/>
  <c r="F39" i="21"/>
  <c r="E39" i="21"/>
  <c r="D39" i="21"/>
  <c r="C39" i="21"/>
  <c r="B39" i="21"/>
  <c r="A39" i="21"/>
  <c r="BG38" i="21"/>
  <c r="BH38" i="21" s="1"/>
  <c r="BE38" i="21"/>
  <c r="BF38" i="21" s="1"/>
  <c r="AW38" i="21"/>
  <c r="AX38" i="21" s="1"/>
  <c r="AU38" i="21"/>
  <c r="AV38" i="21" s="1"/>
  <c r="AS38" i="21"/>
  <c r="AT38" i="21" s="1"/>
  <c r="AQ38" i="21"/>
  <c r="AO38" i="21"/>
  <c r="AP38" i="21" s="1"/>
  <c r="AM38" i="21"/>
  <c r="AN38" i="21" s="1"/>
  <c r="AK38" i="21"/>
  <c r="AL38" i="21" s="1"/>
  <c r="AG38" i="21"/>
  <c r="AH38" i="21" s="1"/>
  <c r="AE38" i="21"/>
  <c r="AC38" i="21"/>
  <c r="AD38" i="21" s="1"/>
  <c r="AA38" i="21"/>
  <c r="AB38" i="21" s="1"/>
  <c r="W38" i="21"/>
  <c r="U38" i="21"/>
  <c r="V38" i="21" s="1"/>
  <c r="S38" i="21"/>
  <c r="T38" i="21" s="1"/>
  <c r="Q38" i="21"/>
  <c r="R38" i="21" s="1"/>
  <c r="P38" i="21"/>
  <c r="O38" i="21"/>
  <c r="N38" i="21"/>
  <c r="M38" i="21"/>
  <c r="L38" i="21"/>
  <c r="K38" i="21"/>
  <c r="J38" i="21"/>
  <c r="I38" i="21"/>
  <c r="H38" i="21"/>
  <c r="G38" i="21"/>
  <c r="F38" i="21"/>
  <c r="E38" i="21"/>
  <c r="D38" i="21"/>
  <c r="C38" i="21"/>
  <c r="B38" i="21"/>
  <c r="A38" i="21"/>
  <c r="BG37" i="21"/>
  <c r="BH37" i="21" s="1"/>
  <c r="BE37" i="21"/>
  <c r="BF37" i="21" s="1"/>
  <c r="AW37" i="21"/>
  <c r="AX37" i="21" s="1"/>
  <c r="AU37" i="21"/>
  <c r="AS37" i="21"/>
  <c r="AT37" i="21" s="1"/>
  <c r="AQ37" i="21"/>
  <c r="AR37" i="21" s="1"/>
  <c r="AO37" i="21"/>
  <c r="AP37" i="21" s="1"/>
  <c r="AM37" i="21"/>
  <c r="AN37" i="21" s="1"/>
  <c r="AK37" i="21"/>
  <c r="AL37" i="21" s="1"/>
  <c r="AG37" i="21"/>
  <c r="AH37" i="21" s="1"/>
  <c r="AE37" i="21"/>
  <c r="AF37" i="21" s="1"/>
  <c r="AC37" i="21"/>
  <c r="AA37" i="21"/>
  <c r="AB37" i="21" s="1"/>
  <c r="W37" i="21"/>
  <c r="X37" i="21" s="1"/>
  <c r="U37" i="21"/>
  <c r="V37" i="21" s="1"/>
  <c r="S37" i="21"/>
  <c r="T37" i="21" s="1"/>
  <c r="Q37" i="21"/>
  <c r="R37" i="21" s="1"/>
  <c r="P37" i="21"/>
  <c r="O37" i="21"/>
  <c r="N37" i="21"/>
  <c r="M37" i="21"/>
  <c r="L37" i="21"/>
  <c r="K37" i="21"/>
  <c r="J37" i="21"/>
  <c r="I37" i="21"/>
  <c r="H37" i="21"/>
  <c r="G37" i="21"/>
  <c r="F37" i="21"/>
  <c r="E37" i="21"/>
  <c r="D37" i="21"/>
  <c r="C37" i="21"/>
  <c r="B37" i="21"/>
  <c r="A37" i="21"/>
  <c r="BG36" i="21"/>
  <c r="BH36" i="21" s="1"/>
  <c r="BE36" i="21"/>
  <c r="BF36" i="21" s="1"/>
  <c r="AW36" i="21"/>
  <c r="AX36" i="21" s="1"/>
  <c r="AU36" i="21"/>
  <c r="AV36" i="21" s="1"/>
  <c r="AS36" i="21"/>
  <c r="AT36" i="21" s="1"/>
  <c r="AQ36" i="21"/>
  <c r="AR36" i="21" s="1"/>
  <c r="AO36" i="21"/>
  <c r="AM36" i="21"/>
  <c r="AN36" i="21" s="1"/>
  <c r="AK36" i="21"/>
  <c r="AL36" i="21" s="1"/>
  <c r="AG36" i="21"/>
  <c r="AE36" i="21"/>
  <c r="AF36" i="21" s="1"/>
  <c r="AC36" i="21"/>
  <c r="AD36" i="21" s="1"/>
  <c r="AA36" i="21"/>
  <c r="AB36" i="21" s="1"/>
  <c r="W36" i="21"/>
  <c r="X36" i="21" s="1"/>
  <c r="U36" i="21"/>
  <c r="V36" i="21" s="1"/>
  <c r="S36" i="21"/>
  <c r="T36" i="21" s="1"/>
  <c r="Q36" i="21"/>
  <c r="R36" i="21" s="1"/>
  <c r="P36" i="21"/>
  <c r="O36" i="21"/>
  <c r="N36" i="21"/>
  <c r="M36" i="21"/>
  <c r="L36" i="21"/>
  <c r="K36" i="21"/>
  <c r="J36" i="21"/>
  <c r="I36" i="21"/>
  <c r="H36" i="21"/>
  <c r="G36" i="21"/>
  <c r="F36" i="21"/>
  <c r="E36" i="21"/>
  <c r="D36" i="21"/>
  <c r="C36" i="21"/>
  <c r="B36" i="21"/>
  <c r="A36" i="21"/>
  <c r="BG35" i="21"/>
  <c r="BE35" i="21"/>
  <c r="BF35" i="21" s="1"/>
  <c r="AW35" i="21"/>
  <c r="AX35" i="21" s="1"/>
  <c r="AU35" i="21"/>
  <c r="AV35" i="21" s="1"/>
  <c r="AS35" i="21"/>
  <c r="AT35" i="21" s="1"/>
  <c r="AQ35" i="21"/>
  <c r="AR35" i="21" s="1"/>
  <c r="AO35" i="21"/>
  <c r="AP35" i="21" s="1"/>
  <c r="AM35" i="21"/>
  <c r="AK35" i="21"/>
  <c r="AL35" i="21" s="1"/>
  <c r="AG35" i="21"/>
  <c r="AH35" i="21" s="1"/>
  <c r="AE35" i="21"/>
  <c r="AF35" i="21" s="1"/>
  <c r="AC35" i="21"/>
  <c r="AD35" i="21" s="1"/>
  <c r="AA35" i="21"/>
  <c r="AB35" i="21" s="1"/>
  <c r="W35" i="21"/>
  <c r="X35" i="21" s="1"/>
  <c r="U35" i="21"/>
  <c r="V35" i="21" s="1"/>
  <c r="S35" i="21"/>
  <c r="Q35" i="21"/>
  <c r="R35" i="21" s="1"/>
  <c r="P35" i="21"/>
  <c r="O35" i="21"/>
  <c r="N35" i="21"/>
  <c r="M35" i="21"/>
  <c r="L35" i="21"/>
  <c r="K35" i="21"/>
  <c r="J35" i="21"/>
  <c r="I35" i="21"/>
  <c r="H35" i="21"/>
  <c r="G35" i="21"/>
  <c r="F35" i="21"/>
  <c r="E35" i="21"/>
  <c r="D35" i="21"/>
  <c r="C35" i="21"/>
  <c r="B35" i="21"/>
  <c r="A35" i="21"/>
  <c r="BG34" i="21"/>
  <c r="BH34" i="21" s="1"/>
  <c r="BE34" i="21"/>
  <c r="BF34" i="21" s="1"/>
  <c r="AW34" i="21"/>
  <c r="AX34" i="21" s="1"/>
  <c r="AU34" i="21"/>
  <c r="AV34" i="21" s="1"/>
  <c r="AS34" i="21"/>
  <c r="AT34" i="21" s="1"/>
  <c r="AQ34" i="21"/>
  <c r="AO34" i="21"/>
  <c r="AP34" i="21" s="1"/>
  <c r="AM34" i="21"/>
  <c r="AN34" i="21" s="1"/>
  <c r="AK34" i="21"/>
  <c r="AL34" i="21" s="1"/>
  <c r="AG34" i="21"/>
  <c r="AH34" i="21" s="1"/>
  <c r="AE34" i="21"/>
  <c r="AF34" i="21" s="1"/>
  <c r="AC34" i="21"/>
  <c r="AD34" i="21" s="1"/>
  <c r="AA34" i="21"/>
  <c r="AB34" i="21" s="1"/>
  <c r="W34" i="21"/>
  <c r="U34" i="21"/>
  <c r="V34" i="21" s="1"/>
  <c r="S34" i="21"/>
  <c r="T34" i="21" s="1"/>
  <c r="Q34" i="21"/>
  <c r="R34" i="21" s="1"/>
  <c r="P34" i="21"/>
  <c r="O34" i="21"/>
  <c r="N34" i="21"/>
  <c r="M34" i="21"/>
  <c r="L34" i="21"/>
  <c r="K34" i="21"/>
  <c r="J34" i="21"/>
  <c r="I34" i="21"/>
  <c r="H34" i="21"/>
  <c r="G34" i="21"/>
  <c r="F34" i="21"/>
  <c r="E34" i="21"/>
  <c r="D34" i="21"/>
  <c r="C34" i="21"/>
  <c r="B34" i="21"/>
  <c r="A34" i="21"/>
  <c r="BG33" i="21"/>
  <c r="BH33" i="21" s="1"/>
  <c r="BE33" i="21"/>
  <c r="BF33" i="21" s="1"/>
  <c r="AW33" i="21"/>
  <c r="AX33" i="21" s="1"/>
  <c r="AU33" i="21"/>
  <c r="AS33" i="21"/>
  <c r="AT33" i="21" s="1"/>
  <c r="AQ33" i="21"/>
  <c r="AR33" i="21" s="1"/>
  <c r="AO33" i="21"/>
  <c r="AP33" i="21" s="1"/>
  <c r="AM33" i="21"/>
  <c r="AN33" i="21" s="1"/>
  <c r="AK33" i="21"/>
  <c r="AL33" i="21" s="1"/>
  <c r="AG33" i="21"/>
  <c r="AH33" i="21" s="1"/>
  <c r="AE33" i="21"/>
  <c r="AF33" i="21" s="1"/>
  <c r="AC33" i="21"/>
  <c r="AA33" i="21"/>
  <c r="AB33" i="21" s="1"/>
  <c r="W33" i="21"/>
  <c r="X33" i="21" s="1"/>
  <c r="U33" i="21"/>
  <c r="V33" i="21" s="1"/>
  <c r="S33" i="21"/>
  <c r="T33" i="21" s="1"/>
  <c r="Q33" i="21"/>
  <c r="P33" i="21"/>
  <c r="O33" i="21"/>
  <c r="N33" i="21"/>
  <c r="M33" i="21"/>
  <c r="L33" i="21"/>
  <c r="K33" i="21"/>
  <c r="J33" i="21"/>
  <c r="I33" i="21"/>
  <c r="H33" i="21"/>
  <c r="G33" i="21"/>
  <c r="F33" i="21"/>
  <c r="E33" i="21"/>
  <c r="D33" i="21"/>
  <c r="C33" i="21"/>
  <c r="B33" i="21"/>
  <c r="A33" i="21"/>
  <c r="BG32" i="21"/>
  <c r="BH32" i="21" s="1"/>
  <c r="BE32" i="21"/>
  <c r="BF32" i="21" s="1"/>
  <c r="AW32" i="21"/>
  <c r="AX32" i="21" s="1"/>
  <c r="AU32" i="21"/>
  <c r="AV32" i="21" s="1"/>
  <c r="AS32" i="21"/>
  <c r="AT32" i="21" s="1"/>
  <c r="AQ32" i="21"/>
  <c r="AR32" i="21" s="1"/>
  <c r="AO32" i="21"/>
  <c r="AP32" i="21" s="1"/>
  <c r="AM32" i="21"/>
  <c r="AN32" i="21" s="1"/>
  <c r="AK32" i="21"/>
  <c r="AL32" i="21" s="1"/>
  <c r="AG32" i="21"/>
  <c r="AE32" i="21"/>
  <c r="AF32" i="21" s="1"/>
  <c r="AC32" i="21"/>
  <c r="AD32" i="21" s="1"/>
  <c r="AA32" i="21"/>
  <c r="AB32" i="21" s="1"/>
  <c r="W32" i="21"/>
  <c r="X32" i="21" s="1"/>
  <c r="U32" i="21"/>
  <c r="V32" i="21" s="1"/>
  <c r="S32" i="21"/>
  <c r="T32" i="21" s="1"/>
  <c r="Q32" i="21"/>
  <c r="R32" i="21" s="1"/>
  <c r="P32" i="21"/>
  <c r="O32" i="21"/>
  <c r="N32" i="21"/>
  <c r="M32" i="21"/>
  <c r="L32" i="21"/>
  <c r="K32" i="21"/>
  <c r="J32" i="21"/>
  <c r="I32" i="21"/>
  <c r="H32" i="21"/>
  <c r="G32" i="21"/>
  <c r="F32" i="21"/>
  <c r="E32" i="21"/>
  <c r="D32" i="21"/>
  <c r="C32" i="21"/>
  <c r="B32" i="21"/>
  <c r="A32" i="21"/>
  <c r="BG31" i="21"/>
  <c r="BE31" i="21"/>
  <c r="BF31" i="21" s="1"/>
  <c r="AW31" i="21"/>
  <c r="AX31" i="21" s="1"/>
  <c r="AU31" i="21"/>
  <c r="AV31" i="21" s="1"/>
  <c r="AS31" i="21"/>
  <c r="AT31" i="21" s="1"/>
  <c r="AQ31" i="21"/>
  <c r="AR31" i="21" s="1"/>
  <c r="AO31" i="21"/>
  <c r="AP31" i="21" s="1"/>
  <c r="AM31" i="21"/>
  <c r="AK31" i="21"/>
  <c r="AL31" i="21" s="1"/>
  <c r="AG31" i="21"/>
  <c r="AH31" i="21" s="1"/>
  <c r="AE31" i="21"/>
  <c r="AF31" i="21" s="1"/>
  <c r="AC31" i="21"/>
  <c r="AD31" i="21" s="1"/>
  <c r="AA31" i="21"/>
  <c r="W31" i="21"/>
  <c r="X31" i="21" s="1"/>
  <c r="U31" i="21"/>
  <c r="V31" i="21" s="1"/>
  <c r="S31" i="21"/>
  <c r="Q31" i="21"/>
  <c r="R31" i="21" s="1"/>
  <c r="P31" i="21"/>
  <c r="O31" i="21"/>
  <c r="N31" i="21"/>
  <c r="M31" i="21"/>
  <c r="L31" i="21"/>
  <c r="K31" i="21"/>
  <c r="J31" i="21"/>
  <c r="I31" i="21"/>
  <c r="H31" i="21"/>
  <c r="G31" i="21"/>
  <c r="F31" i="21"/>
  <c r="E31" i="21"/>
  <c r="D31" i="21"/>
  <c r="C31" i="21"/>
  <c r="B31" i="21"/>
  <c r="A31" i="21"/>
  <c r="BG30" i="21"/>
  <c r="BH30" i="21" s="1"/>
  <c r="BE30" i="21"/>
  <c r="BF30" i="21" s="1"/>
  <c r="AW30" i="21"/>
  <c r="AX30" i="21" s="1"/>
  <c r="AU30" i="21"/>
  <c r="AV30" i="21" s="1"/>
  <c r="AS30" i="21"/>
  <c r="AT30" i="21" s="1"/>
  <c r="AQ30" i="21"/>
  <c r="AO30" i="21"/>
  <c r="AP30" i="21" s="1"/>
  <c r="AM30" i="21"/>
  <c r="AN30" i="21" s="1"/>
  <c r="AK30" i="21"/>
  <c r="AL30" i="21" s="1"/>
  <c r="AG30" i="21"/>
  <c r="AH30" i="21" s="1"/>
  <c r="AE30" i="21"/>
  <c r="AF30" i="21" s="1"/>
  <c r="AC30" i="21"/>
  <c r="AD30" i="21" s="1"/>
  <c r="AA30" i="21"/>
  <c r="AB30" i="21" s="1"/>
  <c r="W30" i="21"/>
  <c r="U30" i="21"/>
  <c r="V30" i="21" s="1"/>
  <c r="S30" i="21"/>
  <c r="T30" i="21" s="1"/>
  <c r="Q30" i="21"/>
  <c r="R30" i="21" s="1"/>
  <c r="P30" i="21"/>
  <c r="O30" i="21"/>
  <c r="N30" i="21"/>
  <c r="M30" i="21"/>
  <c r="L30" i="21"/>
  <c r="K30" i="21"/>
  <c r="J30" i="21"/>
  <c r="I30" i="21"/>
  <c r="H30" i="21"/>
  <c r="G30" i="21"/>
  <c r="F30" i="21"/>
  <c r="E30" i="21"/>
  <c r="D30" i="21"/>
  <c r="C30" i="21"/>
  <c r="B30" i="21"/>
  <c r="A30" i="21"/>
  <c r="BG29" i="21"/>
  <c r="BH29" i="21" s="1"/>
  <c r="BE29" i="21"/>
  <c r="BF29" i="21" s="1"/>
  <c r="AW29" i="21"/>
  <c r="AX29" i="21" s="1"/>
  <c r="AU29" i="21"/>
  <c r="AS29" i="21"/>
  <c r="AT29" i="21" s="1"/>
  <c r="AQ29" i="21"/>
  <c r="AR29" i="21" s="1"/>
  <c r="AO29" i="21"/>
  <c r="AP29" i="21" s="1"/>
  <c r="AM29" i="21"/>
  <c r="AN29" i="21" s="1"/>
  <c r="AK29" i="21"/>
  <c r="AG29" i="21"/>
  <c r="AH29" i="21" s="1"/>
  <c r="AE29" i="21"/>
  <c r="AF29" i="21" s="1"/>
  <c r="AC29" i="21"/>
  <c r="AA29" i="21"/>
  <c r="AB29" i="21" s="1"/>
  <c r="W29" i="21"/>
  <c r="X29" i="21" s="1"/>
  <c r="U29" i="21"/>
  <c r="V29" i="21" s="1"/>
  <c r="S29" i="21"/>
  <c r="T29" i="21" s="1"/>
  <c r="Q29" i="21"/>
  <c r="R29" i="21" s="1"/>
  <c r="P29" i="21"/>
  <c r="O29" i="21"/>
  <c r="N29" i="21"/>
  <c r="M29" i="21"/>
  <c r="L29" i="21"/>
  <c r="K29" i="21"/>
  <c r="J29" i="21"/>
  <c r="I29" i="21"/>
  <c r="H29" i="21"/>
  <c r="G29" i="21"/>
  <c r="F29" i="21"/>
  <c r="E29" i="21"/>
  <c r="D29" i="21"/>
  <c r="C29" i="21"/>
  <c r="B29" i="21"/>
  <c r="A29" i="21"/>
  <c r="BG28" i="21"/>
  <c r="BH28" i="21" s="1"/>
  <c r="BE28" i="21"/>
  <c r="BF28" i="21" s="1"/>
  <c r="AW28" i="21"/>
  <c r="AX28" i="21" s="1"/>
  <c r="AU28" i="21"/>
  <c r="AV28" i="21" s="1"/>
  <c r="AS28" i="21"/>
  <c r="AT28" i="21" s="1"/>
  <c r="AQ28" i="21"/>
  <c r="AR28" i="21" s="1"/>
  <c r="AO28" i="21"/>
  <c r="AP28" i="21" s="1"/>
  <c r="AM28" i="21"/>
  <c r="AN28" i="21" s="1"/>
  <c r="AK28" i="21"/>
  <c r="AL28" i="21" s="1"/>
  <c r="AG28" i="21"/>
  <c r="AE28" i="21"/>
  <c r="AF28" i="21" s="1"/>
  <c r="AC28" i="21"/>
  <c r="AD28" i="21" s="1"/>
  <c r="AA28" i="21"/>
  <c r="AB28" i="21" s="1"/>
  <c r="W28" i="21"/>
  <c r="X28" i="21" s="1"/>
  <c r="U28" i="21"/>
  <c r="V28" i="21" s="1"/>
  <c r="S28" i="21"/>
  <c r="T28" i="21" s="1"/>
  <c r="Q28" i="21"/>
  <c r="R28" i="21" s="1"/>
  <c r="P28" i="21"/>
  <c r="O28" i="21"/>
  <c r="N28" i="21"/>
  <c r="M28" i="21"/>
  <c r="L28" i="21"/>
  <c r="K28" i="21"/>
  <c r="J28" i="21"/>
  <c r="I28" i="21"/>
  <c r="H28" i="21"/>
  <c r="G28" i="21"/>
  <c r="F28" i="21"/>
  <c r="E28" i="21"/>
  <c r="D28" i="21"/>
  <c r="C28" i="21"/>
  <c r="B28" i="21"/>
  <c r="A28" i="21"/>
  <c r="BG27" i="21"/>
  <c r="BE27" i="21"/>
  <c r="BF27" i="21" s="1"/>
  <c r="AW27" i="21"/>
  <c r="AX27" i="21" s="1"/>
  <c r="AU27" i="21"/>
  <c r="AV27" i="21" s="1"/>
  <c r="AS27" i="21"/>
  <c r="AQ27" i="21"/>
  <c r="AR27" i="21" s="1"/>
  <c r="AO27" i="21"/>
  <c r="AP27" i="21" s="1"/>
  <c r="AM27" i="21"/>
  <c r="AK27" i="21"/>
  <c r="AL27" i="21" s="1"/>
  <c r="AG27" i="21"/>
  <c r="AH27" i="21" s="1"/>
  <c r="AE27" i="21"/>
  <c r="AF27" i="21" s="1"/>
  <c r="AC27" i="21"/>
  <c r="AD27" i="21" s="1"/>
  <c r="AA27" i="21"/>
  <c r="W27" i="21"/>
  <c r="X27" i="21" s="1"/>
  <c r="U27" i="21"/>
  <c r="V27" i="21" s="1"/>
  <c r="S27" i="21"/>
  <c r="Q27" i="21"/>
  <c r="R27" i="21" s="1"/>
  <c r="P27" i="21"/>
  <c r="O27" i="21"/>
  <c r="N27" i="21"/>
  <c r="M27" i="21"/>
  <c r="L27" i="21"/>
  <c r="K27" i="21"/>
  <c r="J27" i="21"/>
  <c r="I27" i="21"/>
  <c r="H27" i="21"/>
  <c r="G27" i="21"/>
  <c r="F27" i="21"/>
  <c r="E27" i="21"/>
  <c r="D27" i="21"/>
  <c r="C27" i="21"/>
  <c r="B27" i="21"/>
  <c r="A27" i="21"/>
  <c r="BG26" i="21"/>
  <c r="BH26" i="21" s="1"/>
  <c r="BE26" i="21"/>
  <c r="BF26" i="21" s="1"/>
  <c r="AW26" i="21"/>
  <c r="AX26" i="21" s="1"/>
  <c r="AU26" i="21"/>
  <c r="AV26" i="21" s="1"/>
  <c r="AS26" i="21"/>
  <c r="AT26" i="21" s="1"/>
  <c r="AQ26" i="21"/>
  <c r="AO26" i="21"/>
  <c r="AP26" i="21" s="1"/>
  <c r="AM26" i="21"/>
  <c r="AN26" i="21" s="1"/>
  <c r="AK26" i="21"/>
  <c r="AL26" i="21" s="1"/>
  <c r="AG26" i="21"/>
  <c r="AH26" i="21" s="1"/>
  <c r="AE26" i="21"/>
  <c r="AF26" i="21" s="1"/>
  <c r="AC26" i="21"/>
  <c r="AD26" i="21" s="1"/>
  <c r="AA26" i="21"/>
  <c r="AB26" i="21" s="1"/>
  <c r="W26" i="21"/>
  <c r="U26" i="21"/>
  <c r="V26" i="21" s="1"/>
  <c r="S26" i="21"/>
  <c r="T26" i="21" s="1"/>
  <c r="Q26" i="21"/>
  <c r="R26" i="21" s="1"/>
  <c r="P26" i="21"/>
  <c r="O26" i="21"/>
  <c r="N26" i="21"/>
  <c r="M26" i="21"/>
  <c r="L26" i="21"/>
  <c r="K26" i="21"/>
  <c r="J26" i="21"/>
  <c r="I26" i="21"/>
  <c r="H26" i="21"/>
  <c r="G26" i="21"/>
  <c r="F26" i="21"/>
  <c r="E26" i="21"/>
  <c r="D26" i="21"/>
  <c r="C26" i="21"/>
  <c r="B26" i="21"/>
  <c r="A26" i="21"/>
  <c r="BG25" i="21"/>
  <c r="BH25" i="21" s="1"/>
  <c r="BE25" i="21"/>
  <c r="AW25" i="21"/>
  <c r="AX25" i="21" s="1"/>
  <c r="AU25" i="21"/>
  <c r="AS25" i="21"/>
  <c r="AT25" i="21" s="1"/>
  <c r="AQ25" i="21"/>
  <c r="AR25" i="21" s="1"/>
  <c r="AO25" i="21"/>
  <c r="AP25" i="21" s="1"/>
  <c r="AM25" i="21"/>
  <c r="AN25" i="21" s="1"/>
  <c r="AK25" i="21"/>
  <c r="AG25" i="21"/>
  <c r="AH25" i="21" s="1"/>
  <c r="AE25" i="21"/>
  <c r="AF25" i="21" s="1"/>
  <c r="AC25" i="21"/>
  <c r="AA25" i="21"/>
  <c r="AB25" i="21" s="1"/>
  <c r="W25" i="21"/>
  <c r="X25" i="21" s="1"/>
  <c r="U25" i="21"/>
  <c r="V25" i="21" s="1"/>
  <c r="S25" i="21"/>
  <c r="T25" i="21" s="1"/>
  <c r="Q25" i="21"/>
  <c r="R25" i="21" s="1"/>
  <c r="P25" i="21"/>
  <c r="O25" i="21"/>
  <c r="N25" i="21"/>
  <c r="M25" i="21"/>
  <c r="L25" i="21"/>
  <c r="K25" i="21"/>
  <c r="J25" i="21"/>
  <c r="I25" i="21"/>
  <c r="H25" i="21"/>
  <c r="G25" i="21"/>
  <c r="F25" i="21"/>
  <c r="E25" i="21"/>
  <c r="D25" i="21"/>
  <c r="C25" i="21"/>
  <c r="B25" i="21"/>
  <c r="A25" i="21"/>
  <c r="BG24" i="21"/>
  <c r="BH24" i="21" s="1"/>
  <c r="BE24" i="21"/>
  <c r="BF24" i="21" s="1"/>
  <c r="AW24" i="21"/>
  <c r="AU24" i="21"/>
  <c r="AV24" i="21" s="1"/>
  <c r="AS24" i="21"/>
  <c r="AT24" i="21" s="1"/>
  <c r="AQ24" i="21"/>
  <c r="AR24" i="21" s="1"/>
  <c r="AO24" i="21"/>
  <c r="AP24" i="21" s="1"/>
  <c r="AM24" i="21"/>
  <c r="AN24" i="21" s="1"/>
  <c r="AK24" i="21"/>
  <c r="AL24" i="21" s="1"/>
  <c r="AG24" i="21"/>
  <c r="AE24" i="21"/>
  <c r="AF24" i="21" s="1"/>
  <c r="AC24" i="21"/>
  <c r="AD24" i="21" s="1"/>
  <c r="AA24" i="21"/>
  <c r="AB24" i="21" s="1"/>
  <c r="W24" i="21"/>
  <c r="X24" i="21" s="1"/>
  <c r="U24" i="21"/>
  <c r="S24" i="21"/>
  <c r="T24" i="21" s="1"/>
  <c r="Q24" i="21"/>
  <c r="R24" i="21" s="1"/>
  <c r="P24" i="21"/>
  <c r="O24" i="21"/>
  <c r="N24" i="21"/>
  <c r="M24" i="21"/>
  <c r="L24" i="21"/>
  <c r="K24" i="21"/>
  <c r="J24" i="21"/>
  <c r="I24" i="21"/>
  <c r="H24" i="21"/>
  <c r="G24" i="21"/>
  <c r="F24" i="21"/>
  <c r="E24" i="21"/>
  <c r="D24" i="21"/>
  <c r="C24" i="21"/>
  <c r="B24" i="21"/>
  <c r="A24" i="21"/>
  <c r="BG23" i="21"/>
  <c r="BE23" i="21"/>
  <c r="BF23" i="21" s="1"/>
  <c r="AW23" i="21"/>
  <c r="AX23" i="21" s="1"/>
  <c r="AU23" i="21"/>
  <c r="AV23" i="21" s="1"/>
  <c r="AS23" i="21"/>
  <c r="AQ23" i="21"/>
  <c r="AR23" i="21" s="1"/>
  <c r="AO23" i="21"/>
  <c r="AP23" i="21" s="1"/>
  <c r="AM23" i="21"/>
  <c r="AK23" i="21"/>
  <c r="AL23" i="21" s="1"/>
  <c r="AG23" i="21"/>
  <c r="AH23" i="21" s="1"/>
  <c r="AE23" i="21"/>
  <c r="AF23" i="21" s="1"/>
  <c r="AC23" i="21"/>
  <c r="AD23" i="21" s="1"/>
  <c r="AA23" i="21"/>
  <c r="AB23" i="21" s="1"/>
  <c r="W23" i="21"/>
  <c r="X23" i="21" s="1"/>
  <c r="U23" i="21"/>
  <c r="V23" i="21" s="1"/>
  <c r="S23" i="21"/>
  <c r="Q23" i="21"/>
  <c r="R23" i="21" s="1"/>
  <c r="P23" i="21"/>
  <c r="O23" i="21"/>
  <c r="N23" i="21"/>
  <c r="M23" i="21"/>
  <c r="L23" i="21"/>
  <c r="K23" i="21"/>
  <c r="J23" i="21"/>
  <c r="I23" i="21"/>
  <c r="H23" i="21"/>
  <c r="G23" i="21"/>
  <c r="F23" i="21"/>
  <c r="E23" i="21"/>
  <c r="D23" i="21"/>
  <c r="C23" i="21"/>
  <c r="B23" i="21"/>
  <c r="A23" i="21"/>
  <c r="BG22" i="21"/>
  <c r="BH22" i="21" s="1"/>
  <c r="BE22" i="21"/>
  <c r="BF22" i="21" s="1"/>
  <c r="AW22" i="21"/>
  <c r="AX22" i="21" s="1"/>
  <c r="AU22" i="21"/>
  <c r="AV22" i="21" s="1"/>
  <c r="AS22" i="21"/>
  <c r="AT22" i="21" s="1"/>
  <c r="AQ22" i="21"/>
  <c r="AO22" i="21"/>
  <c r="AP22" i="21" s="1"/>
  <c r="AM22" i="21"/>
  <c r="AN22" i="21" s="1"/>
  <c r="AK22" i="21"/>
  <c r="AL22" i="21" s="1"/>
  <c r="AG22" i="21"/>
  <c r="AH22" i="21" s="1"/>
  <c r="AE22" i="21"/>
  <c r="AC22" i="21"/>
  <c r="AD22" i="21" s="1"/>
  <c r="AA22" i="21"/>
  <c r="AB22" i="21" s="1"/>
  <c r="W22" i="21"/>
  <c r="U22" i="21"/>
  <c r="V22" i="21" s="1"/>
  <c r="S22" i="21"/>
  <c r="T22" i="21" s="1"/>
  <c r="Q22" i="21"/>
  <c r="R22" i="21" s="1"/>
  <c r="P22" i="21"/>
  <c r="O22" i="21"/>
  <c r="N22" i="21"/>
  <c r="M22" i="21"/>
  <c r="L22" i="21"/>
  <c r="K22" i="21"/>
  <c r="J22" i="21"/>
  <c r="I22" i="21"/>
  <c r="H22" i="21"/>
  <c r="G22" i="21"/>
  <c r="F22" i="21"/>
  <c r="E22" i="21"/>
  <c r="D22" i="21"/>
  <c r="C22" i="21"/>
  <c r="B22" i="21"/>
  <c r="A22" i="21"/>
  <c r="BG21" i="21"/>
  <c r="BH21" i="21" s="1"/>
  <c r="BE21" i="21"/>
  <c r="AW21" i="21"/>
  <c r="AX21" i="21" s="1"/>
  <c r="AU21" i="21"/>
  <c r="AS21" i="21"/>
  <c r="AT21" i="21" s="1"/>
  <c r="AQ21" i="21"/>
  <c r="AR21" i="21" s="1"/>
  <c r="AO21" i="21"/>
  <c r="AP21" i="21" s="1"/>
  <c r="AM21" i="21"/>
  <c r="AN21" i="21" s="1"/>
  <c r="AK21" i="21"/>
  <c r="AL21" i="21" s="1"/>
  <c r="AG21" i="21"/>
  <c r="AH21" i="21" s="1"/>
  <c r="AE21" i="21"/>
  <c r="AF21" i="21" s="1"/>
  <c r="AC21" i="21"/>
  <c r="AD21" i="21" s="1"/>
  <c r="AA21" i="21"/>
  <c r="AB21" i="21" s="1"/>
  <c r="W21" i="21"/>
  <c r="X21" i="21" s="1"/>
  <c r="U21" i="21"/>
  <c r="S21" i="21"/>
  <c r="T21" i="21" s="1"/>
  <c r="Q21" i="21"/>
  <c r="R21" i="21" s="1"/>
  <c r="P21" i="21"/>
  <c r="O21" i="21"/>
  <c r="N21" i="21"/>
  <c r="M21" i="21"/>
  <c r="L21" i="21"/>
  <c r="K21" i="21"/>
  <c r="J21" i="21"/>
  <c r="I21" i="21"/>
  <c r="H21" i="21"/>
  <c r="G21" i="21"/>
  <c r="F21" i="21"/>
  <c r="E21" i="21"/>
  <c r="D21" i="21"/>
  <c r="C21" i="21"/>
  <c r="B21" i="21"/>
  <c r="A21" i="21"/>
  <c r="BG20" i="21"/>
  <c r="BE20" i="21"/>
  <c r="BF20" i="21" s="1"/>
  <c r="AW20" i="21"/>
  <c r="AX20" i="21" s="1"/>
  <c r="AU20" i="21"/>
  <c r="AV20" i="21" s="1"/>
  <c r="AS20" i="21"/>
  <c r="AT20" i="21" s="1"/>
  <c r="AQ20" i="21"/>
  <c r="AR20" i="21" s="1"/>
  <c r="AO20" i="21"/>
  <c r="AP20" i="21" s="1"/>
  <c r="AM20" i="21"/>
  <c r="AK20" i="21"/>
  <c r="AL20" i="21" s="1"/>
  <c r="AG20" i="21"/>
  <c r="AE20" i="21"/>
  <c r="AF20" i="21" s="1"/>
  <c r="AC20" i="21"/>
  <c r="AD20" i="21" s="1"/>
  <c r="AA20" i="21"/>
  <c r="W20" i="21"/>
  <c r="X20" i="21" s="1"/>
  <c r="U20" i="21"/>
  <c r="V20" i="21" s="1"/>
  <c r="S20" i="21"/>
  <c r="Q20" i="21"/>
  <c r="R20" i="21" s="1"/>
  <c r="P20" i="21"/>
  <c r="O20" i="21"/>
  <c r="N20" i="21"/>
  <c r="M20" i="21"/>
  <c r="L20" i="21"/>
  <c r="K20" i="21"/>
  <c r="J20" i="21"/>
  <c r="I20" i="21"/>
  <c r="H20" i="21"/>
  <c r="G20" i="21"/>
  <c r="F20" i="21"/>
  <c r="E20" i="21"/>
  <c r="D20" i="21"/>
  <c r="C20" i="21"/>
  <c r="B20" i="21"/>
  <c r="A20" i="21"/>
  <c r="BG19" i="21"/>
  <c r="BH19" i="21" s="1"/>
  <c r="BE19" i="21"/>
  <c r="BF19" i="21" s="1"/>
  <c r="AW19" i="21"/>
  <c r="AX19" i="21" s="1"/>
  <c r="AU19" i="21"/>
  <c r="AV19" i="21" s="1"/>
  <c r="AS19" i="21"/>
  <c r="AT19" i="21" s="1"/>
  <c r="AQ19" i="21"/>
  <c r="AO19" i="21"/>
  <c r="AP19" i="21" s="1"/>
  <c r="AM19" i="21"/>
  <c r="AN19" i="21" s="1"/>
  <c r="AK19" i="21"/>
  <c r="AL19" i="21" s="1"/>
  <c r="AG19" i="21"/>
  <c r="AH19" i="21" s="1"/>
  <c r="AE19" i="21"/>
  <c r="AF19" i="21" s="1"/>
  <c r="AC19" i="21"/>
  <c r="AD19" i="21" s="1"/>
  <c r="AA19" i="21"/>
  <c r="AB19" i="21" s="1"/>
  <c r="W19" i="21"/>
  <c r="U19" i="21"/>
  <c r="V19" i="21" s="1"/>
  <c r="S19" i="21"/>
  <c r="T19" i="21" s="1"/>
  <c r="Q19" i="21"/>
  <c r="R19" i="21" s="1"/>
  <c r="P19" i="21"/>
  <c r="O19" i="21"/>
  <c r="N19" i="21"/>
  <c r="M19" i="21"/>
  <c r="L19" i="21"/>
  <c r="K19" i="21"/>
  <c r="J19" i="21"/>
  <c r="I19" i="21"/>
  <c r="H19" i="21"/>
  <c r="G19" i="21"/>
  <c r="F19" i="21"/>
  <c r="E19" i="21"/>
  <c r="D19" i="21"/>
  <c r="C19" i="21"/>
  <c r="B19" i="21"/>
  <c r="A19" i="21"/>
  <c r="BG18" i="21"/>
  <c r="BH18" i="21" s="1"/>
  <c r="BE18" i="21"/>
  <c r="BF18" i="21" s="1"/>
  <c r="AW18" i="21"/>
  <c r="AX18" i="21" s="1"/>
  <c r="AU18" i="21"/>
  <c r="AS18" i="21"/>
  <c r="AT18" i="21" s="1"/>
  <c r="AQ18" i="21"/>
  <c r="AO18" i="21"/>
  <c r="AP18" i="21" s="1"/>
  <c r="AM18" i="21"/>
  <c r="AN18" i="21" s="1"/>
  <c r="AK18" i="21"/>
  <c r="AL18" i="21" s="1"/>
  <c r="AG18" i="21"/>
  <c r="AH18" i="21" s="1"/>
  <c r="AE18" i="21"/>
  <c r="AF18" i="21" s="1"/>
  <c r="AC18" i="21"/>
  <c r="AA18" i="21"/>
  <c r="AB18" i="21" s="1"/>
  <c r="W18" i="21"/>
  <c r="U18" i="21"/>
  <c r="V18" i="21" s="1"/>
  <c r="S18" i="21"/>
  <c r="T18" i="21" s="1"/>
  <c r="Q18" i="21"/>
  <c r="R18" i="21" s="1"/>
  <c r="P18" i="21"/>
  <c r="O18" i="21"/>
  <c r="N18" i="21"/>
  <c r="M18" i="21"/>
  <c r="L18" i="21"/>
  <c r="K18" i="21"/>
  <c r="J18" i="21"/>
  <c r="I18" i="21"/>
  <c r="H18" i="21"/>
  <c r="G18" i="21"/>
  <c r="F18" i="21"/>
  <c r="E18" i="21"/>
  <c r="D18" i="21"/>
  <c r="C18" i="21"/>
  <c r="B18" i="21"/>
  <c r="A18" i="21"/>
  <c r="BG17" i="21"/>
  <c r="BH17" i="21" s="1"/>
  <c r="BE17" i="21"/>
  <c r="BF17" i="21" s="1"/>
  <c r="AW17" i="21"/>
  <c r="AX17" i="21" s="1"/>
  <c r="AU17" i="21"/>
  <c r="AV17" i="21" s="1"/>
  <c r="AS17" i="21"/>
  <c r="AT17" i="21" s="1"/>
  <c r="AQ17" i="21"/>
  <c r="AR17" i="21" s="1"/>
  <c r="AO17" i="21"/>
  <c r="AM17" i="21"/>
  <c r="AN17" i="21" s="1"/>
  <c r="AK17" i="21"/>
  <c r="AL17" i="21" s="1"/>
  <c r="AG17" i="21"/>
  <c r="AE17" i="21"/>
  <c r="AF17" i="21" s="1"/>
  <c r="AC17" i="21"/>
  <c r="AD17" i="21" s="1"/>
  <c r="AA17" i="21"/>
  <c r="AB17" i="21" s="1"/>
  <c r="W17" i="21"/>
  <c r="X17" i="21" s="1"/>
  <c r="U17" i="21"/>
  <c r="V17" i="21" s="1"/>
  <c r="S17" i="21"/>
  <c r="T17" i="21" s="1"/>
  <c r="Q17" i="21"/>
  <c r="R17" i="21" s="1"/>
  <c r="P17" i="21"/>
  <c r="O17" i="21"/>
  <c r="N17" i="21"/>
  <c r="M17" i="21"/>
  <c r="L17" i="21"/>
  <c r="K17" i="21"/>
  <c r="J17" i="21"/>
  <c r="I17" i="21"/>
  <c r="H17" i="21"/>
  <c r="G17" i="21"/>
  <c r="F17" i="21"/>
  <c r="E17" i="21"/>
  <c r="D17" i="21"/>
  <c r="C17" i="21"/>
  <c r="B17" i="21"/>
  <c r="A17" i="21"/>
  <c r="BG16" i="21"/>
  <c r="BE16" i="21"/>
  <c r="BF16" i="21" s="1"/>
  <c r="AW16" i="21"/>
  <c r="AX16" i="21" s="1"/>
  <c r="AU16" i="21"/>
  <c r="AV16" i="21" s="1"/>
  <c r="AS16" i="21"/>
  <c r="AQ16" i="21"/>
  <c r="AR16" i="21" s="1"/>
  <c r="AO16" i="21"/>
  <c r="AP16" i="21" s="1"/>
  <c r="AM16" i="21"/>
  <c r="AK16" i="21"/>
  <c r="AL16" i="21" s="1"/>
  <c r="AG16" i="21"/>
  <c r="AH16" i="21" s="1"/>
  <c r="AE16" i="21"/>
  <c r="AF16" i="21" s="1"/>
  <c r="AC16" i="21"/>
  <c r="AD16" i="21" s="1"/>
  <c r="AA16" i="21"/>
  <c r="AB16" i="21" s="1"/>
  <c r="W16" i="21"/>
  <c r="X16" i="21" s="1"/>
  <c r="U16" i="21"/>
  <c r="V16" i="21" s="1"/>
  <c r="S16" i="21"/>
  <c r="Q16" i="21"/>
  <c r="R16" i="21" s="1"/>
  <c r="P16" i="21"/>
  <c r="O16" i="21"/>
  <c r="N16" i="21"/>
  <c r="M16" i="21"/>
  <c r="L16" i="21"/>
  <c r="K16" i="21"/>
  <c r="J16" i="21"/>
  <c r="I16" i="21"/>
  <c r="H16" i="21"/>
  <c r="G16" i="21"/>
  <c r="F16" i="21"/>
  <c r="E16" i="21"/>
  <c r="D16" i="21"/>
  <c r="C16" i="21"/>
  <c r="B16" i="21"/>
  <c r="A16" i="21"/>
  <c r="BG15" i="21"/>
  <c r="BH15" i="21" s="1"/>
  <c r="BE15" i="21"/>
  <c r="BF15" i="21" s="1"/>
  <c r="AW15" i="21"/>
  <c r="AU15" i="21"/>
  <c r="AV15" i="21" s="1"/>
  <c r="AS15" i="21"/>
  <c r="AT15" i="21" s="1"/>
  <c r="AQ15" i="21"/>
  <c r="AO15" i="21"/>
  <c r="AP15" i="21" s="1"/>
  <c r="AM15" i="21"/>
  <c r="AN15" i="21" s="1"/>
  <c r="AK15" i="21"/>
  <c r="AL15" i="21" s="1"/>
  <c r="AG15" i="21"/>
  <c r="AH15" i="21" s="1"/>
  <c r="AE15" i="21"/>
  <c r="AF15" i="21" s="1"/>
  <c r="AC15" i="21"/>
  <c r="AD15" i="21" s="1"/>
  <c r="AA15" i="21"/>
  <c r="AB15" i="21" s="1"/>
  <c r="W15" i="21"/>
  <c r="U15" i="21"/>
  <c r="V15" i="21" s="1"/>
  <c r="S15" i="21"/>
  <c r="Q15" i="21"/>
  <c r="R15" i="21" s="1"/>
  <c r="P15" i="21"/>
  <c r="O15" i="21"/>
  <c r="N15" i="21"/>
  <c r="M15" i="21"/>
  <c r="L15" i="21"/>
  <c r="K15" i="21"/>
  <c r="J15" i="21"/>
  <c r="I15" i="21"/>
  <c r="H15" i="21"/>
  <c r="G15" i="21"/>
  <c r="F15" i="21"/>
  <c r="E15" i="21"/>
  <c r="D15" i="21"/>
  <c r="C15" i="21"/>
  <c r="B15" i="21"/>
  <c r="A15" i="21"/>
  <c r="BG14" i="21"/>
  <c r="BH14" i="21" s="1"/>
  <c r="BE14" i="21"/>
  <c r="BF14" i="21" s="1"/>
  <c r="AW14" i="21"/>
  <c r="AX14" i="21" s="1"/>
  <c r="AU14" i="21"/>
  <c r="AS14" i="21"/>
  <c r="AT14" i="21" s="1"/>
  <c r="AQ14" i="21"/>
  <c r="AO14" i="21"/>
  <c r="AP14" i="21" s="1"/>
  <c r="AM14" i="21"/>
  <c r="AN14" i="21" s="1"/>
  <c r="AK14" i="21"/>
  <c r="AL14" i="21" s="1"/>
  <c r="AG14" i="21"/>
  <c r="AH14" i="21" s="1"/>
  <c r="AE14" i="21"/>
  <c r="AF14" i="21" s="1"/>
  <c r="AC14" i="21"/>
  <c r="AA14" i="21"/>
  <c r="AB14" i="21" s="1"/>
  <c r="W14" i="21"/>
  <c r="X14" i="21" s="1"/>
  <c r="U14" i="21"/>
  <c r="V14" i="21" s="1"/>
  <c r="S14" i="21"/>
  <c r="T14" i="21" s="1"/>
  <c r="Q14" i="21"/>
  <c r="P14" i="21"/>
  <c r="O14" i="21"/>
  <c r="N14" i="21"/>
  <c r="M14" i="21"/>
  <c r="L14" i="21"/>
  <c r="K14" i="21"/>
  <c r="J14" i="21"/>
  <c r="I14" i="21"/>
  <c r="H14" i="21"/>
  <c r="G14" i="21"/>
  <c r="F14" i="21"/>
  <c r="E14" i="21"/>
  <c r="D14" i="21"/>
  <c r="C14" i="21"/>
  <c r="B14" i="21"/>
  <c r="A14" i="21"/>
  <c r="BG13" i="21"/>
  <c r="BH13" i="21" s="1"/>
  <c r="BE13" i="21"/>
  <c r="BF13" i="21" s="1"/>
  <c r="AW13" i="21"/>
  <c r="AX13" i="21" s="1"/>
  <c r="AU13" i="21"/>
  <c r="AV13" i="21" s="1"/>
  <c r="AS13" i="21"/>
  <c r="AT13" i="21" s="1"/>
  <c r="AQ13" i="21"/>
  <c r="AR13" i="21" s="1"/>
  <c r="AO13" i="21"/>
  <c r="AP13" i="21" s="1"/>
  <c r="AM13" i="21"/>
  <c r="AN13" i="21" s="1"/>
  <c r="AK13" i="21"/>
  <c r="AL13" i="21" s="1"/>
  <c r="AG13" i="21"/>
  <c r="AE13" i="21"/>
  <c r="AF13" i="21" s="1"/>
  <c r="AC13" i="21"/>
  <c r="AA13" i="21"/>
  <c r="AB13" i="21" s="1"/>
  <c r="W13" i="21"/>
  <c r="X13" i="21" s="1"/>
  <c r="U13" i="21"/>
  <c r="S13" i="21"/>
  <c r="T13" i="21" s="1"/>
  <c r="Q13" i="21"/>
  <c r="R13" i="21" s="1"/>
  <c r="P13" i="21"/>
  <c r="O13" i="21"/>
  <c r="N13" i="21"/>
  <c r="M13" i="21"/>
  <c r="L13" i="21"/>
  <c r="K13" i="21"/>
  <c r="J13" i="21"/>
  <c r="I13" i="21"/>
  <c r="H13" i="21"/>
  <c r="G13" i="21"/>
  <c r="F13" i="21"/>
  <c r="E13" i="21"/>
  <c r="D13" i="21"/>
  <c r="C13" i="21"/>
  <c r="B13" i="21"/>
  <c r="A13" i="21"/>
  <c r="BG12" i="21"/>
  <c r="BE12" i="21"/>
  <c r="BF12" i="21" s="1"/>
  <c r="AW12" i="21"/>
  <c r="AX12" i="21" s="1"/>
  <c r="AU12" i="21"/>
  <c r="AV12" i="21" s="1"/>
  <c r="AS12" i="21"/>
  <c r="AT12" i="21" s="1"/>
  <c r="AQ12" i="21"/>
  <c r="AR12" i="21" s="1"/>
  <c r="AO12" i="21"/>
  <c r="AP12" i="21" s="1"/>
  <c r="AM12" i="21"/>
  <c r="AK12" i="21"/>
  <c r="AL12" i="21" s="1"/>
  <c r="AG12" i="21"/>
  <c r="AH12" i="21" s="1"/>
  <c r="AE12" i="21"/>
  <c r="AF12" i="21" s="1"/>
  <c r="AC12" i="21"/>
  <c r="AD12" i="21" s="1"/>
  <c r="AA12" i="21"/>
  <c r="W12" i="21"/>
  <c r="X12" i="21" s="1"/>
  <c r="U12" i="21"/>
  <c r="V12" i="21" s="1"/>
  <c r="S12" i="21"/>
  <c r="Q12" i="21"/>
  <c r="R12" i="21" s="1"/>
  <c r="P12" i="21"/>
  <c r="O12" i="21"/>
  <c r="N12" i="21"/>
  <c r="M12" i="21"/>
  <c r="L12" i="21"/>
  <c r="K12" i="21"/>
  <c r="J12" i="21"/>
  <c r="I12" i="21"/>
  <c r="H12" i="21"/>
  <c r="G12" i="21"/>
  <c r="F12" i="21"/>
  <c r="E12" i="21"/>
  <c r="D12" i="21"/>
  <c r="C12" i="21"/>
  <c r="B12" i="21"/>
  <c r="A12" i="21"/>
  <c r="BG11" i="21"/>
  <c r="BH11" i="21" s="1"/>
  <c r="BE11" i="21"/>
  <c r="BF11" i="21" s="1"/>
  <c r="AW11" i="21"/>
  <c r="AX11" i="21" s="1"/>
  <c r="AU11" i="21"/>
  <c r="AV11" i="21" s="1"/>
  <c r="AS11" i="21"/>
  <c r="AT11" i="21" s="1"/>
  <c r="AQ11" i="21"/>
  <c r="AO11" i="21"/>
  <c r="AP11" i="21" s="1"/>
  <c r="AM11" i="21"/>
  <c r="AK11" i="21"/>
  <c r="AL11" i="21" s="1"/>
  <c r="AG11" i="21"/>
  <c r="AH11" i="21" s="1"/>
  <c r="AE11" i="21"/>
  <c r="AF11" i="21" s="1"/>
  <c r="AC11" i="21"/>
  <c r="AD11" i="21" s="1"/>
  <c r="AA11" i="21"/>
  <c r="AB11" i="21" s="1"/>
  <c r="W11" i="21"/>
  <c r="U11" i="21"/>
  <c r="V11" i="21" s="1"/>
  <c r="S11" i="21"/>
  <c r="Q11" i="21"/>
  <c r="R11" i="21" s="1"/>
  <c r="P11" i="21"/>
  <c r="O11" i="21"/>
  <c r="N11" i="21"/>
  <c r="M11" i="21"/>
  <c r="L11" i="21"/>
  <c r="K11" i="21"/>
  <c r="J11" i="21"/>
  <c r="I11" i="21"/>
  <c r="H11" i="21"/>
  <c r="G11" i="21"/>
  <c r="F11" i="21"/>
  <c r="E11" i="21"/>
  <c r="D11" i="21"/>
  <c r="C11" i="21"/>
  <c r="B11" i="21"/>
  <c r="A11" i="21"/>
  <c r="BG10" i="21"/>
  <c r="BH10" i="21" s="1"/>
  <c r="BE10" i="21"/>
  <c r="BF10" i="21" s="1"/>
  <c r="AW10" i="21"/>
  <c r="AX10" i="21" s="1"/>
  <c r="AU10" i="21"/>
  <c r="AS10" i="21"/>
  <c r="AT10" i="21" s="1"/>
  <c r="AQ10" i="21"/>
  <c r="AR10" i="21" s="1"/>
  <c r="AO10" i="21"/>
  <c r="AP10" i="21" s="1"/>
  <c r="AM10" i="21"/>
  <c r="AN10" i="21" s="1"/>
  <c r="AK10" i="21"/>
  <c r="AL10" i="21" s="1"/>
  <c r="AG10" i="21"/>
  <c r="AH10" i="21" s="1"/>
  <c r="AE10" i="21"/>
  <c r="AF10" i="21" s="1"/>
  <c r="AC10" i="21"/>
  <c r="AA10" i="21"/>
  <c r="AB10" i="21" s="1"/>
  <c r="W10" i="21"/>
  <c r="X10" i="21" s="1"/>
  <c r="U10" i="21"/>
  <c r="V10" i="21" s="1"/>
  <c r="S10" i="21"/>
  <c r="T10" i="21" s="1"/>
  <c r="Q10" i="21"/>
  <c r="R10" i="21" s="1"/>
  <c r="P10" i="21"/>
  <c r="O10" i="21"/>
  <c r="N10" i="21"/>
  <c r="M10" i="21"/>
  <c r="L10" i="21"/>
  <c r="K10" i="21"/>
  <c r="J10" i="21"/>
  <c r="I10" i="21"/>
  <c r="H10" i="21"/>
  <c r="G10" i="21"/>
  <c r="F10" i="21"/>
  <c r="E10" i="21"/>
  <c r="D10" i="21"/>
  <c r="C10" i="21"/>
  <c r="B10" i="21"/>
  <c r="A10" i="21"/>
  <c r="BG9" i="21"/>
  <c r="BH9" i="21" s="1"/>
  <c r="BE9" i="21"/>
  <c r="BF9" i="21" s="1"/>
  <c r="AW9" i="21"/>
  <c r="AX9" i="21" s="1"/>
  <c r="AU9" i="21"/>
  <c r="AS9" i="21"/>
  <c r="AT9" i="21" s="1"/>
  <c r="AQ9" i="21"/>
  <c r="AR9" i="21" s="1"/>
  <c r="AO9" i="21"/>
  <c r="AM9" i="21"/>
  <c r="AN9" i="21" s="1"/>
  <c r="AK9" i="21"/>
  <c r="AL9" i="21" s="1"/>
  <c r="AG9" i="21"/>
  <c r="AE9" i="21"/>
  <c r="AF9" i="21" s="1"/>
  <c r="AC9" i="21"/>
  <c r="AD9" i="21" s="1"/>
  <c r="AA9" i="21"/>
  <c r="AB9" i="21" s="1"/>
  <c r="W9" i="21"/>
  <c r="X9" i="21" s="1"/>
  <c r="U9" i="21"/>
  <c r="V9" i="21" s="1"/>
  <c r="S9" i="21"/>
  <c r="T9" i="21" s="1"/>
  <c r="Q9" i="21"/>
  <c r="R9" i="21" s="1"/>
  <c r="P9" i="21"/>
  <c r="O9" i="21"/>
  <c r="N9" i="21"/>
  <c r="M9" i="21"/>
  <c r="L9" i="21"/>
  <c r="K9" i="21"/>
  <c r="J9" i="21"/>
  <c r="I9" i="21"/>
  <c r="H9" i="21"/>
  <c r="G9" i="21"/>
  <c r="F9" i="21"/>
  <c r="E9" i="21"/>
  <c r="D9" i="21"/>
  <c r="C9" i="21"/>
  <c r="B9" i="21"/>
  <c r="A9" i="21"/>
  <c r="BG8" i="21"/>
  <c r="BE8" i="21"/>
  <c r="BF8" i="21" s="1"/>
  <c r="AW8" i="21"/>
  <c r="AX8" i="21" s="1"/>
  <c r="AU8" i="21"/>
  <c r="AV8" i="21" s="1"/>
  <c r="AS8" i="21"/>
  <c r="AQ8" i="21"/>
  <c r="AR8" i="21" s="1"/>
  <c r="AO8" i="21"/>
  <c r="AP8" i="21" s="1"/>
  <c r="AM8" i="21"/>
  <c r="AK8" i="21"/>
  <c r="AL8" i="21" s="1"/>
  <c r="AG8" i="21"/>
  <c r="AH8" i="21" s="1"/>
  <c r="AE8" i="21"/>
  <c r="AF8" i="21" s="1"/>
  <c r="AC8" i="21"/>
  <c r="AD8" i="21" s="1"/>
  <c r="AA8" i="21"/>
  <c r="AB8" i="21" s="1"/>
  <c r="W8" i="21"/>
  <c r="X8" i="21" s="1"/>
  <c r="U8" i="21"/>
  <c r="V8" i="21" s="1"/>
  <c r="S8" i="21"/>
  <c r="Q8" i="21"/>
  <c r="R8" i="21" s="1"/>
  <c r="P8" i="21"/>
  <c r="O8" i="21"/>
  <c r="N8" i="21"/>
  <c r="M8" i="21"/>
  <c r="L8" i="21"/>
  <c r="K8" i="21"/>
  <c r="J8" i="21"/>
  <c r="I8" i="21"/>
  <c r="H8" i="21"/>
  <c r="G8" i="21"/>
  <c r="F8" i="21"/>
  <c r="E8" i="21"/>
  <c r="D8" i="21"/>
  <c r="C8" i="21"/>
  <c r="B8" i="21"/>
  <c r="A8" i="21"/>
  <c r="BG7" i="21"/>
  <c r="BE7" i="21"/>
  <c r="BF7" i="21" s="1"/>
  <c r="AW7" i="21"/>
  <c r="AX7" i="21" s="1"/>
  <c r="AU7" i="21"/>
  <c r="AV7" i="21" s="1"/>
  <c r="AS7" i="21"/>
  <c r="AT7" i="21" s="1"/>
  <c r="AQ7" i="21"/>
  <c r="AO7" i="21"/>
  <c r="AP7" i="21" s="1"/>
  <c r="AM7" i="21"/>
  <c r="AK7" i="21"/>
  <c r="AL7" i="21" s="1"/>
  <c r="AG7" i="21"/>
  <c r="AH7" i="21" s="1"/>
  <c r="AE7" i="21"/>
  <c r="AF7" i="21" s="1"/>
  <c r="AC7" i="21"/>
  <c r="AD7" i="21" s="1"/>
  <c r="AA7" i="21"/>
  <c r="AB7" i="21" s="1"/>
  <c r="W7" i="21"/>
  <c r="U7" i="21"/>
  <c r="V7" i="21" s="1"/>
  <c r="S7" i="21"/>
  <c r="T7" i="21" s="1"/>
  <c r="Q7" i="21"/>
  <c r="R7" i="21" s="1"/>
  <c r="P7" i="21"/>
  <c r="O7" i="21"/>
  <c r="N7" i="21"/>
  <c r="M7" i="21"/>
  <c r="L7" i="21"/>
  <c r="K7" i="21"/>
  <c r="J7" i="21"/>
  <c r="I7" i="21"/>
  <c r="H7" i="21"/>
  <c r="G7" i="21"/>
  <c r="F7" i="21"/>
  <c r="E7" i="21"/>
  <c r="D7" i="21"/>
  <c r="C7" i="21"/>
  <c r="B7" i="21"/>
  <c r="A7" i="21"/>
  <c r="BG6" i="21"/>
  <c r="BH6" i="21" s="1"/>
  <c r="BE6" i="21"/>
  <c r="BF6" i="21" s="1"/>
  <c r="AW6" i="21"/>
  <c r="AX6" i="21" s="1"/>
  <c r="AU6" i="21"/>
  <c r="AS6" i="21"/>
  <c r="AT6" i="21" s="1"/>
  <c r="AQ6" i="21"/>
  <c r="AR6" i="21" s="1"/>
  <c r="AO6" i="21"/>
  <c r="AP6" i="21" s="1"/>
  <c r="AM6" i="21"/>
  <c r="AN6" i="21" s="1"/>
  <c r="AK6" i="21"/>
  <c r="AG6" i="21"/>
  <c r="AH6" i="21" s="1"/>
  <c r="AE6" i="21"/>
  <c r="AF6" i="21" s="1"/>
  <c r="AC6" i="21"/>
  <c r="AA6" i="21"/>
  <c r="AB6" i="21" s="1"/>
  <c r="W6" i="21"/>
  <c r="U6" i="21"/>
  <c r="V6" i="21" s="1"/>
  <c r="S6" i="21"/>
  <c r="T6" i="21" s="1"/>
  <c r="Q6" i="21"/>
  <c r="P6" i="21"/>
  <c r="O6" i="21"/>
  <c r="N6" i="21"/>
  <c r="M6" i="21"/>
  <c r="L6" i="21"/>
  <c r="K6" i="21"/>
  <c r="J6" i="21"/>
  <c r="I6" i="21"/>
  <c r="H6" i="21"/>
  <c r="G6" i="21"/>
  <c r="F6" i="21"/>
  <c r="E6" i="21"/>
  <c r="D6" i="21"/>
  <c r="C6" i="21"/>
  <c r="B6" i="21"/>
  <c r="A6" i="21"/>
  <c r="BG5" i="21"/>
  <c r="BH5" i="21" s="1"/>
  <c r="BE5" i="21"/>
  <c r="BF5" i="21" s="1"/>
  <c r="AW5" i="21"/>
  <c r="AX5" i="21" s="1"/>
  <c r="AU5" i="21"/>
  <c r="AS5" i="21"/>
  <c r="AT5" i="21" s="1"/>
  <c r="AQ5" i="21"/>
  <c r="AR5" i="21" s="1"/>
  <c r="AO5" i="21"/>
  <c r="AP5" i="21" s="1"/>
  <c r="AM5" i="21"/>
  <c r="AN5" i="21" s="1"/>
  <c r="AK5" i="21"/>
  <c r="AL5" i="21" s="1"/>
  <c r="AG5" i="21"/>
  <c r="AE5" i="21"/>
  <c r="AF5" i="21" s="1"/>
  <c r="AC5" i="21"/>
  <c r="AD5" i="21" s="1"/>
  <c r="AA5" i="21"/>
  <c r="AB5" i="21" s="1"/>
  <c r="W5" i="21"/>
  <c r="X5" i="21" s="1"/>
  <c r="U5" i="21"/>
  <c r="S5" i="21"/>
  <c r="T5" i="21" s="1"/>
  <c r="Q5" i="21"/>
  <c r="R5" i="21" s="1"/>
  <c r="P5" i="21"/>
  <c r="O5" i="21"/>
  <c r="N5" i="21"/>
  <c r="M5" i="21"/>
  <c r="L5" i="21"/>
  <c r="K5" i="21"/>
  <c r="J5" i="21"/>
  <c r="I5" i="21"/>
  <c r="H5" i="21"/>
  <c r="G5" i="21"/>
  <c r="F5" i="21"/>
  <c r="E5" i="21"/>
  <c r="D5" i="21"/>
  <c r="C5" i="21"/>
  <c r="B5" i="21"/>
  <c r="A5" i="21"/>
  <c r="BG4" i="21"/>
  <c r="BE4" i="21"/>
  <c r="BF4" i="21" s="1"/>
  <c r="AW4" i="21"/>
  <c r="AX4" i="21" s="1"/>
  <c r="AU4" i="21"/>
  <c r="AV4" i="21" s="1"/>
  <c r="AS4" i="21"/>
  <c r="AT4" i="21" s="1"/>
  <c r="AQ4" i="21"/>
  <c r="AR4" i="21" s="1"/>
  <c r="AO4" i="21"/>
  <c r="AP4" i="21" s="1"/>
  <c r="AM4" i="21"/>
  <c r="AK4" i="21"/>
  <c r="AL4" i="21" s="1"/>
  <c r="AG4" i="21"/>
  <c r="AE4" i="21"/>
  <c r="AF4" i="21" s="1"/>
  <c r="AC4" i="21"/>
  <c r="AD4" i="21" s="1"/>
  <c r="AA4" i="21"/>
  <c r="AB4" i="21" s="1"/>
  <c r="W4" i="21"/>
  <c r="X4" i="21" s="1"/>
  <c r="U4" i="21"/>
  <c r="V4" i="21" s="1"/>
  <c r="S4" i="21"/>
  <c r="Q4" i="21"/>
  <c r="R4" i="21" s="1"/>
  <c r="P4" i="21"/>
  <c r="O4" i="21"/>
  <c r="N4" i="21"/>
  <c r="M4" i="21"/>
  <c r="L4" i="21"/>
  <c r="K4" i="21"/>
  <c r="J4" i="21"/>
  <c r="I4" i="21"/>
  <c r="H4" i="21"/>
  <c r="G4" i="21"/>
  <c r="F4" i="21"/>
  <c r="E4" i="21"/>
  <c r="D4" i="21"/>
  <c r="C4" i="21"/>
  <c r="B4" i="21"/>
  <c r="A4" i="21"/>
  <c r="BG3" i="21"/>
  <c r="BE3" i="21"/>
  <c r="BF3" i="21" s="1"/>
  <c r="AW3" i="21"/>
  <c r="AX3" i="21" s="1"/>
  <c r="AU3" i="21"/>
  <c r="AV3" i="21" s="1"/>
  <c r="AS3" i="21"/>
  <c r="AT3" i="21" s="1"/>
  <c r="AQ3" i="21"/>
  <c r="AO3" i="21"/>
  <c r="AP3" i="21" s="1"/>
  <c r="AM3" i="21"/>
  <c r="AN3" i="21" s="1"/>
  <c r="AK3" i="21"/>
  <c r="AL3" i="21" s="1"/>
  <c r="AG3" i="21"/>
  <c r="AH3" i="21" s="1"/>
  <c r="AE3" i="21"/>
  <c r="AC3" i="21"/>
  <c r="AD3" i="21" s="1"/>
  <c r="AA3" i="21"/>
  <c r="AB3" i="21" s="1"/>
  <c r="W3" i="21"/>
  <c r="U3" i="21"/>
  <c r="V3" i="21" s="1"/>
  <c r="S3" i="21"/>
  <c r="T3" i="21" s="1"/>
  <c r="Q3" i="21"/>
  <c r="R3" i="21" s="1"/>
  <c r="P3" i="21"/>
  <c r="O3" i="21"/>
  <c r="N3" i="21"/>
  <c r="M3" i="21"/>
  <c r="L3" i="21"/>
  <c r="K3" i="21"/>
  <c r="J3" i="21"/>
  <c r="I3" i="21"/>
  <c r="H3" i="21"/>
  <c r="G3" i="21"/>
  <c r="F3" i="21"/>
  <c r="E3" i="21"/>
  <c r="D3" i="21"/>
  <c r="C3" i="21"/>
  <c r="B3" i="21"/>
  <c r="A3" i="21"/>
  <c r="BG2" i="21"/>
  <c r="BH2" i="21" s="1"/>
  <c r="BE2" i="21"/>
  <c r="BF2" i="21" s="1"/>
  <c r="AY2" i="21"/>
  <c r="AZ2" i="21" s="1"/>
  <c r="AW2" i="21"/>
  <c r="AX2" i="21" s="1"/>
  <c r="AU2" i="21"/>
  <c r="AS2" i="21"/>
  <c r="AT2" i="21" s="1"/>
  <c r="AQ2" i="21"/>
  <c r="AO2" i="21"/>
  <c r="AP2" i="21" s="1"/>
  <c r="AM2" i="21"/>
  <c r="AN2" i="21" s="1"/>
  <c r="AK2" i="21"/>
  <c r="AG2" i="21"/>
  <c r="AH2" i="21" s="1"/>
  <c r="AE2" i="21"/>
  <c r="AF2" i="21" s="1"/>
  <c r="AC2" i="21"/>
  <c r="AA2" i="21"/>
  <c r="AB2" i="21" s="1"/>
  <c r="W2" i="21"/>
  <c r="X2" i="21" s="1"/>
  <c r="U2" i="21"/>
  <c r="V2" i="21" s="1"/>
  <c r="S2" i="21"/>
  <c r="T2" i="21" s="1"/>
  <c r="Q2" i="21"/>
  <c r="R2" i="21" s="1"/>
  <c r="P2" i="21"/>
  <c r="O2" i="21"/>
  <c r="N2" i="21"/>
  <c r="M2" i="21"/>
  <c r="L2" i="21"/>
  <c r="K2" i="21"/>
  <c r="J2" i="21"/>
  <c r="I2" i="21"/>
  <c r="H2" i="21"/>
  <c r="G2" i="21"/>
  <c r="F2" i="21"/>
  <c r="E2" i="21"/>
  <c r="D2" i="21"/>
  <c r="C2" i="21"/>
  <c r="B2" i="21"/>
  <c r="A2" i="21"/>
  <c r="AI48" i="21" l="1"/>
  <c r="AI56" i="21"/>
  <c r="AI64" i="21"/>
  <c r="AI72" i="21"/>
  <c r="AI80" i="21"/>
  <c r="Y116" i="21"/>
  <c r="AI120" i="21"/>
  <c r="Y124" i="21"/>
  <c r="Y132" i="21"/>
  <c r="Y140" i="21"/>
  <c r="Y156" i="21"/>
  <c r="Y332" i="21"/>
  <c r="AI336" i="21"/>
  <c r="AI344" i="21"/>
  <c r="Y348" i="21"/>
  <c r="Y356" i="21"/>
  <c r="AI360" i="21"/>
  <c r="Y364" i="21"/>
  <c r="Y372" i="21"/>
  <c r="Y380" i="21"/>
  <c r="AI384" i="21"/>
  <c r="Y388" i="21"/>
  <c r="Y396" i="21"/>
  <c r="Y404" i="21"/>
  <c r="BA92" i="21"/>
  <c r="BA116" i="21"/>
  <c r="BA148" i="21"/>
  <c r="BA188" i="21"/>
  <c r="BA196" i="21"/>
  <c r="BA204" i="21"/>
  <c r="BA278" i="21"/>
  <c r="BA284" i="21"/>
  <c r="BA286" i="21"/>
  <c r="BA300" i="21"/>
  <c r="BA312" i="21"/>
  <c r="BA316" i="21"/>
  <c r="Y174" i="21"/>
  <c r="AI178" i="21"/>
  <c r="Y182" i="21"/>
  <c r="Y214" i="21"/>
  <c r="Y230" i="21"/>
  <c r="BA4" i="21"/>
  <c r="BA20" i="21"/>
  <c r="BA28" i="21"/>
  <c r="AJ95" i="21"/>
  <c r="AJ111" i="21"/>
  <c r="AJ135" i="21"/>
  <c r="BB211" i="21"/>
  <c r="BB219" i="21"/>
  <c r="BA220" i="21"/>
  <c r="BA270" i="21"/>
  <c r="BA288" i="21"/>
  <c r="BA296" i="21"/>
  <c r="BA320" i="21"/>
  <c r="AJ351" i="21"/>
  <c r="AI69" i="21"/>
  <c r="Z72" i="21"/>
  <c r="Y73" i="21"/>
  <c r="Z80" i="21"/>
  <c r="Y81" i="21"/>
  <c r="AI85" i="21"/>
  <c r="Z88" i="21"/>
  <c r="Y89" i="21"/>
  <c r="AI93" i="21"/>
  <c r="AI101" i="21"/>
  <c r="AI109" i="21"/>
  <c r="AJ116" i="21"/>
  <c r="AJ124" i="21"/>
  <c r="AI125" i="21"/>
  <c r="BB176" i="21"/>
  <c r="AJ252" i="21"/>
  <c r="AJ260" i="21"/>
  <c r="AI261" i="21"/>
  <c r="AI269" i="21"/>
  <c r="Z272" i="21"/>
  <c r="AI277" i="21"/>
  <c r="Z280" i="21"/>
  <c r="Y281" i="21"/>
  <c r="AI285" i="21"/>
  <c r="Z288" i="21"/>
  <c r="Y289" i="21"/>
  <c r="Y297" i="21"/>
  <c r="AJ300" i="21"/>
  <c r="AJ324" i="21"/>
  <c r="Y385" i="21"/>
  <c r="BA206" i="21"/>
  <c r="AJ217" i="21"/>
  <c r="BA400" i="21"/>
  <c r="BB258" i="21"/>
  <c r="BB322" i="21"/>
  <c r="BA12" i="21"/>
  <c r="AJ127" i="21"/>
  <c r="BA180" i="21"/>
  <c r="BB291" i="21"/>
  <c r="BB339" i="21"/>
  <c r="BA344" i="21"/>
  <c r="BA348" i="21"/>
  <c r="BA350" i="21"/>
  <c r="BA360" i="21"/>
  <c r="BA364" i="21"/>
  <c r="BA376" i="21"/>
  <c r="BB379" i="21"/>
  <c r="BA382" i="21"/>
  <c r="BA384" i="21"/>
  <c r="BA388" i="21"/>
  <c r="BA392" i="21"/>
  <c r="AJ240" i="21"/>
  <c r="AJ320" i="21"/>
  <c r="Y333" i="21"/>
  <c r="AI337" i="21"/>
  <c r="AI345" i="21"/>
  <c r="Y349" i="21"/>
  <c r="AI353" i="21"/>
  <c r="Y357" i="21"/>
  <c r="Y365" i="21"/>
  <c r="AI385" i="21"/>
  <c r="Z388" i="21"/>
  <c r="AJ392" i="21"/>
  <c r="AI393" i="21"/>
  <c r="Z396" i="21"/>
  <c r="Y397" i="21"/>
  <c r="Z404" i="21"/>
  <c r="Y286" i="21"/>
  <c r="AJ289" i="21"/>
  <c r="AJ297" i="21"/>
  <c r="AI298" i="21"/>
  <c r="AI306" i="21"/>
  <c r="Y310" i="21"/>
  <c r="BA310" i="21"/>
  <c r="AI314" i="21"/>
  <c r="AJ321" i="21"/>
  <c r="AI322" i="21"/>
  <c r="BA334" i="21"/>
  <c r="BA342" i="21"/>
  <c r="BA366" i="21"/>
  <c r="BB125" i="21"/>
  <c r="BB133" i="21"/>
  <c r="BB149" i="21"/>
  <c r="AJ169" i="21"/>
  <c r="AJ193" i="21"/>
  <c r="AI210" i="21"/>
  <c r="AI218" i="21"/>
  <c r="Y222" i="21"/>
  <c r="AI282" i="21"/>
  <c r="AI290" i="21"/>
  <c r="AJ401" i="21"/>
  <c r="BA367" i="21"/>
  <c r="BA399" i="21"/>
  <c r="AJ75" i="21"/>
  <c r="AI76" i="21"/>
  <c r="Y80" i="21"/>
  <c r="AJ83" i="21"/>
  <c r="AI84" i="21"/>
  <c r="Y88" i="21"/>
  <c r="AJ91" i="21"/>
  <c r="AI92" i="21"/>
  <c r="Y96" i="21"/>
  <c r="AJ99" i="21"/>
  <c r="Y104" i="21"/>
  <c r="AJ107" i="21"/>
  <c r="BB72" i="21"/>
  <c r="BB80" i="21"/>
  <c r="BB88" i="21"/>
  <c r="BA121" i="21"/>
  <c r="BA129" i="21"/>
  <c r="BA137" i="21"/>
  <c r="BA161" i="21"/>
  <c r="BA169" i="21"/>
  <c r="BA177" i="21"/>
  <c r="BA185" i="21"/>
  <c r="BA193" i="21"/>
  <c r="BA201" i="21"/>
  <c r="BA209" i="21"/>
  <c r="BA217" i="21"/>
  <c r="Z224" i="21"/>
  <c r="Y225" i="21"/>
  <c r="BA225" i="21"/>
  <c r="AI229" i="21"/>
  <c r="AJ236" i="21"/>
  <c r="AI237" i="21"/>
  <c r="BA241" i="21"/>
  <c r="AI245" i="21"/>
  <c r="BA249" i="21"/>
  <c r="BA257" i="21"/>
  <c r="BB264" i="21"/>
  <c r="BB272" i="21"/>
  <c r="BA277" i="21"/>
  <c r="BB280" i="21"/>
  <c r="BA281" i="21"/>
  <c r="BA285" i="21"/>
  <c r="BA289" i="21"/>
  <c r="BA293" i="21"/>
  <c r="BA301" i="21"/>
  <c r="BA305" i="21"/>
  <c r="AJ308" i="21"/>
  <c r="AI309" i="21"/>
  <c r="BA309" i="21"/>
  <c r="BA313" i="21"/>
  <c r="BA321" i="21"/>
  <c r="BA329" i="21"/>
  <c r="BA333" i="21"/>
  <c r="BA341" i="21"/>
  <c r="BA345" i="21"/>
  <c r="BA353" i="21"/>
  <c r="BA357" i="21"/>
  <c r="BB360" i="21"/>
  <c r="BA361" i="21"/>
  <c r="BB368" i="21"/>
  <c r="BA369" i="21"/>
  <c r="BA377" i="21"/>
  <c r="BA381" i="21"/>
  <c r="BB384" i="21"/>
  <c r="BA385" i="21"/>
  <c r="BA389" i="21"/>
  <c r="BB392" i="21"/>
  <c r="BA393" i="21"/>
  <c r="BA401" i="21"/>
  <c r="BA222" i="21"/>
  <c r="BA402" i="21"/>
  <c r="Y3" i="21"/>
  <c r="BA3" i="21"/>
  <c r="AI7" i="21"/>
  <c r="Z10" i="21"/>
  <c r="Y11" i="21"/>
  <c r="BA11" i="21"/>
  <c r="AI15" i="21"/>
  <c r="Y19" i="21"/>
  <c r="BA19" i="21"/>
  <c r="BA35" i="21"/>
  <c r="Y59" i="21"/>
  <c r="AJ62" i="21"/>
  <c r="AJ70" i="21"/>
  <c r="Y75" i="21"/>
  <c r="AJ78" i="21"/>
  <c r="AI79" i="21"/>
  <c r="Y83" i="21"/>
  <c r="AJ86" i="21"/>
  <c r="AI87" i="21"/>
  <c r="AJ94" i="21"/>
  <c r="Y99" i="21"/>
  <c r="Y107" i="21"/>
  <c r="Z114" i="21"/>
  <c r="Z122" i="21"/>
  <c r="Y123" i="21"/>
  <c r="Z130" i="21"/>
  <c r="Y131" i="21"/>
  <c r="Z138" i="21"/>
  <c r="Y139" i="21"/>
  <c r="Z146" i="21"/>
  <c r="Y147" i="21"/>
  <c r="BB162" i="21"/>
  <c r="AI167" i="21"/>
  <c r="Z170" i="21"/>
  <c r="Z178" i="21"/>
  <c r="Y179" i="21"/>
  <c r="AJ182" i="21"/>
  <c r="AI183" i="21"/>
  <c r="AJ190" i="21"/>
  <c r="AI191" i="21"/>
  <c r="AJ198" i="21"/>
  <c r="AI199" i="21"/>
  <c r="Y203" i="21"/>
  <c r="Y211" i="21"/>
  <c r="AJ214" i="21"/>
  <c r="AJ222" i="21"/>
  <c r="BB242" i="21"/>
  <c r="BB298" i="21"/>
  <c r="BB314" i="21"/>
  <c r="BB330" i="21"/>
  <c r="BA60" i="21"/>
  <c r="BA76" i="21"/>
  <c r="BB13" i="21"/>
  <c r="BA14" i="21"/>
  <c r="BA22" i="21"/>
  <c r="BA30" i="21"/>
  <c r="BA38" i="21"/>
  <c r="BA46" i="21"/>
  <c r="BB53" i="21"/>
  <c r="BA62" i="21"/>
  <c r="BA70" i="21"/>
  <c r="BA84" i="21"/>
  <c r="BA7" i="21"/>
  <c r="BA31" i="21"/>
  <c r="BA39" i="21"/>
  <c r="BA47" i="21"/>
  <c r="Z118" i="21"/>
  <c r="Y119" i="21"/>
  <c r="Z126" i="21"/>
  <c r="Y127" i="21"/>
  <c r="AI131" i="21"/>
  <c r="Z134" i="21"/>
  <c r="Y135" i="21"/>
  <c r="BA135" i="21"/>
  <c r="AI139" i="21"/>
  <c r="Z142" i="21"/>
  <c r="Y143" i="21"/>
  <c r="Z150" i="21"/>
  <c r="Y151" i="21"/>
  <c r="Z158" i="21"/>
  <c r="Y159" i="21"/>
  <c r="BB166" i="21"/>
  <c r="AI171" i="21"/>
  <c r="Y175" i="21"/>
  <c r="Z182" i="21"/>
  <c r="BB182" i="21"/>
  <c r="Y183" i="21"/>
  <c r="BA183" i="21"/>
  <c r="AJ186" i="21"/>
  <c r="AI187" i="21"/>
  <c r="Z190" i="21"/>
  <c r="Y191" i="21"/>
  <c r="BA287" i="21"/>
  <c r="BA295" i="21"/>
  <c r="BA335" i="21"/>
  <c r="BB32" i="21"/>
  <c r="Z48" i="21"/>
  <c r="AI53" i="21"/>
  <c r="Y57" i="21"/>
  <c r="Z64" i="21"/>
  <c r="BA65" i="21"/>
  <c r="BB24" i="21"/>
  <c r="BA33" i="21"/>
  <c r="BB40" i="21"/>
  <c r="BB56" i="21"/>
  <c r="AI61" i="21"/>
  <c r="Z2" i="21"/>
  <c r="AI6" i="21"/>
  <c r="Z9" i="21"/>
  <c r="BA10" i="21"/>
  <c r="AI14" i="21"/>
  <c r="Z17" i="21"/>
  <c r="BB17" i="21"/>
  <c r="Y18" i="21"/>
  <c r="BA18" i="21"/>
  <c r="AJ21" i="21"/>
  <c r="Z25" i="21"/>
  <c r="Y26" i="21"/>
  <c r="BA26" i="21"/>
  <c r="AI30" i="21"/>
  <c r="Z33" i="21"/>
  <c r="Y34" i="21"/>
  <c r="BA34" i="21"/>
  <c r="BA42" i="21"/>
  <c r="BA50" i="21"/>
  <c r="BA32" i="21"/>
  <c r="BA67" i="21"/>
  <c r="BA75" i="21"/>
  <c r="BA83" i="21"/>
  <c r="BA91" i="21"/>
  <c r="BA115" i="21"/>
  <c r="BA147" i="21"/>
  <c r="BA155" i="21"/>
  <c r="BA163" i="21"/>
  <c r="BA171" i="21"/>
  <c r="BA187" i="21"/>
  <c r="BA195" i="21"/>
  <c r="BA203" i="21"/>
  <c r="BA211" i="21"/>
  <c r="BA58" i="21"/>
  <c r="Z65" i="21"/>
  <c r="Y66" i="21"/>
  <c r="BA66" i="21"/>
  <c r="AI70" i="21"/>
  <c r="Z73" i="21"/>
  <c r="Y74" i="21"/>
  <c r="BA74" i="21"/>
  <c r="BA82" i="21"/>
  <c r="BA90" i="21"/>
  <c r="BB113" i="21"/>
  <c r="BA114" i="21"/>
  <c r="BA122" i="21"/>
  <c r="BB129" i="21"/>
  <c r="BA130" i="21"/>
  <c r="BB137" i="21"/>
  <c r="BA138" i="21"/>
  <c r="BB145" i="21"/>
  <c r="BA162" i="21"/>
  <c r="BA170" i="21"/>
  <c r="BB185" i="21"/>
  <c r="Y186" i="21"/>
  <c r="BA186" i="21"/>
  <c r="AJ189" i="21"/>
  <c r="AI190" i="21"/>
  <c r="BB193" i="21"/>
  <c r="Y194" i="21"/>
  <c r="AJ197" i="21"/>
  <c r="AI198" i="21"/>
  <c r="BA202" i="21"/>
  <c r="AJ205" i="21"/>
  <c r="AI206" i="21"/>
  <c r="BA210" i="21"/>
  <c r="AJ213" i="21"/>
  <c r="AI214" i="21"/>
  <c r="Y218" i="21"/>
  <c r="BA218" i="21"/>
  <c r="AI222" i="21"/>
  <c r="Y226" i="21"/>
  <c r="BA274" i="21"/>
  <c r="BA282" i="21"/>
  <c r="BB305" i="21"/>
  <c r="BA306" i="21"/>
  <c r="BB313" i="21"/>
  <c r="BA314" i="21"/>
  <c r="BA322" i="21"/>
  <c r="BA338" i="21"/>
  <c r="BB353" i="21"/>
  <c r="BA354" i="21"/>
  <c r="BA362" i="21"/>
  <c r="BB385" i="21"/>
  <c r="BA386" i="21"/>
  <c r="BA394" i="21"/>
  <c r="BA235" i="21"/>
  <c r="BA243" i="21"/>
  <c r="BA251" i="21"/>
  <c r="BA259" i="21"/>
  <c r="BA267" i="21"/>
  <c r="BA323" i="21"/>
  <c r="BA331" i="21"/>
  <c r="BA355" i="21"/>
  <c r="BA363" i="21"/>
  <c r="BA387" i="21"/>
  <c r="BA5" i="21"/>
  <c r="BA13" i="21"/>
  <c r="BA21" i="21"/>
  <c r="AI25" i="21"/>
  <c r="Z28" i="21"/>
  <c r="BB28" i="21"/>
  <c r="Y29" i="21"/>
  <c r="Z36" i="21"/>
  <c r="BB36" i="21"/>
  <c r="Y37" i="21"/>
  <c r="BA37" i="21"/>
  <c r="BB44" i="21"/>
  <c r="BB52" i="21"/>
  <c r="AJ56" i="21"/>
  <c r="AI57" i="21"/>
  <c r="BA77" i="21"/>
  <c r="BA85" i="21"/>
  <c r="BA93" i="21"/>
  <c r="BA149" i="21"/>
  <c r="BA181" i="21"/>
  <c r="BA189" i="21"/>
  <c r="BA213" i="21"/>
  <c r="BA221" i="21"/>
  <c r="BB141" i="21"/>
  <c r="BA150" i="21"/>
  <c r="BA182" i="21"/>
  <c r="BA214" i="21"/>
  <c r="BA242" i="21"/>
  <c r="BA250" i="21"/>
  <c r="BA258" i="21"/>
  <c r="Z68" i="21"/>
  <c r="BB68" i="21"/>
  <c r="Y69" i="21"/>
  <c r="BB76" i="21"/>
  <c r="BB84" i="21"/>
  <c r="BB92" i="21"/>
  <c r="BB268" i="21"/>
  <c r="BB284" i="21"/>
  <c r="BB300" i="21"/>
  <c r="Y309" i="21"/>
  <c r="AJ312" i="21"/>
  <c r="Y317" i="21"/>
  <c r="BB372" i="21"/>
  <c r="BB380" i="21"/>
  <c r="Y198" i="21"/>
  <c r="AJ201" i="21"/>
  <c r="Z237" i="21"/>
  <c r="BB237" i="21"/>
  <c r="BB397" i="21"/>
  <c r="AJ194" i="21"/>
  <c r="AI195" i="21"/>
  <c r="Y199" i="21"/>
  <c r="BA199" i="21"/>
  <c r="AJ202" i="21"/>
  <c r="AI203" i="21"/>
  <c r="BA207" i="21"/>
  <c r="AI211" i="21"/>
  <c r="Y215" i="21"/>
  <c r="AJ218" i="21"/>
  <c r="BA223" i="21"/>
  <c r="BA239" i="21"/>
  <c r="BB246" i="21"/>
  <c r="BB254" i="21"/>
  <c r="AI259" i="21"/>
  <c r="Z262" i="21"/>
  <c r="BB262" i="21"/>
  <c r="Y263" i="21"/>
  <c r="AJ266" i="21"/>
  <c r="BA271" i="21"/>
  <c r="BB302" i="21"/>
  <c r="BB318" i="21"/>
  <c r="BB326" i="21"/>
  <c r="BB350" i="21"/>
  <c r="BB358" i="21"/>
  <c r="BB374" i="21"/>
  <c r="BB382" i="21"/>
  <c r="BB390" i="21"/>
  <c r="BB398" i="21"/>
  <c r="Y399" i="21"/>
  <c r="AJ402" i="21"/>
  <c r="AI403" i="21"/>
  <c r="Y112" i="21"/>
  <c r="Z119" i="21"/>
  <c r="Y120" i="21"/>
  <c r="Y128" i="21"/>
  <c r="BA136" i="21"/>
  <c r="BA160" i="21"/>
  <c r="BB167" i="21"/>
  <c r="Z175" i="21"/>
  <c r="Y176" i="21"/>
  <c r="BA176" i="21"/>
  <c r="Z183" i="21"/>
  <c r="AJ187" i="21"/>
  <c r="BA192" i="21"/>
  <c r="BA200" i="21"/>
  <c r="BB223" i="21"/>
  <c r="Y240" i="21"/>
  <c r="AI244" i="21"/>
  <c r="Z247" i="21"/>
  <c r="Y248" i="21"/>
  <c r="BA248" i="21"/>
  <c r="AI252" i="21"/>
  <c r="Z255" i="21"/>
  <c r="Y256" i="21"/>
  <c r="BA256" i="21"/>
  <c r="AI260" i="21"/>
  <c r="Z263" i="21"/>
  <c r="BA264" i="21"/>
  <c r="AJ267" i="21"/>
  <c r="BB287" i="21"/>
  <c r="BB303" i="21"/>
  <c r="Y328" i="21"/>
  <c r="BB343" i="21"/>
  <c r="BB359" i="21"/>
  <c r="Y360" i="21"/>
  <c r="AJ363" i="21"/>
  <c r="BB367" i="21"/>
  <c r="AI372" i="21"/>
  <c r="BB383" i="21"/>
  <c r="Z41" i="21"/>
  <c r="Y42" i="21"/>
  <c r="AI77" i="21"/>
  <c r="AI267" i="21"/>
  <c r="Y271" i="21"/>
  <c r="AJ274" i="21"/>
  <c r="AI275" i="21"/>
  <c r="Y279" i="21"/>
  <c r="AJ282" i="21"/>
  <c r="AJ290" i="21"/>
  <c r="AI291" i="21"/>
  <c r="Y303" i="21"/>
  <c r="Y311" i="21"/>
  <c r="AJ314" i="21"/>
  <c r="AI315" i="21"/>
  <c r="Y319" i="21"/>
  <c r="AI330" i="21"/>
  <c r="AJ337" i="21"/>
  <c r="AI338" i="21"/>
  <c r="AJ345" i="21"/>
  <c r="AJ361" i="21"/>
  <c r="AI362" i="21"/>
  <c r="Y366" i="21"/>
  <c r="AJ369" i="21"/>
  <c r="AI370" i="21"/>
  <c r="Y374" i="21"/>
  <c r="AJ377" i="21"/>
  <c r="AI378" i="21"/>
  <c r="Y382" i="21"/>
  <c r="AI386" i="21"/>
  <c r="AJ393" i="21"/>
  <c r="AI394" i="21"/>
  <c r="Y398" i="21"/>
  <c r="AJ54" i="21"/>
  <c r="Z81" i="21"/>
  <c r="Y82" i="21"/>
  <c r="AI86" i="21"/>
  <c r="Z89" i="21"/>
  <c r="Y90" i="21"/>
  <c r="AI94" i="21"/>
  <c r="Z97" i="21"/>
  <c r="AI102" i="21"/>
  <c r="Z105" i="21"/>
  <c r="AI110" i="21"/>
  <c r="Z113" i="21"/>
  <c r="AJ117" i="21"/>
  <c r="Z208" i="21"/>
  <c r="AI213" i="21"/>
  <c r="Z216" i="21"/>
  <c r="Y217" i="21"/>
  <c r="AI221" i="21"/>
  <c r="AI268" i="21"/>
  <c r="AJ275" i="21"/>
  <c r="AI276" i="21"/>
  <c r="AJ283" i="21"/>
  <c r="AI284" i="21"/>
  <c r="Z287" i="21"/>
  <c r="Y288" i="21"/>
  <c r="AI292" i="21"/>
  <c r="Z295" i="21"/>
  <c r="Y296" i="21"/>
  <c r="Y304" i="21"/>
  <c r="AJ307" i="21"/>
  <c r="AI308" i="21"/>
  <c r="Y312" i="21"/>
  <c r="AJ315" i="21"/>
  <c r="AI316" i="21"/>
  <c r="Z319" i="21"/>
  <c r="Y320" i="21"/>
  <c r="AI324" i="21"/>
  <c r="Z326" i="21"/>
  <c r="Y327" i="21"/>
  <c r="AI331" i="21"/>
  <c r="AI339" i="21"/>
  <c r="Y343" i="21"/>
  <c r="AJ346" i="21"/>
  <c r="AI347" i="21"/>
  <c r="Y351" i="21"/>
  <c r="AJ354" i="21"/>
  <c r="AI355" i="21"/>
  <c r="Z358" i="21"/>
  <c r="Y359" i="21"/>
  <c r="AJ362" i="21"/>
  <c r="Z366" i="21"/>
  <c r="Y367" i="21"/>
  <c r="AJ370" i="21"/>
  <c r="AI371" i="21"/>
  <c r="Z374" i="21"/>
  <c r="Y375" i="21"/>
  <c r="AJ378" i="21"/>
  <c r="AI379" i="21"/>
  <c r="Z390" i="21"/>
  <c r="AJ394" i="21"/>
  <c r="Z154" i="21"/>
  <c r="AI166" i="21"/>
  <c r="AJ173" i="21"/>
  <c r="AI174" i="21"/>
  <c r="Y178" i="21"/>
  <c r="AJ181" i="21"/>
  <c r="AI182" i="21"/>
  <c r="Y202" i="21"/>
  <c r="AI230" i="21"/>
  <c r="Z233" i="21"/>
  <c r="AI238" i="21"/>
  <c r="AI253" i="21"/>
  <c r="Y257" i="21"/>
  <c r="AI2" i="21"/>
  <c r="AJ8" i="21"/>
  <c r="AI9" i="21"/>
  <c r="AJ16" i="21"/>
  <c r="AI17" i="21"/>
  <c r="AI33" i="21"/>
  <c r="AI41" i="21"/>
  <c r="Z44" i="21"/>
  <c r="AI223" i="21"/>
  <c r="AI231" i="21"/>
  <c r="Z234" i="21"/>
  <c r="Y235" i="21"/>
  <c r="Z241" i="21"/>
  <c r="AJ245" i="21"/>
  <c r="AI246" i="21"/>
  <c r="AJ253" i="21"/>
  <c r="AI254" i="21"/>
  <c r="AJ261" i="21"/>
  <c r="AI262" i="21"/>
  <c r="Z265" i="21"/>
  <c r="Y266" i="21"/>
  <c r="AI270" i="21"/>
  <c r="Y274" i="21"/>
  <c r="AI278" i="21"/>
  <c r="Z281" i="21"/>
  <c r="Y282" i="21"/>
  <c r="AI389" i="21"/>
  <c r="AI397" i="21"/>
  <c r="Z84" i="21"/>
  <c r="Z92" i="21"/>
  <c r="AI97" i="21"/>
  <c r="AJ120" i="21"/>
  <c r="AJ128" i="21"/>
  <c r="AI129" i="21"/>
  <c r="Y133" i="21"/>
  <c r="AJ136" i="21"/>
  <c r="AI137" i="21"/>
  <c r="AJ144" i="21"/>
  <c r="AI145" i="21"/>
  <c r="AJ152" i="21"/>
  <c r="Z164" i="21"/>
  <c r="Y165" i="21"/>
  <c r="Z179" i="21"/>
  <c r="Y180" i="21"/>
  <c r="AI184" i="21"/>
  <c r="Z187" i="21"/>
  <c r="AI192" i="21"/>
  <c r="Z195" i="21"/>
  <c r="Z203" i="21"/>
  <c r="Y204" i="21"/>
  <c r="Z242" i="21"/>
  <c r="Y243" i="21"/>
  <c r="Y267" i="21"/>
  <c r="AJ270" i="21"/>
  <c r="AJ278" i="21"/>
  <c r="BI310" i="21"/>
  <c r="AJ121" i="21"/>
  <c r="Z133" i="21"/>
  <c r="Y134" i="21"/>
  <c r="Z204" i="21"/>
  <c r="Y213" i="21"/>
  <c r="Z220" i="21"/>
  <c r="Z228" i="21"/>
  <c r="AJ232" i="21"/>
  <c r="AI233" i="21"/>
  <c r="Y244" i="21"/>
  <c r="AJ382" i="21"/>
  <c r="BH280" i="21"/>
  <c r="BI280" i="21"/>
  <c r="AI89" i="21"/>
  <c r="AI113" i="21"/>
  <c r="AJ3" i="21"/>
  <c r="AI4" i="21"/>
  <c r="Y16" i="21"/>
  <c r="AJ19" i="21"/>
  <c r="AJ27" i="21"/>
  <c r="AI28" i="21"/>
  <c r="Y32" i="21"/>
  <c r="AJ35" i="21"/>
  <c r="AI36" i="21"/>
  <c r="AJ43" i="21"/>
  <c r="AI44" i="21"/>
  <c r="Y47" i="21"/>
  <c r="AJ58" i="21"/>
  <c r="Y63" i="21"/>
  <c r="AJ66" i="21"/>
  <c r="Y71" i="21"/>
  <c r="Z77" i="21"/>
  <c r="Y78" i="21"/>
  <c r="Z85" i="21"/>
  <c r="Y86" i="21"/>
  <c r="Z93" i="21"/>
  <c r="Y94" i="21"/>
  <c r="AI114" i="21"/>
  <c r="Y8" i="21"/>
  <c r="AJ11" i="21"/>
  <c r="Y2" i="21"/>
  <c r="AI5" i="21"/>
  <c r="Y9" i="21"/>
  <c r="AJ12" i="21"/>
  <c r="AI13" i="21"/>
  <c r="Y17" i="21"/>
  <c r="AI21" i="21"/>
  <c r="Z24" i="21"/>
  <c r="Y25" i="21"/>
  <c r="AI29" i="21"/>
  <c r="Z32" i="21"/>
  <c r="AI37" i="21"/>
  <c r="Z40" i="21"/>
  <c r="AI45" i="21"/>
  <c r="AJ51" i="21"/>
  <c r="AI52" i="21"/>
  <c r="Z55" i="21"/>
  <c r="Y56" i="21"/>
  <c r="AJ59" i="21"/>
  <c r="AI60" i="21"/>
  <c r="Z63" i="21"/>
  <c r="AJ67" i="21"/>
  <c r="AI68" i="21"/>
  <c r="AJ74" i="21"/>
  <c r="Y79" i="21"/>
  <c r="AJ82" i="21"/>
  <c r="AJ90" i="21"/>
  <c r="Y95" i="21"/>
  <c r="Y103" i="21"/>
  <c r="Y111" i="21"/>
  <c r="AI115" i="21"/>
  <c r="AI200" i="21"/>
  <c r="AI215" i="21"/>
  <c r="AI307" i="21"/>
  <c r="AI323" i="21"/>
  <c r="AI354" i="21"/>
  <c r="Y389" i="21"/>
  <c r="AI401" i="21"/>
  <c r="AI130" i="21"/>
  <c r="AI138" i="21"/>
  <c r="Z141" i="21"/>
  <c r="AI146" i="21"/>
  <c r="Z149" i="21"/>
  <c r="AJ161" i="21"/>
  <c r="AI162" i="21"/>
  <c r="AJ168" i="21"/>
  <c r="Y173" i="21"/>
  <c r="AI177" i="21"/>
  <c r="Y181" i="21"/>
  <c r="AJ184" i="21"/>
  <c r="Y189" i="21"/>
  <c r="AI193" i="21"/>
  <c r="Y197" i="21"/>
  <c r="Y205" i="21"/>
  <c r="AI208" i="21"/>
  <c r="Z211" i="21"/>
  <c r="AI216" i="21"/>
  <c r="Z219" i="21"/>
  <c r="AJ231" i="21"/>
  <c r="Y236" i="21"/>
  <c r="AI247" i="21"/>
  <c r="AJ162" i="21"/>
  <c r="Y190" i="21"/>
  <c r="Y206" i="21"/>
  <c r="AI217" i="21"/>
  <c r="Y221" i="21"/>
  <c r="Z250" i="21"/>
  <c r="AI255" i="21"/>
  <c r="Z258" i="21"/>
  <c r="AI263" i="21"/>
  <c r="AI271" i="21"/>
  <c r="Y275" i="21"/>
  <c r="Y290" i="21"/>
  <c r="AJ293" i="21"/>
  <c r="Z297" i="21"/>
  <c r="Y298" i="21"/>
  <c r="AJ301" i="21"/>
  <c r="Y313" i="21"/>
  <c r="AI317" i="21"/>
  <c r="Y321" i="21"/>
  <c r="AI325" i="21"/>
  <c r="AI332" i="21"/>
  <c r="Z335" i="21"/>
  <c r="AI340" i="21"/>
  <c r="Z343" i="21"/>
  <c r="AI348" i="21"/>
  <c r="Y352" i="21"/>
  <c r="AJ355" i="21"/>
  <c r="AI356" i="21"/>
  <c r="AI364" i="21"/>
  <c r="AI380" i="21"/>
  <c r="Y383" i="21"/>
  <c r="AI387" i="21"/>
  <c r="Y391" i="21"/>
  <c r="AI395" i="21"/>
  <c r="AJ131" i="21"/>
  <c r="AI132" i="21"/>
  <c r="Y136" i="21"/>
  <c r="AJ139" i="21"/>
  <c r="AI140" i="21"/>
  <c r="Y144" i="21"/>
  <c r="Y152" i="21"/>
  <c r="AJ155" i="21"/>
  <c r="Y160" i="21"/>
  <c r="AI164" i="21"/>
  <c r="Z166" i="21"/>
  <c r="Y167" i="21"/>
  <c r="AI179" i="21"/>
  <c r="AI234" i="21"/>
  <c r="AI241" i="21"/>
  <c r="Y245" i="21"/>
  <c r="Z251" i="21"/>
  <c r="Y252" i="21"/>
  <c r="Z259" i="21"/>
  <c r="Y260" i="21"/>
  <c r="AI264" i="21"/>
  <c r="Y268" i="21"/>
  <c r="AI272" i="21"/>
  <c r="AI280" i="21"/>
  <c r="AI287" i="21"/>
  <c r="AI302" i="21"/>
  <c r="AI310" i="21"/>
  <c r="AI318" i="21"/>
  <c r="AI333" i="21"/>
  <c r="AI357" i="21"/>
  <c r="AI365" i="21"/>
  <c r="Z368" i="21"/>
  <c r="Y369" i="21"/>
  <c r="Y377" i="21"/>
  <c r="AI388" i="21"/>
  <c r="Y392" i="21"/>
  <c r="AI396" i="21"/>
  <c r="Y400" i="21"/>
  <c r="AI404" i="21"/>
  <c r="AJ132" i="21"/>
  <c r="AI133" i="21"/>
  <c r="AJ140" i="21"/>
  <c r="AI141" i="21"/>
  <c r="AJ148" i="21"/>
  <c r="AI149" i="21"/>
  <c r="Y153" i="21"/>
  <c r="AJ156" i="21"/>
  <c r="AI157" i="21"/>
  <c r="Y161" i="21"/>
  <c r="AJ164" i="21"/>
  <c r="Y168" i="21"/>
  <c r="AJ171" i="21"/>
  <c r="AI180" i="21"/>
  <c r="Y184" i="21"/>
  <c r="AI188" i="21"/>
  <c r="Z191" i="21"/>
  <c r="Y192" i="21"/>
  <c r="AI196" i="21"/>
  <c r="Y200" i="21"/>
  <c r="AI204" i="21"/>
  <c r="Z207" i="21"/>
  <c r="AI219" i="21"/>
  <c r="Z222" i="21"/>
  <c r="Y223" i="21"/>
  <c r="AJ226" i="21"/>
  <c r="Z230" i="21"/>
  <c r="Y231" i="21"/>
  <c r="Z238" i="21"/>
  <c r="AI242" i="21"/>
  <c r="Y246" i="21"/>
  <c r="Y253" i="21"/>
  <c r="AJ256" i="21"/>
  <c r="Y261" i="21"/>
  <c r="AI265" i="21"/>
  <c r="AI273" i="21"/>
  <c r="Z276" i="21"/>
  <c r="AI288" i="21"/>
  <c r="Z291" i="21"/>
  <c r="AI296" i="21"/>
  <c r="Z299" i="21"/>
  <c r="Y300" i="21"/>
  <c r="AI303" i="21"/>
  <c r="Z322" i="21"/>
  <c r="AI326" i="21"/>
  <c r="AI334" i="21"/>
  <c r="AJ341" i="21"/>
  <c r="AI342" i="21"/>
  <c r="Y346" i="21"/>
  <c r="AJ349" i="21"/>
  <c r="AJ357" i="21"/>
  <c r="AI358" i="21"/>
  <c r="Y362" i="21"/>
  <c r="AI366" i="21"/>
  <c r="Y370" i="21"/>
  <c r="AJ373" i="21"/>
  <c r="AJ381" i="21"/>
  <c r="Z392" i="21"/>
  <c r="AI118" i="21"/>
  <c r="AI126" i="21"/>
  <c r="Z129" i="21"/>
  <c r="AI134" i="21"/>
  <c r="Z137" i="21"/>
  <c r="AI142" i="21"/>
  <c r="Z145" i="21"/>
  <c r="Y146" i="21"/>
  <c r="AI150" i="21"/>
  <c r="AI158" i="21"/>
  <c r="Y162" i="21"/>
  <c r="Y169" i="21"/>
  <c r="AJ172" i="21"/>
  <c r="AI173" i="21"/>
  <c r="AJ180" i="21"/>
  <c r="AI181" i="21"/>
  <c r="Z184" i="21"/>
  <c r="Y185" i="21"/>
  <c r="AI189" i="21"/>
  <c r="Z192" i="21"/>
  <c r="Y193" i="21"/>
  <c r="AI197" i="21"/>
  <c r="Z200" i="21"/>
  <c r="Y201" i="21"/>
  <c r="AI205" i="21"/>
  <c r="Y208" i="21"/>
  <c r="Z215" i="21"/>
  <c r="AI220" i="21"/>
  <c r="Z223" i="21"/>
  <c r="AI228" i="21"/>
  <c r="Y232" i="21"/>
  <c r="AJ235" i="21"/>
  <c r="Z246" i="21"/>
  <c r="AJ249" i="21"/>
  <c r="AI250" i="21"/>
  <c r="AJ257" i="21"/>
  <c r="AI258" i="21"/>
  <c r="Y262" i="21"/>
  <c r="AJ265" i="21"/>
  <c r="AI266" i="21"/>
  <c r="Z269" i="21"/>
  <c r="Y270" i="21"/>
  <c r="AI274" i="21"/>
  <c r="Y278" i="21"/>
  <c r="AI281" i="21"/>
  <c r="Z284" i="21"/>
  <c r="Y285" i="21"/>
  <c r="AI289" i="21"/>
  <c r="Z292" i="21"/>
  <c r="Y293" i="21"/>
  <c r="AI297" i="21"/>
  <c r="Y301" i="21"/>
  <c r="Z307" i="21"/>
  <c r="Y308" i="21"/>
  <c r="Z315" i="21"/>
  <c r="Y316" i="21"/>
  <c r="Z323" i="21"/>
  <c r="Y324" i="21"/>
  <c r="AI327" i="21"/>
  <c r="Z330" i="21"/>
  <c r="AJ334" i="21"/>
  <c r="AI335" i="21"/>
  <c r="Y339" i="21"/>
  <c r="AI343" i="21"/>
  <c r="AJ350" i="21"/>
  <c r="AI351" i="21"/>
  <c r="Y355" i="21"/>
  <c r="AI359" i="21"/>
  <c r="Z362" i="21"/>
  <c r="AI367" i="21"/>
  <c r="Y371" i="21"/>
  <c r="AI375" i="21"/>
  <c r="Y379" i="21"/>
  <c r="Y386" i="21"/>
  <c r="AI390" i="21"/>
  <c r="Z393" i="21"/>
  <c r="AI398" i="21"/>
  <c r="Z401" i="21"/>
  <c r="Y402" i="21"/>
  <c r="AJ22" i="21"/>
  <c r="AI23" i="21"/>
  <c r="Y27" i="21"/>
  <c r="AJ30" i="21"/>
  <c r="Y35" i="21"/>
  <c r="AJ38" i="21"/>
  <c r="AI39" i="21"/>
  <c r="Y43" i="21"/>
  <c r="AJ46" i="21"/>
  <c r="Z49" i="21"/>
  <c r="Y50" i="21"/>
  <c r="Y4" i="21"/>
  <c r="AJ7" i="21"/>
  <c r="AI8" i="21"/>
  <c r="Y12" i="21"/>
  <c r="AJ15" i="21"/>
  <c r="AI16" i="21"/>
  <c r="Y20" i="21"/>
  <c r="AJ23" i="21"/>
  <c r="AI24" i="21"/>
  <c r="Y28" i="21"/>
  <c r="AJ31" i="21"/>
  <c r="AI32" i="21"/>
  <c r="Y36" i="21"/>
  <c r="AJ39" i="21"/>
  <c r="AI40" i="21"/>
  <c r="Y51" i="21"/>
  <c r="AI18" i="21"/>
  <c r="AI49" i="21"/>
  <c r="AI10" i="21"/>
  <c r="Z21" i="21"/>
  <c r="Y22" i="21"/>
  <c r="AI26" i="21"/>
  <c r="Z29" i="21"/>
  <c r="Y30" i="21"/>
  <c r="AI34" i="21"/>
  <c r="Z37" i="21"/>
  <c r="Y38" i="21"/>
  <c r="Z45" i="21"/>
  <c r="Y46" i="21"/>
  <c r="Y7" i="21"/>
  <c r="AI11" i="21"/>
  <c r="Z14" i="21"/>
  <c r="Y15" i="21"/>
  <c r="AI19" i="21"/>
  <c r="Y23" i="21"/>
  <c r="AJ26" i="21"/>
  <c r="Y31" i="21"/>
  <c r="AJ34" i="21"/>
  <c r="AI35" i="21"/>
  <c r="Y39" i="21"/>
  <c r="AJ42" i="21"/>
  <c r="Z53" i="21"/>
  <c r="Z60" i="21"/>
  <c r="AI95" i="21"/>
  <c r="AI119" i="21"/>
  <c r="Y177" i="21"/>
  <c r="AJ188" i="21"/>
  <c r="AI212" i="21"/>
  <c r="AJ316" i="21"/>
  <c r="Y54" i="21"/>
  <c r="Y62" i="21"/>
  <c r="AI66" i="21"/>
  <c r="Z69" i="21"/>
  <c r="Y70" i="21"/>
  <c r="AI73" i="21"/>
  <c r="Z76" i="21"/>
  <c r="AI81" i="21"/>
  <c r="AJ87" i="21"/>
  <c r="AI88" i="21"/>
  <c r="Y209" i="21"/>
  <c r="AI227" i="21"/>
  <c r="Y239" i="21"/>
  <c r="AJ279" i="21"/>
  <c r="Y283" i="21"/>
  <c r="AJ286" i="21"/>
  <c r="Y291" i="21"/>
  <c r="AJ294" i="21"/>
  <c r="Y306" i="21"/>
  <c r="AJ325" i="21"/>
  <c r="Y329" i="21"/>
  <c r="AJ332" i="21"/>
  <c r="Z336" i="21"/>
  <c r="Y337" i="21"/>
  <c r="Y345" i="21"/>
  <c r="Y353" i="21"/>
  <c r="AJ356" i="21"/>
  <c r="Y361" i="21"/>
  <c r="Y368" i="21"/>
  <c r="BI382" i="21"/>
  <c r="Z389" i="21"/>
  <c r="Y390" i="21"/>
  <c r="Y55" i="21"/>
  <c r="AI105" i="21"/>
  <c r="AJ143" i="21"/>
  <c r="Y148" i="21"/>
  <c r="AI175" i="21"/>
  <c r="AI207" i="21"/>
  <c r="Y210" i="21"/>
  <c r="AJ248" i="21"/>
  <c r="Y292" i="21"/>
  <c r="Z306" i="21"/>
  <c r="Y338" i="21"/>
  <c r="Z109" i="21"/>
  <c r="Y118" i="21"/>
  <c r="AI122" i="21"/>
  <c r="Z171" i="21"/>
  <c r="AJ183" i="21"/>
  <c r="Y196" i="21"/>
  <c r="AJ228" i="21"/>
  <c r="Y254" i="21"/>
  <c r="Y87" i="21"/>
  <c r="AI154" i="21"/>
  <c r="AJ221" i="21"/>
  <c r="AJ244" i="21"/>
  <c r="AI251" i="21"/>
  <c r="Z254" i="21"/>
  <c r="Y255" i="21"/>
  <c r="Y294" i="21"/>
  <c r="AJ304" i="21"/>
  <c r="Y325" i="21"/>
  <c r="Z378" i="21"/>
  <c r="Z384" i="21"/>
  <c r="Y58" i="21"/>
  <c r="AJ123" i="21"/>
  <c r="AI163" i="21"/>
  <c r="Y166" i="21"/>
  <c r="AI170" i="21"/>
  <c r="Y242" i="21"/>
  <c r="Y264" i="21"/>
  <c r="Y318" i="21"/>
  <c r="AJ328" i="21"/>
  <c r="Z340" i="21"/>
  <c r="Y341" i="21"/>
  <c r="AI55" i="21"/>
  <c r="AI71" i="21"/>
  <c r="BI81" i="21"/>
  <c r="AJ147" i="21"/>
  <c r="Y207" i="21"/>
  <c r="AI224" i="21"/>
  <c r="AI232" i="21"/>
  <c r="AJ239" i="21"/>
  <c r="Y249" i="21"/>
  <c r="AJ299" i="21"/>
  <c r="Z310" i="21"/>
  <c r="Y326" i="21"/>
  <c r="Y342" i="21"/>
  <c r="Y350" i="21"/>
  <c r="Z357" i="21"/>
  <c r="Y358" i="21"/>
  <c r="Y373" i="21"/>
  <c r="AJ376" i="21"/>
  <c r="Y381" i="21"/>
  <c r="Z386" i="21"/>
  <c r="Y387" i="21"/>
  <c r="AJ390" i="21"/>
  <c r="Z394" i="21"/>
  <c r="Y395" i="21"/>
  <c r="Z402" i="21"/>
  <c r="Y403" i="21"/>
  <c r="BI403" i="21"/>
  <c r="Y67" i="21"/>
  <c r="Z174" i="21"/>
  <c r="Z206" i="21"/>
  <c r="Z5" i="21"/>
  <c r="Z13" i="21"/>
  <c r="Y91" i="21"/>
  <c r="Z199" i="21"/>
  <c r="Z308" i="21"/>
  <c r="BI400" i="21"/>
  <c r="Z309" i="21"/>
  <c r="Z317" i="21"/>
  <c r="Z380" i="21"/>
  <c r="Z375" i="21"/>
  <c r="Y64" i="21"/>
  <c r="Z101" i="21"/>
  <c r="Z125" i="21"/>
  <c r="Y224" i="21"/>
  <c r="Z268" i="21"/>
  <c r="Z311" i="21"/>
  <c r="BI350" i="21"/>
  <c r="BI356" i="21"/>
  <c r="Y10" i="21"/>
  <c r="Z157" i="21"/>
  <c r="Z173" i="21"/>
  <c r="BI281" i="21"/>
  <c r="AZ361" i="21"/>
  <c r="BB361" i="21" s="1"/>
  <c r="BI217" i="21"/>
  <c r="BI402" i="21"/>
  <c r="BI200" i="21"/>
  <c r="BI38" i="21"/>
  <c r="BI56" i="21"/>
  <c r="BI134" i="21"/>
  <c r="BI263" i="21"/>
  <c r="BI266" i="21"/>
  <c r="BI339" i="21"/>
  <c r="BI359" i="21"/>
  <c r="BI380" i="21"/>
  <c r="X379" i="21"/>
  <c r="Z379" i="21" s="1"/>
  <c r="AZ295" i="21"/>
  <c r="BI76" i="21"/>
  <c r="BI179" i="21"/>
  <c r="BI182" i="21"/>
  <c r="BI201" i="21"/>
  <c r="BI293" i="21"/>
  <c r="R344" i="21"/>
  <c r="Y344" i="21" s="1"/>
  <c r="AZ207" i="21"/>
  <c r="BB207" i="21" s="1"/>
  <c r="AZ95" i="21"/>
  <c r="AZ79" i="21"/>
  <c r="BI97" i="21"/>
  <c r="BI247" i="21"/>
  <c r="BI343" i="21"/>
  <c r="T373" i="21"/>
  <c r="Z373" i="21" s="1"/>
  <c r="X277" i="21"/>
  <c r="Z277" i="21" s="1"/>
  <c r="AZ263" i="21"/>
  <c r="BI127" i="21"/>
  <c r="BI166" i="21"/>
  <c r="BI357" i="21"/>
  <c r="T364" i="21"/>
  <c r="Z364" i="21" s="1"/>
  <c r="T301" i="21"/>
  <c r="AZ47" i="21"/>
  <c r="BI11" i="21"/>
  <c r="BI88" i="21"/>
  <c r="BI180" i="21"/>
  <c r="BI192" i="21"/>
  <c r="BI220" i="21"/>
  <c r="BI370" i="21"/>
  <c r="BI379" i="21"/>
  <c r="V384" i="21"/>
  <c r="Y384" i="21" s="1"/>
  <c r="AZ375" i="21"/>
  <c r="AX339" i="21"/>
  <c r="BI154" i="21"/>
  <c r="BI203" i="21"/>
  <c r="BI264" i="21"/>
  <c r="BI299" i="21"/>
  <c r="AX324" i="21"/>
  <c r="BA324" i="21" s="1"/>
  <c r="BI189" i="21"/>
  <c r="BI390" i="21"/>
  <c r="R247" i="21"/>
  <c r="Y247" i="21" s="1"/>
  <c r="T351" i="21"/>
  <c r="Z351" i="21" s="1"/>
  <c r="AV381" i="21"/>
  <c r="BB381" i="21" s="1"/>
  <c r="AP9" i="21"/>
  <c r="BA9" i="21" s="1"/>
  <c r="AD6" i="21"/>
  <c r="AJ6" i="21" s="1"/>
  <c r="AB12" i="21"/>
  <c r="AI12" i="21" s="1"/>
  <c r="AV14" i="21"/>
  <c r="AV18" i="21"/>
  <c r="V21" i="21"/>
  <c r="Y21" i="21" s="1"/>
  <c r="AL29" i="21"/>
  <c r="BA29" i="21" s="1"/>
  <c r="AD37" i="21"/>
  <c r="AJ37" i="21" s="1"/>
  <c r="AV46" i="21"/>
  <c r="AX48" i="21"/>
  <c r="X50" i="21"/>
  <c r="Z50" i="21" s="1"/>
  <c r="T51" i="21"/>
  <c r="BI57" i="21"/>
  <c r="BF57" i="21"/>
  <c r="AD61" i="21"/>
  <c r="AJ61" i="21" s="1"/>
  <c r="X62" i="21"/>
  <c r="Z62" i="21" s="1"/>
  <c r="BI68" i="21"/>
  <c r="BF68" i="21"/>
  <c r="X78" i="21"/>
  <c r="AB83" i="21"/>
  <c r="AI83" i="21" s="1"/>
  <c r="AH88" i="21"/>
  <c r="AJ88" i="21" s="1"/>
  <c r="AV93" i="21"/>
  <c r="BB93" i="21" s="1"/>
  <c r="BI98" i="21"/>
  <c r="BF98" i="21"/>
  <c r="AB100" i="21"/>
  <c r="AI100" i="21" s="1"/>
  <c r="BI101" i="21"/>
  <c r="BF101" i="21"/>
  <c r="X107" i="21"/>
  <c r="T111" i="21"/>
  <c r="AV142" i="21"/>
  <c r="BB142" i="21" s="1"/>
  <c r="AR143" i="21"/>
  <c r="BB143" i="21" s="1"/>
  <c r="AN144" i="21"/>
  <c r="BB144" i="21" s="1"/>
  <c r="AH145" i="21"/>
  <c r="AJ145" i="21" s="1"/>
  <c r="AH165" i="21"/>
  <c r="AJ165" i="21" s="1"/>
  <c r="AH167" i="21"/>
  <c r="AJ167" i="21" s="1"/>
  <c r="BI169" i="21"/>
  <c r="BH169" i="21"/>
  <c r="AV170" i="21"/>
  <c r="BB170" i="21" s="1"/>
  <c r="T181" i="21"/>
  <c r="AV183" i="21"/>
  <c r="BB183" i="21" s="1"/>
  <c r="BI184" i="21"/>
  <c r="BH184" i="21"/>
  <c r="AF185" i="21"/>
  <c r="AI185" i="21" s="1"/>
  <c r="AR189" i="21"/>
  <c r="BB189" i="21" s="1"/>
  <c r="AH195" i="21"/>
  <c r="AB202" i="21"/>
  <c r="AI202" i="21" s="1"/>
  <c r="AX205" i="21"/>
  <c r="BA205" i="21" s="1"/>
  <c r="BI213" i="21"/>
  <c r="BH213" i="21"/>
  <c r="AN217" i="21"/>
  <c r="AX228" i="21"/>
  <c r="AT229" i="21"/>
  <c r="AR231" i="21"/>
  <c r="BB231" i="21" s="1"/>
  <c r="BI232" i="21"/>
  <c r="BH232" i="21"/>
  <c r="AH233" i="21"/>
  <c r="AJ233" i="21" s="1"/>
  <c r="AD234" i="21"/>
  <c r="AJ234" i="21" s="1"/>
  <c r="AV234" i="21"/>
  <c r="BB234" i="21" s="1"/>
  <c r="X235" i="21"/>
  <c r="Z235" i="21" s="1"/>
  <c r="AR235" i="21"/>
  <c r="BB235" i="21" s="1"/>
  <c r="BI236" i="21"/>
  <c r="BH236" i="21"/>
  <c r="AH237" i="21"/>
  <c r="AJ237" i="21" s="1"/>
  <c r="AD238" i="21"/>
  <c r="AJ238" i="21" s="1"/>
  <c r="AV238" i="21"/>
  <c r="BB238" i="21" s="1"/>
  <c r="X239" i="21"/>
  <c r="Z239" i="21" s="1"/>
  <c r="AR239" i="21"/>
  <c r="BB239" i="21" s="1"/>
  <c r="T240" i="21"/>
  <c r="Z240" i="21" s="1"/>
  <c r="AN240" i="21"/>
  <c r="BB240" i="21" s="1"/>
  <c r="AF248" i="21"/>
  <c r="AI248" i="21" s="1"/>
  <c r="AV251" i="21"/>
  <c r="BB251" i="21" s="1"/>
  <c r="X252" i="21"/>
  <c r="Z252" i="21" s="1"/>
  <c r="AR256" i="21"/>
  <c r="BB256" i="21" s="1"/>
  <c r="AT261" i="21"/>
  <c r="BA261" i="21" s="1"/>
  <c r="AD263" i="21"/>
  <c r="AJ263" i="21" s="1"/>
  <c r="AV263" i="21"/>
  <c r="X266" i="21"/>
  <c r="AD269" i="21"/>
  <c r="AJ269" i="21" s="1"/>
  <c r="AV269" i="21"/>
  <c r="X270" i="21"/>
  <c r="Z270" i="21" s="1"/>
  <c r="X274" i="21"/>
  <c r="Z274" i="21" s="1"/>
  <c r="T275" i="21"/>
  <c r="Z275" i="21" s="1"/>
  <c r="AR278" i="21"/>
  <c r="AD280" i="21"/>
  <c r="AR282" i="21"/>
  <c r="BB282" i="21" s="1"/>
  <c r="X286" i="21"/>
  <c r="Z286" i="21" s="1"/>
  <c r="BI286" i="21"/>
  <c r="BH286" i="21"/>
  <c r="AH287" i="21"/>
  <c r="AJ287" i="21" s="1"/>
  <c r="AR295" i="21"/>
  <c r="AF300" i="21"/>
  <c r="AI300" i="21" s="1"/>
  <c r="X301" i="21"/>
  <c r="AV310" i="21"/>
  <c r="BB310" i="21" s="1"/>
  <c r="AD323" i="21"/>
  <c r="AJ323" i="21" s="1"/>
  <c r="AR329" i="21"/>
  <c r="V334" i="21"/>
  <c r="Y334" i="21" s="1"/>
  <c r="AN334" i="21"/>
  <c r="BB334" i="21" s="1"/>
  <c r="AV336" i="21"/>
  <c r="BB336" i="21" s="1"/>
  <c r="AR337" i="21"/>
  <c r="T338" i="21"/>
  <c r="Z338" i="21" s="1"/>
  <c r="AH342" i="21"/>
  <c r="AJ342" i="21" s="1"/>
  <c r="AB350" i="21"/>
  <c r="AI350" i="21" s="1"/>
  <c r="AN354" i="21"/>
  <c r="AF361" i="21"/>
  <c r="BI369" i="21"/>
  <c r="BH369" i="21"/>
  <c r="AH374" i="21"/>
  <c r="AJ374" i="21" s="1"/>
  <c r="AF391" i="21"/>
  <c r="AI391" i="21" s="1"/>
  <c r="V401" i="21"/>
  <c r="Y401" i="21" s="1"/>
  <c r="X181" i="21"/>
  <c r="X3" i="21"/>
  <c r="Z3" i="21" s="1"/>
  <c r="V5" i="21"/>
  <c r="Y5" i="21" s="1"/>
  <c r="V13" i="21"/>
  <c r="Y13" i="21" s="1"/>
  <c r="AD14" i="21"/>
  <c r="AJ14" i="21" s="1"/>
  <c r="AV37" i="21"/>
  <c r="BB37" i="21" s="1"/>
  <c r="BI47" i="21"/>
  <c r="BH47" i="21"/>
  <c r="AH48" i="21"/>
  <c r="AJ48" i="21" s="1"/>
  <c r="AD49" i="21"/>
  <c r="BI51" i="21"/>
  <c r="BH51" i="21"/>
  <c r="AD55" i="21"/>
  <c r="X56" i="21"/>
  <c r="Z56" i="21" s="1"/>
  <c r="V60" i="21"/>
  <c r="Y60" i="21" s="1"/>
  <c r="AV61" i="21"/>
  <c r="BB61" i="21" s="1"/>
  <c r="AD69" i="21"/>
  <c r="AJ69" i="21" s="1"/>
  <c r="AN70" i="21"/>
  <c r="AD73" i="21"/>
  <c r="AJ73" i="21" s="1"/>
  <c r="R77" i="21"/>
  <c r="Y77" i="21" s="1"/>
  <c r="T79" i="21"/>
  <c r="Z79" i="21" s="1"/>
  <c r="AH84" i="21"/>
  <c r="AJ84" i="21" s="1"/>
  <c r="T95" i="21"/>
  <c r="Z95" i="21" s="1"/>
  <c r="AF99" i="21"/>
  <c r="AV102" i="21"/>
  <c r="AR103" i="21"/>
  <c r="AN104" i="21"/>
  <c r="BB104" i="21" s="1"/>
  <c r="AH105" i="21"/>
  <c r="AR107" i="21"/>
  <c r="AN108" i="21"/>
  <c r="BB108" i="21" s="1"/>
  <c r="AV109" i="21"/>
  <c r="BB109" i="21" s="1"/>
  <c r="X110" i="21"/>
  <c r="Z110" i="21" s="1"/>
  <c r="BI111" i="21"/>
  <c r="BH111" i="21"/>
  <c r="V114" i="21"/>
  <c r="AN116" i="21"/>
  <c r="BI116" i="21"/>
  <c r="BH116" i="21"/>
  <c r="AR120" i="21"/>
  <c r="V121" i="21"/>
  <c r="Y121" i="21" s="1"/>
  <c r="AN121" i="21"/>
  <c r="BB121" i="21" s="1"/>
  <c r="BI124" i="21"/>
  <c r="BH124" i="21"/>
  <c r="AH125" i="21"/>
  <c r="AJ125" i="21" s="1"/>
  <c r="AD126" i="21"/>
  <c r="AJ126" i="21" s="1"/>
  <c r="AV126" i="21"/>
  <c r="BB126" i="21" s="1"/>
  <c r="X131" i="21"/>
  <c r="Z131" i="21" s="1"/>
  <c r="T136" i="21"/>
  <c r="Z136" i="21" s="1"/>
  <c r="AN136" i="21"/>
  <c r="BB136" i="21" s="1"/>
  <c r="AD142" i="21"/>
  <c r="AJ142" i="21" s="1"/>
  <c r="T144" i="21"/>
  <c r="Z144" i="21" s="1"/>
  <c r="V149" i="21"/>
  <c r="Y149" i="21" s="1"/>
  <c r="AD150" i="21"/>
  <c r="AJ150" i="21" s="1"/>
  <c r="T152" i="21"/>
  <c r="BI152" i="21"/>
  <c r="BH152" i="21"/>
  <c r="BI160" i="21"/>
  <c r="BF160" i="21"/>
  <c r="AF161" i="21"/>
  <c r="AP174" i="21"/>
  <c r="AD176" i="21"/>
  <c r="AJ176" i="21" s="1"/>
  <c r="AX197" i="21"/>
  <c r="BA197" i="21" s="1"/>
  <c r="AD212" i="21"/>
  <c r="AJ212" i="21" s="1"/>
  <c r="AN213" i="21"/>
  <c r="AD216" i="21"/>
  <c r="AJ216" i="21" s="1"/>
  <c r="V219" i="21"/>
  <c r="Y219" i="21" s="1"/>
  <c r="AP219" i="21"/>
  <c r="BA219" i="21" s="1"/>
  <c r="AD220" i="21"/>
  <c r="AJ220" i="21" s="1"/>
  <c r="AD2" i="21"/>
  <c r="AJ2" i="21" s="1"/>
  <c r="AV2" i="21"/>
  <c r="BI3" i="21"/>
  <c r="BH3" i="21"/>
  <c r="AV6" i="21"/>
  <c r="BB6" i="21" s="1"/>
  <c r="AN7" i="21"/>
  <c r="X11" i="21"/>
  <c r="AN11" i="21"/>
  <c r="BI13" i="21"/>
  <c r="X15" i="21"/>
  <c r="AP17" i="21"/>
  <c r="BA17" i="21" s="1"/>
  <c r="X19" i="21"/>
  <c r="Z19" i="21" s="1"/>
  <c r="AH20" i="21"/>
  <c r="AJ20" i="21" s="1"/>
  <c r="BI29" i="21"/>
  <c r="AB31" i="21"/>
  <c r="AI31" i="21" s="1"/>
  <c r="AD33" i="21"/>
  <c r="AJ33" i="21" s="1"/>
  <c r="AP36" i="21"/>
  <c r="BA36" i="21" s="1"/>
  <c r="X38" i="21"/>
  <c r="Z38" i="21" s="1"/>
  <c r="AR38" i="21"/>
  <c r="BB38" i="21" s="1"/>
  <c r="BI42" i="21"/>
  <c r="BI45" i="21"/>
  <c r="AF46" i="21"/>
  <c r="AI46" i="21" s="1"/>
  <c r="AR47" i="21"/>
  <c r="AV49" i="21"/>
  <c r="BB49" i="21" s="1"/>
  <c r="AR50" i="21"/>
  <c r="BB50" i="21" s="1"/>
  <c r="AN51" i="21"/>
  <c r="BB51" i="21" s="1"/>
  <c r="AH52" i="21"/>
  <c r="AJ52" i="21" s="1"/>
  <c r="AL57" i="21"/>
  <c r="BA57" i="21" s="1"/>
  <c r="AB59" i="21"/>
  <c r="AI59" i="21" s="1"/>
  <c r="AT59" i="21"/>
  <c r="BA59" i="21" s="1"/>
  <c r="AX61" i="21"/>
  <c r="AR62" i="21"/>
  <c r="AN63" i="21"/>
  <c r="BB63" i="21" s="1"/>
  <c r="BI63" i="21"/>
  <c r="BH63" i="21"/>
  <c r="AD64" i="21"/>
  <c r="AV64" i="21"/>
  <c r="BB64" i="21" s="1"/>
  <c r="X70" i="21"/>
  <c r="Z70" i="21" s="1"/>
  <c r="BI70" i="21"/>
  <c r="AT71" i="21"/>
  <c r="BA71" i="21" s="1"/>
  <c r="AP72" i="21"/>
  <c r="BA72" i="21" s="1"/>
  <c r="AN74" i="21"/>
  <c r="AV77" i="21"/>
  <c r="BB77" i="21" s="1"/>
  <c r="AB78" i="21"/>
  <c r="AI78" i="21" s="1"/>
  <c r="AR78" i="21"/>
  <c r="BB78" i="21" s="1"/>
  <c r="AN79" i="21"/>
  <c r="BI79" i="21"/>
  <c r="BH79" i="21"/>
  <c r="AL81" i="21"/>
  <c r="BA81" i="21" s="1"/>
  <c r="AF82" i="21"/>
  <c r="AI82" i="21" s="1"/>
  <c r="AX86" i="21"/>
  <c r="BA86" i="21" s="1"/>
  <c r="AD89" i="21"/>
  <c r="AJ89" i="21" s="1"/>
  <c r="AR94" i="21"/>
  <c r="BB94" i="21" s="1"/>
  <c r="AN95" i="21"/>
  <c r="BI95" i="21"/>
  <c r="BH95" i="21"/>
  <c r="V97" i="21"/>
  <c r="Y97" i="21" s="1"/>
  <c r="AP97" i="21"/>
  <c r="R98" i="21"/>
  <c r="Y98" i="21" s="1"/>
  <c r="AL98" i="21"/>
  <c r="AX99" i="21"/>
  <c r="BA99" i="21" s="1"/>
  <c r="AT100" i="21"/>
  <c r="BA100" i="21" s="1"/>
  <c r="V101" i="21"/>
  <c r="AX102" i="21"/>
  <c r="AT103" i="21"/>
  <c r="AP104" i="21"/>
  <c r="AL105" i="21"/>
  <c r="AD106" i="21"/>
  <c r="AJ106" i="21" s="1"/>
  <c r="AV106" i="21"/>
  <c r="AB107" i="21"/>
  <c r="V108" i="21"/>
  <c r="Y108" i="21" s="1"/>
  <c r="BI108" i="21"/>
  <c r="BH108" i="21"/>
  <c r="AH109" i="21"/>
  <c r="AR110" i="21"/>
  <c r="AN111" i="21"/>
  <c r="AH112" i="21"/>
  <c r="AJ112" i="21" s="1"/>
  <c r="AT113" i="21"/>
  <c r="AV115" i="21"/>
  <c r="BB115" i="21" s="1"/>
  <c r="X116" i="21"/>
  <c r="Z116" i="21" s="1"/>
  <c r="AL119" i="21"/>
  <c r="BA119" i="21" s="1"/>
  <c r="AT120" i="21"/>
  <c r="BA120" i="21" s="1"/>
  <c r="BI121" i="21"/>
  <c r="BH121" i="21"/>
  <c r="AH122" i="21"/>
  <c r="T124" i="21"/>
  <c r="Z124" i="21" s="1"/>
  <c r="AN124" i="21"/>
  <c r="BB124" i="21" s="1"/>
  <c r="V129" i="21"/>
  <c r="Y129" i="21" s="1"/>
  <c r="AV130" i="21"/>
  <c r="BB130" i="21" s="1"/>
  <c r="AL134" i="21"/>
  <c r="BA134" i="21" s="1"/>
  <c r="BI136" i="21"/>
  <c r="BH136" i="21"/>
  <c r="AH137" i="21"/>
  <c r="AJ137" i="21" s="1"/>
  <c r="AX139" i="21"/>
  <c r="BA139" i="21" s="1"/>
  <c r="V141" i="21"/>
  <c r="Y141" i="21" s="1"/>
  <c r="AP141" i="21"/>
  <c r="BA141" i="21" s="1"/>
  <c r="AD146" i="21"/>
  <c r="AJ146" i="21" s="1"/>
  <c r="BI147" i="21"/>
  <c r="X151" i="21"/>
  <c r="Z151" i="21" s="1"/>
  <c r="AR151" i="21"/>
  <c r="BB151" i="21" s="1"/>
  <c r="AN152" i="21"/>
  <c r="BB152" i="21" s="1"/>
  <c r="AH153" i="21"/>
  <c r="AJ153" i="21" s="1"/>
  <c r="AD154" i="21"/>
  <c r="AJ154" i="21" s="1"/>
  <c r="AV154" i="21"/>
  <c r="BB154" i="21" s="1"/>
  <c r="AR155" i="21"/>
  <c r="T156" i="21"/>
  <c r="Z156" i="21" s="1"/>
  <c r="AN156" i="21"/>
  <c r="BI156" i="21"/>
  <c r="BH156" i="21"/>
  <c r="AH157" i="21"/>
  <c r="AJ157" i="21" s="1"/>
  <c r="X159" i="21"/>
  <c r="Z159" i="21" s="1"/>
  <c r="AR159" i="21"/>
  <c r="BB159" i="21" s="1"/>
  <c r="T160" i="21"/>
  <c r="AN160" i="21"/>
  <c r="R163" i="21"/>
  <c r="Y163" i="21" s="1"/>
  <c r="T165" i="21"/>
  <c r="Z165" i="21" s="1"/>
  <c r="AL167" i="21"/>
  <c r="X169" i="21"/>
  <c r="Z169" i="21" s="1"/>
  <c r="AH170" i="21"/>
  <c r="AJ170" i="21" s="1"/>
  <c r="AN172" i="21"/>
  <c r="AL175" i="21"/>
  <c r="BI175" i="21"/>
  <c r="BF175" i="21"/>
  <c r="AF176" i="21"/>
  <c r="AI176" i="21" s="1"/>
  <c r="AN177" i="21"/>
  <c r="BB177" i="21" s="1"/>
  <c r="AD196" i="21"/>
  <c r="AJ196" i="21" s="1"/>
  <c r="AD200" i="21"/>
  <c r="AJ200" i="21" s="1"/>
  <c r="AV212" i="21"/>
  <c r="BB212" i="21" s="1"/>
  <c r="X217" i="21"/>
  <c r="BI219" i="21"/>
  <c r="AV220" i="21"/>
  <c r="X221" i="21"/>
  <c r="AN222" i="21"/>
  <c r="BB222" i="21" s="1"/>
  <c r="BI222" i="21"/>
  <c r="BH222" i="21"/>
  <c r="AT227" i="21"/>
  <c r="AD229" i="21"/>
  <c r="AN232" i="21"/>
  <c r="BB232" i="21" s="1"/>
  <c r="T236" i="21"/>
  <c r="Z236" i="21" s="1"/>
  <c r="AN236" i="21"/>
  <c r="BB236" i="21" s="1"/>
  <c r="AN241" i="21"/>
  <c r="BB241" i="21" s="1"/>
  <c r="AD242" i="21"/>
  <c r="AN245" i="21"/>
  <c r="BB245" i="21" s="1"/>
  <c r="BI245" i="21"/>
  <c r="BH245" i="21"/>
  <c r="AB249" i="21"/>
  <c r="AI249" i="21" s="1"/>
  <c r="V250" i="21"/>
  <c r="Y250" i="21" s="1"/>
  <c r="R251" i="21"/>
  <c r="Y251" i="21" s="1"/>
  <c r="AL255" i="21"/>
  <c r="BA255" i="21" s="1"/>
  <c r="AD259" i="21"/>
  <c r="AJ259" i="21" s="1"/>
  <c r="AP262" i="21"/>
  <c r="BA262" i="21" s="1"/>
  <c r="BI262" i="21"/>
  <c r="X264" i="21"/>
  <c r="Z264" i="21" s="1"/>
  <c r="AV265" i="21"/>
  <c r="BB265" i="21" s="1"/>
  <c r="AR266" i="21"/>
  <c r="BI270" i="21"/>
  <c r="BH270" i="21"/>
  <c r="V272" i="21"/>
  <c r="Y272" i="21" s="1"/>
  <c r="R273" i="21"/>
  <c r="Y273" i="21" s="1"/>
  <c r="AL273" i="21"/>
  <c r="BA273" i="21" s="1"/>
  <c r="AR274" i="21"/>
  <c r="AV276" i="21"/>
  <c r="BB276" i="21" s="1"/>
  <c r="T279" i="21"/>
  <c r="Z279" i="21" s="1"/>
  <c r="T283" i="21"/>
  <c r="Z283" i="21" s="1"/>
  <c r="AN283" i="21"/>
  <c r="BB283" i="21" s="1"/>
  <c r="BI283" i="21"/>
  <c r="BH283" i="21"/>
  <c r="AT290" i="21"/>
  <c r="BA290" i="21" s="1"/>
  <c r="AB295" i="21"/>
  <c r="AI295" i="21" s="1"/>
  <c r="AD298" i="21"/>
  <c r="AJ298" i="21" s="1"/>
  <c r="AR299" i="21"/>
  <c r="BB299" i="21" s="1"/>
  <c r="V302" i="21"/>
  <c r="Y302" i="21" s="1"/>
  <c r="AT304" i="21"/>
  <c r="BA304" i="21" s="1"/>
  <c r="AT308" i="21"/>
  <c r="BA308" i="21" s="1"/>
  <c r="AH310" i="21"/>
  <c r="AN320" i="21"/>
  <c r="BB320" i="21" s="1"/>
  <c r="BI321" i="21"/>
  <c r="BH321" i="21"/>
  <c r="AH322" i="21"/>
  <c r="AV328" i="21"/>
  <c r="AX336" i="21"/>
  <c r="AD343" i="21"/>
  <c r="AF349" i="21"/>
  <c r="AI349" i="21" s="1"/>
  <c r="V354" i="21"/>
  <c r="Y354" i="21" s="1"/>
  <c r="AD364" i="21"/>
  <c r="AJ364" i="21" s="1"/>
  <c r="T369" i="21"/>
  <c r="AN369" i="21"/>
  <c r="AN373" i="21"/>
  <c r="BB373" i="21" s="1"/>
  <c r="AX391" i="21"/>
  <c r="BA391" i="21" s="1"/>
  <c r="AV394" i="21"/>
  <c r="BB394" i="21" s="1"/>
  <c r="BF396" i="21"/>
  <c r="BI396" i="21"/>
  <c r="AH400" i="21"/>
  <c r="AJ400" i="21" s="1"/>
  <c r="R376" i="21"/>
  <c r="Y376" i="21" s="1"/>
  <c r="R216" i="21"/>
  <c r="Y216" i="21" s="1"/>
  <c r="R113" i="21"/>
  <c r="T316" i="21"/>
  <c r="Z316" i="21" s="1"/>
  <c r="T132" i="21"/>
  <c r="Z132" i="21" s="1"/>
  <c r="X155" i="21"/>
  <c r="Z155" i="21" s="1"/>
  <c r="AD50" i="21"/>
  <c r="AJ50" i="21" s="1"/>
  <c r="V68" i="21"/>
  <c r="Y68" i="21" s="1"/>
  <c r="AN75" i="21"/>
  <c r="BB75" i="21" s="1"/>
  <c r="AH80" i="21"/>
  <c r="AJ80" i="21" s="1"/>
  <c r="BI93" i="21"/>
  <c r="BF93" i="21"/>
  <c r="AP101" i="21"/>
  <c r="BA101" i="21" s="1"/>
  <c r="R115" i="21"/>
  <c r="Y115" i="21" s="1"/>
  <c r="AR116" i="21"/>
  <c r="BI119" i="21"/>
  <c r="BF119" i="21"/>
  <c r="AB121" i="21"/>
  <c r="AI121" i="21" s="1"/>
  <c r="AT128" i="21"/>
  <c r="AV146" i="21"/>
  <c r="BB146" i="21" s="1"/>
  <c r="AR147" i="21"/>
  <c r="BB147" i="21" s="1"/>
  <c r="T153" i="21"/>
  <c r="Z153" i="21" s="1"/>
  <c r="BI153" i="21"/>
  <c r="BH153" i="21"/>
  <c r="AR164" i="21"/>
  <c r="BB164" i="21" s="1"/>
  <c r="BI177" i="21"/>
  <c r="BH177" i="21"/>
  <c r="AV178" i="21"/>
  <c r="BB178" i="21" s="1"/>
  <c r="R188" i="21"/>
  <c r="Y188" i="21" s="1"/>
  <c r="AT198" i="21"/>
  <c r="BA198" i="21" s="1"/>
  <c r="X205" i="21"/>
  <c r="Z205" i="21" s="1"/>
  <c r="BI209" i="21"/>
  <c r="BH209" i="21"/>
  <c r="AR213" i="21"/>
  <c r="T214" i="21"/>
  <c r="Z214" i="21" s="1"/>
  <c r="AP215" i="21"/>
  <c r="BA215" i="21" s="1"/>
  <c r="AR217" i="21"/>
  <c r="R234" i="21"/>
  <c r="Y234" i="21" s="1"/>
  <c r="BI238" i="21"/>
  <c r="BF238" i="21"/>
  <c r="AR252" i="21"/>
  <c r="BB252" i="21" s="1"/>
  <c r="AB257" i="21"/>
  <c r="AI257" i="21" s="1"/>
  <c r="AP268" i="21"/>
  <c r="BA268" i="21" s="1"/>
  <c r="BI269" i="21"/>
  <c r="BF269" i="21"/>
  <c r="AH271" i="21"/>
  <c r="AJ271" i="21" s="1"/>
  <c r="BI279" i="21"/>
  <c r="BH279" i="21"/>
  <c r="AH284" i="21"/>
  <c r="AJ284" i="21" s="1"/>
  <c r="AP291" i="21"/>
  <c r="BA291" i="21" s="1"/>
  <c r="AN296" i="21"/>
  <c r="BB296" i="21" s="1"/>
  <c r="T303" i="21"/>
  <c r="BI307" i="21"/>
  <c r="BF307" i="21"/>
  <c r="AR309" i="21"/>
  <c r="AN321" i="21"/>
  <c r="BB321" i="21" s="1"/>
  <c r="BF327" i="21"/>
  <c r="BI327" i="21"/>
  <c r="AX332" i="21"/>
  <c r="BA332" i="21" s="1"/>
  <c r="AD333" i="21"/>
  <c r="AJ333" i="21" s="1"/>
  <c r="AV340" i="21"/>
  <c r="AR341" i="21"/>
  <c r="BB341" i="21" s="1"/>
  <c r="T342" i="21"/>
  <c r="Z342" i="21" s="1"/>
  <c r="X345" i="21"/>
  <c r="Z345" i="21" s="1"/>
  <c r="BH348" i="21"/>
  <c r="BI348" i="21"/>
  <c r="X360" i="21"/>
  <c r="Z360" i="21" s="1"/>
  <c r="BI363" i="21"/>
  <c r="BF363" i="21"/>
  <c r="AP373" i="21"/>
  <c r="AR395" i="21"/>
  <c r="BB395" i="21" s="1"/>
  <c r="BH404" i="21"/>
  <c r="BI404" i="21"/>
  <c r="AH4" i="21"/>
  <c r="AJ4" i="21" s="1"/>
  <c r="R6" i="21"/>
  <c r="Y6" i="21" s="1"/>
  <c r="AL6" i="21"/>
  <c r="BA6" i="21" s="1"/>
  <c r="X7" i="21"/>
  <c r="Z7" i="21" s="1"/>
  <c r="AR7" i="21"/>
  <c r="AR11" i="21"/>
  <c r="AD13" i="21"/>
  <c r="AR15" i="21"/>
  <c r="BB15" i="21" s="1"/>
  <c r="T16" i="21"/>
  <c r="Z16" i="21" s="1"/>
  <c r="AR19" i="21"/>
  <c r="BB19" i="21" s="1"/>
  <c r="T20" i="21"/>
  <c r="Z20" i="21" s="1"/>
  <c r="AN20" i="21"/>
  <c r="BB20" i="21" s="1"/>
  <c r="AV21" i="21"/>
  <c r="BB21" i="21" s="1"/>
  <c r="X22" i="21"/>
  <c r="Z22" i="21" s="1"/>
  <c r="AR22" i="21"/>
  <c r="BB22" i="21" s="1"/>
  <c r="AN23" i="21"/>
  <c r="BB23" i="21" s="1"/>
  <c r="BI23" i="21"/>
  <c r="BH23" i="21"/>
  <c r="AH24" i="21"/>
  <c r="AJ24" i="21" s="1"/>
  <c r="AX24" i="21"/>
  <c r="BA24" i="21" s="1"/>
  <c r="AD25" i="21"/>
  <c r="AJ25" i="21" s="1"/>
  <c r="X26" i="21"/>
  <c r="Z26" i="21" s="1"/>
  <c r="T27" i="21"/>
  <c r="Z27" i="21" s="1"/>
  <c r="BI27" i="21"/>
  <c r="BH27" i="21"/>
  <c r="AV33" i="21"/>
  <c r="BB33" i="21" s="1"/>
  <c r="T35" i="21"/>
  <c r="Z35" i="21" s="1"/>
  <c r="BI39" i="21"/>
  <c r="BH39" i="21"/>
  <c r="AH40" i="21"/>
  <c r="AJ40" i="21" s="1"/>
  <c r="AD41" i="21"/>
  <c r="AJ41" i="21" s="1"/>
  <c r="X42" i="21"/>
  <c r="Z42" i="21" s="1"/>
  <c r="AR42" i="21"/>
  <c r="BB42" i="21" s="1"/>
  <c r="T43" i="21"/>
  <c r="Z43" i="21" s="1"/>
  <c r="BI43" i="21"/>
  <c r="BH43" i="21"/>
  <c r="AH44" i="21"/>
  <c r="AJ44" i="21" s="1"/>
  <c r="V48" i="21"/>
  <c r="Y48" i="21" s="1"/>
  <c r="AP48" i="21"/>
  <c r="BA48" i="21" s="1"/>
  <c r="AL49" i="21"/>
  <c r="BA49" i="21" s="1"/>
  <c r="BI49" i="21"/>
  <c r="BF49" i="21"/>
  <c r="AF50" i="21"/>
  <c r="AI50" i="21" s="1"/>
  <c r="AB51" i="21"/>
  <c r="AI51" i="21" s="1"/>
  <c r="V52" i="21"/>
  <c r="Y52" i="21" s="1"/>
  <c r="BI52" i="21"/>
  <c r="BH52" i="21"/>
  <c r="AB54" i="21"/>
  <c r="AI54" i="21" s="1"/>
  <c r="AR54" i="21"/>
  <c r="R61" i="21"/>
  <c r="Y61" i="21" s="1"/>
  <c r="AL61" i="21"/>
  <c r="AH64" i="21"/>
  <c r="AD65" i="21"/>
  <c r="AJ65" i="21" s="1"/>
  <c r="T71" i="21"/>
  <c r="Z71" i="21" s="1"/>
  <c r="X74" i="21"/>
  <c r="Z74" i="21" s="1"/>
  <c r="AR74" i="21"/>
  <c r="AH76" i="21"/>
  <c r="AJ76" i="21" s="1"/>
  <c r="BI77" i="21"/>
  <c r="BF77" i="21"/>
  <c r="AX80" i="21"/>
  <c r="AD85" i="21"/>
  <c r="AJ85" i="21" s="1"/>
  <c r="AP88" i="21"/>
  <c r="AN91" i="21"/>
  <c r="BB91" i="21" s="1"/>
  <c r="BI91" i="21"/>
  <c r="BH91" i="21"/>
  <c r="AH92" i="21"/>
  <c r="AJ92" i="21" s="1"/>
  <c r="AR95" i="21"/>
  <c r="T96" i="21"/>
  <c r="Z96" i="21" s="1"/>
  <c r="T99" i="21"/>
  <c r="AN99" i="21"/>
  <c r="BI99" i="21"/>
  <c r="BH99" i="21"/>
  <c r="AH100" i="21"/>
  <c r="AJ100" i="21" s="1"/>
  <c r="AL102" i="21"/>
  <c r="AF103" i="21"/>
  <c r="AI103" i="21" s="1"/>
  <c r="AX103" i="21"/>
  <c r="AB104" i="21"/>
  <c r="AI104" i="21" s="1"/>
  <c r="AT104" i="21"/>
  <c r="V105" i="21"/>
  <c r="Y105" i="21" s="1"/>
  <c r="AP105" i="21"/>
  <c r="BI105" i="21"/>
  <c r="BI106" i="21"/>
  <c r="BF106" i="21"/>
  <c r="AF107" i="21"/>
  <c r="AB108" i="21"/>
  <c r="AI108" i="21" s="1"/>
  <c r="BI109" i="21"/>
  <c r="BF109" i="21"/>
  <c r="AV110" i="21"/>
  <c r="AR111" i="21"/>
  <c r="AN112" i="21"/>
  <c r="BB112" i="21" s="1"/>
  <c r="BI112" i="21"/>
  <c r="BH112" i="21"/>
  <c r="BI115" i="21"/>
  <c r="BF115" i="21"/>
  <c r="V117" i="21"/>
  <c r="Y117" i="21" s="1"/>
  <c r="AP117" i="21"/>
  <c r="V125" i="21"/>
  <c r="Y125" i="21" s="1"/>
  <c r="AP125" i="21"/>
  <c r="BA125" i="21" s="1"/>
  <c r="R126" i="21"/>
  <c r="Y126" i="21" s="1"/>
  <c r="AL126" i="21"/>
  <c r="BA126" i="21" s="1"/>
  <c r="BI130" i="21"/>
  <c r="BF130" i="21"/>
  <c r="AN132" i="21"/>
  <c r="BB132" i="21" s="1"/>
  <c r="AB136" i="21"/>
  <c r="AI136" i="21" s="1"/>
  <c r="AD138" i="21"/>
  <c r="AJ138" i="21" s="1"/>
  <c r="AL142" i="21"/>
  <c r="BA142" i="21" s="1"/>
  <c r="AX143" i="21"/>
  <c r="BA143" i="21" s="1"/>
  <c r="AB144" i="21"/>
  <c r="AI144" i="21" s="1"/>
  <c r="AT144" i="21"/>
  <c r="BA144" i="21" s="1"/>
  <c r="AP145" i="21"/>
  <c r="BA145" i="21" s="1"/>
  <c r="T148" i="21"/>
  <c r="Z148" i="21" s="1"/>
  <c r="AV155" i="21"/>
  <c r="AR156" i="21"/>
  <c r="AN157" i="21"/>
  <c r="BB157" i="21" s="1"/>
  <c r="AD159" i="21"/>
  <c r="AJ159" i="21" s="1"/>
  <c r="X160" i="21"/>
  <c r="T161" i="21"/>
  <c r="BI163" i="21"/>
  <c r="BF163" i="21"/>
  <c r="BI165" i="21"/>
  <c r="AP167" i="21"/>
  <c r="AX168" i="21"/>
  <c r="V170" i="21"/>
  <c r="Y170" i="21" s="1"/>
  <c r="BI170" i="21"/>
  <c r="BH170" i="21"/>
  <c r="AV171" i="21"/>
  <c r="BB171" i="21" s="1"/>
  <c r="AD174" i="21"/>
  <c r="AJ174" i="21" s="1"/>
  <c r="AP175" i="21"/>
  <c r="AH178" i="21"/>
  <c r="AJ178" i="21" s="1"/>
  <c r="AN181" i="21"/>
  <c r="BB181" i="21" s="1"/>
  <c r="BI188" i="21"/>
  <c r="AN190" i="21"/>
  <c r="BB190" i="21" s="1"/>
  <c r="AH191" i="21"/>
  <c r="AJ191" i="21" s="1"/>
  <c r="AD192" i="21"/>
  <c r="AJ192" i="21" s="1"/>
  <c r="V195" i="21"/>
  <c r="Y195" i="21" s="1"/>
  <c r="AV204" i="21"/>
  <c r="BB204" i="21" s="1"/>
  <c r="BI205" i="21"/>
  <c r="AH206" i="21"/>
  <c r="AJ206" i="21" s="1"/>
  <c r="AD208" i="21"/>
  <c r="AJ208" i="21" s="1"/>
  <c r="AV208" i="21"/>
  <c r="BB208" i="21" s="1"/>
  <c r="X209" i="21"/>
  <c r="Z209" i="21" s="1"/>
  <c r="AH210" i="21"/>
  <c r="AJ210" i="21" s="1"/>
  <c r="R212" i="21"/>
  <c r="Y212" i="21" s="1"/>
  <c r="AL212" i="21"/>
  <c r="BA212" i="21" s="1"/>
  <c r="AD219" i="21"/>
  <c r="X225" i="21"/>
  <c r="Z225" i="21" s="1"/>
  <c r="T226" i="21"/>
  <c r="BI226" i="21"/>
  <c r="BH226" i="21"/>
  <c r="AN228" i="21"/>
  <c r="BB228" i="21" s="1"/>
  <c r="AH229" i="21"/>
  <c r="AX231" i="21"/>
  <c r="BA231" i="21" s="1"/>
  <c r="V233" i="21"/>
  <c r="Y233" i="21" s="1"/>
  <c r="AP233" i="21"/>
  <c r="BA233" i="21" s="1"/>
  <c r="AL234" i="21"/>
  <c r="BA234" i="21" s="1"/>
  <c r="AF235" i="21"/>
  <c r="AI235" i="21" s="1"/>
  <c r="V237" i="21"/>
  <c r="Y237" i="21" s="1"/>
  <c r="AP237" i="21"/>
  <c r="BA237" i="21" s="1"/>
  <c r="R238" i="21"/>
  <c r="Y238" i="21" s="1"/>
  <c r="AL238" i="21"/>
  <c r="BA238" i="21" s="1"/>
  <c r="AF239" i="21"/>
  <c r="AI239" i="21" s="1"/>
  <c r="AB240" i="21"/>
  <c r="AI240" i="21" s="1"/>
  <c r="AT240" i="21"/>
  <c r="AH242" i="21"/>
  <c r="X243" i="21"/>
  <c r="Z243" i="21" s="1"/>
  <c r="AX244" i="21"/>
  <c r="BA244" i="21" s="1"/>
  <c r="AD247" i="21"/>
  <c r="AJ247" i="21" s="1"/>
  <c r="AV247" i="21"/>
  <c r="BB247" i="21" s="1"/>
  <c r="BI251" i="21"/>
  <c r="BF251" i="21"/>
  <c r="AN253" i="21"/>
  <c r="BB253" i="21" s="1"/>
  <c r="AH254" i="21"/>
  <c r="AJ254" i="21" s="1"/>
  <c r="BI255" i="21"/>
  <c r="AF256" i="21"/>
  <c r="AI256" i="21" s="1"/>
  <c r="BI258" i="21"/>
  <c r="AV259" i="21"/>
  <c r="BB259" i="21" s="1"/>
  <c r="T261" i="21"/>
  <c r="Z261" i="21" s="1"/>
  <c r="AL263" i="21"/>
  <c r="BA263" i="21" s="1"/>
  <c r="AD264" i="21"/>
  <c r="R265" i="21"/>
  <c r="Y265" i="21" s="1"/>
  <c r="BI265" i="21"/>
  <c r="BF265" i="21"/>
  <c r="AN267" i="21"/>
  <c r="BB267" i="21" s="1"/>
  <c r="R269" i="21"/>
  <c r="Y269" i="21" s="1"/>
  <c r="AL269" i="21"/>
  <c r="BA269" i="21" s="1"/>
  <c r="AR270" i="21"/>
  <c r="BB270" i="21" s="1"/>
  <c r="T271" i="21"/>
  <c r="Z271" i="21" s="1"/>
  <c r="BI273" i="21"/>
  <c r="BI275" i="21"/>
  <c r="BH275" i="21"/>
  <c r="AH276" i="21"/>
  <c r="AJ276" i="21" s="1"/>
  <c r="BI277" i="21"/>
  <c r="AN279" i="21"/>
  <c r="BB279" i="21" s="1"/>
  <c r="BI285" i="21"/>
  <c r="V287" i="21"/>
  <c r="Y287" i="21" s="1"/>
  <c r="X289" i="21"/>
  <c r="Z289" i="21" s="1"/>
  <c r="AV292" i="21"/>
  <c r="BB292" i="21" s="1"/>
  <c r="X293" i="21"/>
  <c r="Z293" i="21" s="1"/>
  <c r="AR293" i="21"/>
  <c r="BB293" i="21" s="1"/>
  <c r="X296" i="21"/>
  <c r="AF301" i="21"/>
  <c r="AI301" i="21" s="1"/>
  <c r="AF304" i="21"/>
  <c r="AL307" i="21"/>
  <c r="BA307" i="21" s="1"/>
  <c r="X320" i="21"/>
  <c r="BF332" i="21"/>
  <c r="BI332" i="21"/>
  <c r="AV344" i="21"/>
  <c r="AR345" i="21"/>
  <c r="AN346" i="21"/>
  <c r="BB346" i="21" s="1"/>
  <c r="BI346" i="21"/>
  <c r="BH346" i="21"/>
  <c r="AN348" i="21"/>
  <c r="AH353" i="21"/>
  <c r="AJ353" i="21" s="1"/>
  <c r="AX359" i="21"/>
  <c r="BI385" i="21"/>
  <c r="BF385" i="21"/>
  <c r="BI388" i="21"/>
  <c r="AT390" i="21"/>
  <c r="BA390" i="21" s="1"/>
  <c r="AN404" i="21"/>
  <c r="BB404" i="21" s="1"/>
  <c r="R336" i="21"/>
  <c r="Y336" i="21" s="1"/>
  <c r="T302" i="21"/>
  <c r="Z302" i="21" s="1"/>
  <c r="T23" i="21"/>
  <c r="Z23" i="21" s="1"/>
  <c r="AH118" i="21"/>
  <c r="V122" i="21"/>
  <c r="Y122" i="21" s="1"/>
  <c r="AB124" i="21"/>
  <c r="AI124" i="21" s="1"/>
  <c r="AT124" i="21"/>
  <c r="BA124" i="21" s="1"/>
  <c r="AX128" i="21"/>
  <c r="AH133" i="21"/>
  <c r="AJ133" i="21" s="1"/>
  <c r="V137" i="21"/>
  <c r="Y137" i="21" s="1"/>
  <c r="X139" i="21"/>
  <c r="Z139" i="21" s="1"/>
  <c r="AL146" i="21"/>
  <c r="BA146" i="21" s="1"/>
  <c r="AN148" i="21"/>
  <c r="BB148" i="21" s="1"/>
  <c r="BI150" i="21"/>
  <c r="BF150" i="21"/>
  <c r="AF151" i="21"/>
  <c r="AI151" i="21" s="1"/>
  <c r="AX151" i="21"/>
  <c r="BA151" i="21" s="1"/>
  <c r="AT152" i="21"/>
  <c r="BA152" i="21" s="1"/>
  <c r="AP153" i="21"/>
  <c r="BA153" i="21" s="1"/>
  <c r="AL154" i="21"/>
  <c r="BA154" i="21" s="1"/>
  <c r="AF155" i="21"/>
  <c r="AI155" i="21" s="1"/>
  <c r="AB156" i="21"/>
  <c r="AI156" i="21" s="1"/>
  <c r="V157" i="21"/>
  <c r="Y157" i="21" s="1"/>
  <c r="AH158" i="21"/>
  <c r="BI158" i="21"/>
  <c r="BF158" i="21"/>
  <c r="AF159" i="21"/>
  <c r="AI159" i="21" s="1"/>
  <c r="AX159" i="21"/>
  <c r="BI161" i="21"/>
  <c r="BH161" i="21"/>
  <c r="AR165" i="21"/>
  <c r="BB165" i="21" s="1"/>
  <c r="AH166" i="21"/>
  <c r="AJ166" i="21" s="1"/>
  <c r="X167" i="21"/>
  <c r="Z167" i="21" s="1"/>
  <c r="AL168" i="21"/>
  <c r="R171" i="21"/>
  <c r="AN173" i="21"/>
  <c r="BB173" i="21" s="1"/>
  <c r="BI173" i="21"/>
  <c r="BH173" i="21"/>
  <c r="T176" i="21"/>
  <c r="Z176" i="21" s="1"/>
  <c r="AD179" i="21"/>
  <c r="AJ179" i="21" s="1"/>
  <c r="AV179" i="21"/>
  <c r="BB179" i="21" s="1"/>
  <c r="X185" i="21"/>
  <c r="Z185" i="21" s="1"/>
  <c r="AV186" i="21"/>
  <c r="BB186" i="21" s="1"/>
  <c r="AR187" i="21"/>
  <c r="BB187" i="21" s="1"/>
  <c r="AV192" i="21"/>
  <c r="X197" i="21"/>
  <c r="Z197" i="21" s="1"/>
  <c r="T198" i="21"/>
  <c r="Z198" i="21" s="1"/>
  <c r="AV200" i="21"/>
  <c r="BB200" i="21" s="1"/>
  <c r="X201" i="21"/>
  <c r="Z201" i="21" s="1"/>
  <c r="AR201" i="21"/>
  <c r="BB201" i="21" s="1"/>
  <c r="T202" i="21"/>
  <c r="Z202" i="21" s="1"/>
  <c r="AD203" i="21"/>
  <c r="AR205" i="21"/>
  <c r="BB205" i="21" s="1"/>
  <c r="T210" i="21"/>
  <c r="Z210" i="21" s="1"/>
  <c r="BI210" i="21"/>
  <c r="BH210" i="21"/>
  <c r="BI212" i="21"/>
  <c r="BF212" i="21"/>
  <c r="AN214" i="21"/>
  <c r="BB214" i="21" s="1"/>
  <c r="AL216" i="21"/>
  <c r="BA216" i="21" s="1"/>
  <c r="AD224" i="21"/>
  <c r="AJ224" i="21" s="1"/>
  <c r="AV224" i="21"/>
  <c r="BB224" i="21" s="1"/>
  <c r="AR225" i="21"/>
  <c r="BB225" i="21" s="1"/>
  <c r="AN226" i="21"/>
  <c r="AH227" i="21"/>
  <c r="AJ227" i="21" s="1"/>
  <c r="AP230" i="21"/>
  <c r="BA230" i="21" s="1"/>
  <c r="AT232" i="21"/>
  <c r="BA232" i="21" s="1"/>
  <c r="BI234" i="21"/>
  <c r="AB236" i="21"/>
  <c r="AI236" i="21" s="1"/>
  <c r="AT236" i="21"/>
  <c r="BA236" i="21" s="1"/>
  <c r="X248" i="21"/>
  <c r="Z248" i="21" s="1"/>
  <c r="R259" i="21"/>
  <c r="Y259" i="21" s="1"/>
  <c r="AR260" i="21"/>
  <c r="BB260" i="21" s="1"/>
  <c r="BI261" i="21"/>
  <c r="BH261" i="21"/>
  <c r="AL265" i="21"/>
  <c r="BA265" i="21" s="1"/>
  <c r="BI267" i="21"/>
  <c r="BH267" i="21"/>
  <c r="AN271" i="21"/>
  <c r="BB271" i="21" s="1"/>
  <c r="X273" i="21"/>
  <c r="Z273" i="21" s="1"/>
  <c r="AD277" i="21"/>
  <c r="AJ277" i="21" s="1"/>
  <c r="AR281" i="21"/>
  <c r="T282" i="21"/>
  <c r="AB283" i="21"/>
  <c r="AI283" i="21" s="1"/>
  <c r="AT283" i="21"/>
  <c r="BA283" i="21" s="1"/>
  <c r="V284" i="21"/>
  <c r="Y284" i="21" s="1"/>
  <c r="X285" i="21"/>
  <c r="Z285" i="21" s="1"/>
  <c r="AF286" i="21"/>
  <c r="AI286" i="21" s="1"/>
  <c r="AV288" i="21"/>
  <c r="BB288" i="21" s="1"/>
  <c r="T290" i="21"/>
  <c r="Z290" i="21" s="1"/>
  <c r="T294" i="21"/>
  <c r="Z294" i="21" s="1"/>
  <c r="AN294" i="21"/>
  <c r="BB294" i="21" s="1"/>
  <c r="BI294" i="21"/>
  <c r="BH294" i="21"/>
  <c r="AH295" i="21"/>
  <c r="AJ295" i="21" s="1"/>
  <c r="AN297" i="21"/>
  <c r="AL298" i="21"/>
  <c r="AF299" i="21"/>
  <c r="AI299" i="21" s="1"/>
  <c r="BI300" i="21"/>
  <c r="BH300" i="21"/>
  <c r="BH303" i="21"/>
  <c r="BI303" i="21"/>
  <c r="V307" i="21"/>
  <c r="Y307" i="21" s="1"/>
  <c r="AX311" i="21"/>
  <c r="BA311" i="21" s="1"/>
  <c r="T314" i="21"/>
  <c r="Z314" i="21" s="1"/>
  <c r="AH318" i="21"/>
  <c r="AJ318" i="21" s="1"/>
  <c r="AR331" i="21"/>
  <c r="R340" i="21"/>
  <c r="Y340" i="21" s="1"/>
  <c r="AH340" i="21"/>
  <c r="AV362" i="21"/>
  <c r="BB362" i="21" s="1"/>
  <c r="AH367" i="21"/>
  <c r="AR370" i="21"/>
  <c r="BB370" i="21" s="1"/>
  <c r="AN371" i="21"/>
  <c r="BB371" i="21" s="1"/>
  <c r="AH372" i="21"/>
  <c r="AJ372" i="21" s="1"/>
  <c r="AX372" i="21"/>
  <c r="AF376" i="21"/>
  <c r="AI376" i="21" s="1"/>
  <c r="AV376" i="21"/>
  <c r="BB376" i="21" s="1"/>
  <c r="T385" i="21"/>
  <c r="Z385" i="21" s="1"/>
  <c r="AR388" i="21"/>
  <c r="BB388" i="21" s="1"/>
  <c r="AR393" i="21"/>
  <c r="BB393" i="21" s="1"/>
  <c r="V394" i="21"/>
  <c r="Y394" i="21" s="1"/>
  <c r="AD399" i="21"/>
  <c r="AJ399" i="21" s="1"/>
  <c r="AP404" i="21"/>
  <c r="BA404" i="21" s="1"/>
  <c r="R102" i="21"/>
  <c r="Y102" i="21" s="1"/>
  <c r="T108" i="21"/>
  <c r="Z108" i="21" s="1"/>
  <c r="BI7" i="21"/>
  <c r="BH7" i="21"/>
  <c r="AV10" i="21"/>
  <c r="BB10" i="21" s="1"/>
  <c r="X34" i="21"/>
  <c r="Z34" i="21" s="1"/>
  <c r="AX40" i="21"/>
  <c r="X51" i="21"/>
  <c r="AH55" i="21"/>
  <c r="AP68" i="21"/>
  <c r="BA68" i="21" s="1"/>
  <c r="AV73" i="21"/>
  <c r="BB73" i="21" s="1"/>
  <c r="T75" i="21"/>
  <c r="Z75" i="21" s="1"/>
  <c r="V84" i="21"/>
  <c r="Y84" i="21" s="1"/>
  <c r="AT87" i="21"/>
  <c r="BA87" i="21" s="1"/>
  <c r="AV89" i="21"/>
  <c r="BB89" i="21" s="1"/>
  <c r="AR90" i="21"/>
  <c r="BB90" i="21" s="1"/>
  <c r="T91" i="21"/>
  <c r="Z91" i="21" s="1"/>
  <c r="AF106" i="21"/>
  <c r="AI106" i="21" s="1"/>
  <c r="R109" i="21"/>
  <c r="T112" i="21"/>
  <c r="Z112" i="21" s="1"/>
  <c r="AD113" i="21"/>
  <c r="T117" i="21"/>
  <c r="Z117" i="21" s="1"/>
  <c r="BI117" i="21"/>
  <c r="BH117" i="21"/>
  <c r="BI126" i="21"/>
  <c r="BF126" i="21"/>
  <c r="AX127" i="21"/>
  <c r="BA127" i="21" s="1"/>
  <c r="BI132" i="21"/>
  <c r="BH132" i="21"/>
  <c r="AT140" i="21"/>
  <c r="BA140" i="21" s="1"/>
  <c r="R142" i="21"/>
  <c r="Y142" i="21" s="1"/>
  <c r="AF143" i="21"/>
  <c r="AI143" i="21" s="1"/>
  <c r="V145" i="21"/>
  <c r="Y145" i="21" s="1"/>
  <c r="R150" i="21"/>
  <c r="Y150" i="21" s="1"/>
  <c r="AD158" i="21"/>
  <c r="AF168" i="21"/>
  <c r="AI168" i="21" s="1"/>
  <c r="AB169" i="21"/>
  <c r="AI169" i="21" s="1"/>
  <c r="X172" i="21"/>
  <c r="Z172" i="21" s="1"/>
  <c r="BI181" i="21"/>
  <c r="BH181" i="21"/>
  <c r="AB186" i="21"/>
  <c r="AI186" i="21" s="1"/>
  <c r="AR399" i="21"/>
  <c r="BB399" i="21" s="1"/>
  <c r="V258" i="21"/>
  <c r="Y258" i="21" s="1"/>
  <c r="AR3" i="21"/>
  <c r="BB3" i="21" s="1"/>
  <c r="T8" i="21"/>
  <c r="Z8" i="21" s="1"/>
  <c r="T12" i="21"/>
  <c r="Z12" i="21" s="1"/>
  <c r="BI20" i="21"/>
  <c r="BH20" i="21"/>
  <c r="AR26" i="21"/>
  <c r="BB26" i="21" s="1"/>
  <c r="R33" i="21"/>
  <c r="Y33" i="21" s="1"/>
  <c r="AR34" i="21"/>
  <c r="BB34" i="21" s="1"/>
  <c r="AV41" i="21"/>
  <c r="BB41" i="21" s="1"/>
  <c r="AN43" i="21"/>
  <c r="BB43" i="21" s="1"/>
  <c r="AT51" i="21"/>
  <c r="BA51" i="21" s="1"/>
  <c r="AR57" i="21"/>
  <c r="BI58" i="21"/>
  <c r="BH58" i="21"/>
  <c r="AF62" i="21"/>
  <c r="AI62" i="21" s="1"/>
  <c r="AB63" i="21"/>
  <c r="AI63" i="21" s="1"/>
  <c r="AF65" i="21"/>
  <c r="AI65" i="21" s="1"/>
  <c r="T67" i="21"/>
  <c r="Z67" i="21" s="1"/>
  <c r="AL73" i="21"/>
  <c r="BA73" i="21" s="1"/>
  <c r="AT79" i="21"/>
  <c r="BA79" i="21" s="1"/>
  <c r="AL89" i="21"/>
  <c r="BA89" i="21" s="1"/>
  <c r="AT95" i="21"/>
  <c r="BA95" i="21" s="1"/>
  <c r="AD97" i="21"/>
  <c r="AV97" i="21"/>
  <c r="BB97" i="21" s="1"/>
  <c r="X98" i="21"/>
  <c r="Z98" i="21" s="1"/>
  <c r="AR98" i="21"/>
  <c r="AD101" i="21"/>
  <c r="R106" i="21"/>
  <c r="Y106" i="21" s="1"/>
  <c r="AX107" i="21"/>
  <c r="BA107" i="21" s="1"/>
  <c r="AT111" i="21"/>
  <c r="AP112" i="21"/>
  <c r="AH113" i="21"/>
  <c r="AN4" i="21"/>
  <c r="BB4" i="21" s="1"/>
  <c r="AV9" i="21"/>
  <c r="BB9" i="21" s="1"/>
  <c r="AN12" i="21"/>
  <c r="BB12" i="21" s="1"/>
  <c r="BI12" i="21"/>
  <c r="BH12" i="21"/>
  <c r="AH13" i="21"/>
  <c r="BI14" i="21"/>
  <c r="AH17" i="21"/>
  <c r="AJ17" i="21" s="1"/>
  <c r="BI21" i="21"/>
  <c r="BF21" i="21"/>
  <c r="AD29" i="21"/>
  <c r="AJ29" i="21" s="1"/>
  <c r="AV29" i="21"/>
  <c r="BB29" i="21" s="1"/>
  <c r="X30" i="21"/>
  <c r="Z30" i="21" s="1"/>
  <c r="AR30" i="21"/>
  <c r="BB30" i="21" s="1"/>
  <c r="AN35" i="21"/>
  <c r="BB35" i="21" s="1"/>
  <c r="R41" i="21"/>
  <c r="Y41" i="21" s="1"/>
  <c r="BI44" i="21"/>
  <c r="BH44" i="21"/>
  <c r="BI46" i="21"/>
  <c r="AL53" i="21"/>
  <c r="BA53" i="21" s="1"/>
  <c r="AV54" i="21"/>
  <c r="AL56" i="21"/>
  <c r="X58" i="21"/>
  <c r="Z58" i="21" s="1"/>
  <c r="BI59" i="21"/>
  <c r="BH59" i="21"/>
  <c r="AR66" i="21"/>
  <c r="BB66" i="21" s="1"/>
  <c r="AN67" i="21"/>
  <c r="BB67" i="21" s="1"/>
  <c r="AD68" i="21"/>
  <c r="AB75" i="21"/>
  <c r="AI75" i="21" s="1"/>
  <c r="V76" i="21"/>
  <c r="Y76" i="21" s="1"/>
  <c r="T83" i="21"/>
  <c r="Z83" i="21" s="1"/>
  <c r="AV85" i="21"/>
  <c r="BB85" i="21" s="1"/>
  <c r="X86" i="21"/>
  <c r="Z86" i="21" s="1"/>
  <c r="AF90" i="21"/>
  <c r="AI90" i="21" s="1"/>
  <c r="AB91" i="21"/>
  <c r="AI91" i="21" s="1"/>
  <c r="AP96" i="21"/>
  <c r="BA96" i="21" s="1"/>
  <c r="BI96" i="21"/>
  <c r="BH96" i="21"/>
  <c r="X99" i="21"/>
  <c r="AR99" i="21"/>
  <c r="T100" i="21"/>
  <c r="Z100" i="21" s="1"/>
  <c r="AN100" i="21"/>
  <c r="BB100" i="21" s="1"/>
  <c r="AV101" i="21"/>
  <c r="BB101" i="21" s="1"/>
  <c r="X102" i="21"/>
  <c r="Z102" i="21" s="1"/>
  <c r="T103" i="21"/>
  <c r="BI103" i="21"/>
  <c r="BH103" i="21"/>
  <c r="AX104" i="21"/>
  <c r="AP109" i="21"/>
  <c r="BA109" i="21" s="1"/>
  <c r="R110" i="21"/>
  <c r="Y110" i="21" s="1"/>
  <c r="BI110" i="21"/>
  <c r="BF110" i="21"/>
  <c r="BI113" i="21"/>
  <c r="BH113" i="21"/>
  <c r="X115" i="21"/>
  <c r="Z115" i="21" s="1"/>
  <c r="AF116" i="21"/>
  <c r="AI116" i="21" s="1"/>
  <c r="AB117" i="21"/>
  <c r="AI117" i="21" s="1"/>
  <c r="AT117" i="21"/>
  <c r="T120" i="21"/>
  <c r="AF123" i="21"/>
  <c r="AI123" i="21" s="1"/>
  <c r="AX123" i="21"/>
  <c r="BA123" i="21" s="1"/>
  <c r="AX131" i="21"/>
  <c r="BA131" i="21" s="1"/>
  <c r="AV138" i="21"/>
  <c r="BB138" i="21" s="1"/>
  <c r="T140" i="21"/>
  <c r="Z140" i="21" s="1"/>
  <c r="AF147" i="21"/>
  <c r="AI147" i="21" s="1"/>
  <c r="BI148" i="21"/>
  <c r="BH148" i="21"/>
  <c r="AL158" i="21"/>
  <c r="AD160" i="21"/>
  <c r="AJ160" i="21" s="1"/>
  <c r="AV160" i="21"/>
  <c r="X161" i="21"/>
  <c r="AR161" i="21"/>
  <c r="BB161" i="21" s="1"/>
  <c r="R164" i="21"/>
  <c r="Y164" i="21" s="1"/>
  <c r="AX164" i="21"/>
  <c r="BA164" i="21" s="1"/>
  <c r="AB165" i="21"/>
  <c r="AI165" i="21" s="1"/>
  <c r="AT165" i="21"/>
  <c r="BA165" i="21" s="1"/>
  <c r="BI168" i="21"/>
  <c r="BH168" i="21"/>
  <c r="BI171" i="21"/>
  <c r="BF171" i="21"/>
  <c r="AV172" i="21"/>
  <c r="BI176" i="21"/>
  <c r="X180" i="21"/>
  <c r="Z180" i="21" s="1"/>
  <c r="BI183" i="21"/>
  <c r="X188" i="21"/>
  <c r="Z188" i="21" s="1"/>
  <c r="X193" i="21"/>
  <c r="Z193" i="21" s="1"/>
  <c r="AR197" i="21"/>
  <c r="BB197" i="21" s="1"/>
  <c r="AD199" i="21"/>
  <c r="BI202" i="21"/>
  <c r="BH202" i="21"/>
  <c r="BI204" i="21"/>
  <c r="BF204" i="21"/>
  <c r="AN206" i="21"/>
  <c r="BB206" i="21" s="1"/>
  <c r="BI208" i="21"/>
  <c r="BF208" i="21"/>
  <c r="AR209" i="21"/>
  <c r="BB209" i="21" s="1"/>
  <c r="AN210" i="21"/>
  <c r="BB210" i="21" s="1"/>
  <c r="AV215" i="21"/>
  <c r="BB215" i="21" s="1"/>
  <c r="AN218" i="21"/>
  <c r="BB218" i="21" s="1"/>
  <c r="BI218" i="21"/>
  <c r="BH218" i="21"/>
  <c r="AH219" i="21"/>
  <c r="X226" i="21"/>
  <c r="T227" i="21"/>
  <c r="Z227" i="21" s="1"/>
  <c r="AN229" i="21"/>
  <c r="BB229" i="21" s="1"/>
  <c r="T231" i="21"/>
  <c r="BI231" i="21"/>
  <c r="BH231" i="21"/>
  <c r="AX240" i="21"/>
  <c r="AD243" i="21"/>
  <c r="AJ243" i="21" s="1"/>
  <c r="X244" i="21"/>
  <c r="Z244" i="21" s="1"/>
  <c r="AT245" i="21"/>
  <c r="BA245" i="21" s="1"/>
  <c r="AP246" i="21"/>
  <c r="BA246" i="21" s="1"/>
  <c r="AR248" i="21"/>
  <c r="BB248" i="21" s="1"/>
  <c r="T249" i="21"/>
  <c r="Z249" i="21" s="1"/>
  <c r="AD255" i="21"/>
  <c r="AJ255" i="21" s="1"/>
  <c r="BI259" i="21"/>
  <c r="BF259" i="21"/>
  <c r="AN261" i="21"/>
  <c r="BB261" i="21" s="1"/>
  <c r="AH264" i="21"/>
  <c r="AX266" i="21"/>
  <c r="BA266" i="21" s="1"/>
  <c r="BI271" i="21"/>
  <c r="BH271" i="21"/>
  <c r="T278" i="21"/>
  <c r="AB279" i="21"/>
  <c r="AI279" i="21" s="1"/>
  <c r="V280" i="21"/>
  <c r="Y280" i="21" s="1"/>
  <c r="AP280" i="21"/>
  <c r="BA280" i="21" s="1"/>
  <c r="AD281" i="21"/>
  <c r="AJ281" i="21" s="1"/>
  <c r="AR285" i="21"/>
  <c r="AR289" i="21"/>
  <c r="BB289" i="21" s="1"/>
  <c r="BI290" i="21"/>
  <c r="BH290" i="21"/>
  <c r="AL292" i="21"/>
  <c r="BA292" i="21" s="1"/>
  <c r="R299" i="21"/>
  <c r="Y299" i="21" s="1"/>
  <c r="AX299" i="21"/>
  <c r="AP303" i="21"/>
  <c r="BA303" i="21" s="1"/>
  <c r="AH305" i="21"/>
  <c r="AJ305" i="21" s="1"/>
  <c r="AD306" i="21"/>
  <c r="AJ306" i="21" s="1"/>
  <c r="AF312" i="21"/>
  <c r="AB313" i="21"/>
  <c r="AI313" i="21" s="1"/>
  <c r="T318" i="21"/>
  <c r="Z318" i="21" s="1"/>
  <c r="AT339" i="21"/>
  <c r="X352" i="21"/>
  <c r="Z352" i="21" s="1"/>
  <c r="AR352" i="21"/>
  <c r="BB352" i="21" s="1"/>
  <c r="AB363" i="21"/>
  <c r="AI363" i="21" s="1"/>
  <c r="AH365" i="21"/>
  <c r="AJ365" i="21" s="1"/>
  <c r="AT370" i="21"/>
  <c r="BA370" i="21" s="1"/>
  <c r="AP371" i="21"/>
  <c r="BA371" i="21" s="1"/>
  <c r="AB377" i="21"/>
  <c r="AI377" i="21" s="1"/>
  <c r="AR377" i="21"/>
  <c r="BB377" i="21" s="1"/>
  <c r="AH387" i="21"/>
  <c r="AJ387" i="21" s="1"/>
  <c r="AL398" i="21"/>
  <c r="BA398" i="21" s="1"/>
  <c r="AX403" i="21"/>
  <c r="BA403" i="21" s="1"/>
  <c r="T87" i="21"/>
  <c r="Z87" i="21" s="1"/>
  <c r="T4" i="21"/>
  <c r="Z4" i="21" s="1"/>
  <c r="V72" i="21"/>
  <c r="Y72" i="21" s="1"/>
  <c r="AT8" i="21"/>
  <c r="BA8" i="21" s="1"/>
  <c r="T39" i="21"/>
  <c r="Z39" i="21" s="1"/>
  <c r="AB47" i="21"/>
  <c r="AI47" i="21" s="1"/>
  <c r="AH49" i="21"/>
  <c r="BI75" i="21"/>
  <c r="BH75" i="21"/>
  <c r="X90" i="21"/>
  <c r="Z90" i="21" s="1"/>
  <c r="AH96" i="21"/>
  <c r="AJ96" i="21" s="1"/>
  <c r="AN117" i="21"/>
  <c r="BB117" i="21" s="1"/>
  <c r="AD118" i="21"/>
  <c r="AJ118" i="21" s="1"/>
  <c r="AV118" i="21"/>
  <c r="BB118" i="21" s="1"/>
  <c r="AR123" i="21"/>
  <c r="BB123" i="21" s="1"/>
  <c r="AF135" i="21"/>
  <c r="AI135" i="21" s="1"/>
  <c r="AR184" i="21"/>
  <c r="BB184" i="21" s="1"/>
  <c r="V187" i="21"/>
  <c r="Y187" i="21" s="1"/>
  <c r="BI190" i="21"/>
  <c r="BH190" i="21"/>
  <c r="AR192" i="21"/>
  <c r="BB192" i="21" s="1"/>
  <c r="AB194" i="21"/>
  <c r="AI194" i="21" s="1"/>
  <c r="AD204" i="21"/>
  <c r="AJ204" i="21" s="1"/>
  <c r="AV216" i="21"/>
  <c r="BB216" i="21" s="1"/>
  <c r="BI228" i="21"/>
  <c r="BH228" i="21"/>
  <c r="BI230" i="21"/>
  <c r="BF230" i="21"/>
  <c r="X260" i="21"/>
  <c r="Z260" i="21" s="1"/>
  <c r="T267" i="21"/>
  <c r="Z267" i="21" s="1"/>
  <c r="AP272" i="21"/>
  <c r="BA272" i="21" s="1"/>
  <c r="AN275" i="21"/>
  <c r="BB275" i="21" s="1"/>
  <c r="AH280" i="21"/>
  <c r="AR286" i="21"/>
  <c r="BB286" i="21" s="1"/>
  <c r="AD288" i="21"/>
  <c r="AJ288" i="21" s="1"/>
  <c r="AX294" i="21"/>
  <c r="BA294" i="21" s="1"/>
  <c r="AV301" i="21"/>
  <c r="AR319" i="21"/>
  <c r="BB319" i="21" s="1"/>
  <c r="AL327" i="21"/>
  <c r="BA327" i="21" s="1"/>
  <c r="AB341" i="21"/>
  <c r="AI341" i="21" s="1"/>
  <c r="AD386" i="21"/>
  <c r="AJ386" i="21" s="1"/>
  <c r="AN396" i="21"/>
  <c r="BB396" i="21" s="1"/>
  <c r="AL2" i="21"/>
  <c r="BA2" i="21" s="1"/>
  <c r="AN16" i="21"/>
  <c r="BB16" i="21" s="1"/>
  <c r="BI16" i="21"/>
  <c r="BH16" i="21"/>
  <c r="X18" i="21"/>
  <c r="Z18" i="21" s="1"/>
  <c r="BI18" i="21"/>
  <c r="AN27" i="21"/>
  <c r="BB27" i="21" s="1"/>
  <c r="BI30" i="21"/>
  <c r="BI37" i="21"/>
  <c r="AV45" i="21"/>
  <c r="BB45" i="21" s="1"/>
  <c r="AN55" i="21"/>
  <c r="AT63" i="21"/>
  <c r="BA63" i="21" s="1"/>
  <c r="AV65" i="21"/>
  <c r="BB65" i="21" s="1"/>
  <c r="AR81" i="21"/>
  <c r="AX94" i="21"/>
  <c r="BA94" i="21" s="1"/>
  <c r="AL106" i="21"/>
  <c r="BA106" i="21" s="1"/>
  <c r="AT108" i="21"/>
  <c r="BA108" i="21" s="1"/>
  <c r="V109" i="21"/>
  <c r="AF3" i="21"/>
  <c r="AI3" i="21" s="1"/>
  <c r="BI4" i="21"/>
  <c r="BH4" i="21"/>
  <c r="AV5" i="21"/>
  <c r="BB5" i="21" s="1"/>
  <c r="X6" i="21"/>
  <c r="Z6" i="21" s="1"/>
  <c r="BI6" i="21"/>
  <c r="AN8" i="21"/>
  <c r="BB8" i="21" s="1"/>
  <c r="BI8" i="21"/>
  <c r="BH8" i="21"/>
  <c r="AR14" i="21"/>
  <c r="AD18" i="21"/>
  <c r="AJ18" i="21" s="1"/>
  <c r="AR18" i="21"/>
  <c r="BB18" i="21" s="1"/>
  <c r="AB20" i="21"/>
  <c r="AI20" i="21" s="1"/>
  <c r="AF22" i="21"/>
  <c r="AI22" i="21" s="1"/>
  <c r="AT23" i="21"/>
  <c r="BA23" i="21" s="1"/>
  <c r="V24" i="21"/>
  <c r="Y24" i="21" s="1"/>
  <c r="AL25" i="21"/>
  <c r="BA25" i="21" s="1"/>
  <c r="BI25" i="21"/>
  <c r="BF25" i="21"/>
  <c r="AB27" i="21"/>
  <c r="AI27" i="21" s="1"/>
  <c r="T31" i="21"/>
  <c r="Z31" i="21" s="1"/>
  <c r="AN31" i="21"/>
  <c r="BB31" i="21" s="1"/>
  <c r="AH36" i="21"/>
  <c r="AJ36" i="21" s="1"/>
  <c r="AP40" i="21"/>
  <c r="AL41" i="21"/>
  <c r="BA41" i="21" s="1"/>
  <c r="BI41" i="21"/>
  <c r="BF41" i="21"/>
  <c r="AF42" i="21"/>
  <c r="AI42" i="21" s="1"/>
  <c r="AB43" i="21"/>
  <c r="AI43" i="21" s="1"/>
  <c r="V44" i="21"/>
  <c r="Y44" i="21" s="1"/>
  <c r="AP44" i="21"/>
  <c r="BA44" i="21" s="1"/>
  <c r="R45" i="21"/>
  <c r="Y45" i="21" s="1"/>
  <c r="X46" i="21"/>
  <c r="Z46" i="21" s="1"/>
  <c r="AR46" i="21"/>
  <c r="AX54" i="21"/>
  <c r="BA54" i="21" s="1"/>
  <c r="AR55" i="21"/>
  <c r="AD57" i="21"/>
  <c r="AJ57" i="21" s="1"/>
  <c r="AV57" i="21"/>
  <c r="AB58" i="21"/>
  <c r="AI58" i="21" s="1"/>
  <c r="AR58" i="21"/>
  <c r="BB58" i="21" s="1"/>
  <c r="T59" i="21"/>
  <c r="Z59" i="21" s="1"/>
  <c r="AN59" i="21"/>
  <c r="BB59" i="21" s="1"/>
  <c r="AH60" i="21"/>
  <c r="AJ60" i="21" s="1"/>
  <c r="AV60" i="21"/>
  <c r="BB60" i="21" s="1"/>
  <c r="X61" i="21"/>
  <c r="Z61" i="21" s="1"/>
  <c r="AP64" i="21"/>
  <c r="BA64" i="21" s="1"/>
  <c r="R65" i="21"/>
  <c r="Y65" i="21" s="1"/>
  <c r="AN71" i="21"/>
  <c r="BB71" i="21" s="1"/>
  <c r="BI71" i="21"/>
  <c r="BH71" i="21"/>
  <c r="AH72" i="21"/>
  <c r="AJ72" i="21" s="1"/>
  <c r="BI73" i="21"/>
  <c r="AF74" i="21"/>
  <c r="AI74" i="21" s="1"/>
  <c r="AD77" i="21"/>
  <c r="AJ77" i="21" s="1"/>
  <c r="T78" i="21"/>
  <c r="BI78" i="21"/>
  <c r="AP80" i="21"/>
  <c r="BI80" i="21"/>
  <c r="AD81" i="21"/>
  <c r="AJ81" i="21" s="1"/>
  <c r="AV81" i="21"/>
  <c r="X82" i="21"/>
  <c r="Z82" i="21" s="1"/>
  <c r="AR82" i="21"/>
  <c r="BB82" i="21" s="1"/>
  <c r="AN83" i="21"/>
  <c r="BB83" i="21" s="1"/>
  <c r="BI83" i="21"/>
  <c r="BH83" i="21"/>
  <c r="AR86" i="21"/>
  <c r="BB86" i="21" s="1"/>
  <c r="BI89" i="21"/>
  <c r="V92" i="21"/>
  <c r="Y92" i="21" s="1"/>
  <c r="AD93" i="21"/>
  <c r="AJ93" i="21" s="1"/>
  <c r="AH97" i="21"/>
  <c r="AD98" i="21"/>
  <c r="AJ98" i="21" s="1"/>
  <c r="AV98" i="21"/>
  <c r="AB99" i="21"/>
  <c r="V100" i="21"/>
  <c r="Y100" i="21" s="1"/>
  <c r="BI100" i="21"/>
  <c r="BH100" i="21"/>
  <c r="AH101" i="21"/>
  <c r="AR102" i="21"/>
  <c r="AN103" i="21"/>
  <c r="BB103" i="21" s="1"/>
  <c r="AH104" i="21"/>
  <c r="AJ104" i="21" s="1"/>
  <c r="AD105" i="21"/>
  <c r="AV105" i="21"/>
  <c r="BB105" i="21" s="1"/>
  <c r="T107" i="21"/>
  <c r="Z107" i="21" s="1"/>
  <c r="AN107" i="21"/>
  <c r="BB107" i="21" s="1"/>
  <c r="BI107" i="21"/>
  <c r="BH107" i="21"/>
  <c r="AH108" i="21"/>
  <c r="AJ108" i="21" s="1"/>
  <c r="AL110" i="21"/>
  <c r="AF111" i="21"/>
  <c r="AI111" i="21" s="1"/>
  <c r="AX111" i="21"/>
  <c r="AB112" i="21"/>
  <c r="AI112" i="21" s="1"/>
  <c r="AT112" i="21"/>
  <c r="R114" i="21"/>
  <c r="AH114" i="21"/>
  <c r="AJ114" i="21" s="1"/>
  <c r="AV114" i="21"/>
  <c r="AD119" i="21"/>
  <c r="AJ119" i="21" s="1"/>
  <c r="AN120" i="21"/>
  <c r="BI128" i="21"/>
  <c r="BH128" i="21"/>
  <c r="AH129" i="21"/>
  <c r="AJ129" i="21" s="1"/>
  <c r="AT132" i="21"/>
  <c r="BA132" i="21" s="1"/>
  <c r="AD134" i="21"/>
  <c r="AJ134" i="21" s="1"/>
  <c r="AV134" i="21"/>
  <c r="BB134" i="21" s="1"/>
  <c r="BI135" i="21"/>
  <c r="R138" i="21"/>
  <c r="Y138" i="21" s="1"/>
  <c r="AR139" i="21"/>
  <c r="BB139" i="21" s="1"/>
  <c r="BI140" i="21"/>
  <c r="BH140" i="21"/>
  <c r="AH141" i="21"/>
  <c r="AJ141" i="21" s="1"/>
  <c r="BI143" i="21"/>
  <c r="BI146" i="21"/>
  <c r="AB148" i="21"/>
  <c r="AI148" i="21" s="1"/>
  <c r="AH149" i="21"/>
  <c r="AJ149" i="21" s="1"/>
  <c r="AF152" i="21"/>
  <c r="AI152" i="21" s="1"/>
  <c r="AB153" i="21"/>
  <c r="AI153" i="21" s="1"/>
  <c r="V154" i="21"/>
  <c r="Y154" i="21" s="1"/>
  <c r="R155" i="21"/>
  <c r="Y155" i="21" s="1"/>
  <c r="BI155" i="21"/>
  <c r="BF155" i="21"/>
  <c r="AL159" i="21"/>
  <c r="BA159" i="21" s="1"/>
  <c r="AF160" i="21"/>
  <c r="AI160" i="21" s="1"/>
  <c r="AB161" i="21"/>
  <c r="T162" i="21"/>
  <c r="Z162" i="21" s="1"/>
  <c r="AR163" i="21"/>
  <c r="BB163" i="21" s="1"/>
  <c r="BI164" i="21"/>
  <c r="BF164" i="21"/>
  <c r="V171" i="21"/>
  <c r="AF172" i="21"/>
  <c r="AI172" i="21" s="1"/>
  <c r="AX172" i="21"/>
  <c r="BA172" i="21" s="1"/>
  <c r="AD175" i="21"/>
  <c r="AJ175" i="21" s="1"/>
  <c r="AV175" i="21"/>
  <c r="BB175" i="21" s="1"/>
  <c r="AX184" i="21"/>
  <c r="BA184" i="21" s="1"/>
  <c r="T186" i="21"/>
  <c r="Z186" i="21" s="1"/>
  <c r="AT190" i="21"/>
  <c r="BA190" i="21" s="1"/>
  <c r="AD195" i="21"/>
  <c r="AJ195" i="21" s="1"/>
  <c r="AV195" i="21"/>
  <c r="BB195" i="21" s="1"/>
  <c r="AN198" i="21"/>
  <c r="BB198" i="21" s="1"/>
  <c r="AV199" i="21"/>
  <c r="BB199" i="21" s="1"/>
  <c r="AN202" i="21"/>
  <c r="AH203" i="21"/>
  <c r="BI206" i="21"/>
  <c r="BH206" i="21"/>
  <c r="AL208" i="21"/>
  <c r="BA208" i="21" s="1"/>
  <c r="X212" i="21"/>
  <c r="Z212" i="21" s="1"/>
  <c r="BI214" i="21"/>
  <c r="BH214" i="21"/>
  <c r="BI224" i="21"/>
  <c r="AF225" i="21"/>
  <c r="AI225" i="21" s="1"/>
  <c r="AB226" i="21"/>
  <c r="AI226" i="21" s="1"/>
  <c r="AR226" i="21"/>
  <c r="V227" i="21"/>
  <c r="Y227" i="21" s="1"/>
  <c r="AN227" i="21"/>
  <c r="BB227" i="21" s="1"/>
  <c r="BI227" i="21"/>
  <c r="BH227" i="21"/>
  <c r="AT228" i="21"/>
  <c r="BA228" i="21" s="1"/>
  <c r="V229" i="21"/>
  <c r="Y229" i="21" s="1"/>
  <c r="AP229" i="21"/>
  <c r="BI229" i="21"/>
  <c r="AD230" i="21"/>
  <c r="AJ230" i="21" s="1"/>
  <c r="AF243" i="21"/>
  <c r="AI243" i="21" s="1"/>
  <c r="AL247" i="21"/>
  <c r="BA247" i="21" s="1"/>
  <c r="AN249" i="21"/>
  <c r="BB249" i="21" s="1"/>
  <c r="BI249" i="21"/>
  <c r="BH249" i="21"/>
  <c r="AH250" i="21"/>
  <c r="AJ250" i="21" s="1"/>
  <c r="AD251" i="21"/>
  <c r="AJ251" i="21" s="1"/>
  <c r="AX252" i="21"/>
  <c r="BA252" i="21" s="1"/>
  <c r="AT253" i="21"/>
  <c r="BA253" i="21" s="1"/>
  <c r="AP254" i="21"/>
  <c r="BA254" i="21" s="1"/>
  <c r="BI254" i="21"/>
  <c r="AV255" i="21"/>
  <c r="BB255" i="21" s="1"/>
  <c r="AH262" i="21"/>
  <c r="AJ262" i="21" s="1"/>
  <c r="T266" i="21"/>
  <c r="Z266" i="21" s="1"/>
  <c r="AH268" i="21"/>
  <c r="AJ268" i="21" s="1"/>
  <c r="AR269" i="21"/>
  <c r="BB269" i="21" s="1"/>
  <c r="AD273" i="21"/>
  <c r="AJ273" i="21" s="1"/>
  <c r="BI274" i="21"/>
  <c r="BH274" i="21"/>
  <c r="AT275" i="21"/>
  <c r="BA275" i="21" s="1"/>
  <c r="V276" i="21"/>
  <c r="Y276" i="21" s="1"/>
  <c r="AP276" i="21"/>
  <c r="BA276" i="21" s="1"/>
  <c r="R277" i="21"/>
  <c r="Y277" i="21" s="1"/>
  <c r="AN278" i="21"/>
  <c r="BB278" i="21" s="1"/>
  <c r="AT279" i="21"/>
  <c r="BA279" i="21" s="1"/>
  <c r="AV281" i="21"/>
  <c r="X282" i="21"/>
  <c r="AD285" i="21"/>
  <c r="AJ285" i="21" s="1"/>
  <c r="BI288" i="21"/>
  <c r="BF288" i="21"/>
  <c r="AN290" i="21"/>
  <c r="BB290" i="21" s="1"/>
  <c r="AF293" i="21"/>
  <c r="AI293" i="21" s="1"/>
  <c r="AN304" i="21"/>
  <c r="BB304" i="21" s="1"/>
  <c r="AN311" i="21"/>
  <c r="BB311" i="21" s="1"/>
  <c r="AT317" i="21"/>
  <c r="BA317" i="21" s="1"/>
  <c r="T325" i="21"/>
  <c r="Z325" i="21" s="1"/>
  <c r="BI329" i="21"/>
  <c r="BH329" i="21"/>
  <c r="AH330" i="21"/>
  <c r="AD335" i="21"/>
  <c r="AJ335" i="21" s="1"/>
  <c r="AV335" i="21"/>
  <c r="BB335" i="21" s="1"/>
  <c r="AH338" i="21"/>
  <c r="AJ338" i="21" s="1"/>
  <c r="AP343" i="21"/>
  <c r="BA343" i="21" s="1"/>
  <c r="T365" i="21"/>
  <c r="Z365" i="21" s="1"/>
  <c r="AX383" i="21"/>
  <c r="BA383" i="21" s="1"/>
  <c r="T398" i="21"/>
  <c r="Z398" i="21" s="1"/>
  <c r="T403" i="21"/>
  <c r="Z403" i="21" s="1"/>
  <c r="R130" i="21"/>
  <c r="Y130" i="21" s="1"/>
  <c r="R93" i="21"/>
  <c r="Y93" i="21" s="1"/>
  <c r="X341" i="21"/>
  <c r="Z341" i="21" s="1"/>
  <c r="X213" i="21"/>
  <c r="Z213" i="21" s="1"/>
  <c r="R14" i="21"/>
  <c r="Y14" i="21" s="1"/>
  <c r="AN39" i="21"/>
  <c r="BB39" i="21" s="1"/>
  <c r="AN48" i="21"/>
  <c r="BB48" i="21" s="1"/>
  <c r="T52" i="21"/>
  <c r="Z52" i="21" s="1"/>
  <c r="AD53" i="21"/>
  <c r="AJ53" i="21" s="1"/>
  <c r="T66" i="21"/>
  <c r="BI66" i="21"/>
  <c r="BH66" i="21"/>
  <c r="AV69" i="21"/>
  <c r="BB69" i="21" s="1"/>
  <c r="AR70" i="21"/>
  <c r="BI102" i="21"/>
  <c r="BF102" i="21"/>
  <c r="AD110" i="21"/>
  <c r="AJ110" i="21" s="1"/>
  <c r="X111" i="21"/>
  <c r="AF127" i="21"/>
  <c r="AI127" i="21" s="1"/>
  <c r="AB128" i="21"/>
  <c r="AI128" i="21" s="1"/>
  <c r="AR131" i="21"/>
  <c r="BB131" i="21" s="1"/>
  <c r="BI142" i="21"/>
  <c r="BF142" i="21"/>
  <c r="X147" i="21"/>
  <c r="Z147" i="21" s="1"/>
  <c r="AV150" i="21"/>
  <c r="BB150" i="21" s="1"/>
  <c r="X152" i="21"/>
  <c r="AV158" i="21"/>
  <c r="BB158" i="21" s="1"/>
  <c r="AT174" i="21"/>
  <c r="AV191" i="21"/>
  <c r="BB191" i="21" s="1"/>
  <c r="AT194" i="21"/>
  <c r="BA194" i="21" s="1"/>
  <c r="AV196" i="21"/>
  <c r="BB196" i="21" s="1"/>
  <c r="T218" i="21"/>
  <c r="Z218" i="21" s="1"/>
  <c r="R220" i="21"/>
  <c r="Y220" i="21" s="1"/>
  <c r="AR221" i="21"/>
  <c r="BB221" i="21" s="1"/>
  <c r="AH223" i="21"/>
  <c r="AJ223" i="21" s="1"/>
  <c r="V241" i="21"/>
  <c r="Y241" i="21" s="1"/>
  <c r="AH246" i="21"/>
  <c r="AJ246" i="21" s="1"/>
  <c r="T253" i="21"/>
  <c r="Z253" i="21" s="1"/>
  <c r="BI253" i="21"/>
  <c r="BH253" i="21"/>
  <c r="AD292" i="21"/>
  <c r="AJ292" i="21" s="1"/>
  <c r="T321" i="21"/>
  <c r="Z321" i="21" s="1"/>
  <c r="T346" i="21"/>
  <c r="Z346" i="21" s="1"/>
  <c r="AV25" i="21"/>
  <c r="BB25" i="21" s="1"/>
  <c r="AH28" i="21"/>
  <c r="AJ28" i="21" s="1"/>
  <c r="BI35" i="21"/>
  <c r="BH35" i="21"/>
  <c r="AF38" i="21"/>
  <c r="AI38" i="21" s="1"/>
  <c r="AD45" i="21"/>
  <c r="AJ45" i="21" s="1"/>
  <c r="AP52" i="21"/>
  <c r="BA52" i="21" s="1"/>
  <c r="R53" i="21"/>
  <c r="Y53" i="21" s="1"/>
  <c r="BI53" i="21"/>
  <c r="BF53" i="21"/>
  <c r="BI55" i="21"/>
  <c r="BH55" i="21"/>
  <c r="AX56" i="21"/>
  <c r="X57" i="21"/>
  <c r="Z57" i="21" s="1"/>
  <c r="X66" i="21"/>
  <c r="AL69" i="21"/>
  <c r="BA69" i="21" s="1"/>
  <c r="BI69" i="21"/>
  <c r="BF69" i="21"/>
  <c r="AX78" i="21"/>
  <c r="BA78" i="21" s="1"/>
  <c r="AN96" i="21"/>
  <c r="BB96" i="21" s="1"/>
  <c r="AX110" i="21"/>
  <c r="AR2" i="21"/>
  <c r="BB2" i="21" s="1"/>
  <c r="AH5" i="21"/>
  <c r="AJ5" i="21" s="1"/>
  <c r="AH9" i="21"/>
  <c r="AJ9" i="21" s="1"/>
  <c r="AD10" i="21"/>
  <c r="AJ10" i="21" s="1"/>
  <c r="T11" i="21"/>
  <c r="T15" i="21"/>
  <c r="Z15" i="21" s="1"/>
  <c r="AX15" i="21"/>
  <c r="BA15" i="21" s="1"/>
  <c r="AT16" i="21"/>
  <c r="BA16" i="21" s="1"/>
  <c r="AT27" i="21"/>
  <c r="BA27" i="21" s="1"/>
  <c r="BI31" i="21"/>
  <c r="BH31" i="21"/>
  <c r="AH32" i="21"/>
  <c r="AJ32" i="21" s="1"/>
  <c r="AT43" i="21"/>
  <c r="BA43" i="21" s="1"/>
  <c r="AL45" i="21"/>
  <c r="BA45" i="21" s="1"/>
  <c r="T47" i="21"/>
  <c r="Z47" i="21" s="1"/>
  <c r="AN47" i="21"/>
  <c r="T54" i="21"/>
  <c r="Z54" i="21" s="1"/>
  <c r="BI54" i="21"/>
  <c r="BF54" i="21"/>
  <c r="AT55" i="21"/>
  <c r="BA55" i="21" s="1"/>
  <c r="AP56" i="21"/>
  <c r="AN62" i="21"/>
  <c r="BI65" i="21"/>
  <c r="BF65" i="21"/>
  <c r="AB67" i="21"/>
  <c r="AI67" i="21" s="1"/>
  <c r="BI67" i="21"/>
  <c r="BH67" i="21"/>
  <c r="AH68" i="21"/>
  <c r="BI85" i="21"/>
  <c r="BF85" i="21"/>
  <c r="AN87" i="21"/>
  <c r="BB87" i="21" s="1"/>
  <c r="BI87" i="21"/>
  <c r="BH87" i="21"/>
  <c r="AX88" i="21"/>
  <c r="X94" i="21"/>
  <c r="Z94" i="21" s="1"/>
  <c r="AB96" i="21"/>
  <c r="AI96" i="21" s="1"/>
  <c r="AL97" i="21"/>
  <c r="BA97" i="21" s="1"/>
  <c r="AF98" i="21"/>
  <c r="AI98" i="21" s="1"/>
  <c r="AX98" i="21"/>
  <c r="R101" i="21"/>
  <c r="AD102" i="21"/>
  <c r="AJ102" i="21" s="1"/>
  <c r="X103" i="21"/>
  <c r="T104" i="21"/>
  <c r="Z104" i="21" s="1"/>
  <c r="BI104" i="21"/>
  <c r="BH104" i="21"/>
  <c r="X106" i="21"/>
  <c r="Z106" i="21" s="1"/>
  <c r="AR106" i="21"/>
  <c r="BB106" i="21" s="1"/>
  <c r="AD109" i="21"/>
  <c r="V113" i="21"/>
  <c r="AP113" i="21"/>
  <c r="AD115" i="21"/>
  <c r="AJ115" i="21" s="1"/>
  <c r="AP118" i="21"/>
  <c r="BA118" i="21" s="1"/>
  <c r="BI118" i="21"/>
  <c r="AV119" i="21"/>
  <c r="BB119" i="21" s="1"/>
  <c r="X120" i="21"/>
  <c r="T121" i="21"/>
  <c r="Z121" i="21" s="1"/>
  <c r="AD122" i="21"/>
  <c r="X127" i="21"/>
  <c r="Z127" i="21" s="1"/>
  <c r="AR127" i="21"/>
  <c r="BB127" i="21" s="1"/>
  <c r="T128" i="21"/>
  <c r="Z128" i="21" s="1"/>
  <c r="AN128" i="21"/>
  <c r="BB128" i="21" s="1"/>
  <c r="AD130" i="21"/>
  <c r="AJ130" i="21" s="1"/>
  <c r="AP133" i="21"/>
  <c r="BA133" i="21" s="1"/>
  <c r="X135" i="21"/>
  <c r="Z135" i="21" s="1"/>
  <c r="AR135" i="21"/>
  <c r="BB135" i="21" s="1"/>
  <c r="BI138" i="21"/>
  <c r="BF138" i="21"/>
  <c r="AN140" i="21"/>
  <c r="BB140" i="21" s="1"/>
  <c r="X143" i="21"/>
  <c r="Z143" i="21" s="1"/>
  <c r="BI144" i="21"/>
  <c r="BH144" i="21"/>
  <c r="AX156" i="21"/>
  <c r="BA156" i="21" s="1"/>
  <c r="AT157" i="21"/>
  <c r="BA157" i="21" s="1"/>
  <c r="AP158" i="21"/>
  <c r="BI159" i="21"/>
  <c r="AD163" i="21"/>
  <c r="AJ163" i="21" s="1"/>
  <c r="AP166" i="21"/>
  <c r="BA166" i="21" s="1"/>
  <c r="X168" i="21"/>
  <c r="Z168" i="21" s="1"/>
  <c r="AR168" i="21"/>
  <c r="BB168" i="21" s="1"/>
  <c r="R172" i="21"/>
  <c r="Y172" i="21" s="1"/>
  <c r="AT173" i="21"/>
  <c r="BA173" i="21" s="1"/>
  <c r="AN174" i="21"/>
  <c r="BB174" i="21" s="1"/>
  <c r="T177" i="21"/>
  <c r="Z177" i="21" s="1"/>
  <c r="AP178" i="21"/>
  <c r="BA178" i="21" s="1"/>
  <c r="AL179" i="21"/>
  <c r="BA179" i="21" s="1"/>
  <c r="AR180" i="21"/>
  <c r="BB180" i="21" s="1"/>
  <c r="AV188" i="21"/>
  <c r="BB188" i="21" s="1"/>
  <c r="X189" i="21"/>
  <c r="Z189" i="21" s="1"/>
  <c r="AP191" i="21"/>
  <c r="BA191" i="21" s="1"/>
  <c r="T194" i="21"/>
  <c r="Z194" i="21" s="1"/>
  <c r="AN194" i="21"/>
  <c r="BB194" i="21" s="1"/>
  <c r="BI194" i="21"/>
  <c r="BH194" i="21"/>
  <c r="X196" i="21"/>
  <c r="Z196" i="21" s="1"/>
  <c r="BI196" i="21"/>
  <c r="BI198" i="21"/>
  <c r="AH199" i="21"/>
  <c r="AF201" i="21"/>
  <c r="AI201" i="21" s="1"/>
  <c r="AH207" i="21"/>
  <c r="AJ207" i="21" s="1"/>
  <c r="AF209" i="21"/>
  <c r="AI209" i="21" s="1"/>
  <c r="AH211" i="21"/>
  <c r="AJ211" i="21" s="1"/>
  <c r="AH215" i="21"/>
  <c r="AJ215" i="21" s="1"/>
  <c r="T217" i="21"/>
  <c r="Z217" i="21" s="1"/>
  <c r="AR220" i="21"/>
  <c r="T221" i="21"/>
  <c r="Z221" i="21" s="1"/>
  <c r="AL224" i="21"/>
  <c r="BA224" i="21" s="1"/>
  <c r="AT226" i="21"/>
  <c r="BA226" i="21" s="1"/>
  <c r="AP227" i="21"/>
  <c r="R228" i="21"/>
  <c r="Y228" i="21" s="1"/>
  <c r="AV230" i="21"/>
  <c r="BB230" i="21" s="1"/>
  <c r="X231" i="21"/>
  <c r="T232" i="21"/>
  <c r="Z232" i="21" s="1"/>
  <c r="BI235" i="21"/>
  <c r="BI240" i="21"/>
  <c r="BH240" i="21"/>
  <c r="AH241" i="21"/>
  <c r="AJ241" i="21" s="1"/>
  <c r="BI242" i="21"/>
  <c r="AR244" i="21"/>
  <c r="BB244" i="21" s="1"/>
  <c r="T245" i="21"/>
  <c r="Z245" i="21" s="1"/>
  <c r="X256" i="21"/>
  <c r="Z256" i="21" s="1"/>
  <c r="T257" i="21"/>
  <c r="Z257" i="21" s="1"/>
  <c r="AN257" i="21"/>
  <c r="BB257" i="21" s="1"/>
  <c r="BI257" i="21"/>
  <c r="BH257" i="21"/>
  <c r="AH258" i="21"/>
  <c r="AJ258" i="21" s="1"/>
  <c r="AX260" i="21"/>
  <c r="BA260" i="21" s="1"/>
  <c r="AH272" i="21"/>
  <c r="AJ272" i="21" s="1"/>
  <c r="AV273" i="21"/>
  <c r="BB273" i="21" s="1"/>
  <c r="AN274" i="21"/>
  <c r="BB274" i="21" s="1"/>
  <c r="AV277" i="21"/>
  <c r="BB277" i="21" s="1"/>
  <c r="X278" i="21"/>
  <c r="BI278" i="21"/>
  <c r="BI282" i="21"/>
  <c r="AV285" i="21"/>
  <c r="AH291" i="21"/>
  <c r="AJ291" i="21" s="1"/>
  <c r="BI292" i="21"/>
  <c r="AB294" i="21"/>
  <c r="AI294" i="21" s="1"/>
  <c r="V295" i="21"/>
  <c r="Y295" i="21" s="1"/>
  <c r="AL302" i="21"/>
  <c r="BA302" i="21" s="1"/>
  <c r="AN316" i="21"/>
  <c r="X324" i="21"/>
  <c r="AL330" i="21"/>
  <c r="BA330" i="21" s="1"/>
  <c r="T334" i="21"/>
  <c r="Z334" i="21" s="1"/>
  <c r="X337" i="21"/>
  <c r="AR364" i="21"/>
  <c r="AR375" i="21"/>
  <c r="BB375" i="21" s="1"/>
  <c r="AB382" i="21"/>
  <c r="AI382" i="21" s="1"/>
  <c r="T387" i="21"/>
  <c r="Z387" i="21" s="1"/>
  <c r="X397" i="21"/>
  <c r="Z397" i="21" s="1"/>
  <c r="AB402" i="21"/>
  <c r="AI402" i="21" s="1"/>
  <c r="R158" i="21"/>
  <c r="Y158" i="21" s="1"/>
  <c r="R85" i="21"/>
  <c r="Y85" i="21" s="1"/>
  <c r="R49" i="21"/>
  <c r="Y49" i="21" s="1"/>
  <c r="T327" i="21"/>
  <c r="Z327" i="21" s="1"/>
  <c r="V40" i="21"/>
  <c r="Y40" i="21" s="1"/>
  <c r="BF224" i="21"/>
  <c r="AR297" i="21"/>
  <c r="AP298" i="21"/>
  <c r="AL299" i="21"/>
  <c r="BA299" i="21" s="1"/>
  <c r="X300" i="21"/>
  <c r="Z300" i="21" s="1"/>
  <c r="AD302" i="21"/>
  <c r="X304" i="21"/>
  <c r="Z304" i="21" s="1"/>
  <c r="BI305" i="21"/>
  <c r="BH305" i="21"/>
  <c r="AV306" i="21"/>
  <c r="BB306" i="21" s="1"/>
  <c r="AL318" i="21"/>
  <c r="BA318" i="21" s="1"/>
  <c r="AD319" i="21"/>
  <c r="AJ319" i="21" s="1"/>
  <c r="AV323" i="21"/>
  <c r="BB323" i="21" s="1"/>
  <c r="AR324" i="21"/>
  <c r="BB324" i="21" s="1"/>
  <c r="AN325" i="21"/>
  <c r="BB325" i="21" s="1"/>
  <c r="BI325" i="21"/>
  <c r="BH325" i="21"/>
  <c r="AF328" i="21"/>
  <c r="AI328" i="21" s="1"/>
  <c r="AB329" i="21"/>
  <c r="AI329" i="21" s="1"/>
  <c r="AD331" i="21"/>
  <c r="AJ331" i="21" s="1"/>
  <c r="AN332" i="21"/>
  <c r="BI334" i="21"/>
  <c r="BH334" i="21"/>
  <c r="AL336" i="21"/>
  <c r="AT337" i="21"/>
  <c r="BA337" i="21" s="1"/>
  <c r="AN338" i="21"/>
  <c r="BB338" i="21" s="1"/>
  <c r="BI338" i="21"/>
  <c r="BH338" i="21"/>
  <c r="AN342" i="21"/>
  <c r="BB342" i="21" s="1"/>
  <c r="BI342" i="21"/>
  <c r="BH342" i="21"/>
  <c r="AV347" i="21"/>
  <c r="BB347" i="21" s="1"/>
  <c r="AX349" i="21"/>
  <c r="BA349" i="21" s="1"/>
  <c r="AV351" i="21"/>
  <c r="BB351" i="21" s="1"/>
  <c r="AP358" i="21"/>
  <c r="BA358" i="21" s="1"/>
  <c r="AL359" i="21"/>
  <c r="AV364" i="21"/>
  <c r="AD368" i="21"/>
  <c r="AJ368" i="21" s="1"/>
  <c r="X369" i="21"/>
  <c r="AL372" i="21"/>
  <c r="AD375" i="21"/>
  <c r="AJ375" i="21" s="1"/>
  <c r="BI376" i="21"/>
  <c r="BF376" i="21"/>
  <c r="AN378" i="21"/>
  <c r="BB378" i="21" s="1"/>
  <c r="AL380" i="21"/>
  <c r="BA380" i="21" s="1"/>
  <c r="AB392" i="21"/>
  <c r="AI392" i="21" s="1"/>
  <c r="BI394" i="21"/>
  <c r="BF394" i="21"/>
  <c r="AV400" i="21"/>
  <c r="BB400" i="21" s="1"/>
  <c r="AH403" i="21"/>
  <c r="AJ403" i="21" s="1"/>
  <c r="T382" i="21"/>
  <c r="Z382" i="21" s="1"/>
  <c r="T372" i="21"/>
  <c r="Z372" i="21" s="1"/>
  <c r="T350" i="21"/>
  <c r="Z350" i="21" s="1"/>
  <c r="V378" i="21"/>
  <c r="Y378" i="21" s="1"/>
  <c r="V314" i="21"/>
  <c r="Y314" i="21" s="1"/>
  <c r="X371" i="21"/>
  <c r="Z371" i="21" s="1"/>
  <c r="BH400" i="21"/>
  <c r="AH296" i="21"/>
  <c r="AJ296" i="21" s="1"/>
  <c r="AT297" i="21"/>
  <c r="BA297" i="21" s="1"/>
  <c r="X298" i="21"/>
  <c r="Z298" i="21" s="1"/>
  <c r="AN301" i="21"/>
  <c r="BB301" i="21" s="1"/>
  <c r="AB304" i="21"/>
  <c r="T305" i="21"/>
  <c r="Z305" i="21" s="1"/>
  <c r="BI312" i="21"/>
  <c r="BH312" i="21"/>
  <c r="AV315" i="21"/>
  <c r="BB315" i="21" s="1"/>
  <c r="AR316" i="21"/>
  <c r="AH317" i="21"/>
  <c r="AJ317" i="21" s="1"/>
  <c r="BI318" i="21"/>
  <c r="BF318" i="21"/>
  <c r="AF319" i="21"/>
  <c r="AI319" i="21" s="1"/>
  <c r="AX328" i="21"/>
  <c r="BA328" i="21" s="1"/>
  <c r="AV331" i="21"/>
  <c r="X332" i="21"/>
  <c r="Z332" i="21" s="1"/>
  <c r="BI336" i="21"/>
  <c r="BF336" i="21"/>
  <c r="AH339" i="21"/>
  <c r="AJ339" i="21" s="1"/>
  <c r="AL340" i="21"/>
  <c r="BA340" i="21" s="1"/>
  <c r="AB346" i="21"/>
  <c r="AI346" i="21" s="1"/>
  <c r="AH347" i="21"/>
  <c r="AJ347" i="21" s="1"/>
  <c r="X348" i="21"/>
  <c r="Z348" i="21" s="1"/>
  <c r="AD352" i="21"/>
  <c r="AJ352" i="21" s="1"/>
  <c r="AD360" i="21"/>
  <c r="AJ360" i="21" s="1"/>
  <c r="AN365" i="21"/>
  <c r="AF368" i="21"/>
  <c r="AI368" i="21" s="1"/>
  <c r="AB369" i="21"/>
  <c r="AI369" i="21" s="1"/>
  <c r="BI378" i="21"/>
  <c r="AV386" i="21"/>
  <c r="BB386" i="21" s="1"/>
  <c r="AN391" i="21"/>
  <c r="BB391" i="21" s="1"/>
  <c r="BI398" i="21"/>
  <c r="BH398" i="21"/>
  <c r="AF399" i="21"/>
  <c r="AI399" i="21" s="1"/>
  <c r="T370" i="21"/>
  <c r="Z370" i="21" s="1"/>
  <c r="T324" i="21"/>
  <c r="T296" i="21"/>
  <c r="V335" i="21"/>
  <c r="Y335" i="21" s="1"/>
  <c r="AH302" i="21"/>
  <c r="X303" i="21"/>
  <c r="V305" i="21"/>
  <c r="Y305" i="21" s="1"/>
  <c r="AH313" i="21"/>
  <c r="AJ313" i="21" s="1"/>
  <c r="AX315" i="21"/>
  <c r="BA315" i="21" s="1"/>
  <c r="AB321" i="21"/>
  <c r="AI321" i="21" s="1"/>
  <c r="BI323" i="21"/>
  <c r="BF323" i="21"/>
  <c r="AH326" i="21"/>
  <c r="AJ326" i="21" s="1"/>
  <c r="AR327" i="21"/>
  <c r="AR332" i="21"/>
  <c r="BI340" i="21"/>
  <c r="AH343" i="21"/>
  <c r="BI344" i="21"/>
  <c r="AL351" i="21"/>
  <c r="BA351" i="21" s="1"/>
  <c r="AF352" i="21"/>
  <c r="AI352" i="21" s="1"/>
  <c r="X353" i="21"/>
  <c r="Z353" i="21" s="1"/>
  <c r="BI355" i="21"/>
  <c r="AV356" i="21"/>
  <c r="BB356" i="21" s="1"/>
  <c r="AN357" i="21"/>
  <c r="T361" i="21"/>
  <c r="AH366" i="21"/>
  <c r="AJ366" i="21" s="1"/>
  <c r="X367" i="21"/>
  <c r="Z367" i="21" s="1"/>
  <c r="BI367" i="21"/>
  <c r="AX368" i="21"/>
  <c r="BA368" i="21" s="1"/>
  <c r="AT373" i="21"/>
  <c r="BI374" i="21"/>
  <c r="BH374" i="21"/>
  <c r="X376" i="21"/>
  <c r="Z376" i="21" s="1"/>
  <c r="AH379" i="21"/>
  <c r="AJ379" i="21" s="1"/>
  <c r="X383" i="21"/>
  <c r="Z383" i="21" s="1"/>
  <c r="AR387" i="21"/>
  <c r="BB387" i="21" s="1"/>
  <c r="BI387" i="21"/>
  <c r="X391" i="21"/>
  <c r="Z391" i="21" s="1"/>
  <c r="AX395" i="21"/>
  <c r="BA395" i="21" s="1"/>
  <c r="AH397" i="21"/>
  <c r="AJ397" i="21" s="1"/>
  <c r="AD398" i="21"/>
  <c r="AJ398" i="21" s="1"/>
  <c r="AD404" i="21"/>
  <c r="AJ404" i="21" s="1"/>
  <c r="T400" i="21"/>
  <c r="Z400" i="21" s="1"/>
  <c r="T320" i="21"/>
  <c r="Z320" i="21" s="1"/>
  <c r="V330" i="21"/>
  <c r="Y330" i="21" s="1"/>
  <c r="BI308" i="21"/>
  <c r="BH308" i="21"/>
  <c r="AH309" i="21"/>
  <c r="AJ309" i="21" s="1"/>
  <c r="AD311" i="21"/>
  <c r="AJ311" i="21" s="1"/>
  <c r="T313" i="21"/>
  <c r="Z313" i="21" s="1"/>
  <c r="AN317" i="21"/>
  <c r="BB317" i="21" s="1"/>
  <c r="AL319" i="21"/>
  <c r="BA319" i="21" s="1"/>
  <c r="AF320" i="21"/>
  <c r="AI320" i="21" s="1"/>
  <c r="AT325" i="21"/>
  <c r="BA325" i="21" s="1"/>
  <c r="AN328" i="21"/>
  <c r="AH329" i="21"/>
  <c r="AJ329" i="21" s="1"/>
  <c r="X344" i="21"/>
  <c r="Z344" i="21" s="1"/>
  <c r="AT346" i="21"/>
  <c r="BA346" i="21" s="1"/>
  <c r="V347" i="21"/>
  <c r="Y347" i="21" s="1"/>
  <c r="AD348" i="21"/>
  <c r="AJ348" i="21" s="1"/>
  <c r="BI353" i="21"/>
  <c r="BH353" i="21"/>
  <c r="AX356" i="21"/>
  <c r="BA356" i="21" s="1"/>
  <c r="AD358" i="21"/>
  <c r="X359" i="21"/>
  <c r="Z359" i="21" s="1"/>
  <c r="AV363" i="21"/>
  <c r="BB363" i="21" s="1"/>
  <c r="AR365" i="21"/>
  <c r="AF373" i="21"/>
  <c r="AI373" i="21" s="1"/>
  <c r="AP374" i="21"/>
  <c r="BA374" i="21" s="1"/>
  <c r="T377" i="21"/>
  <c r="Z377" i="21" s="1"/>
  <c r="AF381" i="21"/>
  <c r="AI381" i="21" s="1"/>
  <c r="AB383" i="21"/>
  <c r="AI383" i="21" s="1"/>
  <c r="AH388" i="21"/>
  <c r="AJ388" i="21" s="1"/>
  <c r="V393" i="21"/>
  <c r="Y393" i="21" s="1"/>
  <c r="AH395" i="21"/>
  <c r="AJ395" i="21" s="1"/>
  <c r="AD396" i="21"/>
  <c r="AJ396" i="21" s="1"/>
  <c r="AT396" i="21"/>
  <c r="BA396" i="21" s="1"/>
  <c r="AR401" i="21"/>
  <c r="BB401" i="21" s="1"/>
  <c r="R363" i="21"/>
  <c r="Y363" i="21" s="1"/>
  <c r="R331" i="21"/>
  <c r="Y331" i="21" s="1"/>
  <c r="R323" i="21"/>
  <c r="Y323" i="21" s="1"/>
  <c r="R315" i="21"/>
  <c r="Y315" i="21" s="1"/>
  <c r="T333" i="21"/>
  <c r="Z333" i="21" s="1"/>
  <c r="BH310" i="21"/>
  <c r="BI302" i="21"/>
  <c r="BF302" i="21"/>
  <c r="AD303" i="21"/>
  <c r="AJ303" i="21" s="1"/>
  <c r="AB305" i="21"/>
  <c r="AI305" i="21" s="1"/>
  <c r="BI306" i="21"/>
  <c r="AF311" i="21"/>
  <c r="AI311" i="21" s="1"/>
  <c r="X312" i="21"/>
  <c r="Z312" i="21" s="1"/>
  <c r="AD327" i="21"/>
  <c r="AJ327" i="21" s="1"/>
  <c r="AV327" i="21"/>
  <c r="AD330" i="21"/>
  <c r="BI331" i="21"/>
  <c r="BF331" i="21"/>
  <c r="AN333" i="21"/>
  <c r="BB333" i="21" s="1"/>
  <c r="AD336" i="21"/>
  <c r="AJ336" i="21" s="1"/>
  <c r="T337" i="21"/>
  <c r="AR340" i="21"/>
  <c r="AR344" i="21"/>
  <c r="BB344" i="21" s="1"/>
  <c r="BI345" i="21"/>
  <c r="BH345" i="21"/>
  <c r="AV348" i="21"/>
  <c r="AL352" i="21"/>
  <c r="BA352" i="21" s="1"/>
  <c r="AV354" i="21"/>
  <c r="AR355" i="21"/>
  <c r="BB355" i="21" s="1"/>
  <c r="AR357" i="21"/>
  <c r="X361" i="21"/>
  <c r="AN364" i="21"/>
  <c r="AT365" i="21"/>
  <c r="BA365" i="21" s="1"/>
  <c r="AN366" i="21"/>
  <c r="BB366" i="21" s="1"/>
  <c r="AD367" i="21"/>
  <c r="AJ367" i="21" s="1"/>
  <c r="BI368" i="21"/>
  <c r="BH368" i="21"/>
  <c r="AV369" i="21"/>
  <c r="AH371" i="21"/>
  <c r="AJ371" i="21" s="1"/>
  <c r="AB374" i="21"/>
  <c r="AI374" i="21" s="1"/>
  <c r="AL375" i="21"/>
  <c r="BA375" i="21" s="1"/>
  <c r="BI377" i="21"/>
  <c r="BH377" i="21"/>
  <c r="AT378" i="21"/>
  <c r="BA378" i="21" s="1"/>
  <c r="AH384" i="21"/>
  <c r="AJ384" i="21" s="1"/>
  <c r="AD385" i="21"/>
  <c r="AJ385" i="21" s="1"/>
  <c r="AB400" i="21"/>
  <c r="AI400" i="21" s="1"/>
  <c r="AR403" i="21"/>
  <c r="BB403" i="21" s="1"/>
  <c r="T356" i="21"/>
  <c r="Z356" i="21" s="1"/>
  <c r="AN312" i="21"/>
  <c r="BB312" i="21" s="1"/>
  <c r="AV307" i="21"/>
  <c r="BB307" i="21" s="1"/>
  <c r="AR308" i="21"/>
  <c r="BB308" i="21" s="1"/>
  <c r="AN309" i="21"/>
  <c r="BB309" i="21" s="1"/>
  <c r="AD310" i="21"/>
  <c r="AB312" i="21"/>
  <c r="BI313" i="21"/>
  <c r="BH313" i="21"/>
  <c r="BI315" i="21"/>
  <c r="AD322" i="21"/>
  <c r="AP326" i="21"/>
  <c r="BA326" i="21" s="1"/>
  <c r="BI326" i="21"/>
  <c r="X328" i="21"/>
  <c r="Z328" i="21" s="1"/>
  <c r="AR328" i="21"/>
  <c r="T329" i="21"/>
  <c r="Z329" i="21" s="1"/>
  <c r="AN329" i="21"/>
  <c r="BI335" i="21"/>
  <c r="AN337" i="21"/>
  <c r="BB337" i="21" s="1"/>
  <c r="AP339" i="21"/>
  <c r="AD340" i="21"/>
  <c r="AJ340" i="21" s="1"/>
  <c r="BI341" i="21"/>
  <c r="BH341" i="21"/>
  <c r="AD344" i="21"/>
  <c r="AJ344" i="21" s="1"/>
  <c r="AN345" i="21"/>
  <c r="BB345" i="21" s="1"/>
  <c r="AP347" i="21"/>
  <c r="BA347" i="21" s="1"/>
  <c r="AR349" i="21"/>
  <c r="BB349" i="21" s="1"/>
  <c r="AH358" i="21"/>
  <c r="AB361" i="21"/>
  <c r="BI361" i="21"/>
  <c r="BH361" i="21"/>
  <c r="BI364" i="21"/>
  <c r="AP379" i="21"/>
  <c r="BA379" i="21" s="1"/>
  <c r="AD380" i="21"/>
  <c r="AJ380" i="21" s="1"/>
  <c r="BI386" i="21"/>
  <c r="AD389" i="21"/>
  <c r="AJ389" i="21" s="1"/>
  <c r="AV389" i="21"/>
  <c r="BB389" i="21" s="1"/>
  <c r="AP397" i="21"/>
  <c r="BA397" i="21" s="1"/>
  <c r="X399" i="21"/>
  <c r="Z399" i="21" s="1"/>
  <c r="AN402" i="21"/>
  <c r="BB402" i="21" s="1"/>
  <c r="T354" i="21"/>
  <c r="Z354" i="21" s="1"/>
  <c r="V322" i="21"/>
  <c r="Y322" i="21" s="1"/>
  <c r="X381" i="21"/>
  <c r="Z381" i="21" s="1"/>
  <c r="X349" i="21"/>
  <c r="Z349" i="21" s="1"/>
  <c r="AZ114" i="21"/>
  <c r="AZ354" i="21"/>
  <c r="AZ266" i="21"/>
  <c r="AZ250" i="21"/>
  <c r="BB250" i="21" s="1"/>
  <c r="AZ202" i="21"/>
  <c r="AZ122" i="21"/>
  <c r="BB122" i="21" s="1"/>
  <c r="AZ98" i="21"/>
  <c r="BI2" i="21"/>
  <c r="BI5" i="21"/>
  <c r="BI10" i="21"/>
  <c r="BI19" i="21"/>
  <c r="BI9" i="21"/>
  <c r="BI32" i="21"/>
  <c r="BI33" i="21"/>
  <c r="BI34" i="21"/>
  <c r="BI17" i="21"/>
  <c r="BI28" i="21"/>
  <c r="BI40" i="21"/>
  <c r="BI24" i="21"/>
  <c r="BI26" i="21"/>
  <c r="BI15" i="21"/>
  <c r="BI22" i="21"/>
  <c r="BI36" i="21"/>
  <c r="BI48" i="21"/>
  <c r="BI62" i="21"/>
  <c r="BI82" i="21"/>
  <c r="BI74" i="21"/>
  <c r="BI86" i="21"/>
  <c r="BI90" i="21"/>
  <c r="BI50" i="21"/>
  <c r="BI61" i="21"/>
  <c r="BI60" i="21"/>
  <c r="BI72" i="21"/>
  <c r="BI92" i="21"/>
  <c r="BI64" i="21"/>
  <c r="BI84" i="21"/>
  <c r="BI94" i="21"/>
  <c r="BI114" i="21"/>
  <c r="BI129" i="21"/>
  <c r="BI131" i="21"/>
  <c r="BI141" i="21"/>
  <c r="BI122" i="21"/>
  <c r="BI125" i="21"/>
  <c r="BI123" i="21"/>
  <c r="BI137" i="21"/>
  <c r="BI139" i="21"/>
  <c r="BI145" i="21"/>
  <c r="BI120" i="21"/>
  <c r="BI133" i="21"/>
  <c r="BI149" i="21"/>
  <c r="BI157" i="21"/>
  <c r="BI185" i="21"/>
  <c r="BI162" i="21"/>
  <c r="BI187" i="21"/>
  <c r="BI151" i="21"/>
  <c r="BI172" i="21"/>
  <c r="BI167" i="21"/>
  <c r="BI191" i="21"/>
  <c r="BI186" i="21"/>
  <c r="BI193" i="21"/>
  <c r="BI174" i="21"/>
  <c r="BI178" i="21"/>
  <c r="BI211" i="21"/>
  <c r="BI216" i="21"/>
  <c r="BI225" i="21"/>
  <c r="BI197" i="21"/>
  <c r="BI215" i="21"/>
  <c r="BI195" i="21"/>
  <c r="BI199" i="21"/>
  <c r="BI223" i="21"/>
  <c r="BI221" i="21"/>
  <c r="BI207" i="21"/>
  <c r="BI244" i="21"/>
  <c r="BI248" i="21"/>
  <c r="BI237" i="21"/>
  <c r="BI239" i="21"/>
  <c r="BI246" i="21"/>
  <c r="BI250" i="21"/>
  <c r="BI243" i="21"/>
  <c r="BI233" i="21"/>
  <c r="BI241" i="21"/>
  <c r="BI252" i="21"/>
  <c r="BI256" i="21"/>
  <c r="BI260" i="21"/>
  <c r="BI272" i="21"/>
  <c r="BI276" i="21"/>
  <c r="BI296" i="21"/>
  <c r="BI291" i="21"/>
  <c r="BI284" i="21"/>
  <c r="BI295" i="21"/>
  <c r="BI287" i="21"/>
  <c r="BI289" i="21"/>
  <c r="BI268" i="21"/>
  <c r="BI297" i="21"/>
  <c r="BI316" i="21"/>
  <c r="BI319" i="21"/>
  <c r="BI322" i="21"/>
  <c r="BI324" i="21"/>
  <c r="BI298" i="21"/>
  <c r="BI311" i="21"/>
  <c r="BI314" i="21"/>
  <c r="BI320" i="21"/>
  <c r="BI317" i="21"/>
  <c r="BI304" i="21"/>
  <c r="BI309" i="21"/>
  <c r="BI301" i="21"/>
  <c r="BI330" i="21"/>
  <c r="BI328" i="21"/>
  <c r="BI333" i="21"/>
  <c r="BI347" i="21"/>
  <c r="BI351" i="21"/>
  <c r="BI349" i="21"/>
  <c r="BI337" i="21"/>
  <c r="BI358" i="21"/>
  <c r="BI362" i="21"/>
  <c r="BI354" i="21"/>
  <c r="BI360" i="21"/>
  <c r="BI373" i="21"/>
  <c r="BI352" i="21"/>
  <c r="BI365" i="21"/>
  <c r="BI372" i="21"/>
  <c r="BI366" i="21"/>
  <c r="BI375" i="21"/>
  <c r="BI381" i="21"/>
  <c r="BI393" i="21"/>
  <c r="BI389" i="21"/>
  <c r="BI395" i="21"/>
  <c r="BI371" i="21"/>
  <c r="BI397" i="21"/>
  <c r="BI399" i="21"/>
  <c r="BI384" i="21"/>
  <c r="BI392" i="21"/>
  <c r="BI401" i="21"/>
  <c r="BI383" i="21"/>
  <c r="BI391" i="21"/>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D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AI99" i="21" l="1"/>
  <c r="AI304" i="21"/>
  <c r="BA168" i="21"/>
  <c r="R361" i="12"/>
  <c r="AV228" i="12"/>
  <c r="BA199" i="12"/>
  <c r="AQ327" i="12"/>
  <c r="AL362" i="12"/>
  <c r="BF405" i="21"/>
  <c r="BA275" i="12"/>
  <c r="AJ262" i="12"/>
  <c r="AV396" i="12"/>
  <c r="BA267" i="12"/>
  <c r="AG310" i="12"/>
  <c r="AO250" i="12"/>
  <c r="AV322" i="12"/>
  <c r="BA347" i="12"/>
  <c r="BD358" i="12"/>
  <c r="AJ310" i="21"/>
  <c r="BB340" i="21"/>
  <c r="BA80" i="21"/>
  <c r="AG231" i="12"/>
  <c r="AL371" i="12"/>
  <c r="AV236" i="12"/>
  <c r="BA339" i="12"/>
  <c r="AI361" i="21"/>
  <c r="BA113" i="21"/>
  <c r="BA40" i="21"/>
  <c r="W369" i="12"/>
  <c r="AE350" i="12"/>
  <c r="AL283" i="12"/>
  <c r="AJ286" i="12"/>
  <c r="AL202" i="12"/>
  <c r="AQ391" i="12"/>
  <c r="BA203" i="12"/>
  <c r="BB329" i="21"/>
  <c r="R339" i="12"/>
  <c r="U299" i="12"/>
  <c r="AQ263" i="12"/>
  <c r="AV386" i="12"/>
  <c r="BI264" i="12"/>
  <c r="AJ330" i="21"/>
  <c r="U267" i="12"/>
  <c r="AG319" i="12"/>
  <c r="AO274" i="12"/>
  <c r="AQ199" i="12"/>
  <c r="AV332" i="12"/>
  <c r="BI200" i="12"/>
  <c r="AI312" i="21"/>
  <c r="BA229" i="21"/>
  <c r="BB14" i="21"/>
  <c r="BB120" i="21"/>
  <c r="BA174" i="21"/>
  <c r="Z324" i="21"/>
  <c r="BB220" i="21"/>
  <c r="Y101" i="21"/>
  <c r="BB47" i="21"/>
  <c r="BB357" i="21"/>
  <c r="BB365" i="21"/>
  <c r="BA359" i="21"/>
  <c r="BB62" i="21"/>
  <c r="BB364" i="21"/>
  <c r="Z11" i="21"/>
  <c r="BA227" i="21"/>
  <c r="BA372" i="21"/>
  <c r="AJ105" i="21"/>
  <c r="BB79" i="21"/>
  <c r="BB98" i="21"/>
  <c r="BB297" i="21"/>
  <c r="BB226" i="21"/>
  <c r="BA240" i="21"/>
  <c r="BA61" i="21"/>
  <c r="BA167" i="21"/>
  <c r="BB102" i="21"/>
  <c r="BA102" i="21"/>
  <c r="AI161" i="21"/>
  <c r="BB46" i="21"/>
  <c r="BB155" i="21"/>
  <c r="BA339" i="21"/>
  <c r="BB114" i="21"/>
  <c r="BB57" i="21"/>
  <c r="BB81" i="21"/>
  <c r="BB285" i="21"/>
  <c r="BA128" i="21"/>
  <c r="BB327" i="21"/>
  <c r="BB54" i="21"/>
  <c r="BB266" i="21"/>
  <c r="BB110" i="21"/>
  <c r="BB263" i="21"/>
  <c r="BA112" i="21"/>
  <c r="BA117" i="21"/>
  <c r="BA104" i="21"/>
  <c r="BB55" i="21"/>
  <c r="BA56" i="21"/>
  <c r="BA111" i="21"/>
  <c r="BA175" i="21"/>
  <c r="BA103" i="21"/>
  <c r="BB295" i="21"/>
  <c r="BB217" i="21"/>
  <c r="BB331" i="21"/>
  <c r="BA88" i="21"/>
  <c r="BB328" i="21"/>
  <c r="BB111" i="21"/>
  <c r="BA98" i="21"/>
  <c r="BB213" i="21"/>
  <c r="BB202" i="21"/>
  <c r="BB369" i="21"/>
  <c r="BB156" i="21"/>
  <c r="BA105" i="21"/>
  <c r="BB316" i="21"/>
  <c r="BB160" i="21"/>
  <c r="BB74" i="21"/>
  <c r="BA336" i="21"/>
  <c r="BA110" i="21"/>
  <c r="BB99" i="21"/>
  <c r="BB172" i="21"/>
  <c r="BB11" i="21"/>
  <c r="BB116" i="21"/>
  <c r="AJ122" i="21"/>
  <c r="BA158" i="21"/>
  <c r="BB281" i="21"/>
  <c r="BA373" i="21"/>
  <c r="BB332" i="21"/>
  <c r="BA298" i="21"/>
  <c r="BB348" i="21"/>
  <c r="BB95" i="21"/>
  <c r="BB7" i="21"/>
  <c r="BB70" i="21"/>
  <c r="BB354" i="21"/>
  <c r="Z337" i="21"/>
  <c r="AJ322" i="21"/>
  <c r="AJ68" i="21"/>
  <c r="AJ302" i="21"/>
  <c r="Z66" i="21"/>
  <c r="AJ203" i="21"/>
  <c r="AJ199" i="21"/>
  <c r="AJ229" i="21"/>
  <c r="AJ109" i="21"/>
  <c r="Y114" i="21"/>
  <c r="AJ97" i="21"/>
  <c r="AJ219" i="21"/>
  <c r="AJ13" i="21"/>
  <c r="Y113" i="21"/>
  <c r="AJ49" i="21"/>
  <c r="AJ358" i="21"/>
  <c r="Z361" i="21"/>
  <c r="AJ101" i="21"/>
  <c r="Z161" i="21"/>
  <c r="AJ343" i="21"/>
  <c r="AJ242" i="21"/>
  <c r="AI107" i="21"/>
  <c r="Z181" i="21"/>
  <c r="AJ264" i="21"/>
  <c r="AJ280" i="21"/>
  <c r="Z226" i="21"/>
  <c r="AJ55" i="21"/>
  <c r="AJ158" i="21"/>
  <c r="AJ113" i="21"/>
  <c r="Z99" i="21"/>
  <c r="AJ64" i="21"/>
  <c r="Z231" i="21"/>
  <c r="Z303" i="21"/>
  <c r="Z51" i="21"/>
  <c r="Z78" i="21"/>
  <c r="Z111" i="21"/>
  <c r="Z301" i="21"/>
  <c r="Y171" i="21"/>
  <c r="Z160" i="21"/>
  <c r="Z369" i="21"/>
  <c r="Z296" i="21"/>
  <c r="Z278" i="21"/>
  <c r="Z103" i="21"/>
  <c r="Z282" i="21"/>
  <c r="Z152" i="21"/>
  <c r="Z120" i="21"/>
  <c r="Y109" i="21"/>
  <c r="AG391" i="12"/>
  <c r="AQ253" i="12"/>
  <c r="R297" i="12"/>
  <c r="U222" i="12"/>
  <c r="W349" i="12"/>
  <c r="W261" i="12"/>
  <c r="AE262" i="12"/>
  <c r="AG383" i="12"/>
  <c r="AG295" i="12"/>
  <c r="AG214" i="12"/>
  <c r="AL347" i="12"/>
  <c r="AL266" i="12"/>
  <c r="AO226" i="12"/>
  <c r="AQ375" i="12"/>
  <c r="AQ311" i="12"/>
  <c r="AQ247" i="12"/>
  <c r="AV380" i="12"/>
  <c r="AV316" i="12"/>
  <c r="AV194" i="12"/>
  <c r="BA403" i="12"/>
  <c r="BA331" i="12"/>
  <c r="BA263" i="12"/>
  <c r="BD334" i="12"/>
  <c r="W365" i="12"/>
  <c r="AL275" i="12"/>
  <c r="R275" i="12"/>
  <c r="W347" i="12"/>
  <c r="W197" i="12"/>
  <c r="AB400" i="12"/>
  <c r="AE222" i="12"/>
  <c r="AG374" i="12"/>
  <c r="AG287" i="12"/>
  <c r="AG199" i="12"/>
  <c r="AL339" i="12"/>
  <c r="AL251" i="12"/>
  <c r="AO402" i="12"/>
  <c r="AO210" i="12"/>
  <c r="AQ365" i="12"/>
  <c r="AQ301" i="12"/>
  <c r="AQ237" i="12"/>
  <c r="AT228" i="12"/>
  <c r="AV370" i="12"/>
  <c r="AV306" i="12"/>
  <c r="BA395" i="12"/>
  <c r="BA327" i="12"/>
  <c r="BA241" i="12"/>
  <c r="BD326" i="12"/>
  <c r="R233" i="12"/>
  <c r="W341" i="12"/>
  <c r="AB320" i="12"/>
  <c r="AE206" i="12"/>
  <c r="AG359" i="12"/>
  <c r="AG278" i="12"/>
  <c r="AL330" i="12"/>
  <c r="AL243" i="12"/>
  <c r="AO378" i="12"/>
  <c r="AQ359" i="12"/>
  <c r="AQ295" i="12"/>
  <c r="AQ231" i="12"/>
  <c r="AV364" i="12"/>
  <c r="AV300" i="12"/>
  <c r="BA391" i="12"/>
  <c r="BA305" i="12"/>
  <c r="BA233" i="12"/>
  <c r="BD398" i="12"/>
  <c r="BD312" i="12"/>
  <c r="W293" i="12"/>
  <c r="AG223" i="12"/>
  <c r="AQ381"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BD344"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AQ317"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C405" i="21" l="1"/>
  <c r="BD405" i="21"/>
  <c r="B3" i="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B3" i="5" s="1"/>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D3" i="2" s="1"/>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C4" i="3" l="1"/>
  <c r="R407" i="12"/>
  <c r="B3" i="7"/>
  <c r="D4" i="6"/>
  <c r="B2" i="9"/>
  <c r="C81" i="11" s="1"/>
  <c r="C3" i="5"/>
  <c r="C3" i="4"/>
  <c r="AT405" i="12"/>
  <c r="B7" i="10" s="1"/>
  <c r="D2" i="3"/>
  <c r="E22" i="11" s="1"/>
  <c r="C3" i="6"/>
  <c r="D2" i="7"/>
  <c r="D4" i="4"/>
  <c r="B4" i="4"/>
  <c r="C2" i="7"/>
  <c r="B4" i="3"/>
  <c r="AY405" i="12"/>
  <c r="B8" i="10" s="1"/>
  <c r="BD405" i="12"/>
  <c r="B9" i="10" s="1"/>
  <c r="B3" i="6"/>
  <c r="D2" i="6"/>
  <c r="D4" i="1"/>
  <c r="D3" i="5"/>
  <c r="W407" i="12"/>
  <c r="D3" i="6"/>
  <c r="C2" i="1"/>
  <c r="B3" i="3"/>
  <c r="C4" i="8"/>
  <c r="AB407" i="12"/>
  <c r="C4" i="7"/>
  <c r="D3" i="4"/>
  <c r="C2" i="2"/>
  <c r="D4" i="5"/>
  <c r="D3" i="3"/>
  <c r="R408" i="12"/>
  <c r="AJ405" i="12"/>
  <c r="B5" i="10" s="1"/>
  <c r="C2" i="9"/>
  <c r="C4" i="9"/>
  <c r="C3" i="9"/>
  <c r="BI405" i="12"/>
  <c r="B10" i="10" s="1"/>
  <c r="D4" i="2"/>
  <c r="AQ406" i="12"/>
  <c r="C3" i="1"/>
  <c r="D4" i="11" s="1"/>
  <c r="B2" i="3"/>
  <c r="B2" i="8"/>
  <c r="C2" i="3"/>
  <c r="C3" i="7"/>
  <c r="AG408" i="12"/>
  <c r="C3" i="2"/>
  <c r="AL406" i="12"/>
  <c r="D2" i="1"/>
  <c r="U405" i="12"/>
  <c r="B2" i="10" s="1"/>
  <c r="Z405" i="12"/>
  <c r="B3" i="10" s="1"/>
  <c r="AE405" i="12"/>
  <c r="B4" i="10" s="1"/>
  <c r="W406" i="12"/>
  <c r="AQ408" i="12"/>
  <c r="AV406" i="12"/>
  <c r="D4" i="8"/>
  <c r="AB408" i="12"/>
  <c r="C4" i="4"/>
  <c r="B3" i="9"/>
  <c r="C82" i="11" s="1"/>
  <c r="D2" i="5"/>
  <c r="D3" i="1"/>
  <c r="AO405" i="12"/>
  <c r="B6" i="10" s="1"/>
  <c r="W408" i="12"/>
  <c r="AV407" i="12"/>
  <c r="B4" i="8"/>
  <c r="C73" i="11" s="1"/>
  <c r="BA406" i="12"/>
  <c r="C3" i="3"/>
  <c r="C2" i="5"/>
  <c r="D42" i="11" s="1"/>
  <c r="C2" i="4"/>
  <c r="D32" i="11" s="1"/>
  <c r="B4" i="9"/>
  <c r="AL407" i="12"/>
  <c r="D2" i="2"/>
  <c r="B4" i="5"/>
  <c r="D3" i="7"/>
  <c r="BA408" i="12"/>
  <c r="C2" i="8"/>
  <c r="D71" i="11" s="1"/>
  <c r="C4" i="5"/>
  <c r="D44" i="11" s="1"/>
  <c r="AL408" i="12"/>
  <c r="B2" i="4"/>
  <c r="R406" i="12"/>
  <c r="B2" i="5"/>
  <c r="C42" i="11" s="1"/>
  <c r="AV408" i="12"/>
  <c r="B3" i="8"/>
  <c r="C72" i="11" s="1"/>
  <c r="BA407" i="12"/>
  <c r="B2" i="6"/>
  <c r="C52" i="11" s="1"/>
  <c r="AG406" i="12"/>
  <c r="C4" i="6"/>
  <c r="B3" i="4"/>
  <c r="B4" i="7"/>
  <c r="C64" i="11" s="1"/>
  <c r="C71" i="11"/>
  <c r="AQ407" i="12"/>
  <c r="D4" i="7"/>
  <c r="E64" i="11" s="1"/>
  <c r="C3" i="8"/>
  <c r="D72" i="11" s="1"/>
  <c r="D2" i="8"/>
  <c r="B4" i="6"/>
  <c r="C54" i="11" s="1"/>
  <c r="D2" i="4"/>
  <c r="E32" i="11" s="1"/>
  <c r="AG407" i="12"/>
  <c r="C2" i="6"/>
  <c r="D4" i="3"/>
  <c r="E24" i="11" s="1"/>
  <c r="B2" i="7"/>
  <c r="C62" i="11" s="1"/>
  <c r="D4" i="9"/>
  <c r="E83" i="11" s="1"/>
  <c r="BF408" i="12"/>
  <c r="BF407" i="12"/>
  <c r="BF406" i="12"/>
  <c r="D3" i="9"/>
  <c r="E82" i="11" s="1"/>
  <c r="D2" i="9"/>
  <c r="E81" i="11" s="1"/>
  <c r="C4" i="1"/>
  <c r="D5" i="11" s="1"/>
  <c r="AB406" i="12"/>
  <c r="C83" i="11"/>
  <c r="D73" i="11"/>
  <c r="C33" i="11"/>
  <c r="E72" i="11"/>
  <c r="E13" i="11"/>
  <c r="C5" i="11"/>
  <c r="C23" i="11"/>
  <c r="D53" i="11"/>
  <c r="E71" i="11"/>
  <c r="E63" i="11"/>
  <c r="C24" i="11"/>
  <c r="E54" i="11"/>
  <c r="E14" i="11"/>
  <c r="E44" i="11"/>
  <c r="D64" i="11"/>
  <c r="C53" i="11"/>
  <c r="E42" i="11"/>
  <c r="C14" i="11"/>
  <c r="C13" i="11"/>
  <c r="C12" i="11"/>
  <c r="D63" i="11"/>
  <c r="D54" i="11"/>
  <c r="E43" i="11"/>
  <c r="D52" i="11"/>
  <c r="E3" i="11"/>
  <c r="C34" i="11"/>
  <c r="E12" i="11"/>
  <c r="C63" i="11"/>
  <c r="E53" i="11"/>
  <c r="C32" i="11"/>
  <c r="E52" i="11"/>
  <c r="E23" i="11"/>
  <c r="E73" i="11"/>
  <c r="C22" i="11"/>
  <c r="C4" i="11"/>
  <c r="C44" i="11"/>
  <c r="C3" i="11"/>
  <c r="D43" i="11"/>
  <c r="E62" i="11"/>
  <c r="D62" i="11"/>
  <c r="D3" i="11"/>
  <c r="D14" i="11"/>
  <c r="C43" i="11"/>
  <c r="D34" i="11"/>
  <c r="E4" i="11"/>
  <c r="E34" i="11"/>
  <c r="E5" i="11"/>
  <c r="D24" i="11"/>
  <c r="E33" i="11"/>
  <c r="D33" i="11"/>
  <c r="D23" i="11"/>
  <c r="D13" i="11"/>
  <c r="D22" i="11"/>
  <c r="D12" i="11"/>
  <c r="D83" i="11"/>
  <c r="D82" i="11"/>
  <c r="D81"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L6" i="10" l="1"/>
  <c r="K3" i="10"/>
  <c r="K6" i="10"/>
  <c r="M6" i="10" s="1"/>
  <c r="J9" i="10"/>
  <c r="K9"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E9" i="10" l="1"/>
  <c r="M9" i="10"/>
  <c r="M2"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5"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6" xr16:uid="{94F19CC3-4656-42C0-B2CA-049368BD1649}" keepAlive="1" name="Query - step3_validation (10)" description="Connection to the 'step3_validation (10)' query in the workbook." type="5" refreshedVersion="0" background="1" saveData="1">
    <dbPr connection="Provider=Microsoft.Mashup.OleDb.1;Data Source=$Workbook$;Location=&quot;step3_validation (10)&quot;;Extended Properties=&quot;&quot;" command="SELECT * FROM [step3_validation (10)]"/>
  </connection>
  <connection id="7"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8"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9" xr16:uid="{F7EC4F26-98E3-4CD2-958A-1E8005FC2274}" keepAlive="1" name="Query - step3_validation (4)" description="Connection to the 'step3_validation (4)' query in the workbook." type="5" refreshedVersion="8" background="1" saveData="1">
    <dbPr connection="Provider=Microsoft.Mashup.OleDb.1;Data Source=$Workbook$;Location=&quot;step3_validation (4)&quot;;Extended Properties=&quot;&quot;" command="SELECT * FROM [step3_validation (4)]"/>
  </connection>
  <connection id="10" xr16:uid="{14EA6238-7AB9-4BDA-8602-510C19C4330E}" keepAlive="1" name="Query - step3_validation (5)" description="Connection to the 'step3_validation (5)' query in the workbook." type="5" refreshedVersion="0" background="1" saveData="1">
    <dbPr connection="Provider=Microsoft.Mashup.OleDb.1;Data Source=$Workbook$;Location=&quot;step3_validation (5)&quot;;Extended Properties=&quot;&quot;" command="SELECT * FROM [step3_validation (5)]"/>
  </connection>
  <connection id="11" xr16:uid="{69974143-1415-4598-B7BE-D9C39939331A}" keepAlive="1" name="Query - step3_validation (6)" description="Connection to the 'step3_validation (6)' query in the workbook." type="5" refreshedVersion="0" background="1" saveData="1">
    <dbPr connection="Provider=Microsoft.Mashup.OleDb.1;Data Source=$Workbook$;Location=&quot;step3_validation (6)&quot;;Extended Properties=&quot;&quot;" command="SELECT * FROM [step3_validation (6)]"/>
  </connection>
  <connection id="12" xr16:uid="{42764D90-ECE8-41B8-992D-D15F127A969A}" keepAlive="1" name="Query - step3_validation (7)" description="Connection to the 'step3_validation (7)' query in the workbook." type="5" refreshedVersion="0" background="1" saveData="1">
    <dbPr connection="Provider=Microsoft.Mashup.OleDb.1;Data Source=$Workbook$;Location=&quot;step3_validation (7)&quot;;Extended Properties=&quot;&quot;" command="SELECT * FROM [step3_validation (7)]"/>
  </connection>
  <connection id="13" xr16:uid="{DAEC1F68-1E9D-4222-B067-E0F3B46134B0}" keepAlive="1" name="Query - step3_validation (8)" description="Connection to the 'step3_validation (8)' query in the workbook." type="5" refreshedVersion="8" background="1" saveData="1">
    <dbPr connection="Provider=Microsoft.Mashup.OleDb.1;Data Source=$Workbook$;Location=&quot;step3_validation (8)&quot;;Extended Properties=&quot;&quot;" command="SELECT * FROM [step3_validation (8)]"/>
  </connection>
  <connection id="14" xr16:uid="{B2EA9FF3-2937-46CD-AAD9-BC2E8B755590}" keepAlive="1" name="Query - step3_validation (9)" description="Connection to the 'step3_validation (9)' query in the workbook." type="5" refreshedVersion="8" background="1" saveData="1">
    <dbPr connection="Provider=Microsoft.Mashup.OleDb.1;Data Source=$Workbook$;Location=&quot;step3_validation (9)&quot;;Extended Properties=&quot;&quot;" command="SELECT * FROM [step3_validation (9)]"/>
  </connection>
  <connection id="15"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6"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<sst xmlns="http://schemas.openxmlformats.org/spreadsheetml/2006/main" count="9222" uniqueCount="3813">
  <si>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</si>
  <si>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</si>
  <si>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</si>
  <si>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</si>
  <si>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</si>
  <si>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</si>
  <si>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</si>
  <si>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</si>
  <si>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</si>
  <si>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</si>
  <si>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</si>
  <si>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</si>
  <si>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</si>
  <si>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</si>
  <si>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</si>
  <si>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</si>
  <si>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</si>
  <si>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</si>
  <si>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</si>
  <si>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</si>
  <si>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</si>
  <si>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</si>
  <si>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</si>
  <si>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</si>
  <si>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</si>
  <si>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</si>
  <si>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</si>
  <si>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</si>
  <si>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</si>
  <si>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</si>
  <si>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</si>
  <si>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</si>
  <si>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</si>
  <si>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</si>
  <si>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</si>
  <si>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</si>
  <si>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</si>
  <si>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</si>
  <si>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</si>
  <si>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</si>
  <si>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</si>
  <si>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</si>
  <si>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</si>
  <si>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</si>
  <si>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</si>
  <si>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</si>
  <si>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</si>
  <si>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</si>
  <si>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</si>
  <si>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</si>
  <si>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</si>
  <si>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</si>
  <si>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</si>
  <si>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</si>
  <si>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</si>
  <si>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</si>
  <si>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</si>
  <si>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</si>
  <si>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</si>
  <si>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</si>
  <si>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</si>
  <si>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</si>
  <si>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</si>
  <si>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</si>
  <si>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</si>
  <si>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</si>
  <si>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</si>
  <si>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</si>
  <si>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</si>
  <si>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</si>
  <si>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</si>
  <si>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</si>
  <si>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</si>
  <si>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</si>
  <si>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</si>
  <si>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</si>
  <si>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</si>
  <si>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</si>
  <si>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</si>
  <si>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</si>
  <si>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</si>
  <si>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</si>
  <si>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Tôi tin rằng số tiền thuế đóng sẽ được sử dụng hiệu quả để cải thiện dịch vụ công</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</si>
  <si>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</si>
  <si>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</si>
  <si>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</si>
  <si>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</si>
  <si>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</si>
  <si>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</si>
  <si>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</si>
  <si>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</si>
  <si>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</si>
  <si>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</si>
  <si>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</si>
  <si>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</si>
  <si>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</si>
  <si>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</si>
  <si>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</si>
  <si>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</si>
  <si>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</si>
  <si>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</si>
  <si>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</si>
  <si>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</si>
  <si>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</si>
  <si>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</si>
  <si>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</si>
  <si>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</si>
  <si>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</si>
  <si>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</si>
  <si>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</si>
  <si>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</si>
  <si>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</si>
  <si>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</si>
  <si>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</si>
  <si>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</si>
  <si>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</si>
  <si>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</si>
  <si>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</si>
  <si>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</si>
  <si>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</si>
  <si>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</si>
  <si>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</si>
  <si>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</si>
  <si>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</si>
  <si>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</si>
  <si>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</si>
  <si>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</si>
  <si>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</si>
  <si>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</si>
  <si>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</si>
  <si>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</si>
  <si>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</si>
  <si>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</si>
  <si>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</si>
  <si>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</si>
  <si>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</si>
  <si>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</si>
  <si>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</si>
  <si>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</si>
  <si>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</si>
  <si>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</si>
  <si>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</si>
  <si>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</si>
  <si>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</si>
  <si>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</si>
  <si>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</si>
  <si>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</si>
  <si>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</si>
  <si>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</si>
  <si>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</si>
  <si>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</si>
  <si>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</si>
  <si>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</si>
  <si>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</si>
  <si>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</si>
  <si>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</si>
  <si>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</si>
  <si>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</si>
  <si>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</si>
  <si>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</si>
  <si>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</si>
  <si>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</si>
  <si>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</si>
  <si>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</si>
  <si>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</si>
  <si>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</si>
  <si>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</si>
  <si>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</si>
  <si>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</si>
  <si>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</si>
  <si>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</si>
  <si>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</si>
  <si>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</si>
  <si>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</si>
  <si>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</si>
  <si>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</si>
  <si>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</si>
  <si>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</si>
  <si>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</si>
  <si>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</si>
  <si>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</si>
  <si>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</si>
  <si>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</si>
  <si>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</si>
  <si>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</si>
  <si>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</si>
  <si>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</si>
  <si>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</si>
  <si>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</si>
  <si>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</si>
  <si>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</si>
  <si>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</si>
  <si>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</si>
  <si>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</si>
  <si>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</si>
  <si>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</si>
  <si>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</si>
  <si>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</si>
  <si>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</si>
  <si>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Tôi tin rằng Nhà nước sẽ thực thi chính sách một cách công bằng đối với mọi người nộp thuế.</t>
  </si>
  <si>
    <t>Tôi tin rằng Nhà nước sẽ thực thi chính sách một cách công bằng và khách quan đối với mọi người nộp thuế.</t>
  </si>
  <si>
    <t>Nhà nước đã giải thích rõ ràng về mục tiêu và lý do của việc sửa đổi thuế, tạo niềm tin cho người dân.</t>
  </si>
  <si>
    <t/>
  </si>
  <si>
    <t>Nhà nước đã giải thích rõ ràng về mục tiêu của việc sửa đổi thuế lần này</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</si>
  <si>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</si>
  <si>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</si>
  <si>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</si>
  <si>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</si>
  <si>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</si>
  <si>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</si>
  <si>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</si>
  <si>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</si>
  <si>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</si>
  <si>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</si>
  <si>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</si>
  <si>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</si>
  <si>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</si>
  <si>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</si>
  <si>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</si>
  <si>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</si>
  <si>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</si>
  <si>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</si>
  <si>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Hiện nay, quản lý thuế ngày càng được cải thiện với nhiều công nghệ hỗ trợ. Tuy nhiên, vẫn còn những rủi ro về việc trốn thuế.</t>
  </si>
  <si>
    <t>Cơ quan thuế đã và đang áp dụng nhiều biện pháp để tăng cường quản lý, giảm thiểu gian lận. Tuy nhiên, hiệu quả thực tế phụ thuộc vào nhiều yếu tố</t>
  </si>
  <si>
    <t>Thủ tục khai báo thuế và làm việc với cơ quan thuế đã đơn giản hơn nhưng vẫn cần cải thiện để trở nên hoàn toàn tiện lợi.</t>
  </si>
  <si>
    <t>Cách tính thuế mới rõ ràng, dễ hiểu và dễ thực hiện. Tuy nhiên, đối với người không am hiểu về thuế, nó vẫn có thể gây khó khăn.</t>
  </si>
  <si>
    <t>Tôi tin rằng Nhà nước sẽ thực thi chính sách một cách công bằng nhưng cũng cần giám sát chặt chẽ để tránh bất công.</t>
  </si>
  <si>
    <t>Thuế tôi phải đóng theo phương án mới là hợp lý vì nó dựa trên thu nhập của tôi. Mức thuế giảm đã tăng niềm tin vào tính công bằng.</t>
  </si>
  <si>
    <t>Tôi tin rằng số tiền thuế tôi đóng sẽ được sử dụng hiệu quả để cải thiện các dịch vụ công, mặc dù có thể không hoàn toàn rõ ràng.</t>
  </si>
  <si>
    <t>Nhà nước đã giải thích rõ về mục tiêu của việc sửa đổi thuế nhưng cần làm rõ hơn về cách sử dụng nguồn thu từ thuế.</t>
  </si>
  <si>
    <t>Tôi ủng hộ và sẽ tuân thủ chính sách mới vì nó mang lại lợi ích cho tôi và cải thiện quản lý thuế tổng thể.</t>
  </si>
  <si>
    <t>Hiện nay, cơ quan thuế Việt Nam có hệ thống quản lý hiện đại và công nghệ thông tin phát triển, do đó tôi tin rằng hành vi gian lận hoặc trốn thuế sẽ dễ dàng bị phát hiện.</t>
  </si>
  <si>
    <t>Nhà nước đã đầu tư mạnh vào công nghệ và nhân lực để nâng cao hiệu quả quản lý thuế, do đó tôi tin rằng họ có đủ khả năng xử lý nghiêm các hành vi trốn thuế.</t>
  </si>
  <si>
    <t>Quy trình khai báo thuế đã đơn giản hóa đáng kể so với trước đây, không còn nhiều thủ tục rườm rà như lúc ban đầu.</t>
  </si>
  <si>
    <t>Biểu thuế mới có ít bậc hơn và dễ hiểu hơn, giúp việc tính thuế trở nên thuận tiện và dễ thực hiện hơn.</t>
  </si>
  <si>
    <t>Tôi tin rằng Nhà nước sẽ công tâm trong việc áp dụng các quy định mới và đối xử bình đẳng với mọi người nộp thuế.</t>
  </si>
  <si>
    <t>Thuế tôi phải đóng theo phương án mới là hợp lý, bởi mức giảm trừ gia cảnh tăng đáng kể giúp tôi tiết kiệm được một khoản tiền đáng kể.</t>
  </si>
  <si>
    <t>Những khoản thuế mà tôi đóng sẽ được sử dụng hiệu quả để cải thiện các dịch vụ công, do đó tôi cảm thấy hài lòng với việc đóng thuế.</t>
  </si>
  <si>
    <t>Nhà nước đã giải thích rõ ràng về mục tiêu và lý do của việc sửa đổi chính sách thuế lần này thông qua nhiều kênh thông tin.</t>
  </si>
  <si>
    <t>Sau khi xem xét các quyền lợi và nghĩa vụ mới, tôi ủng hộ và sẵn lòng tuân thủ chính sách mới vì nó mang lại lợi ích cho người dân như tôi.</t>
  </si>
  <si>
    <t>Thuế TNCN mới đã đơn giản hóa nhiều, giảm bậc thuế từ 7 xuống còn 5, do đó việc phát hiện và xử lý gian lận có thể không như trước.</t>
  </si>
  <si>
    <t>Công nghệ hiện đại giúp cơ quan thuế dễ dàng theo dõi nhưng vẫn phụ thuộc vào sự tuân thủ của cá nhân nộp thuế.</t>
  </si>
  <si>
    <t>Thủ tục khai thuế và quy trình làm việc với cơ quan thuế đã đơn giản hơn rất nhiều, đặc biệt là khi không còn phải lo lắng về thuế</t>
  </si>
  <si>
    <t>Cách tính thuế và các bậc thuế mới đơn giản hơn, dễ hiểu và thực hiện nhanh chóng hơn.</t>
  </si>
  <si>
    <t>Nhà nước đã tăng giảm trừ gia cảnh, do đó tôi tin rằng việc đánh giá công bằng về mức thuế là hợp lý</t>
  </si>
  <si>
    <t>Mức thuế mới cho phép tôi không phải đóng thuế, điều này cho thấy sự công bằng với thu nhập của mình.</t>
  </si>
  <si>
    <t>Số tiền thuế tôi đóng sẽ được sử dụng hiệu quả để cải thiện các dịch vụ công</t>
  </si>
  <si>
    <t>Nhà nước đã giải thích rõ ràng về mục tiêu và lý do của việc sửa đổi chính sách thuế.</t>
  </si>
  <si>
    <t>Dựa trên mức thuế tôi phải đóng thấp hơn so với trước, tôi sẽ ủng hộ và tuân thủ chính sách mới này</t>
  </si>
  <si>
    <t>Công nghệ hiện đại giúp phát hiện gian lận dễ dàng, cộng thêm việc tăng cường giám sát thuế sẽ làm giảm khả năng trốn tránh.</t>
  </si>
  <si>
    <t>Nhà nước đã đầu tư công nghệ và nguồn lực vào hệ thống quản lý thuế, giúp phát hiện và xử lý nhanh chóng các hành vi không hợp pháp.</t>
  </si>
  <si>
    <t>Quy trình khai báo thuế đơn giản hơn nhiều so với trước đây, giảm thời gian và công sức cho người dân.</t>
  </si>
  <si>
    <t>Bậc thuế mới đơn giản hóa quá trình tính thuế, giúp người dân dễ dàng hiểu và áp dụng.</t>
  </si>
  <si>
    <t>Nhà nước đã cải cách thuế một cách công bằng cho mọi đối tượng, tạo sự tin tưởng trong cộng đồng.</t>
  </si>
  <si>
    <t>Mức thuế mới giảm đáng kể so với trước đây, thể hiện sự công bằng với người thu nhập trung bình như tôi.</t>
  </si>
  <si>
    <t>Thuế đóng góp vào việc cải thiện các dịch vụ công và hạ tầng, tạo lợi ích cho cộng đồng</t>
  </si>
  <si>
    <t>Nhà nước đã minh bạch về mục đích và lý do của cải cách thuế, tăng sự tin tưởng từ người dân.</t>
  </si>
  <si>
    <t>Sau khi xem xét tác động tài chính tích cực, tôi ủng hộ và sẽ tuân thủ chính sách mới.</t>
  </si>
  <si>
    <t>Dù đã cải cách, nhưng tôi vẫn nghi ngờ khả năng phát hiện hành vi trốn thuế của nhà nước.</t>
  </si>
  <si>
    <t>Công nghệ hiện đại có thể hỗ trợ tốt trong việc phát hiện trốn thuế, nhưng thực tế còn phụ thuộc vào nguồn lực.</t>
  </si>
  <si>
    <t>Đơn giản hóa quy trình khai báo và giảm trừ gia cảnh giúp thủ tục trở nên dễ dàng hơn.</t>
  </si>
  <si>
    <t>Biểu thuế đơn giản hơn, nhưng tôi vẫn thấy một chút phức tạp khi tính toán các bậc thuế.</t>
  </si>
  <si>
    <t>Tôi tin rằng nhà nước sẽ thực hiện chính sách công bằng và minh bạch</t>
  </si>
  <si>
    <t>Với mức thu nhập của tôi, giảm trừ gia cảnh cao hơn giúp tôi thấy mức thuế này là hợp lý.</t>
  </si>
  <si>
    <t>Những giải thích về chính sách mới đã khá rõ ràng, nhưng tôi hy vọng nhà nước sẽ tiếp tục minh bạch hơn nữa.</t>
  </si>
  <si>
    <t>Chính sách mới giúp tiết kiệm chi phí thuế và đơn giản hóa quy trình khai báo, do đó tôi ủng hộ nó</t>
  </si>
  <si>
    <t>Nhà nước đã cải thiện hệ thống quản lý thuế, tăng giảm trừ gia cảnh và đơn giản hóa biểu thuế, nên khả năng phát hiện trốn thuế được nâng cao.</t>
  </si>
  <si>
    <t>Cơ quan thuế có công nghệ tiên tiến để theo dõi và xử lý các hành vi vi phạm về thuế.</t>
  </si>
  <si>
    <t>Quy trình khai báo thuế trở nên đơn giản hơn, giảm bớt thủ tục rườm rà trước đây.</t>
  </si>
  <si>
    <t>Biểu thuế mới có ít bậc hơn và dễ hiểu, giúp tính toán nhanh chóng hơn.</t>
  </si>
  <si>
    <t>Nhà nước đã công khai các chính sách về thuế, tạo sự minh bạch trong quá trình thực thi.</t>
  </si>
  <si>
    <t>Mức giảm trừ gia cảnh cao và số bậc thuế ít hơn làm cho mức thuế của tôi trở nên hợp lý.</t>
  </si>
  <si>
    <t>Thuế đóng góp vào việc cải thiện các dịch vụ công, tạo lợi ích chung cho toàn xã hội.</t>
  </si>
  <si>
    <t>Nhà nước đã giải thích rõ ràng về mục tiêu và lý do của chính sách thuế mới, tạo niềm tin trong người dân.</t>
  </si>
  <si>
    <t>Sau khi tính toán lợi ích từ chính sách mới, tôi ủng hộ và sẽ tuân thủ.</t>
  </si>
  <si>
    <t>Hiện nay, cơ quan thuế có nhiều công cụ và nguồn lực để kiểm soát gian lận, nhưng vẫn có thể gặp khó khăn với việc xử lý triệt để.</t>
  </si>
  <si>
    <t>Cơ quan thuế đã đầu tư vào công nghệ, nhưng hiệu quả thực tế còn phụ thuộc vào sự tuân thủ của cá nhân và doanh nghiệp.</t>
  </si>
  <si>
    <t>Quy trình khai báo thuế đơn giản hơn, giảm bớt các bước rườm rà, thuận tiện cho người dân.</t>
  </si>
  <si>
    <t>Biểu thuế mới ít bậc, dễ dàng nắm bắt và áp dụng, giúp tiết kiệm thời gian tính toán.</t>
  </si>
  <si>
    <t>Tôi tin Nhà nước sẽ công bằng trong việc thực thi chính sách, nhưng vẫn có thể gặp vấn đề về sự nhất quán.</t>
  </si>
  <si>
    <t>Thuế mới được giảm đáng kể, tôi thấy đây là mức thuế hợp lý cho thu nhập của mình.</t>
  </si>
  <si>
    <t>Tiền thuế đóng góp vào các dịch vụ công và phát triển cơ sở hạ tầng, lợi ích trực tiếp cho cộng đồng.</t>
  </si>
  <si>
    <t>Nhà nước đã giải thích rõ ràng về mục tiêu cải cách, nhưng vẫn cần làm rõ hơn về hiệu quả sử dụng nguồn thu thuế.</t>
  </si>
  <si>
    <t>Đối với tôi, chính sách mới mang lại nhiều lợi ích và thuận tiện, nên tôi ủng hộ và tuân thủ.</t>
  </si>
  <si>
    <t>Biểu thuế mới có ít bậc hơn, dễ hiểu và thực hiện nhanh chóng hơn so với trước đây.</t>
  </si>
  <si>
    <t>Tăng mức giảm trừ gia cảnh và đơn giản hóa biểu thuế có thể làm giảm khả năng phát hiện hành vi gian lận hoặc trốn thuế.</t>
  </si>
  <si>
    <t>Cơ quan thuế đã có nhiều cải tiến công nghệ, nhưng việc tăng mức giảm trừ gia cảnh và đơn giản hóa biểu thuế có thể làm giảm hiệu quả phát hiện hành vi trốn thuế.</t>
  </si>
  <si>
    <t>Quy trình khai báo thuế và làm việc với cơ quan thuế đã trở nên đơn giản hơn, nhưng việc tăng mức giảm trừ gia cảnh có thể khiến thủ tục phức tạp hơn đối với những người chưa quen.</t>
  </si>
  <si>
    <t>Biểu thuế được đơn giản hóa từ 7 bậc xuống còn 5 bậc, làm cho quá trình tính toán và nộp thuế dễ dàng hơn.</t>
  </si>
  <si>
    <t>Nhà nước đã tăng mức giảm trừ gia cảnh lên cao, giúp tôi không phải đóng thuế. Điều này thể hiện sự công bằng đối với người dân có thu nhập thấp-medium.</t>
  </si>
  <si>
    <t>Mức thuế mới được thiết kế để phù hợp với thu nhập của tôi và những người có cùng mức độ phụ thuộc, cho thấy tính công bằng trong việc áp dụng chính sách thuế.</t>
  </si>
  <si>
    <t>Tăng mức giảm trừ gia cảnh và đơn giản hóa biểu thuế sẽ giúp nguồn lực được phân bổ hiệu quả hơn vào các dịch vụ công, từ đó cải thiện chất lượng cuộc sống của tôi và người dân.</t>
  </si>
  <si>
    <t>Nhà nước đã giải thích rõ ràng về việc tăng mức giảm trừ gia cảnh và đơn giản hóa biểu thuế, khiến tôi cảm thấy tin tưởng vào quyết định này.</t>
  </si>
  <si>
    <t>Tôi ủng hộ chính sách mới vì nó giúp tôi không phải đóng thuế và thủ tục khai báo trở nên đơn giản hơn. Tôi sẽ tuân thủ các quy định mới để hỗ trợ cải cách của Nhà nước.</t>
  </si>
  <si>
    <t>Nước ta đang có nhiều biện pháp quản lý thuế chặt chẽ, với sự hỗ trợ của công nghệ, việc phát hiện và xử lý gian lận là khả thi.</t>
  </si>
  <si>
    <t>Cơ quan thuế đã đầu tư vào công nghệ và nhân lực để nâng cao hiệu quả quản lý.</t>
  </si>
  <si>
    <t>Thủ tục khai báo thuế đã đơn giản hơn, nhưng vẫn cần cải thiện thêm về sự tiện lợi.</t>
  </si>
  <si>
    <t>Bậc thuế mới đơn giản và dễ hiểu hơn, dễ thực hiện so với trước đây.</t>
  </si>
  <si>
    <t>Tôi tin rằng cơ quan thuế sẽ công bằng trong việc quản lý và thực thi chính sách thuế.</t>
  </si>
  <si>
    <t>Mức giảm trừ gia cảnh cao hơn và số bậc thuế ít hơn làm cho mức thuế tôi đóng hợp lý.</t>
  </si>
  <si>
    <t>Thuế tôi đóng sẽ được sử dụng hiệu quả để cải thiện dịch vụ công, từ đó tạo niềm tin.</t>
  </si>
  <si>
    <t>Nhà nước đã giải thích rõ mục tiêu và lý do của việc sửa đổi thuế này.</t>
  </si>
  <si>
    <t>Tác động tài chính tích cực, thủ tục đơn giản hơn, tôi ủng hộ và tuân thủ chính sách mới.</t>
  </si>
  <si>
    <t>Nhà nước đã tăng giảm trừ gia cảnh và đơn giản hóa biểu thuế, nên khả năng phát hiện gian lận hay trốn thuế sẽ cao hơn.</t>
  </si>
  <si>
    <t>Cơ quan thuế có đủ công nghệ và nguồn lực để thực thi chính sách mới một cách hiệu quả.</t>
  </si>
  <si>
    <t>Quy trình khai báo thuế trở nên đơn giản hơn, chỉ cần cung cấp thông tin cơ bản là xong.</t>
  </si>
  <si>
    <t>Biểu thuế mới có ít bậc hơn và dễ hiểu, thuận tiện cho việc tính toán.</t>
  </si>
  <si>
    <t>Nếu cơ quan thuế có công nghệ hiện đại, khả năng phát hiện hành vi gian lận sẽ cao hơn. Tuy nhiên, tôi không hoàn toàn tin tưởng vào việc xử lý nghiêm minh</t>
  </si>
  <si>
    <t>Nhà nước đã đầu tư vào công nghệ và đào tạo nhân viên thuế nên khả năng phát hiện gian lận sẽ tốt hơn</t>
  </si>
  <si>
    <t>Quy trình làm việc với cơ quan thuế đơn giản hơn, thủ tục khai báo thuận tiện hơn nhưng vẫn còn một số rào cản</t>
  </si>
  <si>
    <t>Cách tính thuế và các bậc thuế mới dễ hiểu hơn so với trước đây</t>
  </si>
  <si>
    <t>Tôi tin rằng Nhà nước sẽ thực thi chính sách một cách công bằng, nhưng cần thêm thời gian để chứng minh</t>
  </si>
  <si>
    <t>Thuế mới có vẻ hợp lý cho thu nhập của tôi, mức giảm trừ gia cảnh tăng cao hơn trước</t>
  </si>
  <si>
    <t>Nhà nước đã giải thích rõ ràng về lý do và mục tiêu của việc sửa đổi thuế, tôi thấy đây là một bước tiến tích cực</t>
  </si>
  <si>
    <t>Tôi ủng hộ chính sách mới vì nó tạo ra sự công bằng và thuận tiện hơn cho người dân</t>
  </si>
  <si>
    <t>Thuế đã được đơn giản hóa và giảm trừ gia cảnh cao hơn, do đó, việc phát hiện hành vi gian lận có thể khó khăn hơn.</t>
  </si>
  <si>
    <t>Việc sử dụng công nghệ trong quản lý thuế đang được cải thiện nhưng không rõ liệu nó đã đủ để phát hiện đầy đủ các trường hợp trốn thuế.</t>
  </si>
  <si>
    <t>Việc tăng mức giảm trừ gia cảnh và đơn giản hóa biểu thuế có thể làm giảm cơ hội trốn thuế, nhưng vẫn cần thêm thời gian để đánh giá hiệu quả thực tế.</t>
  </si>
  <si>
    <t>Nhà nước đã đầu tư vào công nghệ để phát hiện hành vi trốn thuế, tuy nhiên, việc này còn phụ thuộc vào sự tuân thủ của người dân.</t>
  </si>
  <si>
    <t>Thủ tục khai báo và quy trình làm việc với cơ quan thuế đã đơn giản hơn so với trước đây, giúp tiết kiệm thời gian.</t>
  </si>
  <si>
    <t>Biểu thuế mới có ít bậc hơn và mức thuế suất rõ ràng hơn, thuận lợi cho việc tính toán và thực hiện.</t>
  </si>
  <si>
    <t>Tôi tin rằng Nhà nước sẽ công bằng khi áp dụng chính sách mới đối với mọi người nộp thuế, nhưng cần thêm thời gian để đánh giá.</t>
  </si>
  <si>
    <t>Mức thuế tôi phải đóng theo phương án mới là hợp lý, phù hợp với thu nhập của tôi và tình hình kinh tế hiện tại.</t>
  </si>
  <si>
    <t>Tôi tin rằng số tiền thuế tôi đóng sẽ được sử dụng hiệu quả để cải thiện các dịch vụ công, nhưng cần thêm thông tin về việc này.</t>
  </si>
  <si>
    <t>Nhà nước đã giải thích rõ ràng về mục tiêu của việc sửa đổi chính sách thuế lần này, giúp tôi hiểu hơn về lý do thay đổi.</t>
  </si>
  <si>
    <t>Tôi ủng hộ và tuân thủ chính sách mới vì nó tạo điều kiện thuận lợi cho người dân và giảm bớt gánh nặng về mặt tài chính.</t>
  </si>
  <si>
    <t>Với mức giảm trừ gia cảnh cao hơn và sự đơn giản hóa quy trình, việc phát hiện gian lận trở nên khó khăn. Tuy nhiên, tôi vẫn giữ một ít nghi ngờ về khả năng giám sát của cơ quan thuế đối với tất cả các trường hợp.</t>
  </si>
  <si>
    <t>Nhà nước đã tăng cường công nghệ và nguồn lực để quản lý thuế nên khả năng phát hiện trốn thuế được cải thiện đáng kể. Đây là một điểm tích cực.</t>
  </si>
  <si>
    <t>Các quy trình khai báo thuế trở nên đơn giản hơn, giảm bớt thời gian và công sức của người dân trong việc làm thủ tục với cơ quan thuế</t>
  </si>
  <si>
    <t>Biểu thuế mới có ít bậc hơn, dễ dàng hiểu và thực hiện hơn so với trước đây.</t>
  </si>
  <si>
    <t>Tôi tin rằng cơ quan thuế sẽ công bằng khi áp dụng chính sách mới cho mọi người nộp thuế</t>
  </si>
  <si>
    <t>Dựa trên mức giảm trừ gia cảnh và thu nhập của tôi, tôi thấy mức thuế mới là hợp lý và công bằng.</t>
  </si>
  <si>
    <t>Nhà nước đã giải thích rõ ràng về mục tiêu cải cách thuế, giúp người dân hiểu được lợi ích của chính sách này</t>
  </si>
  <si>
    <t>Cơ quan thuế đã công bố đầy đủ thông tin về việc cải cách thuế, tôi cảm thấy họ có trách nhiệm đối với quyết định này.</t>
  </si>
  <si>
    <t>Sau khi xem xét các quyền lợi và nghĩa vụ mới, tôi ủng hộ và tuân thủ chính sách thuế mới để đóng góp vào sự phát triển chung của đất nước</t>
  </si>
  <si>
    <t>Dù chưa rõ ràng về khả năng phát hiện, nhưng với mức giảm trừ gia cảnh cao, tôi tin rằng việc gian lận thuế sẽ ít hơn.</t>
  </si>
  <si>
    <t>Hiện tại, cơ quan thuế có nhiều công cụ và hệ thống để phát hiện hành vi gian lận hoặc trốn thuế. Tuy nhiên, việc thực thi vẫn cần sự phối hợp chặt chẽ giữa các đơn vị liên quan.</t>
  </si>
  <si>
    <t>Nhà nước đã đầu tư công nghệ và hệ thống quản lý thuế hiện đại, giúp phát hiện nhanh chóng và xử lý kịp thời các hành vi trốn thuế. Điều này tăng cường niềm tin của người dân vào sự minh bạch trong quản lý thuế.</t>
  </si>
  <si>
    <t>Dù không phải đóng thuế nhưng với mức giảm trừ gia cảnh cao, tôi vẫn lo ngại về việc phát hiện hành vi gian lận.</t>
  </si>
  <si>
    <t>Tôi tin rằng cơ quan thuế có đủ năng lực phát hiện hành vi trốn thuế do cải cách đã đơn giản hóa quy trình, nhưng vẫn cần tăng cường quản lý.</t>
  </si>
  <si>
    <t>Cơ quan thuế đã sử dụng công nghệ hiện đại hơn để theo dõi và xử lý các trường hợp trốn thuế</t>
  </si>
  <si>
    <t>Quy trình khai báo thuế trở nên đơn giản, nhưng vẫn cần cải thiện để phù hợp với thực tế của người dân.</t>
  </si>
  <si>
    <t>Biểu thuế đã được đơn giản hóa và dễ hiểu hơn so với trước đây</t>
  </si>
  <si>
    <t>Tôi tin rằng cơ quan thuế sẽ thực thi chính sách một cách công bằng, nhưng vẫn cần thêm minh bạch về quy trình</t>
  </si>
  <si>
    <t>Thuế mới giảm nên tôi cảm thấy mức thuế đóng là hợp lý</t>
  </si>
  <si>
    <t>Tài chính quốc gia có thể được sử dụng hiệu quả hơn, nhưng vẫn cần thông tin chi tiết về cách sử dụng</t>
  </si>
  <si>
    <t>Nhà nước đã giải thích rõ ràng mục tiêu của việc cải cách thuế</t>
  </si>
  <si>
    <t>Tôi ủng hộ chính sách mới vì lợi ích về mặt tài chính và giảm độ phức tạp</t>
  </si>
  <si>
    <t>Mặc dù mức thuế không thay đổi, nhưng với việc giảm trừ gia cảnh cao hơn trước, tôi tin rằng cơ quan thuế sẽ khó phát hiện hành vi trốn thuế.</t>
  </si>
  <si>
    <t xml:space="preserve">Hiện nay, với các quy định quản lý thuế mới, tôi tin rằng hành vi gian lận hoặc trốn thuế sẽ khó phát hiện hơn do mức giảm trừ gia cảnh cao. Tuy nhiên, cơ quan thuế vẫn có đủ khả năng xử lý nghiêm nếu phát hiện. </t>
  </si>
  <si>
    <t>Dù tôi không tin rằng Nhà nước có đầy đủ công nghệ để phát hiện trốn thuế một cách hiệu quả ngay lập tức, nhưng họ sẽ cố gắng tối ưu hóa khả năng này.</t>
  </si>
  <si>
    <t xml:space="preserve">Việc đơn giản hóa biểu thuế và tăng giảm trừ gia cảnh đã làm các thủ tục khai báo trở nên dễ dàng hơn. </t>
  </si>
  <si>
    <t>Các bậc thuế mới rõ ràng hơn, không còn phức tạp như trước đây.</t>
  </si>
  <si>
    <t>Tôi tin rằng Nhà nước sẽ thực thi chính sách một cách công bằng và khách quan, nhưng cần thêm thời gian để chứng minh.</t>
  </si>
  <si>
    <t>Mức thuế mới đối với thu nhập của tôi là hợp lý, giảm bớt gánh nặng tài chính.</t>
  </si>
  <si>
    <t>Nhà nước đã giải thích rõ ràng về mục tiêu của việc sửa đổi thuế, nhưng vẫn cần thêm thông tin về cách sử dụng chi phí thu thập.</t>
  </si>
  <si>
    <t xml:space="preserve">Dù có một số lo ngại về khả năng quản lý thuế, tôi ủng hộ chính sách mới vì nó mang lại lợi ích thực tế cho người dân. </t>
  </si>
  <si>
    <t>Tăng giảm trừ gia cảnh và đơn giản hóa biểu thuế làm giảm nguy cơ gian lận, nhưng thực tế phát hiện trốn thuế vẫn phụ thuộc vào hiệu quả công tác quản lý.</t>
  </si>
  <si>
    <t>Cơ quan thuế có nhiều công cụ kỹ thuật để theo dõi và xử lý hành vi trốn thuế, nhưng cần cải thiện hơn nữa trong việc ứng dụng công nghệ.</t>
  </si>
  <si>
    <t>Thủ tục đơn giản hóa giúp quá trình khai thuế dễ dàng hơn, nhưng vẫn còn một số bước cần tối ưu hóa.</t>
  </si>
  <si>
    <t>Bậc thuế giảm đi và giảm trừ gia cảnh tăng lên làm việc tính toán thuế trở nên đơn giản hơn, người dân dễ hiểu và thực hiện hơn.</t>
  </si>
  <si>
    <t>Mức thuế không thay đổi nhiều so với trước do mức thu nhập thấp hơn mức giảm trừ gia cảnh, tạo cảm giác công bằng trong việc áp dụng chính sách.</t>
  </si>
  <si>
    <t>Thu nhập của tôi vẫn thấp hơn mức giảm trừ gia cảnh nên không phải đóng thuế, điều này thấy được sự công bằng trong cách áp dụng chính sách mới.</t>
  </si>
  <si>
    <t>Nhìn chung, tôi tin rằng số tiền thuế đóng sẽ được sử dụng hiệu quả cho các dịch vụ công, vì mức giảm trừ gia cảnh cao giúp hỗ trợ đời sống</t>
  </si>
  <si>
    <t>Chính phủ đã giải thích rõ về mục tiêu và lý do của việc cải cách thuế, nhưng cần cải thiện thêm trong việc cung cấp thông tin chi tiết hơn.</t>
  </si>
  <si>
    <t>Dựa trên mức thu nhập và giảm trừ gia cảnh cao, tôi không phải đóng thuế nên ủng hộ chính sách mới. Tuy nhiên, vẫn cần cải thiện công tác quản lý để tránh trốn thuế.</t>
  </si>
  <si>
    <t>Do mức giảm trừ gia cảnh cao hơn thu nhập, tôi không nghĩ sẽ có hành vi gian lận hoặc trốn thuế. Hơn nữa, với sự phát triển của công nghệ, việc kiểm soát thuế ngày càng dễ dàng.</t>
  </si>
  <si>
    <t>Cơ quan thuế có nhiều nguồn lực và công nghệ để giám sát hành vi gian lận hoặc trốn thuế. Việc giảm trừ gia cảnh cao đã khiến tôi không phải đóng thuế, điều này đồng nghĩa với việc ít có khả năng trốn thuế.</t>
  </si>
  <si>
    <t>Quy trình khai báo thuế và làm việc với cơ quan thuế đã trở nên đơn giản hơn. Tôi chỉ cần khai báo thu nhập hàng tháng, không còn nhiều thủ tục rườm rà như trước đây.</t>
  </si>
  <si>
    <t>Cách tính thuế và các bậc thuế mới dễ hiểu hơn. Mức thuế suất giảm từ 7 bậc xuống 5 cũng giúp việc tính toán trở nên đơn giản hơn</t>
  </si>
  <si>
    <t>Nhà nước đã sửa đổi chính sách thuế một cách công bằng và khách quan, đặc biệt là với mức giảm trừ gia cảnh cao. Điều này tạo niềm tin cho tôi về việc thực thi chính sách mới.</t>
  </si>
  <si>
    <t>Mức thuế mà tôi phải đóng là hợp lý và công bằng so với thu nhập của mình, đặc biệt là khi mức giảm trừ gia cảnh cao hơn nhiều so với trước đây. Điều này cho thấy chính sách mới đã cân nhắc kỹ lưỡng.</t>
  </si>
  <si>
    <t>Nhà nước sẽ sử dụng số tiền thuế thu được để cải thiện các dịch vụ công, như y tế và đường xá, điều này tạo niềm tin cho tôi về việc sử dụng hiệu quả nguồn lực tài chính.</t>
  </si>
  <si>
    <t>Nhà nước đã giải thích rõ ràng về lý do và mục tiêu của việc sửa đổi thuế. Điều này làm tăng sự minh bạch và niềm tin của tôi vào hệ thống quản lý thuế mới.</t>
  </si>
  <si>
    <t>Tôi ủng hộ chính sách mới vì nó đơn giản hơn, công bằng hơn và giúp giảm gánh nặng về mặt tài chính. Tôi sẽ tuân thủ chính sách này.</t>
  </si>
  <si>
    <t>Dù thuế đã giảm đáng kể, nhưng tôi vẫn nghi ngờ khả năng phát hiện của cơ quan thuế đối với các hành vi gian lận.</t>
  </si>
  <si>
    <t>Việc nâng cao mức giảm trừ gia cảnh và đơn giản hóa biểu thuế giúp hạn chế tình trạng trốn thuế.</t>
  </si>
  <si>
    <t>Các quy định mới rõ ràng hơn, thủ tục khai báo thuận tiện hơn nhiều so với trước đây.</t>
  </si>
  <si>
    <t>Số bậc thuế giảm đi và mức thuế suất được điều chỉnh hợp lý giúp việc tính toán dễ dàng hơn.</t>
  </si>
  <si>
    <t>Tôi tin rằng cơ quan thuế sẽ thực hiện chính sách một cách công bằng, nhưng vẫn có chút lo ngại về khả năng thực thi.</t>
  </si>
  <si>
    <t>Thuế suất mới được thiết kế hợp lý cho thu nhập của tôi, điều này khiến tôi cảm thấy công bằng hơn.</t>
  </si>
  <si>
    <t>Tôi tin rằng thuế tôi đóng sẽ được sử dụng hiệu quả để cải thiện dịch vụ công và hạ tầng cơ sở.</t>
  </si>
  <si>
    <t>Chính phủ đã giải thích rõ ràng về việc sửa đổi thuế, nhưng tôi vẫn muốn có thêm thông tin chi tiết hơn.</t>
  </si>
  <si>
    <t>Mặc dù thuế giảm đi đáng kể, nhưng do tôi nghi ngờ khả năng phát hiện của cơ quan thuế nên không hoàn toàn ủng hộ đầy đủ.</t>
  </si>
  <si>
    <t>Thuế được tính dựa trên giảm trừ gia cảnh cao nên khó phát hiện gian lận.</t>
  </si>
  <si>
    <t>Cơ quan thuế có thể sử dụng công nghệ để theo dõi nhưng không chắc chắn về khả năng quản lý.</t>
  </si>
  <si>
    <t>Quy trình khai báo đơn giản hơn, dễ thực hiện hơn trước đây.</t>
  </si>
  <si>
    <t>Bậc thuế ít hơn và rõ ràng hơn khiến việc tính thuế trở nên dễ dàng.</t>
  </si>
  <si>
    <t>Việc giảm trừ gia cảnh cao giúp tôi cảm thấy công bằng trong cách thực thi chính sách.</t>
  </si>
  <si>
    <t>Thuế mới được tính dựa trên thu nhập thực tế nên hợp lý với mức thu nhập của tôi.</t>
  </si>
  <si>
    <t>Mức thuế này sẽ giúp cải thiện dịch vụ công như y tế và giao thông.</t>
  </si>
  <si>
    <t>Nhà nước đã giải thích về mục tiêu của việc sửa đổi luật thuế, tạo niềm tin.</t>
  </si>
  <si>
    <t>Do mức giảm trừ gia cảnh cao và tính công bằng trong cách tính thuế nên tôi ủng hộ chính sách mới.</t>
  </si>
  <si>
    <t>Dù có công nghệ hỗ trợ, nhưng với mức thuế thấp và giảm trừ gia cảnh tăng lên, khả năng phát hiện gian lận hoặc trốn thuế vẫn còn hạn chế.</t>
  </si>
  <si>
    <t>Cơ quan thuế có nhiều công cụ để phát hiện vi phạm, nhưng hiệu quả thực thi phụ thuộc vào nguồn lực và quyết tâm của họ.</t>
  </si>
  <si>
    <t>Quy trình khai báo thuế đơn giản hơn, giảm bớt thời gian chờ đợi và thủ tục rườm rà trước đây, giúp người nộp thuế thuận tiện hơn.</t>
  </si>
  <si>
    <t>Biểu thuế mới đơn giản, dễ hiểu, phù hợp với thu nhập của tôi. Việc tính toán thuế trở nên dễ dàng hơn.</t>
  </si>
  <si>
    <t>Tôi tin tưởng cơ quan thuế sẽ thực hiện chính sách một cách công bằng, nhưng cần thêm thời gian để chứng minh.</t>
  </si>
  <si>
    <t>Mức thuế mới phù hợp với thu nhập của tôi và giảm gánh nặng tài chính, do đó tôi thấy chúng công bằng.</t>
  </si>
  <si>
    <t>Thuế đóng góp vào các dịch vụ công, nhưng cần thêm minh bạch về cách sử dụng để tăng niềm tin.</t>
  </si>
  <si>
    <t>Tôi đã được thông báo rõ ràng về mục tiêu và lý do của chính sách mới, điều này tạo ra sự hiểu biết tốt hơn.</t>
  </si>
  <si>
    <t>Tác động tài chính tích cực cộng với quy trình đơn giản hóa làm tăng khả năng tuân thủ và ủng hộ chính sách.</t>
  </si>
  <si>
    <t>Nhà nước đã cải thiện công nghệ và quy định quản lý thuế, tuy nhiên việc phát hiện hành vi gian lận hoặc trốn thuế vẫn phụ thuộc vào thực thi cụ thể.</t>
  </si>
  <si>
    <t>Cơ quan thuế có đủ khả năng và công nghệ để phát hiện các hành vi trốn thuế, nhờ việc đơn giản hóa quy trình quản lý thuế.</t>
  </si>
  <si>
    <t>Thủ tục khai báo thuế và làm việc với cơ quan thuế trở nên đơn giản hơn, giảm bớt sự phiền phức cho người nộp thuế.</t>
  </si>
  <si>
    <t>Cách tính thuế mới dễ hiểu và thực hiện hơn so với trước đây nhờ số bậc thuế được rút gọn.</t>
  </si>
  <si>
    <t>Tôi tin rằng Nhà nước sẽ thực thi chính sách một cách khách quan, công bằng</t>
  </si>
  <si>
    <t>Mức thuế mới là hợp lý và công bằng với thu nhập của tôi</t>
  </si>
  <si>
    <t>Thuế tôi đóng sẽ được sử dụng hiệu quả để cải thiện dịch vụ công, từ đó nâng cao chất lượng cuộc sống</t>
  </si>
  <si>
    <t>Tôi ủng hộ và tuân thủ chính sách mới do nó mang lại lợi ích tài chính và thuận tiện cho người dân.</t>
  </si>
  <si>
    <t>Dù quy định quản lý thuế hiện tại có thể phát hiện gian lận, nhưng tôi vẫn lo ngại về khả năng thực thi của nhà nước.</t>
  </si>
  <si>
    <t>Nhà nước và cơ quan thuế đã cải thiện công nghệ để phát hiện trốn thuế, tuy nhiên, tình trạng gian lận vẫn tồn tại.</t>
  </si>
  <si>
    <t>Quy trình khai báo thuế trở nên đơn giản hơn so với trước đây, nhưng vẫn còn một số bước phức tạp.</t>
  </si>
  <si>
    <t>Biểu thuế mới rõ ràng và dễ hiểu hơn, giúp tôi tính toán chính xác hơn.</t>
  </si>
  <si>
    <t>Dựa trên thông tin, tôi không hoàn toàn đồng ý với việc Nhà nước có đủ khả năng và công nghệ để phát hiện hành vi gian lận hoặc trốn thuế. Công nghệ hiện đại giúp nhiều nhưng vẫn còn tồn tại các lỗ hổng khó phát hiện.</t>
  </si>
  <si>
    <t>Dù Nhà nước đã nâng cấp hệ thống quản lý thuế, tôi vẫn không hoàn toàn tin rằng họ có đủ năng lực và công nghệ để phát hiện mọi hành vi gian lận hoặc trốn thuế. Cần thời gian để kiểm chứng.</t>
  </si>
  <si>
    <t>So với trước đây, quy trình làm việc với cơ quan thuế trở nên đơn giản hơn nhiều. Việc giảm trừ gia cảnh và số bậc thuế được đơn giản hóa giúp quá trình khai báo thuế thuận tiện hơn.</t>
  </si>
  <si>
    <t>Biểu thuế mới có ít bậc hơn, dễ hiểu hơn và thực hiện đơn giản hơn. Điều này giúp tôi nắm bắt rõ các quy định về thuế của mình.</t>
  </si>
  <si>
    <t>Tôi tin rằng Nhà nước sẽ công bằng trong việc thực thi chính sách mới, nhưng cần thời gian để kiểm chứng hiệu quả và sự minh bạch.</t>
  </si>
  <si>
    <t>Thuế mới được giảm đáng kể so với trước đây. Mức thuế hiện tại là hợp lý đối với thu nhập của tôi. Điều này giúp tôi thấy rằng chính sách mới đang hướng đến sự công bằng về mặt tài chính.</t>
  </si>
  <si>
    <t>Tôi tin tưởng số tiền thuế đóng sẽ được sử dụng hiệu quả để cải thiện dịch vụ công, nhưng cần thêm thời gian để xem xét thực tế.</t>
  </si>
  <si>
    <t>Nhà nước đã giải thích rõ ràng về mục tiêu của việc sửa đổi thuế. Tuy nhiên, tôi mong muốn có thêm thông tin chi tiết về cách sử dụng số tiền thu được từ thuế.</t>
  </si>
  <si>
    <t>Tôi ủng hộ chính sách mới vì nó giảm gánh nặng tài chính cho người dân và đơn giản hóa quy trình khai báo thuế. Tuy nhiên, tôi cần xem xét thêm về việc Nhà nước sử dụng hiệu quả số tiền thu được từ thuế.</t>
  </si>
  <si>
    <t>Vì mức giảm trừ gia cảnh cao hơn thu nhập nên tôi không phải đóng thuế, do đó cảm thấy quy định quản lý thuế hiện nay rất chặt chẽ và minh bạch.</t>
  </si>
  <si>
    <t>Nhà nước có thể áp dụng công nghệ tiên tiến để giám sát các giao dịch tài chính, tăng khả năng phát hiện hành vi trốn thuế.</t>
  </si>
  <si>
    <t>Quy trình khai báo thuế và làm việc với cơ quan thuế trở nên đơn giản hơn so với trước đây nhờ mức giảm trừ gia cảnh cao.</t>
  </si>
  <si>
    <t>Biểu thuế được đơn giản hóa, dễ hiểu hơn, đặc biệt là đối với người dân thường như tôi.</t>
  </si>
  <si>
    <t>Tôi tin rằng quy định mới sẽ được thực thi công bằng và minh bạch giữa các đối tượng nộp thuế.</t>
  </si>
  <si>
    <t>Với mức thu nhập của tôi, việc không phải đóng thuế là hợp lý và công bằng.</t>
  </si>
  <si>
    <t>Nhà nước sẽ sử dụng số tiền thuế này để cải thiện dịch vụ công, từ đó mang lại lợi ích cho người dân.</t>
  </si>
  <si>
    <t>Tôi thấy thông tin về việc sửa đổi thuế được giải thích rõ ràng và minh bạch trên các phương tiện truyền thông.</t>
  </si>
  <si>
    <t>Dựa trên sự đơn giản hóa quy trình, giảm trừ gia cảnh cao và mức thuế hợp lý, tôi ủng hộ và tuân thủ chính sách mới.</t>
  </si>
  <si>
    <t>Dù thu nhập cao nhưng mức giảm trừ gia cảnh đã tăng nên việc trốn thuế không còn lợi nữa. Cơ quan thuế có công nghệ hiện đại, dễ dàng phát hiện các hành vi gian lận.</t>
  </si>
  <si>
    <t>Cơ quan thuế có đủ khả năng và công nghệ để theo dõi và xử lý nghiêm các trường hợp trốn thuế. Điều này làm giảm nguy cơ gian lận.</t>
  </si>
  <si>
    <t>Quy trình khai báo thuế trở nên đơn giản hơn, dễ thực hiện hơn so với trước đây.</t>
  </si>
  <si>
    <t>Số bậc thuế giảm từ 7 xuống còn 5, làm quá trình tính thuế và hiểu rõ mức thuế mình phải đóng trở nên dễ dàng hơn.</t>
  </si>
  <si>
    <t>Nhà nước đã cải cách thuế một cách công bằng và minh bạch, không phân biệt đối xử giữa các cá nhân có thu nhập tương tự.</t>
  </si>
  <si>
    <t>Mức thuế mới giảm đi đáng kể so với trước đây, nên tôi thấy rằng mức này là hợp lý cho thu nhập của mình.</t>
  </si>
  <si>
    <t>Tiền thuế đóng góp vào các dịch vụ công như y tế và cơ sở hạ tầng, giúp cải thiện chất lượng cuộc sống của người dân.</t>
  </si>
  <si>
    <t>Nhà nước đã minh bạch về lý do và mục tiêu của việc sửa đổi chính sách thuế lần này. Điều này tăng tính tin cậy vào quyết định của họ.</t>
  </si>
  <si>
    <t>Tôi ủng hộ và tuân thủ chính sách mới, vì nó giúp giảm gian lận và đơn giản hóa quy trình nộp thuế.</t>
  </si>
  <si>
    <t>Dù không phải đóng thuế, tôi vẫn tin rằng cơ quan thuế sẽ có đủ khả năng phát hiện các hành vi gian lận.</t>
  </si>
  <si>
    <t>Cơ sở hạ tầng công nghệ và nguồn lực của nhà nước đã được cải thiện đáng kể trong những năm gần đây, cho phép họ xử lý hiệu quả hơn về thuế</t>
  </si>
  <si>
    <t>Dù cơ quan thuế có công nghệ hiện đại, nhưng hành vi gian lận vẫn khó phát hiện hoàn toàn. Tuy nhiên, với mức giảm trừ gia cảnh tăng lên và sự đơn giản hóa quy trình, việc trốn thuế trở nên khó khăn hơn.</t>
  </si>
  <si>
    <t>Nhà nước đã đầu tư vào công nghệ và nhân lực để quản lý hiệu quả. Tuy nhiên, vẫn cần nỗ lực nhiều hơn nữa trong việc phát hiện và xử lý trốn thuế.</t>
  </si>
  <si>
    <t>Các quy định quản lý thuế hiện nay có nhiều cải tiến, nhưng tôi vẫn lo ngại về khả năng phát hiện hành vi gian lận hoặc trốn thuế.</t>
  </si>
  <si>
    <t>Hiện nay, các quy định quản lý thuế khá chặt chẽ và công nghệ đã giúp tăng cường hiệu quả kiểm soát. Tuy nhiên, vẫn có thể còn nhiều vấn đề cần cải thiện.</t>
  </si>
  <si>
    <t>Việc tăng mức giảm trừ gia cảnh và đơn giản hóa biểu thuế có thể làm giảm khả năng phát hiện hành vi gian lận hoặc trốn thuế.</t>
  </si>
  <si>
    <t>Cơ quan thuế đã cải thiện công nghệ, nhưng việc giảm mức thuế đối với người dân như tôi có thể làm giảm động lực để kiểm tra nghiêm túc.</t>
  </si>
  <si>
    <t>Thủ tục khai báo thuế và quy trình làm việc với cơ quan thuế trở nên đơn giản hơn, dễ dàng hơn so với trước đây.</t>
  </si>
  <si>
    <t>Cách tính thuế mới có ít bậc hơn, do đó dễ hiểu và thực hiện hơn nhưng vẫn cần thời gian để quen thuộc.</t>
  </si>
  <si>
    <t>Tôi tin rằng cơ quan thuế sẽ thực thi chính sách một cách công bằng, vì mức thuế mới giảm đi cho người dân như tôi.</t>
  </si>
  <si>
    <t>Mức thuế mới phù hợp với thu nhập của tôi và có thể coi là công bằng hơn so với trước đây.</t>
  </si>
  <si>
    <t>Tài chính quốc gia cần được sử dụng hiệu quả để cải thiện các dịch vụ công, việc giảm thuế có thể làm tăng số tiền dành cho những mục đích này.</t>
  </si>
  <si>
    <t>Nhà nước đã giải thích rõ ràng về lý do và mục tiêu của việc sửa đổi thuế lần này, mặc dù tôi là người đa nghi nhưng vẫn cảm thấy hài lòng với chính sách mới.</t>
  </si>
  <si>
    <t>Tôi ủng hộ và tuân thủ chính sách mới vì nó mang lại lợi ích tài chính cho tôi và có thể coi là công bằng hơn so với trước đây.</t>
  </si>
  <si>
    <t>Do mức giảm trừ gia cảnh cao hơn thu nhập nên không có nhu cầu trốn thuế, thêm nữa cơ quan thuế cũng đã cải thiện khả năng phát hiện gian lận</t>
  </si>
  <si>
    <t>Công nghệ và hệ thống quản lý thuế ngày càng phát triển giúp việc phát hiện gian lận trở nên dễ dàng hơn</t>
  </si>
  <si>
    <t>Quy trình khai báo thuế đơn giản, tiết kiệm thời gian và công sức so với trước đây</t>
  </si>
  <si>
    <t>Các bậc thuế giảm đi giúp việc tính toán và nộp thuế trở nên dễ dàng hơn</t>
  </si>
  <si>
    <t>Nhà nước đã thể hiện sự công bằng trong việc tăng giảm trừ gia cảnh, điều này tạo niềm tin cho người dân</t>
  </si>
  <si>
    <t>Mức thuế mới được thiết kế phù hợp với thu nhập của tôi và các mức độ khác nhau, cảm thấy công bằng</t>
  </si>
  <si>
    <t>Thuế đóng góp vào việc cải thiện dịch vụ công, tạo niềm tin cho người dân</t>
  </si>
  <si>
    <t>Nhà nước đã giải thích rõ ràng về mục tiêu của chính sách mới, tạo cảm giác minh bạch</t>
  </si>
  <si>
    <t>Chính sách mới mang lại nhiều lợi ích cho tôi và gia đình, do đó tôi ủng hộ và tuân thủ</t>
  </si>
  <si>
    <t>Thuế không còn được áp dụng nên tôi tin rằng việc gian lận hay trốn thuế sẽ không còn xảy ra.</t>
  </si>
  <si>
    <t>Cơ quan thuế đã không còn áp dụng thuế nên khả năng phát hiện và xử lý cũng bị giảm đi.</t>
  </si>
  <si>
    <t>Thuế không còn được áp dụng nên thủ tục khai báo trở nên đơn giản hơn nhiều so với trước đây.</t>
  </si>
  <si>
    <t>Cách tính thuế và các bậc thuế đã bị loại bỏ, khiến việc này trở nên dễ dàng hơn rất nhiều.</t>
  </si>
  <si>
    <t>Nhà nước đã không áp dụng thuế nên tôi tin rằng chính sách mới được thực thi một cách công tâm.</t>
  </si>
  <si>
    <t>Vì không còn phải đóng thuế, mức thuế mà tôi thấy là hoàn toàn công bằng.</t>
  </si>
  <si>
    <t>Việc không còn chịu thuế có nghĩa số tiền mà Nhà nước sử dụng để cải thiện dịch vụ công sẽ tăng lên.</t>
  </si>
  <si>
    <t>Nhà nước đã không áp dụng thuế nên lý do và mục tiêu của việc sửa đổi thuế lần này được minh bạch hơn nhiều.</t>
  </si>
  <si>
    <t>Tôi hoàn toàn ủng hộ chính sách mới hiện nay vì nó không còn gây gánh nặng về mặt tài chính cho tôi.</t>
  </si>
  <si>
    <t>Do mức giảm trừ gia cảnh cao và quy định đơn giản, tôi không hoàn toàn tin rằng hành vi gian lận sẽ dễ bị phát hiện.</t>
  </si>
  <si>
    <t>Cơ quan thuế có công nghệ tiên tiến nhưng vẫn cần cải thiện để phát hiện trốn thuế hiệu quả hơn.</t>
  </si>
  <si>
    <t>Quy trình khai báo và làm việc với cơ quan thuế đã đơn giản hóa, thuận tiện hơn rất nhiều.</t>
  </si>
  <si>
    <t>Biểu thuế mới đơn giản nhưng vẫn có thể gây khó hiểu cho người dân không am hiểu về thuế</t>
  </si>
  <si>
    <t>Nhà nước đã cải cách thuế một cách công bằng, giảm gánh nặng cho người dân.</t>
  </si>
  <si>
    <t>Mức thuế mới phù hợp với thu nhập của tôi và được giảm trừ gia cảnh nhiều hơn trước đây.</t>
  </si>
  <si>
    <t>Thuế đóng sẽ được sử dụng hiệu quả để cải thiện dịch vụ công, mang lại lợi ích cho người dân như tôi.</t>
  </si>
  <si>
    <t>Dựa trên sự đơn giản hóa và giảm gánh nặng tài chính, tôi ủng hộ và tuân thủ chính sách mới.</t>
  </si>
  <si>
    <t>Cơ quan thuế có đủ khả năng phát hiện hành vi gian lận, nhưng thực tế việc trốn thuế vẫn còn xảy ra nên độ tin cậy không hoàn toàn cao.</t>
  </si>
  <si>
    <t>Nhà nước đã đầu tư công nghệ để giám sát và xử lý nghiêm các hành vi trốn thuế, do đó tôi có niềm tin vào khả năng phát hiện và xử lý.</t>
  </si>
  <si>
    <t>Quy trình khai báo thuế đơn giản hơn, nhưng vẫn cần thời gian để quen thuộc với quy định mới.</t>
  </si>
  <si>
    <t>Công nghệ hiện nay ngày càng phát triển, giúp cơ quan thuế dễ dàng phát hiện hành vi gian lận và trốn thuế. Với quy định quản lý thuế hiện tại, tôi tin rằng việc xử lý nghiêm vẫn sẽ được đảm bảo.</t>
  </si>
  <si>
    <t>Nhà nước đã đầu tư vào công nghệ và nhân lực để cải thiện khả năng phát hiện và xử lý các hành vi trốn thuế. Tôi tin tưởng cơ quan thuế có đủ khả năng quản lý hiệu quả.</t>
  </si>
  <si>
    <t>Quy trình khai báo thuế nay đơn giản hơn, không còn nhiều thủ tục rườm rà như trước. Điều này giúp quá trình làm việc với cơ quan thuế thuận tiện và tiết kiệm thời gian.</t>
  </si>
  <si>
    <t>Biểu thuế mới có ít bậc hơn, đơn giản hóa quy trình tính thuế. Điều này dễ hiểu và thực hiện nhanh chóng hơn so với trước đây.</t>
  </si>
  <si>
    <t>Tôi tin rằng cơ quan thuế sẽ công tâm khi áp dụng chính sách mới. Mức giảm trừ gia cảnh cao hơn cũng tạo ra sự công bằng cho người dân.</t>
  </si>
  <si>
    <t>Mức thuế theo phương án mới phù hợp với thu nhập của tôi và nhiều người khác trong cùng ngành nghề, nên tôi thấy nó là một mức độ công bằng.</t>
  </si>
  <si>
    <t>Thuê đóng góp vào các dịch vụ công như y tế và giao thông. Tôi tin rằng số tiền thuế này sẽ được sử dụng hiệu quả để cải thiện chất lượng cuộc sống của người dân.</t>
  </si>
  <si>
    <t>Nhà nước đã giải thích rõ ràng về mục tiêu và lý do thay đổi chính sách thuế. Điều này tăng tính minh bạch và giúp tôi hiểu rõ hơn.</t>
  </si>
  <si>
    <t>Sau khi cân nhắc các quyền lợi và nghĩa vụ, tôi ủng hộ và tuân thủ chính sách mới vì nó mang lại nhiều tiện ích cho người dân như tôi.</t>
  </si>
  <si>
    <t>Quy định quản lý thuế hiện tại không rõ ràng, vẫn có nhiều cơ hội để gian lận hoặc trốn thuế.</t>
  </si>
  <si>
    <t>Cơ quan thuế chưa đủ công nghệ và nguồn lực để phát hiện toàn diện các hành vi trốn thuế.</t>
  </si>
  <si>
    <t>Dù có công nghệ hiện đại, nhưng vẫn còn rủi ro trốn thuế do khó phát hiện toàn diện.</t>
  </si>
  <si>
    <t>Nhà nước và cơ quan thuế có đủ khả năng để kiểm soát hiệu quả hơn với các cải cách mới.</t>
  </si>
  <si>
    <t>Quy trình khai báo trở nên đơn giản nhưng vẫn cần thời gian để người dân thích nghi.</t>
  </si>
  <si>
    <t>Bậc thuế mới đơn giản hơn, dễ hiểu và thực hiện thuận lợi hơn so với trước đây.</t>
  </si>
  <si>
    <t>Tôi tin rằng Nhà nước sẽ công bằng trong việc xử lý và giám sát thuế.</t>
  </si>
  <si>
    <t>Thuế mới có thể coi là công bằng vì mức giảm trừ gia cảnh tăng, nhưng cần thêm thời gian để đánh giá.</t>
  </si>
  <si>
    <t>Thuê đóng góp vào sự phát triển chung của quốc gia và cải thiện dịch vụ công.</t>
  </si>
  <si>
    <t>Nhà nước đã giải thích rõ ràng về mục tiêu cải cách thuế, nhưng vẫn có chỗ chưa đủ minh bạch.</t>
  </si>
  <si>
    <t>Tác động tài chính tích cực và quy định mới đơn giản hơn khiến tôi ủng hộ và tuân thủ.</t>
  </si>
  <si>
    <t>Nhà nước đã tăng cường quản lý thuế và công nghệ hiện đại, khiến việc phát hiện hành vi trốn thuế trở nên dễ dàng hơn.</t>
  </si>
  <si>
    <t>Cơ quan thuế có đủ nguồn lực và công nghệ để giám sát và xử lý nghiêm các trường hợp trốn thuế.</t>
  </si>
  <si>
    <t>Trong thực tế, với mức giảm trừ gia cảnh cao hơn trước đây và doanh thu của tôi không vượt ngưỡng chịu thuế, nên tôi tin rằng hành vi gian lận hoặc trốn thuế sẽ rất khó xảy ra.</t>
  </si>
  <si>
    <t>Nhà nước đã đầu tư vào công nghệ để theo dõi và xử lý các hành vi bất thường liên quan đến thuế, mặc dù tôi không biết cụ thể về hệ thống quản lý mới này</t>
  </si>
  <si>
    <t>Quy trình khai thuế giờ đây đơn giản hơn nhiều so với trước đây. Việc giảm số bậc thuế và mức độ phức tạp giúp tôi dễ dàng hơn trong việc tính toán.</t>
  </si>
  <si>
    <t>Các bậc thuế mới rõ ràng hơn, dễ hiểu và dễ thực hiện hơn, do đó tạo thuận lợi cho người nộp thuế như tôi</t>
  </si>
  <si>
    <t>Nhà nước đã cải cách để đảm bảo tính công bằng trong việc áp dụng thuế. Với mức giảm trừ gia cảnh cao, thu nhập của tôi không phải đóng thuế nên tôi cảm thấy chính sách mới là khách quan và công bằng</t>
  </si>
  <si>
    <t>Mức thuế hiện tại cho thu nhập của tôi là hợp lý. Mức giảm trừ gia cảnh cao hơn nhiều so với trước đây, do đó tôi cảm thấy rằng mức thuế mới này là công bằng.</t>
  </si>
  <si>
    <t>Tôi tin rằng số tiền thuế mình đóng sẽ được sử dụng hiệu quả để cải thiện dịch vụ công như y tế và hạ tầng cơ sở</t>
  </si>
  <si>
    <t>Nhà nước đã giải thích rõ ràng về mục tiêu của việc sửa đổi thuế này. Tuy nhiên, tôi vẫn nghi ngờ về việc thực thi chính sách một cách khách quan.</t>
  </si>
  <si>
    <t>Do mức giảm trừ gia cảnh cao hơn nhiều so với thu nhập của tôi nên tôi không phải đóng thuế. Chính sách mới này giúp tôi ủng hộ và tuân thủ</t>
  </si>
  <si>
    <t>Hiện nay, với sự phát triển của công nghệ và hệ thống quản lý thuế hiện đại, tôi tin rằng hành vi gian lận hoặc trốn thuế sẽ dễ dàng bị phát hiện. Tuy nhiên, do vẫn chưa có nhiều thông tin cụ thể về khả năng thực thi, nên điểm số không quá cao.</t>
  </si>
  <si>
    <t>Quy trình làm việc với cơ quan thuế trở nên đơn giản hơn, thủ tục khai báo thuế thuận tiện hơn so với trước đây.</t>
  </si>
  <si>
    <t>Dựa trên thông tin, tôi cho rằng cơ quan thuế có công nghệ và khả năng để phát hiện hành vi gian lận hoặc trốn thuế. Tuy nhiên, việc thực thi vẫn phụ thuộc vào sự giám sát của cộng đồng và báo chí.</t>
  </si>
  <si>
    <t>Dựa trên mức thuế giảm và các biện pháp quản lý thuế mới, tôi tin rằng hành vi gian lận sẽ dễ bị phát hiện.</t>
  </si>
  <si>
    <t>Dựa trên các quy định quản lý thuế hiện tại, tôi nghĩ rằng hành vi gian lận hoặc trốn thuế sẽ dễ dàng bị phát hiện và xử lý nghiêm. Với công nghệ ngày càng tiên tiến của cơ quan thuế, khả năng giám sát và kiểm soát đang tăng lên đáng kể.</t>
  </si>
  <si>
    <t>Nhìn chung, tôi tin rằng với việc sử dụng công nghệ tiên tiến và quy định quản lý thuế rõ ràng, hành vi gian lận hoặc trốn thuế sẽ bị phát hiện dễ dàng. Tuy nhiên, do còn nhiều rủi ro về thực thi cụ thể, nên điểm số không quá cao.</t>
  </si>
  <si>
    <t>Nhà nước và cơ quan thuế đã đầu tư công nghệ để hỗ trợ quản lý thuế hiệu quả hơn. Tuy nhiên, việc phát hiện trốn thuế vẫn phụ thuộc vào sự tuân thủ của người nộp thuế.</t>
  </si>
  <si>
    <t>Nhà nước đã tăng cường công nghệ và nhân lực để phát hiện hành vi gian lận thuế, tuy nhiên vẫn còn những lỗ hổng trong quản lý.</t>
  </si>
  <si>
    <t>Nếu cơ quan thuế có công nghệ hiện đại, việc phát hiện hành vi trốn thuế sẽ trở nên dễ dàng hơn. Tuy nhiên, tôi vẫn nghi ngờ về khả năng thực thi của họ.</t>
  </si>
  <si>
    <t>Tôi tin rằng số tiền thuế tôi đóng sẽ được sử dụng hiệu quả để cải thiện các dịch vụ công</t>
  </si>
  <si>
    <t>Hiện nay, cơ quan thuế đã có nhiều công cụ và nguồn lực để phát hiện gian lận. Với việc cải cách quản lý thuế, khả năng giám sát sẽ cao hơn.</t>
  </si>
  <si>
    <t>Công nghệ ngày càng phát triển, cơ quan thuế có thể dễ dàng theo dõi và giám sát các giao dịch tài chính của công dân.</t>
  </si>
  <si>
    <t>Dựa trên các quy định quản lý thuế hiện tại, tôi cho rằng cơ quan thuế có đủ khả năng phát hiện và xử lý hành vi gian lận hoặc trốn thuế. Tuy nhiên, việc thực thi cần phải được cải thiện hơn nữa.</t>
  </si>
  <si>
    <t>Việc tăng mức giảm trừ gia cảnh và đơn giản hóa biểu thuế có thể giúp phát hiện hành vi trốn thuế dễ dàng hơn, nhưng vẫn cần công nghệ và nguồn lực của cơ quan thuế.</t>
  </si>
  <si>
    <t>Dựa trên các quy định quản lý thuế hiện nay, tôi thấy có nhiều biện pháp kiểm soát gian lận và trốn thuế. Tuy nhiên, việc thực thi vẫn phụ thuộc vào hiệu quả của cơ quan thuế trong công tác quản lý.</t>
  </si>
  <si>
    <t>Nhà nước đã đầu tư phát triển công nghệ để kiểm soát thuế, nhưng vẫn cần cải thiện hơn nữa về mặt nhân sự và hệ thống quản lý.</t>
  </si>
  <si>
    <t>So với trước đây, quy trình khai báo thuế trở nên đơn giản hơn. Tuy nhiên, việc nộp thuế online vẫn còn gặp nhiều rắc rối với người dân như tôi.</t>
  </si>
  <si>
    <t>Hiện nay, cơ quan thuế đã có nhiều biện pháp quản lý mạnh mẽ và công nghệ tiên tiến để phát hiện hành vi gian lận. Với mức giảm trừ gia cảnh tăng lên, việc trốn thuế sẽ khó khăn hơn.</t>
  </si>
  <si>
    <t>Nhà nước đã đầu tư vào hệ thống thông tin và công nghệ để cải thiện khả năng phát hiện hành vi gian lận. Tuy nhiên, vẫn còn phụ thuộc vào hiệu quả của các quy định quản lý.</t>
  </si>
  <si>
    <t>Với mức giảm trừ gia cảnh tăng lên, thủ tục khai báo thuế trở nên đơn giản hơn. Các bước cần thực hiện cũng ít đi so với trước đây.</t>
  </si>
  <si>
    <t>Biểu thuế được đơn giản hóa từ 7 bậc xuống còn 5 bậc, giúp việc tính thuế và thực hiện các bước dễ dàng hơn cho người dân.</t>
  </si>
  <si>
    <t>Điều này công bằng vì mức giảm trừ gia cảnh tăng lên sẽ hỗ trợ nhiều người dân. Cơ quan thuế cũng cam kết thực thi chính sách một cách khách quan.</t>
  </si>
  <si>
    <t>Như đã nêu, mức thuế mới phù hợp với thu nhập của tôi và có sự giảm trừ gia cảnh tăng lên giúp tôi cảm thấy công bằng hơn.</t>
  </si>
  <si>
    <t>Thuế đóng góp vào việc cải thiện dịch vụ công. Với mức thuế mới, số tiền đóng sẽ được sử dụng hiệu quả để nâng cao chất lượng cuộc sống.</t>
  </si>
  <si>
    <t>Chính phủ đã giải thích rõ ràng về mục tiêu của chính sách mới thông qua các tài liệu và sự kiện công khai. Điều này giúp tôi hiểu rõ hơn về lý do thay đổi.</t>
  </si>
  <si>
    <t>Sau khi xem xét, tôi thấy chính sách mới có lợi cho người dân như tôi. Việc giảm trừ gia cảnh tăng lên và đơn giản hóa biểu thuế sẽ giúp tôi tiết kiệm thời gian và tiền bạc.</t>
  </si>
  <si>
    <t>Dù các quy định quản lý thuế hiện nay có thể chưa hoàn hảo, nhưng với sự phát triển của công nghệ và khả năng xử lý dữ liệu của nhà nước, tôi tin rằng hành vi gian lận hoặc trốn thuế sẽ dễ dàng bị phát hiện. Điều này tăng cường niềm tin vào hệ thống.</t>
  </si>
  <si>
    <t>Nhà nước đã đầu tư nhiều vào công nghệ và nguồn lực để cải thiện khả năng quản lý, do đó tôi có thể tin tưởng rằng các hành vi trốn thuế sẽ bị phát hiện và xử lý nghiêm minh.</t>
  </si>
  <si>
    <t>Các quy trình khai báo và làm việc với cơ quan thuế đã đơn giản hơn, giảm thiểu thời gian chờ đợi và thủ tục phức tạp. Điều này giúp tôi cảm thấy thuận tiện hơn trong quá trình nộp thuế.</t>
  </si>
  <si>
    <t>Biểu thuế mới đơn giản hóa các bậc thuế từ 7 xuống còn 5, giảm độ phức tạp và dễ thực hiện hơn so với trước đây. Điều này giúp tôi dễ dàng tính toán và áp dụng.</t>
  </si>
  <si>
    <t>Tôi tin rằng Nhà nước sẽ thực thi chính sách mới một cách công tâm và đối xử bình đẳng giữa các cá nhân, do mức thuế giảm mạnh so với trước đây.</t>
  </si>
  <si>
    <t>Với mức thu nhập hiện tại của tôi, việc giảm trừ gia cảnh tăng lên giúp giảm gánh nặng thuế, do đó tôi thấy mức thuế mới này là công bằng.</t>
  </si>
  <si>
    <t>Tác động tài chính tích cực từ chính sách mới làm tăng niềm tin rằng số tiền thuế đóng sẽ được sử dụng hiệu quả để cải thiện dịch vụ công, như y tế và đường xá.</t>
  </si>
  <si>
    <t>Nhà nước đã giải thích rõ ràng về mục tiêu của việc sửa đổi thuế, mặc dù tôi không đồng ý hoàn toàn với tất cả các thay đổi, nhưng tôi thấy sự minh bạch là quan trọng.</t>
  </si>
  <si>
    <t>Trong tổng thể, tôi ủng hộ và tuân thủ chính sách mới vì tác động tài chính tích cực và cải thiện thuận tiện trong quá trình khai báo thuế. Mặc dù có một số thay đổi khó hiểu, nhưng lợi ích lớn hơn.</t>
  </si>
  <si>
    <t>Mặc dù có các quy định quản lý thuế, nhưng thực tế việc phát hiện và xử lý trốn thuế vẫn còn khó khăn. Do đó, tôi chỉ đồng ý một phần.</t>
  </si>
  <si>
    <t>Nhà nước đã đầu tư vào công nghệ, tuy nhiên, hiệu quả của việc sử dụng công nghệ trong quản lý thuế chưa thực sự rõ ràng.</t>
  </si>
  <si>
    <t>So với trước đây, quy trình khai thuế trở nên đơn giản hơn. Việc giảm trừ gia cảnh và số bậc thuế giúp người dân dễ hiểu và thực hiện.</t>
  </si>
  <si>
    <t>Phương án mới đơn giản hóa biểu thuế, làm cho việc tính toán và nộp thuế trở nên thuận tiện hơn so với trước đây.</t>
  </si>
  <si>
    <t>Tôi tin rằng Nhà nước sẽ thực thi chính sách một cách công bằng, nhưng vẫn có lo ngại về khả năng giám sát của cơ quan thuế.</t>
  </si>
  <si>
    <t>Lưu ý đến mức thu nhập và giảm trừ gia cảnh, tôi thấy mức thuế mới là hợp lý. Đây là một cải cách tích cực đối với người lao động như tôi.</t>
  </si>
  <si>
    <t>Việc cải cách thuế có thể giúp nâng cao chất lượng dịch vụ công, nhưng hiệu quả thực tế của việc sử dụng số tiền thuế còn phụ thuộc vào quản lý tài chính của Nhà nước.</t>
  </si>
  <si>
    <t>Nhà nước đã giải thích rõ ràng về mục tiêu cải cách, tuy nhiên, tôi hy vọng sẽ có thêm thông tin về cách sử dụng nguồn thu thuế mới.</t>
  </si>
  <si>
    <t>Chính sách mới mang lại lợi ích tài chính cho tôi và giảm bớt gánh nặng hành chính. Tôi ủng hộ cải cách này vì nó tạo ra một hệ thống thuế công bằng hơn.</t>
  </si>
  <si>
    <t>Việc giảm số bậc thuế từ 7 xuống 5, cùng với mức giảm trừ gia cảnh tăng lên có thể làm cho việc quản lý và phát hiện hành vi trốn thuế trở nên phức tạp hơn. Tuy nhiên, khả năng công nghệ của cơ quan thuế được cải thiện</t>
  </si>
  <si>
    <t>Cơ quan thuế đã đầu tư vào công nghệ để hỗ trợ việc quản lý và phát hiện trốn thuế hiệu quả hơn. Đây là một yếu tố quan trọng giúp tăng tính khả thi của việc thực thi</t>
  </si>
  <si>
    <t>Quy trình khai báo thuế được đơn giản hóa, giảm số bậc thuế từ 7 xuống 5 làm cho quy trình trở nên dễ dàng và nhanh chóng hơn. Người nộp thuế không còn phải lo lắng về việc tính toán các mức thuế phức tạp</t>
  </si>
  <si>
    <t>Số bậc thuế giảm đi từ 7 xuống 5, cùng với việc đơn giản hóa quy trình khai báo thuế làm cho cách tính thuế trở nên rõ ràng và dễ dàng hơn. Người nộp thuế không còn phải lo lắng về việc tính toán các mức thuế phức tạp</t>
  </si>
  <si>
    <t>Việc tăng mức giảm trừ gia cảnh và đơn giản hóa biểu thuế có thể làm cho quy trình thuế trở nên công bằng hơn. Người nộp thuế không còn phải lo lắng về việc bị xử phạt vì các lỗi nhỏ</t>
  </si>
  <si>
    <t>Mức thuế mới được thiết lập phù hợp với thu nhập của tôi, điều này làm cho quy trình trở nên công bằng hơn. Số tiền thuế tôi phải đóng là một phần hợp lý trong tổng thể hệ thống thuế</t>
  </si>
  <si>
    <t>Mức thuế tôi đóng sẽ được sử dụng để cải thiện các dịch vụ công, điều này làm cho quy trình trở nên công bằng hơn. Người nộp thuế tin rằng số tiền họ đóng có tác động tích cực đến xã hội</t>
  </si>
  <si>
    <t>Nhà nước đã giải thích rõ ràng về lý do và mục tiêu của việc sửa đổi thuế lần này, điều này làm tăng sự minh bạch và tin tưởng vào hệ thống thuế. Người nộp thuế cảm thấy họ được trao quyền thông qua việc hiểu rõ về quy định</t>
  </si>
  <si>
    <t>Sau khi xem xét các quyền lợi và nghĩa vụ, tôi ủng hộ và tuân thủ chính sách mới hiện nay. Việc tăng mức giảm trừ gia cảnh và đơn giản hóa biểu thuế làm cho quá trình này trở nên công bằng hơn</t>
  </si>
  <si>
    <t>Dù có công nghệ hỗ trợ, tôi vẫn nghi ngờ khả năng phát hiện trốn thuế hoàn toàn do mức độ phức tạp của các giao dịch tài chính cá nhân.</t>
  </si>
  <si>
    <t>Dù có công nghệ hỗ trợ, nhưng do quy trình quản lý thuế chưa hoàn thiện nên vẫn còn khả năng gian lận.</t>
  </si>
  <si>
    <t>Nhà nước đã đầu tư vào công nghệ và cơ sở vật chất để tăng cường giám sát, giảm thiểu trốn thuế.</t>
  </si>
  <si>
    <t>Chính phủ đã có nhiều biện pháp quản lý thuế hiện đại, nhưng vẫn cần cải thiện để phát hiện và xử lý triệt để hành vi gian lận.</t>
  </si>
  <si>
    <t>Nhà nước đang đầu tư vào công nghệ và nhân sự để tăng cường quản lý thuế, nhưng còn nhiều thách thức trong thực tế.</t>
  </si>
  <si>
    <t>Quy trình khai báo thuế đã đơn giản hơn so với trước đây, nhưng vẫn cần cải thiện nữa để tiện lợi hơn cho người dân.</t>
  </si>
  <si>
    <t>Các bậc thuế mới dễ hiểu và thực hiện thuận lợi hơn, giảm bớt sự phức tạp đáng kể đối với người nộp thuế.</t>
  </si>
  <si>
    <t>Tôi tin rằng nhà nước sẽ công tâm trong việc áp dụng chính sách mới, nhưng cần thêm thời gian để chứng minh.</t>
  </si>
  <si>
    <t>Mức thuế mới phù hợp với thu nhập của tôi và tăng giảm trừ gia cảnh giúp công bằng hơn.</t>
  </si>
  <si>
    <t>Tài chính nhà nước sẽ được sử dụng hiệu quả, nhưng cần giám sát chặt chẽ để đảm bảo điều này.</t>
  </si>
  <si>
    <t>Nhà nước đã giải thích rõ ràng về mục tiêu cải cách thuế, tạo niềm tin cho người dân.</t>
  </si>
  <si>
    <t>Tôi ủng hộ và tuân thủ chính sách mới vì lợi ích cá nhân và cộng đồng đều được nâng cao.</t>
  </si>
  <si>
    <t>Nhà nước đã tăng cường công nghệ và đội ngũ kiểm tra, nên việc phát hiện gian lận có thể tốt hơn trước.</t>
  </si>
  <si>
    <t>Cơ quan thuế có nhiều nguồn lực hơn để giám sát và xử lý các hành vi trốn thuế do công nghệ tiên tiến.</t>
  </si>
  <si>
    <t>Quy trình khai báo trở nên đơn giản, tiết kiệm thời gian hơn so với trước đây.</t>
  </si>
  <si>
    <t>Biểu thuế được đơn giản hóa, dễ hiểu và thực hiện nhanh chóng hơn.</t>
  </si>
  <si>
    <t>Nhà nước đã giải thích rõ ràng về mục tiêu của việc sửa đổi luật thuế lần này.</t>
  </si>
  <si>
    <t>Mức thuế giảm đáng kể và công bằng hơn, phù hợp với thu nhập hiện tại.</t>
  </si>
  <si>
    <t>Tiền thuế đóng góp vào việc cải thiện dịch vụ công, tạo niềm tin về sử dụng hiệu quả nguồn lực.</t>
  </si>
  <si>
    <t>Nhà nước đã minh bạch về mục đích và lý do của chính sách mới, tăng tính trách nhiệm.</t>
  </si>
  <si>
    <t>Do giảm thuế và công bằng, tôi ủng hộ và sẽ tuân thủ chính sách mới.</t>
  </si>
  <si>
    <t>Nếu các quy định quản lý thuế hiện nay được thực thi nghiêm túc, tôi tin rằng việc phát hiện và xử lý gian lận hoặc trốn thuế sẽ hiệu quả. Tuy nhiên, do chưa biết rõ về tình hình cụ thể tại địa phương, tôi không hoàn toàn chắc chắn.</t>
  </si>
  <si>
    <t>Nhà nước đã đầu tư vào công nghệ và nguồn lực để cải thiện khả năng quản lý thuế. Do đó, tôi tin rằng họ có đủ khả năng để phát hiện và xử lý nghiêm các hành vi trốn thuế.</t>
  </si>
  <si>
    <t>So với trước đây, quy trình khai báo thuế đã đơn giản hơn nhiều. Điều này làm cho quá trình thực hiện trở nên thuận tiện hơn.</t>
  </si>
  <si>
    <t>Biểu thuế mới có ít bậc và rõ ràng hơn so với trước, khiến việc tính toán thuế dễ dàng hơn.</t>
  </si>
  <si>
    <t>Tôi tin rằng Nhà nước sẽ thực thi chính sách một cách công bằng. Mức giảm trừ gia cảnh tăng lên tạo cảm giác công bằng đối với tôi.</t>
  </si>
  <si>
    <t>Mức thuế mới là phù hợp với thu nhập của tôi và người cùng trình độ, do đó tôi thấy nó công bằng.</t>
  </si>
  <si>
    <t>Tăng giảm trừ gia cảnh tạo điều kiện cho việc sử dụng số tiền thuế đóng hiệu quả hơn để cải thiện dịch vụ công.</t>
  </si>
  <si>
    <t>Nhà nước đã giải thích rõ ràng về mục tiêu của chính sách mới, mặc dù tôi không có kiến thức chuyên sâu về luật pháp thuế.</t>
  </si>
  <si>
    <t>Với mức thuế giảm và các ưu đãi khác, tôi ủng hộ và tuân thủ chính sách mới. Nó tạo ra một hệ thống thuế công bằng hơn cho người dân.</t>
  </si>
  <si>
    <t>Dù có công nghệ hỗ trợ, nhưng tôi vẫn nghi ngờ khả năng phát hiện trọn vẹn hành vi gian lận hoặc trốn thuế.</t>
  </si>
  <si>
    <t>Cơ quan thuế đã cải thiện đáng kể trong việc sử dụng công nghệ để quản lý, nhưng tôi không tin rằng họ có thể phát hiện tất cả các trường hợp trốn thuế.</t>
  </si>
  <si>
    <t>Nếu cơ quan thuế có khả năng phát hiện và xử lý nghiêm các hành vi trốn thuế, điều này sẽ tạo ra một môi trường minh bạch. Tuy nhiên, với mức thu nhập hiện tại của tôi, tôi không quá lo lắng về việc bị phát hiện trốn thuế.</t>
  </si>
  <si>
    <t>Nhà nước đã cải thiện khả năng quản lý thuế qua các công nghệ và quy định mới. Điều này giúp tăng cường tính minh bạch và giảm thiểu hành vi gian lận.</t>
  </si>
  <si>
    <t>So với trước đây, quá trình khai báo thuế trở nên đơn giản hơn. Tuy nhiên, tôi vẫn cần mất thời gian để hiểu rõ các quy định mới.</t>
  </si>
  <si>
    <t>Biểu thuế được đơn giản hóa và dễ hiểu hơn, giúp việc tính toán thu nhập chịu thuế trở nên thuận tiện hơn.</t>
  </si>
  <si>
    <t>Tôi tin rằng Nhà nước sẽ thực thi chính sách một cách công bằng. Tuy nhiên, tôi vẫn có chút nghi ngờ về cách họ đánh giá mức thuế đối với các thu nhập tương tự như của tôi.</t>
  </si>
  <si>
    <t>Mức thuế mới được giảm đáng kể so với trước đây. Điều này thể hiện sự công bằng trong việc phân bổ gánh nặng thuế cho người dân.</t>
  </si>
  <si>
    <t>Tiết kiệm được số tiền thuế lớn, tôi tin rằng khoản tiền đó sẽ được sử dụng hiệu quả để cải thiện các dịch vụ công</t>
  </si>
  <si>
    <t>Nhà nước đã giải thích rõ ràng về mục tiêu của việc sửa đổi thuế. Tuy nhiên, tôi vẫn mong muốn có thêm thông tin về cách họ sử dụng số tiền thuế thu được.</t>
  </si>
  <si>
    <t>Mặc dù không hoàn toàn đồng ý với tất cả các điểm, nhưng tôi sẵn lòng ủng hộ và tuân thủ chính sách mới do lợi ích tài chính mà nó mang lại cho tôi.</t>
  </si>
  <si>
    <t>Cơ quan thuế có công nghệ hiện đại, nhưng không chắc chắn về việc quản lý thuế sẽ chặt chẽ hơn.</t>
  </si>
  <si>
    <t>Hiện nay, cơ quan thuế có nhiều biện pháp quản lý và công nghệ hỗ trợ phát hiện hành vi gian lận hoặc trốn thuế.</t>
  </si>
  <si>
    <t>Cơ quan thuế đã đầu tư mạnh vào hệ thống công nghệ thông tin, giúp họ dễ dàng theo dõi và xử lý các vụ việc trốn thuế.</t>
  </si>
  <si>
    <t>Dựa trên các quy định quản lý thuế hiện tại, tôi cho rằng hành vi gian lận hoặc trốn thuế sẽ dễ dàng bị phát hiện và xử lý nghiêm. Với sự tăng cường công nghệ trong lĩnh vực này, khả năng phát hiện vi phạm cao hơn.</t>
  </si>
  <si>
    <t>Nhà nước đã đầu tư vào các công cụ và hệ thống để giám sát thuế tốt hơn, do đó tôi tin rằng Nhà nước có đủ khả năng xử lý nghiêm các hành vi trốn thuế.</t>
  </si>
  <si>
    <t>Thủ tục khai báo thuế đã trở nên đơn giản hơn với việc giảm số bậc thuế và tăng mức giảm trừ gia cảnh, làm cho quy trình này dễ dàng thực hiện hơn</t>
  </si>
  <si>
    <t>Các bậc thuế mới đơn giản hóa quá trình tính toán, giúp tôi hiểu rõ hơn về cách đóng thuế của mình.</t>
  </si>
  <si>
    <t>Tôi tin rằng Nhà nước sẽ thực thi chính sách một cách khách quan và công bằng cho tất cả các cá nhân nộp thuế.</t>
  </si>
  <si>
    <t>Với mức giảm trừ gia cảnh tăng lên, tôi thấy là công bằng khi đóng thuế theo phương án mới này.</t>
  </si>
  <si>
    <t>Nhà nước đã giải thích rõ ràng mục tiêu của việc sửa đổi thuế lần này, giúp tôi hiểu thêm về lý do đằng sau chính sách mới.</t>
  </si>
  <si>
    <t>Tích cực với các thay đổi và quyết định ủng hộ chính sách mới để góp phần xây dựng hệ thống thuế công bằng hơn</t>
  </si>
  <si>
    <t>Thuế hiện nay không áp dụng với tôi do mức thu nhập và giảm trừ gia cảnh cao hơn, nên tôi không tin rằng hành vi gian lận hoặc trốn thuế sẽ dễ dàng bị phát hiện. Tuy nhiên, nếu có quy định mới về quản lý thuế, tôi sẽ ủng hộ.</t>
  </si>
  <si>
    <t>Hiện tại, tôi không thấy cơ quan thuế có đủ khả năng để xử lý nghiêm các hành vi trốn thuế. Việc quản lý thuế cần được cải thiện nhiều hơn nữa.</t>
  </si>
  <si>
    <t>So với trước đây, việc khai báo thuế và làm việc với cơ quan thuế đơn giản hơn do mức giảm trừ gia cảnh cao hơn và số bậc thuế ít đi. Các quy trình cũng nhanh chóng hơn.</t>
  </si>
  <si>
    <t>Cách tính thuế và các bậc thuế mới đơn giản, dễ hiểu và dễ thực hiện hơn so với trước đây. Điều này giúp việc tuân thủ pháp luật trở nên thuận tiện hơn.</t>
  </si>
  <si>
    <t>Tôi tin rằng Nhà nước sẽ thực thi chính sách một cách khách quan và công bằng, nhưng do mức thuế không thay đổi nhiều so với trước đây, tôi vẫn nghi ngờ về khả năng phát hiện trốn thuế.</t>
  </si>
  <si>
    <t>Mức thuế tôi phải đóng theo phương án mới là hợp lý vì nó dựa trên thu nhập của tôi. Tuy nhiên, việc không áp dụng thuế với tôi gây nghi ngờ về tính công bằng của hệ thống.</t>
  </si>
  <si>
    <t>Tôi tin rằng số tiền thuế tôi đóng sẽ được sử dụng hiệu quả để cải thiện dịch vụ công, nhưng do mức thuế thấp hơn so với trước đây nên tôi không hoàn toàn chắc chắn.</t>
  </si>
  <si>
    <t>Nhà nước đã giải thích rõ ràng về mục tiêu sửa đổi thuế lần này. Tuy nhiên, việc không áp dụng thuế cho thu nhập của tôi khiến tôi nghi ngờ về tính minh bạch.</t>
  </si>
  <si>
    <t>Tôi ủng hộ chính sách mới vì nó đơn giản hóa quy trình và giảm bớt gánh nặng về thuế. Tuy nhiên, do mức thuế không thay đổi nhiều so với trước đây nên tôi chưa hoàn toàn tuân thủ.</t>
  </si>
  <si>
    <t>Nếu cơ quan thuế có công nghệ và khả năng phát hiện gian lận trốn thuế tốt hơn, điều này sẽ giảm thiểu hành vi không tuân thủ. Tuy nhiên, vẫn còn nghi ngờ về thực tế quản lý</t>
  </si>
  <si>
    <t>Cơ quan thuế có đủ khả năng phát hiện và xử lý các hành vi trốn thuế là rất quan trọng để duy trì hệ thống công bằng. Công nghệ ngày nay giúp việc này trở nên hiệu quả hơn</t>
  </si>
  <si>
    <t>So với trước đây, quy trình khai báo và làm việc với cơ quan thuế đã đơn giản hóa đáng kể. Điều này tạo điều kiện thuận lợi cho người dân nộp thuế</t>
  </si>
  <si>
    <t>Biểu thuế mới đơn giản hơn, dễ hiểu và thực hiện được cải thiện so với trước đây. Việc giảm bớt số bậc thuế đã làm việc tính toán thuế trở nên dễ dàng hơn</t>
  </si>
  <si>
    <t>Tôi tin rằng cơ quan thuế sẽ thực thi chính sách mới một cách công bằng, mặc dù vẫn có sự nghi ngờ nhất định về khả năng thực hiện</t>
  </si>
  <si>
    <t>Đối với thu nhập của tôi, mức giảm trừ gia cảnh và bậc thuế mới là hợp lý. Điều này làm tăng cảm giác công bằng trong việc đóng thuế</t>
  </si>
  <si>
    <t>Tiết kiệm được khoản tiền thuế đáng kể do cải cách thuế, tạo ra niềm tin rằng số tiền thuế tôi đóng sẽ được sử dụng hiệu quả để nâng cao chất lượng dịch vụ công</t>
  </si>
  <si>
    <t>Tôi đồng ý với việc giải thích rõ ràng về mục tiêu của chính sách mới. Tuy nhiên, vẫn cần thêm thông tin về cách sử dụng số tiền thuế để tăng thêm niềm tin</t>
  </si>
  <si>
    <t>Sau khi xem xét các quyền lợi và nghĩa vụ, tôi ủng hộ và tuân thủ chính sách mới. Các cải cách đã tạo ra sự công bằng và thuận tiện hơn cho người dân</t>
  </si>
  <si>
    <t>Thuế hiện nay có nhiều biện pháp quản lý, nhưng tôi vẫn nghi ngờ về khả năng phát hiện trốn thuế đối với các công ty lớn hoặc doanh nghiệp tư nhân.</t>
  </si>
  <si>
    <t>Tôi tin rằng với mức giảm trừ gia cảnh cao và quy định đơn giản, cơ quan thuế sẽ công bằng trong việc thực thi.</t>
  </si>
  <si>
    <t>Mức thuế mới là hợp lý đối với thu nhập của tôi, giảm bớt gánh nặng về tài chính.</t>
  </si>
  <si>
    <t>Chính sách mới có mức giảm trừ gia cảnh cao hơn, do đó hành vi gian lận sẽ khó xảy ra. Tuy nhiên, vấn đề phát hiện và xử lý vẫn phụ thuộc vào hiệu quả hoạt động của cơ quan thuế.</t>
  </si>
  <si>
    <t>Cơ quan thuế có nhiều công cụ để phát hiện gian lận, nhưng vẫn cần cải thiện khả năng quản lý và giám sát.</t>
  </si>
  <si>
    <t>Việc tăng cường công nghệ và quản lý thuế có thể phát hiện hành vi gian lận, nhưng thực tế việc xử lý nghiêm vẫn cần thời gian.</t>
  </si>
  <si>
    <t>Thuế đã được đơn giản hóa, nên việc phát hiện gian lận hoặc trốn thuế sẽ khó khăn hơn. Tuy nhiên, cơ quan thuế vẫn có thể sử dụng công nghệ để giám sát.</t>
  </si>
  <si>
    <t>Tôi ủng hộ và tuân thủ chính sách mới vì nó mang lại lợi ích tài chính và thuận tiện hơn cho người dân.</t>
  </si>
  <si>
    <t>Dù có công nghệ hỗ trợ, vẫn còn nghi ngờ về khả năng phát hiện trốn thuế của cơ quan thuế.</t>
  </si>
  <si>
    <t>Công nghệ hiện đại và các biện pháp quản lý thuế ngày càng phát triển, nhưng vẫn có khả năng bỏ sót với những người thông thạo kỹ thuật.</t>
  </si>
  <si>
    <t>AI_ENF1_Norm</t>
  </si>
  <si>
    <t>Human_ENF1_Norm</t>
  </si>
  <si>
    <t>AI_ENF2_Norm</t>
  </si>
  <si>
    <t>Human_ENF2_Norm</t>
  </si>
  <si>
    <t>AI_FAC1_Norm</t>
  </si>
  <si>
    <t>Human_FAC1_Norm</t>
  </si>
  <si>
    <t>AI_FAC2_Norm</t>
  </si>
  <si>
    <t>Human_FAC2_Norm</t>
  </si>
  <si>
    <t>AI_TRU1_Norm</t>
  </si>
  <si>
    <t>Human_TRU1_Norm</t>
  </si>
  <si>
    <t>AI_TRU2_Norm</t>
  </si>
  <si>
    <t>Human_TRU2_Norm</t>
  </si>
  <si>
    <t>AI_TRU3_Norm</t>
  </si>
  <si>
    <t>Human_TRU3_Norm</t>
  </si>
  <si>
    <t>AI_TRU4_Norm</t>
  </si>
  <si>
    <t>AI_OUT1_Norm</t>
  </si>
  <si>
    <t>Human_OUT1_Norm</t>
  </si>
  <si>
    <t>AI_ENF</t>
  </si>
  <si>
    <t>Human_ENF</t>
  </si>
  <si>
    <t>AI_FAC</t>
  </si>
  <si>
    <t>Human_FAC</t>
  </si>
  <si>
    <t>AI_TRU</t>
  </si>
  <si>
    <t>Human_TRU</t>
  </si>
  <si>
    <t>AI_AIx</t>
  </si>
  <si>
    <t>Human_AIx</t>
  </si>
  <si>
    <t>Do mức giảm trừ gia cảnh cao hơn thu nhập nên không có nhu cầu trốn thuế, cộng với các quy định quản lý thuế hiện đại, tôi tin rằng hành vi gian lận sẽ dễ bị phát hiện.</t>
  </si>
  <si>
    <t>Nhà nước và cơ quan thuế đã áp dụng công nghệ tiên tiến, nên khả năng xử lý nghiêm các hành vi trốn thuế là cao.</t>
  </si>
  <si>
    <t xml:space="preserve">Cơ quan thuế có nhiều công cụ kỹ thuật để giám sát, nhưng khả năng thực thi vẫn cần cải thiện. </t>
  </si>
  <si>
    <t>Quy trình khai báo thuế trở nên đơn giản hơn, giảm thời gian chờ đợi và thuận tiện cho người dân.</t>
  </si>
  <si>
    <t>Tôi tin rằng Nhà nước sẽ thực thi chính sách một cách công bằng, nhưng vẫn cần các biện pháp giám sát thêm để đảm bảo.</t>
  </si>
  <si>
    <t>Dựa trên thông tin hiện có, tôi cho rằng cơ quan thuế vẫn có khả năng phát hiện hành vi trốn thuế do mức giảm trừ gia cảnh tăng, giúp xác định chính xác thu nhập chịu thuế. Tuy nhiên, việc này cần sự phối hợp chặt chẽ giữa các cơ quan quản lý.</t>
  </si>
  <si>
    <t>Công nghệ ngày càng phát triển nên khả năng theo dõi và xử lý trốn thuế của nhà nước có thể được cải thiện, nhưng vẫn phụ thuộc vào việc thực thi cụ thể.</t>
  </si>
  <si>
    <t>Thuế đã được đơn giản hóa và mức giảm trừ gia cảnh cao, nên hành vi gian lận khó xảy ra. Cơ quan thuế cũng có công nghệ hiện đại để theo dõi.</t>
  </si>
  <si>
    <t>Nhà nước và cơ quan thuế đã đầu tư công nghệ để quản lý thuế một cách hiệu quả hơn, giảm thiểu khả năng trốn thuế.</t>
  </si>
  <si>
    <t>Với sự phát triển của công nghệ, khả năng theo dõi và xử lý vi phạm thuế chắc chắn sẽ tăng lên.</t>
  </si>
  <si>
    <t>Nhà nước đã đầu tư vào hệ thống thông tin hóa nên việc quản lý thuế sẽ hiệu quả hơn.</t>
  </si>
  <si>
    <t>Có nhiều biện pháp quản lý thuế hiện đại, nhưng vẫn có rủi ro về việc phát hiện trốn thuế.</t>
  </si>
  <si>
    <t>Nhà nước đã đầu tư vào công nghệ và nhân lực để cải thiện hiệu quả quản lý, tuy nhiên vấn đề về nguồn lực và quy trình vẫn còn tồn tại.</t>
  </si>
  <si>
    <t>Nhà nước đã giải thích rõ ràng về mục tiêu và lý do của việc sửa đổi luật thuế lần này.</t>
  </si>
  <si>
    <t>Tôi tin rằng số tiền thuế đóng sẽ được sử dụng hiệu quả để cải thiện các dịch vụ công.</t>
  </si>
  <si>
    <t>Hiện nay, mặc dù các quy định quản lý thuế đã được cải thiện nhưng với mức thu nhập và giảm trừ gia cảnh cao như hiện tại, tôi không thấy có sự khác biệt đáng kể trong khả năng phát hiện hành vi trốn thuế.</t>
  </si>
  <si>
    <t>Nhà nước và cơ quan thuế đã đầu tư vào công nghệ để giám sát các giao dịch tài chính, do đó tôi tin rằng họ có đủ khả năng phát hiện và xử lý nghiêm các hành vi trốn thuế.</t>
  </si>
  <si>
    <t>So với trước đây, quy trình khai báo thuế và làm việc với cơ quan thuế đã đơn giản hơn rất nhiều. Tuy nhiên, tôi vẫn mong muốn có thêm hướng dẫn chi tiết hơn để tránh nhầm lẫn.</t>
  </si>
  <si>
    <t>Các bậc thuế mới được đơn giản hóa và dễ hiểu hơn so với trước đây, giảm bớt sự phức tạp trong việc tính toán. Điều này giúp tôi dễ dàng tuân thủ hơn.</t>
  </si>
  <si>
    <t>Tôi tin rằng Nhà nước sẽ thực thi chính sách một cách công bằng và khách quan, đặc biệt là khi mức giảm trừ gia cảnh cao hơn thu nhập của tôi, giúp tôi không phải đóng thuế.</t>
  </si>
  <si>
    <t>Mức thuế mới mà tôi phải đóng được xem xét kỹ lưỡng và phù hợp với tình hình kinh tế cá nhân của tôi. Điều này làm tăng niềm tin vào tính công bằng của chính sách.</t>
  </si>
  <si>
    <t>Tôi tin rằng số tiền thuế tôi đóng sẽ được sử dụng hiệu quả để cải thiện các dịch vụ công, đặc biệt là y tế và hạ tầng cơ sở. Điều này tăng sự chấp nhận đối với chính sách mới.</t>
  </si>
  <si>
    <t>Nhà nước đã giải thích rõ ràng về mục tiêu của việc sửa đổi thuế, tuy nhiên tôi vẫn mong muốn có thêm thông tin chi tiết về cách sử dụng số tiền thuế thu được để tăng sự minh bạch.</t>
  </si>
  <si>
    <t>Dựa trên thông tin, tôi thấy các quy định quản lý thuế hiện nay có nhiều biện pháp phát hiện hành vi gian lận và trốn thuế. Tuy nhiên, do chưa thực tế trải nghiệm, nên vẫn còn một chút lo lắng.</t>
  </si>
  <si>
    <t>Quy trình khai báo thuế dễ dàng hơn với mức giảm trừ gia cảnh cao hơn.</t>
  </si>
  <si>
    <t>Bậc thuế đơn giản, dễ hiểu và áp dụng đúng theo thu nhập.</t>
  </si>
  <si>
    <t>So với trước đây, quy trình khai báo thuế trở nên đơn giản hơn do giảm số bậc thuế và mức giảm trừ gia cảnh.</t>
  </si>
  <si>
    <t>Biểu thuế mới đơn giản hóa việc tính toán, dễ hiểu và thực hiện hơn so với trước đây.</t>
  </si>
  <si>
    <t>Hiện nay, cơ quan thuế có nhiều công cụ và nguồn lực để phát hiện hành vi trốn thuế. Tuy nhiên, việc quản lý còn phụ thuộc vào hiệu quả thực thi.</t>
  </si>
  <si>
    <t>Nếu có công nghệ hiện đại, khả năng phát hiện gian lận và trốn thuế sẽ tăng. Mặc dù vậy, vấn đề quản lý thuế vẫn còn nhiều khó khăn.</t>
  </si>
  <si>
    <t>Hiện nay, cơ quan thuế có hệ thống công nghệ thông tin phát triển nên khả năng phát hiện trốn thuế cao. Tuy nhiên, vẫn còn nhiều trường hợp gian lận khó phát hiện.</t>
  </si>
  <si>
    <t>Cơ quan thuế đã áp dụng nhiều biện pháp công nghệ như phần mềm khai thuế trực tuyến, hệ thống kiểm tra online. Khả năng xử lý nghiêm vi phạm cũng được cải thiện.</t>
  </si>
  <si>
    <t>Quy trình khai thuế trực tuyến tiện lợi hơn rất nhiều so với trước đây. Tuy nhiên, vẫn còn một số thủ tục phức tạp và cần tối ưu hóa hơn nữa.</t>
  </si>
  <si>
    <t>Hiện nay, với công nghệ phát triển và sự giám sát chặt chẽ từ cơ quan thuế, tôi tin rằng hành vi gian lận hoặc trốn thuế sẽ dễ dàng bị phát hiện. Tuy nhiên, vẫn cần có thêm biện pháp để tăng cường quản lý.</t>
  </si>
  <si>
    <t>Nhà nước và cơ quan thuế đã đầu tư công nghệ tiên tiến để quản lý thuế, giúp giảm thiểu khả năng trốn thuế. Điều này làm tăng sự tin tưởng vào hệ thống</t>
  </si>
  <si>
    <t>Biểu thuế mới có ít bậc hơn và rõ ràng hơn, giúp việc tính toán thuế dễ dàng hơn so với trước đây.</t>
  </si>
  <si>
    <t>Việc tăng mức giảm trừ gia cảnh và đơn giản hóa biểu thuế có thể làm giảm khả năng phát hiện sai phạm, nhưng với công nghệ ngày nay, cơ quan thuế vẫn đủ năng lực quản lý.</t>
  </si>
  <si>
    <t>Bậc thuế mới đơn giản hóa quy trình tính thuế và dễ hiểu hơn, phù hợp với khả năng hiểu biết của người dân.</t>
  </si>
  <si>
    <t>Nhà nước và cơ quan thuế đã thực thi chính sách một cách công bằng và minh bạch, mọi người đều được đối xử bình đẳng.</t>
  </si>
  <si>
    <t>Mức thuế tôi phải đóng là hợp lý, phù hợp với mức thu nhập của tôi, do đó tôi thấy nó công bằng.</t>
  </si>
  <si>
    <t>Thuế tôi đóng sẽ được sử dụng hiệu quả để cải thiện dịch vụ công, nên tôi tin tưởng rằng số tiền thuế đã đóng có ý nghĩa.</t>
  </si>
  <si>
    <t>Nhà nước đã giải thích rõ ràng về mục tiêu và lý do của việc sửa đổi chính sách thuế, giúp tôi hiểu hơn về quyết định này.</t>
  </si>
  <si>
    <t>Sau khi xem xét các quyền lợi và nghĩa vụ, tôi ủng hộ và sẵn lòng tuân thủ chính sách mới vì nó mang lại nhiều thuận lợi cho người dân.</t>
  </si>
  <si>
    <t>Nhà nước đã giải thích rõ ràng về mục tiêu và lý do của việc sửa đổi chính sách thuế này.</t>
  </si>
  <si>
    <t>Cơ quan thuế đã cải thiện trong việc sử dụng công nghệ, nhưng không đảm bảo đủ nguồn lực để giám sát tất cả các trường hợp trốn thuế hiệu quả.</t>
  </si>
  <si>
    <t>So với trước đây, quy trình khai báo và làm việc với cơ quan thuế đã đơn giản hơn nhiều. Việc cung cấp thông tin qua hệ thống điện tử giúp quá trình thuận tiện hơn.</t>
  </si>
  <si>
    <t>Điều kiện thực thi hiện tại không rõ ràng, nhưng mức thuế giảm đáng kể có thể làm giảm động lực trốn thuế.</t>
  </si>
  <si>
    <t>Dù có công nghệ hiện đại, nhưng việc quản lý thuế vẫn phụ thuộc vào sự tuân thủ của người nộp thuế. Có các hệ thống giám sát, nhưng hành vi gian lận khó kiểm soát hoàn toàn.</t>
  </si>
  <si>
    <t>Việc tăng mức giảm trừ gia cảnh và đơn giản hóa biểu thuế có thể làm giảm động lực gian lận. Tuy nhiên, việc thực thi vẫn cần sự hỗ trợ từ công nghệ và nguồn lực của cơ quan thuế.</t>
  </si>
  <si>
    <t>Cơ quan thuế đã đầu tư vào hệ thống công nghệ thông tin để phát hiện hành vi trốn thuế. Tuy nhiên, hiệu quả phụ thuộc vào việc triển khai và vận hành của hệ thống.</t>
  </si>
  <si>
    <t>Thủ tục khai báo thuế và quy trình làm việc với cơ quan thuế đơn giản hơn trước đây nên dễ thực hiện hơn. Tuy nhiên, vẫn cần thời gian để người dân quen thuộc với các thay đổi.</t>
  </si>
  <si>
    <t>Số bậc thuế giảm đi và mức thuế suất rõ ràng hơn đã làm cho quá trình tính thuế đơn giản hơn. Tuy nhiên, việc hiểu rõ về các quy định mới vẫn cần thời gian.</t>
  </si>
  <si>
    <t>Cơ quan thuế có thể thực thi chính sách một cách công bằng và khách quan, tuy nhiên tôi vẫn giữ thái độ thận trọng vì chưa được chứng minh.</t>
  </si>
  <si>
    <t>Quy trình khai báo thuế và làm việc với cơ quan thuế có thể đơn giản hơn khi mức giảm trừ gia cảnh được tăng, nhưng vẫn cần cải thiện nhiều.</t>
  </si>
  <si>
    <t>Bậc thuế đã được đơn giản hóa từ 7 xuống 5 bậc, do đó dễ hiểu và thực hiện hơn so với trước đây.</t>
  </si>
  <si>
    <t>Tôi tin rằng Nhà nước sẽ công bằng trong việc thực thi chính sách mới, nhưng vẫn có sự nghi ngờ về khả năng kiểm soát trốn thuế.</t>
  </si>
  <si>
    <t>Nước ta đã có nhiều nỗ lực trong việc tăng cường quản lý thuế, nhưng vẫn còn nhiều thách thức. Tuy nhiên, với sự phát triển của công nghệ, khả năng phát hiện hành vi gian lận hoặc trốn thuế sẽ được cải thiện.</t>
  </si>
  <si>
    <t>Nhà nước và cơ quan thuế đã đầu tư vào công nghệ để nâng cao hiệu quả quản lý. Tuy nhiên, vẫn cần nhiều hơn nữa về nguồn lực và hợp tác của người dân.</t>
  </si>
  <si>
    <t>Tôi tin rằng cơ quan thuế sẽ thực thi chính sách công bằng cho mọi người nộp thuế.</t>
  </si>
  <si>
    <t>Việc tăng mức giảm trừ gia cảnh và đơn giản hóa biểu thuế có thể khiến hành vi gian lận khó phát hiện hơn. Tuy nhiên, với công nghệ ngày càng tiên tiến, khả năng phát hiện trốn thuế của cơ quan thuế vẫn tốt.</t>
  </si>
  <si>
    <t>Nhà nước và cơ quan thuế đã đầu tư công nghệ để cải thiện việc quản lý thuế. Tuy nhiên, sự hiệu quả trong thực thi pháp luật còn phụ thuộc vào nhiều yếu tố khác.</t>
  </si>
  <si>
    <t>Quy trình làm việc với cơ quan thuế trở nên đơn giản hơn, nhưng vẫn có một số thủ tục phức tạp cần cải thiện. Thuật ngữ và quy định về thuế còn gây nhầm lẫn đối với người dân.</t>
  </si>
  <si>
    <t>Biểu thuế mới đơn giản hóa việc tính thuế, nhưng mức thu nhập chịu thuế vẫn khá cao so với thu nhập trung bình của tôi. Việc này làm giảm độ rõ ràng và dễ hiểu.</t>
  </si>
  <si>
    <t>Tôi tin rằng chính phủ sẽ thực thi công bằng, nhưng sự phức tạp của quy định vẫn khiến tôi cảm thấy không hoàn toàn hài lòng về tính minh bạch.</t>
  </si>
  <si>
    <t>Dù không có thông tin cụ thể về khả năng phát hiện hành vi gian lận, nhưng với mức giảm trừ gia cảnh tăng lên và việc đơn giản hóa biểu thuế, tôi nghĩ hành vi trốn thuế sẽ bị phát hiện dễ dàng hơn.</t>
  </si>
  <si>
    <t>Cơ quan thuế có khả năng sử dụng công nghệ để quản lý hiệu quả, nhưng cần thêm thông tin về nguồn lực và cơ sở hạ tầng của họ.</t>
  </si>
  <si>
    <t>Quy trình làm việc với cơ quan thuế nhanh chóng hơn do giảm trừ gia cảnh tăng lên, tuy nhiên quy trình khai báo thuế vẫn còn phức tạp đối với người dân không chuyên về lĩnh vực này.</t>
  </si>
  <si>
    <t>Việc nhà nước cải cách và công bố các biện pháp chống trốn thuế giúp tôi cảm thấy tin tưởng hơn.</t>
  </si>
  <si>
    <t>Năm 2023, cơ quan thuế đã tăng cường kiểm soát và công nghệ thông tin phát triển mạnh mẽ, giúp việc phát hiện hành vi gian lận trở nên dễ dàng hơn. Mặc dù vậy, vẫn còn những rủi ro không thể loại bỏ hoàn toàn.</t>
  </si>
  <si>
    <t>Với công nghệ hiện đại và quy định quản lý thuế mới, khả năng phát hiện trốn thuế có thể tăng lên.</t>
  </si>
  <si>
    <t>Dựa trên các quy định quản lý thuế hiện nay, tôi cho rằng hành vi gian lận hoặc trốn thuế sẽ dễ dàng bị phát hiện và xử lý nghiêm. Đây là một yếu tố quan trọng để tạo niềm tin trong xã hội về sự công bằng trong hệ thống thuế.</t>
  </si>
  <si>
    <t>Nhà nước, cơ quan thuế có nhiều nguồn lực và công nghệ hiện đại để phát hiện và xử lý các hành vi trốn thuế. Điều này tăng thêm sự tin tưởng vào việc thực thi pháp luật về thuế.</t>
  </si>
  <si>
    <t>Dù có các quy định quản lý thuế, tôi vẫn lo ngại về khả năng phát hiện và xử lý nghiêm các hành vi gian lận hoặc trốn thuế.</t>
  </si>
  <si>
    <t>Nhà nước và cơ quan thuế đã đầu tư vào công nghệ, tuy nhiên, việc xử lý nghiêm các trường hợp trốn thuế vẫn phụ thuộc nhiều vào sự thực thi.</t>
  </si>
  <si>
    <t>So với trước đây, quy trình làm việc với cơ quan thuế có phần đơn giản hơn và thủ tục khai báo thuế dễ dàng hơn.</t>
  </si>
  <si>
    <t>Cách tính thuế mới đơn giản hóa các bậc thuế, giúp tôi dễ hiểu và thực hiện hơn so với trước đây</t>
  </si>
  <si>
    <t>Tôi tin rằng Nhà nước sẽ công bằng trong việc thực thi chính sách mới, nhưng cần có thêm nhiều thông tin về cách thức cụ thể.</t>
  </si>
  <si>
    <t>Tôi tin rằng Nhà nước sẽ thực thi chính sách một cách công bằng, nhưng vẫn cần thời gian để kiểm chứng.</t>
  </si>
  <si>
    <t>Việc tăng mức giảm trừ gia cảnh và đơn giản hóa biểu thuế có thể làm giảm khả năng phát hiện hành vi gian lận hoặc trốn thuế, do đó không hoàn toàn tin tưởng.</t>
  </si>
  <si>
    <t>Cơ quan thuế có công nghệ hiện đại để phát hiện các hành vi trốn thuế, nhưng mức độ thực thi còn phụ thuộc vào nhiều yếu tố khác như nguồn lực và chính sách quản lý.</t>
  </si>
  <si>
    <t>Việc tăng giảm trừ gia cảnh và đơn giản hóa biểu thuế có thể giúp phát hiện hành vi gian lận dễ dàng hơn, do đó tôi đồng ý với ENF1.</t>
  </si>
  <si>
    <t>Bậc thuế giảm đi và cách tính thuế dễ hiểu hơn, do đó thủ tục này trở nên thuận tiện và dễ thực hiện.</t>
  </si>
  <si>
    <t>Tôi tin rằng Nhà nước sẽ công bằng trong việc thực thi chính sách mới.</t>
  </si>
  <si>
    <t>Nhà nước đã giải thích rõ ràng về mục tiêu và lý do của việc sửa đổi chính sách thuế lần này</t>
  </si>
  <si>
    <t>Dù có quy định quản lý thuế, nhưng với mức giảm trừ gia cảnh tăng cao và cách tính thuế đơn giản hơn, việc phát hiện trốn thuế có thể khó khăn. Tuy nhiên, khả năng của Nhà nước trong việc giám sát vẫn đáng tin cậy.</t>
  </si>
  <si>
    <t>Nhà nước và cơ quan thuế đã đầu tư công nghệ để cải thiện hiệu suất làm việc, nhưng việc phát hiện trốn thuế phụ thuộc nhiều vào quy trình quản lý.</t>
  </si>
  <si>
    <t>So với trước đây, quá trình khai báo thuế và giao tiếp với cơ quan thuế dễ dàng hơn. Các thủ tục trở nên thuận tiện hơn nhờ giảm bớt các bước phức tạp.</t>
  </si>
  <si>
    <t>Dù có công nghệ hỗ trợ, tôi vẫn lo ngại về sự giám sát thuế chặt chẽ và khả năng phát hiện trốn thuế.</t>
  </si>
  <si>
    <t>Công nghệ hiện đại giúp tăng cường quản lý thuế, nhưng tôi nghĩ cần thêm các biện pháp ngăn chặn gian lận từ phía người nộp thuế.</t>
  </si>
  <si>
    <t>Thuế thu nhập cá nhân có nhiều quy định phức tạp, nhưng với mức giảm trừ gia cảnh tăng cao và các cải cách khác, khả năng phát hiện trốn thuế cũng đã được nâng cấp. Tuy nhiên, vẫn cần thêm thời gian để đánh giá hiệu quả thực tế.</t>
  </si>
  <si>
    <t>Việc áp dụng công nghệ trong quản lý thuế có thể giúp tăng cường khả năng phát hiện trốn thuế, nhưng mức độ hiệu quả còn phụ thuộc vào việc triển khai và sử dụng công nghệ này.</t>
  </si>
  <si>
    <t>Dù có công nghệ hỗ trợ, tôi vẫn lo ngại về việc phát hiện hành vi gian lận trốn thuế sẽ không hoàn toàn hiệu quả.</t>
  </si>
  <si>
    <t>Trong điều kiện hiện nay, với sự phát triển của công nghệ và hệ thống quản lý thuế, tôi tin rằng hành vi gian lận hoặc trốn thuế sẽ rất dễ bị phát hiện. Điều này tạo nên một môi trường minh bạch.</t>
  </si>
  <si>
    <t xml:space="preserve">Dù không hoàn toàn tin tưởng, nhưng với mức giảm trừ gia cảnh cao hơn và số bậc thuế đơn giản hơn, khả năng phát hiện trốn thuế có thể tăng. </t>
  </si>
  <si>
    <t>Nếu các cơ quan chức năng có công nghệ hỗ trợ, việc phát hiện trốn thuế sẽ dễ dàng hơn, nhưng không chắc chắn.</t>
  </si>
  <si>
    <t>Quy trình khai báo và làm việc với cơ quan thuế đơn giản đi nhiều so với trước đây, thuận tiện cho người dân.</t>
  </si>
  <si>
    <t>Nhà nước và cơ quan thuế đã đầu tư vào công nghệ và hệ thống quản lý thuế hiện đại. Điều này giúp tăng cường khả năng phát hiện và xử lý các hành vi trốn thuế, từ đó tạo niềm tin cho người dân.</t>
  </si>
  <si>
    <t>Nếu thuế được quản lý chặt chẽ hơn, việc gian lận sẽ giảm. Tuy nhiên, tôi nghi ngờ về khả năng kiểm soát của cơ quan thuế với quy mô lớn.</t>
  </si>
  <si>
    <t>Việc tăng mức giảm trừ gia cảnh và đơn giản hóa biểu thuế có thể làm giảm khả năng phát hiện hành vi gian lận hoặc trốn thuế. Tuy nhiên, cơ quan thuế vẫn có đủ khả năng phát hiện và xử lý các trường hợp cố tình không tuân thủ.</t>
  </si>
  <si>
    <t>Dù cơ quan thuế có công nghệ hiện đại, nhưng với lượng thông tin lớn và hành vi gian lận tinh vi, khả năng phát hiện vẫn còn khó khăn.</t>
  </si>
  <si>
    <t>Dựa trên thông tin, cơ quan thuế có nhiều công cụ để phát hiện hành vi trốn thuế. Tuy nhiên, tôi vẫn giữ một thái độ cẩn trọng vì còn phụ thuộc vào thực thi.</t>
  </si>
  <si>
    <t>Nhà nước đã đầu tư công nghệ và nhân lực để cải thiện khả năng phát hiện và xử lý trốn thuế. Đây là bước tiến đáng kể.</t>
  </si>
  <si>
    <t>Nhà nước và cơ quan thuế có nhiều biện pháp quản lý mạnh mẽ, công nghệ hiện đại giúp phát hiện hành vi gian lận hoặc trốn thuế.</t>
  </si>
  <si>
    <t>Nhà nước đã giải thích rõ ràng về mục tiêu của việc sửa đổi thuế, tạo niềm tin cho người dân.</t>
  </si>
  <si>
    <t>Nhà nước và cơ quan thuế đã đầu tư nhiều vào hệ thống công nghệ thông tin nhằm cải thiện hiệu quả quản lý. Điều này cho thấy họ có đủ khả năng để thực hiện các biện pháp xử lý nghiêm về trốn thuế.</t>
  </si>
  <si>
    <t>So với trước đây, quy trình khai báo thuế và làm việc với cơ quan thuế trở nên đơn giản hơn nhiều. Hệ thống điện tử hóa giúp giảm bớt các bước thủ công, nâng cao hiệu quả.</t>
  </si>
  <si>
    <t>Biểu thuế mới đơn giản hơn với số bậc ít hơn, dễ hiểu và thực hiện dễ dàng hơn so với trước đây. Điều này làm giảm gian lận và tăng tính minh bạch.</t>
  </si>
  <si>
    <t>Nhà nước đã công bố rõ ràng về chính sách mới, đảm bảo việc thực thi khách quan, công tâm và bình đẳng với mọi người nộp thuế. Điều này làm tăng niềm tin của tôi vào hệ thống.</t>
  </si>
  <si>
    <t>So với trước đây, các quy trình khai báo thuế và làm việc với cơ quan thuế đã đơn giản hơn. Tuy nhiên, do còn một số bước phức tạp, nên điểm số không quá cao.</t>
  </si>
  <si>
    <t>Cách tính thuế mới đơn giản hơn và dễ hiểu, giảm bớt sự phức tạp. Điều này tăng niềm tin của tôi vào hệ thống thuế hiện tại.</t>
  </si>
  <si>
    <t>Tôi tin rằng Nhà nước sẽ thực thi chính sách một cách công tâm. Tuy nhiên, do còn nhiều yếu tố không chắc chắn, nên điểm số không quá cao.</t>
  </si>
  <si>
    <t>Mức thuế mới được giảm so với trước đây, giúp tôi cảm thấy công bằng hơn. Đây là một lợi ích quan trọng đối với tôi.</t>
  </si>
  <si>
    <t>Biểu thuế mới đơn giản hóa các bậc thuế, dễ hiểu và thực hiện hơn so với trước đây.</t>
  </si>
  <si>
    <t>Cơ quan thuế đã có nhiều cải tiến về công nghệ và quy định quản lý nên khả năng phát hiện gian lận được tăng cường.</t>
  </si>
  <si>
    <t>Nhà nước đã công bố rõ ràng về chính sách mới nên tôi tin rằng sẽ được thực thi một cách khách quan và công bằng.</t>
  </si>
  <si>
    <t>Dù có công nghệ hiện đại, nhưng với lượng thuế nộp lớn và hành chính nhiều cơ quan quản lý, vẫn còn khả năng trốn thuế hoặc gian lận không bị phát hiện.</t>
  </si>
  <si>
    <t>Cơ quan thuế đã tăng cường công nghệ và quy trình giám sát nên khả năng phát hiện gian lận cũng cao hơn so với trước đây.</t>
  </si>
  <si>
    <t>Thủ tục khai báo thuế đơn giản hơn, nhưng vẫn còn phức tạp vì cần lưu ý nhiều điểm khác nhau trong biểu thuế mới.</t>
  </si>
  <si>
    <t>Cách tính thuế và các bậc thuế mới đơn giản hơn so với trước đây, giúp tôi dễ dàng hiểu và thực hiện.</t>
  </si>
  <si>
    <t>Tôi tin rằng cơ quan thuế sẽ thực thi chính sách một cách công bằng, nhưng không chắc chắn hoàn toàn do quy định phức tạp.</t>
  </si>
  <si>
    <t>Mức thuế mới giảm đáng kể so với trước đây nên tôi thấy hợp lý, công bằng hơn đối với thu nhập của tôi.</t>
  </si>
  <si>
    <t>Thuế tôi đóng sẽ được sử dụng để cải thiện dịch vụ công, nhưng cụ thể như thế nào thì chưa rõ ràng.</t>
  </si>
  <si>
    <t>Nhà nước đã giải thích khá chi tiết về mục tiêu của việc sửa đổi thuế này, giúp người dân hiểu rõ hơn.</t>
  </si>
  <si>
    <t>Dù có giảm thuế nhưng vẫn còn nhiều điểm phức tạp và không chắc chắn về cách thực hiện, tôi sẽ tiếp tục theo dõi.</t>
  </si>
  <si>
    <t>Cơ quan thuế có thể cải thiện công nghệ và phương pháp quản lý, nhưng tôi không chắc chắn về việc họ sẽ làm được trong ngắn hạn.</t>
  </si>
  <si>
    <t>Quy trình khai báo thuế và giao tiếp với cơ quan thuế đã đơn giản hơn nhiều so với trước đây. Thủ tục nay dễ dàng thực hiện hơn.</t>
  </si>
  <si>
    <t>Biểu thuế mới có ít bậc, điều này làm cho việc tính toán và hiểu rõ hơn về cách tính thuế của mình.</t>
  </si>
  <si>
    <t>Tôi tin rằng cơ quan thuế sẽ cố gắng thực thi chính sách một cách công bằng, nhưng tôi vẫn chưa hoàn toàn chắc chắn.</t>
  </si>
  <si>
    <t>Mức thuế mới giảm đáng kể, điều này mang lại cho tôi cảm giác công bằng. Thu nhập của tôi không còn thuộc nhóm bị áp thuế cao như trước đây.</t>
  </si>
  <si>
    <t>Thuế đóng góp vào sự phát triển cơ sở hạ tầng và dịch vụ công, điều này làm tăng niềm tin về việc sử dụng hiệu quả số tiền tôi đã đóng.</t>
  </si>
  <si>
    <t>Nếu các quy định quản lý thuế vẫn như hiện tại, việc phát hiện và xử lý trốn thuế có thể không hiệu quả.</t>
  </si>
  <si>
    <t>Dựa trên thông tin, các quy định quản lý thuế hiện nay chưa đủ mạnh để phát hiện hành vi gian lận hoặc trốn thuế.</t>
  </si>
  <si>
    <t>Nhà nước đã đầu tư vào công nghệ và nhân sự để đảm bảo xử lý nghiêm minh các hành vi trốn thuế.</t>
  </si>
  <si>
    <t>So với trước đây, quy trình khai thuế trở nên đơn giản hơn. Việc giảm số bậc thuế giúp việc tính toán thuận lợi hơn.</t>
  </si>
  <si>
    <t>Biểu thuế mới rõ ràng hơn và dễ hiểu, giúp người dân nhanh chóng nắm bắt.</t>
  </si>
  <si>
    <t>Hiện nay, cơ quan thuế có nhiều công cụ để phát hiện hành vi trốn thuế. Việc tăng mức giảm trừ gia cảnh và đơn giản hóa biểu thuế cũng giúp giảm thiểu cơ hội gian lận.</t>
  </si>
  <si>
    <t>Nhà nước đã đầu tư vào hệ thống công nghệ thông tin, giúp tăng cường khả năng quản lý và giám sát thuế.</t>
  </si>
  <si>
    <t>Dù không hoàn toàn tin tưởng, nhưng với các biện pháp quản lý thuế hiện đại, tôi cho rằng hành vi gian lận có thể bị phát hiện. Tuy nhiên, thực tế việc xử lý nghiêm vẫn phụ thuộc vào khả năng và ý chí của nhà nước.</t>
  </si>
  <si>
    <t>Công nghệ quản lý thuế được cải thiện, nhưng tôi cho rằng cần thêm thời gian để chứng minh hiệu quả thực sự trong việc phát hiện và xử lý trốn thuế.</t>
  </si>
  <si>
    <t>Quy trình khai báo thuế trở nên đơn giản hơn, thủ tục cũng thuận tiện hơn. Tuy nhiên, vẫn cần thêm thời gian để mọi người quen với quy trình mới.</t>
  </si>
  <si>
    <t>Biểu thuế được đơn giản hóa và dễ hiểu hơn, giảm bớt sự phức tạp so với trước đây. Việc này giúp tôi dễ dàng tính toán và thực hiện.</t>
  </si>
  <si>
    <t>Nếu cơ quan thuế có công nghệ hiện đại, khả năng phát hiện gian lận sẽ tăng. Tuy nhiên, tôi tin rằng Việt Nam đang đầu tư vào hệ thống quản lý thuế nên khả năng kiểm soát sẽ tốt hơn.</t>
  </si>
  <si>
    <t>Nhà nước đã cải thiện công nghệ và quy trình quản lý thuế để phát hiện gian lận, do đó khả năng xử lý nghiêm sẽ được đảm bảo.</t>
  </si>
  <si>
    <t>Thủ tục khai báo thuế trở nên đơn giản hơn với mức giảm trừ gia cảnh cao và số bậc thuế ít hơn, giúp việc làm thủ tục dễ dàng hơn.</t>
  </si>
  <si>
    <t>Hệ thống thuế hiện tại có nhiều biện pháp kiểm soát, nhưng với việc giảm trừ gia cảnh tăng lên và số bậc thuế đơn giản hơn, khả năng phát hiện trốn thuế có thể bị hạn chế.</t>
  </si>
  <si>
    <t>Nhà nước đã đầu tư vào công nghệ, nhưng vẫn còn phụ thuộc vào việc tuân thủ của người dân. Việc giảm trừ gia cảnh tăng lên cũng làm giảm khả năng phát hiện trốn thuế hiệu quả.</t>
  </si>
  <si>
    <t>Các quy trình khai báo thuế đơn giản hơn và thuận tiện qua ứng dụng điện tử, nhưng vẫn còn một số bước cần tuân thủ. So với trước đây, điều này là cải thiện đáng kể.</t>
  </si>
  <si>
    <t>Nhu cầu cải cách thuế và công nghệ hiện đại giúp phát hiện hành vi gian lận dễ dàng hơn.</t>
  </si>
  <si>
    <t>Cơ quan thuế có đội ngũ chuyên môn cao, cùng với hệ thống IT tiên tiến.</t>
  </si>
  <si>
    <t>Hiện nay, với sự phát triển của công nghệ thông tin và hệ thống quản lý thuế ngày càng tiên tiến, tôi tin rằng hành vi gian lận hoặc trốn thuế sẽ dễ dàng bị phát hiện. Cơ quan thuế cũng có nhiều biện pháp mạnh mẽ để xử lý các trường hợp này.</t>
  </si>
  <si>
    <t>Nhà nước và cơ quan thuế đã đầu tư vào công nghệ để nâng cao hiệu quả quản lý, từ đó tăng cường khả năng phát hiện và xử lý kịp thời các hành vi trốn thuế. Điều này cho thấy họ có đủ khả năng thực thi chính sách một cách chặt chẽ.</t>
  </si>
  <si>
    <t>Quy trình khai báo và làm việc với cơ quan thuế trở nên đơn giản hơn, dễ thực hiện hơn so với trước đây.</t>
  </si>
  <si>
    <t>Dựa trên các quy định quản lý thuế hiện nay, tôi tin rằng hành vi gian lận hoặc trốn thuế sẽ bị phát hiện và xử lý nghiêm.</t>
  </si>
  <si>
    <t>Nhà nước và cơ quan thuế có đủ khả năng công nghệ để kiểm soát và xử lý các hành vi trốn thuế hiệu quả.</t>
  </si>
  <si>
    <t>Quy trình khai báo thuế hiện tại đơn giản hơn, thuận tiện cho người nộp thuế.</t>
  </si>
  <si>
    <t>Số bậc thuế giảm từ 7 xuống còn 5, khiến việc tính thuế trở nên dễ dàng và minh bạch hơn.</t>
  </si>
  <si>
    <t>Tôi tin rằng Nhà nước sẽ thực thi chính sách một cách khách quan công tâm, vì đã có sự thay đổi rõ ràng về giảm trừ gia cảnh và bậc thuế.</t>
  </si>
  <si>
    <t>Mức thuế mới phù hợp với thu nhập của tôi, người nộp thuế như tôi cũng đóng mức này là hợp lý.</t>
  </si>
  <si>
    <t>Nếu cơ quan thuế có đủ khả năng và công nghệ, tôi sẽ tin rằng việc phát hiện gian lận hoặc trốn thuế là khả thi. Tuy nhiên, thực tế quản lý thuế ở Việt Nam vẫn còn nhiều hạn chế nên mức độ tin tưởng không quá cao.</t>
  </si>
  <si>
    <t>Nhà nước và cơ quan thuế đã có những cải tiến công nghệ như Cổng thông tin điện tử một cửa thuế, nhưng việc thực thi vẫn còn nhiều khó khăn. Vì vậy mức độ đồng ý chỉ ở mức trung bình.</t>
  </si>
  <si>
    <t>Dù luật thuế mới đơn giản hơn, nhưng vẫn có nguy cơ gian lận nếu người dân không tuân thủ đúng quy định.</t>
  </si>
  <si>
    <t>Cơ quan thuế có khả năng phát hiện và xử lý trốn thuế tốt hơn do công nghệ tiên tiến, nhưng vẫn cần nâng cao hiệu quả quản lý.</t>
  </si>
  <si>
    <t>Nhà nước có các quy định quản lý thuế hiện đại, nhưng việc phát hiện và xử phạt gian lận vẫn phụ thuộc vào mức độ tuân thủ của doanh nghiệp và cá nhân.</t>
  </si>
  <si>
    <t>Việc áp dụng công nghệ trong quản lý thuế đã cải thiện đáng kể khả năng phát hiện, nhưng việc xử phạt cần có quy trình rõ ràng hơn để tránh sự thiên vị.</t>
  </si>
  <si>
    <t>Quy trình khai báo và làm việc với cơ quan thuế dễ dàng hơn so với trước đây, đặc biệt khi áp dụng các công nghệ số.</t>
  </si>
  <si>
    <t>Biểu thuế đơn giản hóa đã giúp người dân dễ tính toán và thực hiện, dù vẫn còn cần thêm hướng dẫn cho những người ít am hiểu về thuế.</t>
  </si>
  <si>
    <t>Dù có các quy định quản lý thuế, tôi vẫn nghi ngờ khả năng phát hiện toàn diện của Nhà nước đối với các hành vi gian lận hoặc trốn thuế.</t>
  </si>
  <si>
    <t>Cơ quan thuế dường như đã đầu tư vào công nghệ để cải thiện khả năng phát hiện, nhưng tôi không chắc chắn về mức độ hiệu quả của chúng.</t>
  </si>
  <si>
    <t>Công nghệ và khả năng của cơ quan thuế được cải thiện, nhưng vẫn cần thời gian để chứng minh hiệu quả.</t>
  </si>
  <si>
    <t>Quy trình làm việc đơn giản hơn, thủ tục khai báo thuận tiện hơn so với trước đây, giảm bớt gánh nặng cho người dân.</t>
  </si>
  <si>
    <t>Biểu thuế đơn giản hóa, dễ hiểu và thực hiện nhanh chóng hơn, các bậc thuế rõ ràng</t>
  </si>
  <si>
    <t>Nhà nước có thể sẽ công bằng trong việc áp dụng chính sách, nhưng vẫn lo ngại về khả năng thực thi.</t>
  </si>
  <si>
    <t>Nhà nước đã giải thích rõ ràng về mục tiêu của chính sách mới, tạo sự tin tưởng từ người dân.</t>
  </si>
  <si>
    <t>Thuế điện tử và công nghệ hiện đại đã giúp việc phát hiện hành vi gian lận hoặc trốn thuế trở nên dễ dàng hơn.</t>
  </si>
  <si>
    <t>Nhà nước đã đầu tư vào hệ thống công nghệ thông tin, do đó khả năng xử lý nghiêm các hành vi trốn thuế đã được cải thiện.</t>
  </si>
  <si>
    <t>Việc giảm số bậc thuế và đơn giản hóa quy trình khai báo đã làm cho thủ tục trở nên tiện lợi hơn.</t>
  </si>
  <si>
    <t>Bậc thuế mới rõ ràng hơn, dễ hiểu và thực hiện thuận tiện hơn so với trước đây.</t>
  </si>
  <si>
    <t>Nhà nước đã tăng cường kiểm soát và xử lý nghiêm các hành vi trốn thuế, nên tôi tin rằng gian lận sẽ bị phát hiện dễ dàng.</t>
  </si>
  <si>
    <t>Cơ quan thuế có nhiều công nghệ tiên tiến để theo dõi và quản lý thuế, do đó tôi tin họ đủ năng lực để thực thi chính sách.</t>
  </si>
  <si>
    <t>Thủ tục khai báo thuế trở nên đơn giản hơn, giảm bớt các bước rườm rà trước đây, giúp thuận tiện cho người dân.</t>
  </si>
  <si>
    <t>Biểu thuế mới rõ ràng và dễ hiểu, số bậc thuế ít đi khiến quá trình tính toán trở nên đơn giản hơn nhiều.</t>
  </si>
  <si>
    <t>Chính phủ đã tăng mức giảm trừ gia cảnh, do đó tôi tin rằng việc thực thi chính sách này là khách quan và công bằng.</t>
  </si>
  <si>
    <t>Thuế mới đã đơn giản hóa nhiều, nên việc gian lận hoặc trốn thuế có thể bị phát hiện dễ dàng hơn.</t>
  </si>
  <si>
    <t>Cơ quan thuế có công nghệ và nguồn lực đủ để quản lý và giám sát các hoạt động thuế của cá nhân.</t>
  </si>
  <si>
    <t>Quy trình làm việc với cơ quan thuế trở nên thuận tiện hơn, thủ tục khai báo thuế đơn giản hơn trước đây.</t>
  </si>
  <si>
    <t>Cơ quan thuế đã đầu tư vào hệ thống công nghệ thông tin, nên khả năng phát hiện gian lận cao hơn trước đây.</t>
  </si>
  <si>
    <t>Quy trình khai báo thuế và làm việc với cơ quan thuế trở nên đơn giản hơn, giảm bớt thủ tục rườm rà.</t>
  </si>
  <si>
    <t>Bậc thuế ít đi giúp tính toán nhanh chóng và dễ hiểu hơn, không còn cảm giác bị áp bức bởi hệ thống thuế phức tạp trước đây.</t>
  </si>
  <si>
    <t>Tin rằng cơ quan thuế sẽ thực thi chính sách một cách công bằng, nhưng vẫn cần thời gian để kiểm chứng.</t>
  </si>
  <si>
    <t>Thuế mới được giảm đáng kể, giúp tôi cảm thấy mức đóng thuế này là công bằng đối với thu nhập của mình.</t>
  </si>
  <si>
    <t>Tin rằng số tiền thuế đóng sẽ được sử dụng hiệu quả để cải thiện chất lượng cuộc sống.</t>
  </si>
  <si>
    <t>Nhà nước đã giải thích rõ ràng về mục tiêu của việc sửa đổi chính sách thuế, tạo niềm tin cho người dân.</t>
  </si>
  <si>
    <t>Chia sẻ thu nhập và đóng góp vào sự phát triển chung là trách nhiệm của mỗi công dân. Chính sách mới được ủng hộ</t>
  </si>
  <si>
    <t>Thuế mới có 5 bậc thay vì 7, giảm đáng kể độ phức tạp. Việc tăng mức thuế miễn trừ cũng giúp giảm rủi ro gian lận. Với công nghệ hiện đại, khả năng phát hiện trốn thuế sẽ cao hơn.</t>
  </si>
  <si>
    <t>Cơ quan thuế có đủ nhân lực và công nghệ để xử lý các trường hợp trốn thuế do giảm bớt số lượng thủ tục phức tạp. Tăng mức miễn trừ cũng giúp việc phát hiện trốn thuế dễ dàng hơn.</t>
  </si>
  <si>
    <t>Thủ tục khai thuế đơn giản hơn và quy trình giao tiếp với cơ quan thuế thuận tiện hơn. Thuế mới có ít bậc, do đó tính toán thu nhập của tôi nhanh chóng và dễ dàng hơn.</t>
  </si>
  <si>
    <t>Bậc thuế giảm đi từ 7 xuống 5, việc tính toán thuế trở nên dễ hiểu hơn. Mức miễn trừ tăng cũng giúp tôi không phải lo lắng về việc bị phát hiện trốn thuế.</t>
  </si>
  <si>
    <t>Công bằng vì mức thuế mới giảm đi đáng kể và việc tăng mức miễn trừ cho phép nhiều người thu nhập thấp hơn tránh được thuế. Điều này thể hiện sự công bằng trong việc chia sẻ gánh nặng thuế giữa các đối tượng khác nhau.</t>
  </si>
  <si>
    <t>Thuế mới giảm đi đáng kể và mức miễn trừ tăng, do đó tôi thấy mình đóng đúng mức. Việc này thể hiện sự công bằng trong việc chia sẻ gánh nặng thuế</t>
  </si>
  <si>
    <t>Nhà nước sẽ sử dụng số tiền thuế thu được để cải thiện dịch vụ công, như y tế và đường xá. Điều này giúp tôi tin tưởng rằng thuế của mình có tác động tích cực đến xã hội.</t>
  </si>
  <si>
    <t>Nhà nước đã giải thích rõ ràng về lý do và mục tiêu của việc sửa đổi thuế, cũng như mức giảm trừ gia cảnh mới. Điều này làm tăng niềm tin của tôi vào sự công bằng trong chính sách</t>
  </si>
  <si>
    <t>Sau khi xem xét các quyền lợi và nghĩa vụ, tôi ủng hộ và tuân thủ chính sách mới vì nó mang lại nhiều lợi ích hơn so với trước đây. Thuế giảm đi đáng kể giúp tôi tiết kiệm được tiền cho mục đích cá nhân.</t>
  </si>
  <si>
    <t>Việc tăng mức giảm trừ gia cảnh và đơn giản hóa biểu thuế có thể làm giảm cơ hội trốn thuế, nhưng vẫn cần sự giám sát chặt chẽ từ phía nhà nước để phát hiện hành vi gian lận.</t>
  </si>
  <si>
    <t>Nhà nước đã đầu tư công nghệ và nguồn lực vào việc cải cách thuế, tăng cường khả năng giám sát và xử lý trốn thuế hiệu quả hơn so với trước đây.</t>
  </si>
  <si>
    <t>Quy trình khai báo và làm việc với cơ quan thuế trở nên đơn giản hơn với các bậc thuế mới, giảm bớt rắc rối cho người dân.</t>
  </si>
  <si>
    <t>Biểu thuế mới có ít bậc hơn, dễ hiểu và thực hiện nhanh chóng hơn so với trước đây, giúp tôi nắm bắt được cách tính thuế một cách thuận tiện hơn.</t>
  </si>
  <si>
    <t>Tôi tin rằng cơ quan thuế sẽ công bằng trong việc thực thi chính sách mới, tuy nhiên cần thêm thời gian để chứng minh sự công tâm của họ.</t>
  </si>
  <si>
    <t>Mức thuế mới phù hợp với thu nhập của tôi và số người phụ thuộc, thể hiện tính công bằng trong việc đánh giá mức độ đóng góp thuế.</t>
  </si>
  <si>
    <t>Tôi tin rằng số tiền thuế đóng sẽ được sử dụng hiệu quả để cải thiện các dịch vụ công, nhưng cần thêm thông tin về cách sử dụng nguồn thu này.</t>
  </si>
  <si>
    <t>Nhà nước đã giải thích rõ ràng về mục tiêu của việc sửa đổi chính sách thuế, tuy nhiên còn thiếu thông tin chi tiết về quy trình thực hiện và hiệu quả đạt được.</t>
  </si>
  <si>
    <t>Dựa trên tác động tài chính tích cực và sự đơn giản hóa quy trình khai báo, tôi sẽ ủng hộ và tuân thủ chính sách mới.</t>
  </si>
  <si>
    <t>Hiện nay, với hệ thống quản lý thuế hiện đại, tôi tin rằng hành vi gian lận hoặc trốn thuế sẽ dễ bị phát hiện. Cơ quan thuế có nhiều công cụ để theo dõi và xử lý các vấn đề về thuế.</t>
  </si>
  <si>
    <t>Cơ quan thuế đã đầu tư vào công nghệ, giúp họ có thể phát hiện và xử lý kịp thời các hành vi trốn thuế. Điều này làm tăng khả năng thực thi pháp luật về thuế.</t>
  </si>
  <si>
    <t>So với trước đây, quy trình khai báo thuế đã đơn giản hơn rất nhiều. Việc giảm số bậc thuế và nâng mức giảm trừ gia cảnh giúp việc làm thủ tục trở nên thuận tiện hơn.</t>
  </si>
  <si>
    <t>Biểu thuế mới có ít bậc hơn, dễ hiểu và thực hiện dễ dàng hơn so với trước đây. Điều này khiến quá trình tính thuế trở nên đơn giản hơn cho người dân.</t>
  </si>
  <si>
    <t>Tôi tin rằng Nhà nước sẽ thực thi chính sách một cách công bằng và khách quan, không có sự phân biệt đối xử giữa các đối tượng nộp thuế.</t>
  </si>
  <si>
    <t>Mức thuế mới được thiết lập phù hợp với thu nhập của tôi. Tôi cảm thấy rằng mức thuế này là công bằng và phù hợp với tình hình hiện tại.</t>
  </si>
  <si>
    <t>Tôi tin rằng số tiền thuế tôi đóng sẽ được sử dụng hiệu quả để cải thiện các dịch vụ công, như y tế và giao thông. Điều này làm tăng niềm tin vào Nhà nước.</t>
  </si>
  <si>
    <t>Nhà nước đã giải thích rõ ràng về mục tiêu của việc sửa đổi chính sách thuế lần này. Tôi cảm thấy rằng quyết định này được đưa ra dựa trên các lý do hợp lý và công bằng.</t>
  </si>
  <si>
    <t>Tất cả những thay đổi này đều mang lại lợi ích cho người dân như tôi, giúp giảm gánh nặng thuế. Tôi ủng hộ và sẽ tuân thủ chính sách mới.</t>
  </si>
  <si>
    <t>Biểu thuế đơn giản hóa từ 7 bậc thành 5 bậc, dễ hiểu và thực hiện hơn. Điều này tạo thuận lợi cho người nộp thuế.</t>
  </si>
  <si>
    <t>Tôi tin rằng Nhà nước sẽ công tâm trong việc áp dụng chính sách mới. Tuy nhiên, vẫn cần thêm minh bạch về cách thức thực thi.</t>
  </si>
  <si>
    <t>Mức thuế mới giảm đáng kể so với trước đây, khiến tôi cảm thấy công bằng hơn. Đây là sự cải thiện đáng kể đối với thu nhập của tôi.</t>
  </si>
  <si>
    <t>Thuế đóng góp vào các dịch vụ công quan trọng nên tôi tin tưởng số tiền thuế sẽ được sử dụng hiệu quả</t>
  </si>
  <si>
    <t>Nhà nước đã giải thích rõ ràng về mục tiêu và lý do của việc cải cách, tạo niềm tin cho người dân.</t>
  </si>
  <si>
    <t>Sau khi xem xét các quyền lợi và nghĩa vụ, tôi ủng hộ chính sách mới vì nó đơn giản hơn và công bằng hơn. Tôi sẽ tuân thủ.</t>
  </si>
  <si>
    <t>Hiện nay, với hệ thống công nghệ thông tin phát triển, khả năng giám sát và xử lý hành vi gian lận thuế của cơ quan thuế đã được cải thiện đáng kể. Tuy nhiên, vẫn cần sự phối hợp chặt chẽ giữa các cơ quan để đảm bảo hiệu quả.</t>
  </si>
  <si>
    <t>Cơ quan thuế đã đầu tư công nghệ và đào tạo nhân viên, do đó khả năng phát hiện và xử lý trốn thuế sẽ cao hơn so với trước đây. Tuy nhiên, vẫn cần thời gian để hoàn thiện.</t>
  </si>
  <si>
    <t>So với trước đây, quy trình khai báo thuế trở nên đơn giản hơn, tiết kiệm thời gian và công sức cho người dân. Việc này góp phần tăng thuận tiện trong việc tuân thủ pháp luật thuế.</t>
  </si>
  <si>
    <t>Biểu thuế mới có số bậc giảm đi từ 7 xuống còn 5, giúp việc tính thuế trở nên dễ dàng hơn và không mất nhiều thời gian.</t>
  </si>
  <si>
    <t>Tôi tin rằng cơ quan thuế sẽ thực thi chính sách một cách công bằng và khách quan, nhưng vẫn cần sự giám sát của cộng đồng để đảm bảo điều này.</t>
  </si>
  <si>
    <t>Mức thuế mới là hợp lý đối với thu nhập hiện tại của tôi. Việc tăng giảm trừ gia cảnh cũng tạo ra tính công bằng trong việc đóng góp</t>
  </si>
  <si>
    <t>Nhà nước đã sử dụng nguồn ngân sách từ thuế để cải thiện các dịch vụ công, tuy nhiên vẫn cần giám sát để đảm bảo hiệu quả sử dụng.</t>
  </si>
  <si>
    <t>Đây là một bước tiến quan trọng trong việc minh bạch hóa quy trình quản lý thuế, giúp người dân hiểu rõ hơn về chính sách mới</t>
  </si>
  <si>
    <t>Sau khi xem xét các quyền lợi và nghĩa vụ, tôi ủng hộ và sẽ tuân thủ chính sách mới. Việc giảm trừ gia cảnh và đơn giản hóa quy trình khai báo thuế tạo ra nhiều lợi ích cho người dân.</t>
  </si>
  <si>
    <t>Với mức thuế giảm đáng kể và quy định rõ ràng, tôi tin rằng hành vi gian lận sẽ dễ bị phát hiện. Cơ quan thuế có nhiều công cụ để theo dõi.</t>
  </si>
  <si>
    <t>Công nghệ ngày càng tiến bộ giúp cơ quan thuế xử lý nhanh và chính xác hơn, giảm thiểu sai sót.</t>
  </si>
  <si>
    <t>Quy trình khai báo và quy định mới đơn giản hơn nhiều so với trước đây, tiết kiệm thời gian và công sức.</t>
  </si>
  <si>
    <t>Bậc thuế ít hơn và rõ ràng hơn khiến việc tính toán trở nên dễ dàng, không còn cảm thấy bị bối rối.</t>
  </si>
  <si>
    <t>Thuế giảm đáng kể và quy định công bằng giúp tôi tin tưởng rằng cơ quan thuế sẽ quản lý hiệu quả.</t>
  </si>
  <si>
    <t>Lợi ích từ thuế mới như giảm trừ gia cảnh cao hơn, tôi thấy mức thuế này là hợp lý cho thu nhập của mình.</t>
  </si>
  <si>
    <t>Thuế đóng góp vào việc cải thiện dịch vụ công, tôi tin rằng số tiền đóng sẽ được sử dụng hiệu quả.</t>
  </si>
  <si>
    <t>Cơ quan thuế đã giải thích rõ ràng về mục tiêu và lý do của chính sách mới. Tôi thấy thông tin minh bạch.</t>
  </si>
  <si>
    <t>Tôi ủng hộ và tuân thủ chính sách mới vì nó mang lại nhiều lợi ích cho tôi, giảm gánh nặng tài chính.</t>
  </si>
  <si>
    <t>Những quy định hiện nay về quản lý thuế có thể chưa hoàn thiện, nhưng với sự phát triển của công nghệ và các biện pháp kiểm soát ngày càng chặt chẽ, tôi tin rằng hành vi gian lận hoặc trốn thuế sẽ được phát hiện kịp thời.</t>
  </si>
  <si>
    <t>Cơ quan thuế có nhiều nguồn lực và công nghệ để giám sát và quản lý các khoản thu thuế. Tuy nhiên, hiệu quả thực tế còn phụ thuộc vào sự thực thi của họ.</t>
  </si>
  <si>
    <t>Quy trình khai thuế và giao tiếp với cơ quan thuế đã đơn giản hơn so với trước đây nhờ việc sử dụng nhiều dịch vụ trực tuyến. Tuy nhiên, vẫn còn một số khó khăn khi làm thủ tục.</t>
  </si>
  <si>
    <t>Biểu thuế mới có ít bậc và mức giảm trừ gia cảnh cao hơn, khiến việc tính toán thuế trở nên đơn giản hơn nhiều. Điều này giúp tôi dễ dàng quản lý chi phí thuế hàng tháng.</t>
  </si>
  <si>
    <t>Tôi tin rằng cơ quan thuế sẽ thực hiện chính sách một cách công bằng và khách quan, nhưng vẫn có lo ngại về khả năng kiểm soát và thực thi hiệu quả.</t>
  </si>
  <si>
    <t>Tổng số tiền thuế tôi phải đóng đã giảm đáng kể, do đó tôi cảm thấy mức thuế hiện tại là hợp lý. Điều này tăng thêm niềm tin vào tính công bằng của chính sách mới.</t>
  </si>
  <si>
    <t>Thuế tôi đóng sẽ được sử dụng để cải thiện các dịch vụ công và hạ tầng, điều mà tôi coi là quan trọng cho sự phát triển quốc gia. Tuy nhiên, vẫn cần có thêm thông tin về cách sử dụng số tiền thuế.</t>
  </si>
  <si>
    <t>Nhà nước đã giải thích rõ ràng về mục tiêu của việc sửa đổi thuế, nhưng tôi mong muốn có thêm thông tin chi tiết về cách thực hiện và hiệu quả của chính sách mới.</t>
  </si>
  <si>
    <t>Tôi ủng hộ và tuân thủ chính sách mới vì nó mang lại lợi ích tài chính rõ ràng cho tôi. Tuy nhiên, việc cải thiện thêm trong khía cạnh quản lý thuế sẽ giúp tăng cường sự tin tưởng.</t>
  </si>
  <si>
    <t>Dựa trên các quy định quản lý thuế hiện tại, tôi cho rằng việc phát hiện và xử lý hành vi gian lận hoặc trốn thuế là có khả năng. Tuy nhiên, cần cải thiện công nghệ để tăng hiệu quả.</t>
  </si>
  <si>
    <t>Nhà nước và cơ quan thuế đã đầu tư vào công nghệ nên tôi tin rằng họ sẽ có đủ khả năng phát hiện và xử lý nghiêm các hành vi trốn thuế.</t>
  </si>
  <si>
    <t>So với trước đây, quy trình khai báo thuế trở nên đơn giản hơn. Tuy nhiên, vẫn cần cải thiện để giảm bớt rườm rà.</t>
  </si>
  <si>
    <t>Việc giảm số bậc thuế và tăng mức giảm trừ gia cảnh giúp tôi dễ dàng tính toán và hiểu rõ hơn về cách tính thuế.</t>
  </si>
  <si>
    <t>Tôi tin rằng cơ quan thuế sẽ thực thi chính sách một cách công bằng, nhưng cần thêm minh bạch trong quá trình thực hiện.</t>
  </si>
  <si>
    <t>Mức thuế mới theo phương án này là hợp lý, giúp tôi tiết kiệm được nhiều tiền và cảm thấy công bằng hơn.</t>
  </si>
  <si>
    <t>Đồng ý với điều này. Thuế đóng góp cho các dịch vụ công cần thiết nên tôi tin rằng số tiền thuế của mình sẽ được sử dụng hiệu quả.</t>
  </si>
  <si>
    <t>Nhà nước đã giải thích rõ ràng về lý do và mục tiêu sửa đổi thuế, nhưng cần thêm thông tin chi tiết hơn để tăng sự tin tưởng.</t>
  </si>
  <si>
    <t>Sau khi xem xét các quyền lợi và nghĩa vụ, tôi ủng hộ chính sách mới vì nó giúp tôi tiết kiệm được nhiều tiền và cảm thấy công bằng hơn trong việc đóng thuế.</t>
  </si>
  <si>
    <t>Hiện nay, với sự phát triển của công nghệ thông tin và hệ thống quản lý thuế hiện đại, tôi cho rằng khả năng phát hiện hành vi gian lận hoặc trốn thuế đã được cải thiện đáng kể. Tuy nhiên, vẫn còn lo ngại về việc thực thi nghiêm ngặt.</t>
  </si>
  <si>
    <t>Cơ quan thuế có nhiều nguồn lực và công nghệ để giám sát hoạt động kinh tế của người dân, doanh nghiệp nên tôi tin rằng khả năng phát hiện các hành vi gian lận hoặc trốn thuế sẽ được đảm bảo.</t>
  </si>
  <si>
    <t>Quy trình khai thuế và làm việc với cơ quan thuế đã đơn giản hóa, giảm bớt thủ tục rườm rà. Điều này giúp tôi tiết kiệm thời gian và công sức hơn so với trước đây.</t>
  </si>
  <si>
    <t>Thay đổi về biểu thuế và mức giảm trừ gia cảnh đã làm việc tính toán thuế trở nên dễ dàng và rõ ràng hơn. Tôi cảm thấy thuận tiện hơn khi áp dụng hệ thống mới này.</t>
  </si>
  <si>
    <t>Tôi tin rằng Nhà nước sẽ thực thi chính sách một cách công bằng, khách quan với tất cả các đối tượng nộp thuế. Việc giảm trừ gia cảnh và đơn giản hóa biểu thuế cũng mang tính công bằng.</t>
  </si>
  <si>
    <t>Với thu nhập của tôi, mức thuế mới có vẻ hợp lý so với trước đây. Tôi cảm thấy mình không bị áp đặt quá nhiều về mặt tài chính.</t>
  </si>
  <si>
    <t>Thuế mà tôi đóng sẽ được sử dụng hiệu quả để cải thiện các dịch vụ công, từ đó tạo ra một môi trường tốt hơn cho người dân. Điều này làm tăng niềm tin của tôi vào việc sử dụng nguồn thu thuế.</t>
  </si>
  <si>
    <t>Nhà nước đã giải thích rõ ràng về mục đích và lý do đằng sau việc cải cách thuế, điều này giúp tôi hiểu hơn về chính sách mới. Việc minh bạch này làm tăng niềm tin của tôi.</t>
  </si>
  <si>
    <t>Tôi ủng hộ và tuân thủ chính sách mới vì nó đã cải thiện nhiều mặt so với trước đây. Mặc dù vẫn còn lo ngại về việc thực thi, nhưng sự công bằng trong thuế suất và giảm trừ gia cảnh khiến tôi tin rằng mình đang đóng góp một cách công bằng.</t>
  </si>
  <si>
    <t>Chính sách thuế mới đã đơn giản hóa nhiều, giảm trừ gia cảnh cao hơn, nên khả năng phát hiện gian lận sẽ tăng. Cơ quan thuế cũng có công nghệ cập nhật để theo dõi.</t>
  </si>
  <si>
    <t>Công nghệ và nhân lực của cơ quan thuế đã được đầu tư, nên họ sẽ có khả năng phát hiện và xử lý nghiêm các hành vi trốn thuế.</t>
  </si>
  <si>
    <t>Thủ tục khai báo thuế trở nên đơn giản hơn với mức giảm trừ gia cảnh cao. Quy trình làm việc với cơ quan thuế cũng thuận tiện hơn.</t>
  </si>
  <si>
    <t>Biểu thuế được rút gọn, dễ hiểu và thực hiện thuận lợi hơn so với trước đây.</t>
  </si>
  <si>
    <t>Nhà nước đã sửa đổi chính sách thuế một cách công bằng cho mọi người. Mức giảm trừ gia cảnh cao giúp tôi không phải đóng thuế, tạo cảm giác khách quan.</t>
  </si>
  <si>
    <t>Mức thuế mới được thiết lập hợp lý, phù hợp với thu nhập của tôi và mức sống hiện tại. Thuế giảm khiến tôi cảm thấy công bằng hơn.</t>
  </si>
  <si>
    <t>Tăng cường việc giải thích rõ ràng về mục tiêu chính sách thuế mới giúp tôi tin rằng số tiền thuế đóng sẽ được sử dụng hiệu quả cho dịch vụ công.</t>
  </si>
  <si>
    <t>Chính phủ đã cung cấp thông tin đầy đủ và minh bạch về việc sửa đổi thuế lần này, tăng cường niềm tin của tôi vào quyết định của họ.</t>
  </si>
  <si>
    <t>Dựa trên các quyền lợi mới được hưởng từ chính sách thuế, tôi ủng hộ và tuân thủ nó. Sự công bằng trong mức thuế và khả năng phát hiện gian lận khiến tôi tin tưởng vào sự thực thi.</t>
  </si>
  <si>
    <t>Cơ quan thuế hiện nay có hệ thống quản lý tốt, nhưng vẫn cần cải thiện để phát hiện trốn thuế một cách hiệu quả.</t>
  </si>
  <si>
    <t>Nhà nước đã đầu tư công nghệ và nhân lực vào việc chống trốn thuế, nên khả năng phát hiện tăng lên đáng kể.</t>
  </si>
  <si>
    <t>Quy trình khai báo thuế trở nên đơn giản hơn, nhưng vẫn cần thêm thời gian để mọi người quen với các thay đổi mới.</t>
  </si>
  <si>
    <t>Bậc thuế được đơn giản hóa và dễ hiểu hơn, giảm bớt rắc rối trong quá trình tính thuế.</t>
  </si>
  <si>
    <t>Tôi tin rằng Nhà nước sẽ thực thi chính sách một cách công bằng, nhưng vẫn cần thêm thời gian để mọi người quen với quy định mới.</t>
  </si>
  <si>
    <t>Thuế tôi phải đóng thấp hơn so với trước đây nên tôi thấy mức thuế này hợp lý.</t>
  </si>
  <si>
    <t>Tài nguyên thuế sẽ được sử dụng hiệu quả để cải thiện dịch vụ công, nhưng cần thời gian để đánh giá thực tế.</t>
  </si>
  <si>
    <t>Nhà nước đã giải thích rõ về mục tiêu của việc sửa đổi thuế, mặc dù vẫn còn một số điểm mơ hồ.</t>
  </si>
  <si>
    <t>Tôi ủng hộ và tuân thủ chính sách mới vì lợi ích tài chính cá nhân tăng lên đáng kể và quy định trở nên đơn giản hơn.</t>
  </si>
  <si>
    <t>Nếu cơ quan thuế có đủ khả năng phát hiện và xử lý trốn thuế, tôi sẽ cảm thấy yên tâm hơn về sự công bằng trong việc quản lý thuế.</t>
  </si>
  <si>
    <t>Cơ sở hạ tầng công nghệ thông tin của Nhà nước đã phát triển đáng kể, nhưng vẫn cần cải thiện để đảm bảo hiệu quả hơn nữa.</t>
  </si>
  <si>
    <t>So với trước đây, việc khai báo thuế và giao tiếp với cơ quan thuế đã trở nên đơn giản hơn nhiều.</t>
  </si>
  <si>
    <t>Biểu thuế mới đã loại bỏ sự phức tạp của các bậc thuế cũ, giúp tôi dễ dàng tính toán hơn.</t>
  </si>
  <si>
    <t>Tôi tin rằng Nhà nước sẽ công bằng trong việc thực thi chính sách mới và đối xử bình đẳng với mọi người nộp thuế.</t>
  </si>
  <si>
    <t>Với mức thuế giảm, tôi thấy rằng chính sách mới là hợp lý cho thu nhập của mình.</t>
  </si>
  <si>
    <t>Nhìn chung, số tiền thuế tôi đóng sẽ được sử dụng hiệu quả để cải thiện dịch vụ công</t>
  </si>
  <si>
    <t>Nhà nước đã cung cấp thông tin đầy đủ về mục tiêu của việc sửa đổi chính sách thuế, làm tăng sự minh bạch.</t>
  </si>
  <si>
    <t>Do tiết kiệm được số tiền thuế đáng kể và mức độ thuận tiện trong khai báo thuế, tôi ủng hộ và tuân thủ chính sách mới.</t>
  </si>
  <si>
    <t>Với mức giảm trừ gia cảnh tăng và quy trình thuế đơn giản hơn, cơ quan thuế có nhiều thông tin để phát hiện hành vi gian lận. Tuy nhiên, vẫn cần thêm biện pháp kỹ thuật để tăng hiệu quả.</t>
  </si>
  <si>
    <t>Cơ sở hạ tầng công nghệ của cơ quan thuế đã được cải thiện đáng kể, giúp họ theo dõi và xử lý các vấn đề thuế một cách hiệu quả hơn.</t>
  </si>
  <si>
    <t>Quy trình khai báo và làm việc với cơ quan thuế nhanh chóng hơn, giảm thời gian chờ đợi cho người nộp thuế. Các biểu mẫu cũng đơn giản hóa đáng kể so với trước đây.</t>
  </si>
  <si>
    <t>Các bậc thuế mới rõ ràng và dễ hiểu hơn, giúp tôi tính toán chính xác hơn mà không cần sự hỗ trợ chuyên sâu từ các dịch vụ tư vấn tài chính.</t>
  </si>
  <si>
    <t>Tôi tin rằng cơ quan thuế sẽ thực thi chính sách một cách công bằng và khách quan, nhưng vẫn có thể xảy ra sai sót nhỏ vì quy trình thay đổi nhanh chóng.</t>
  </si>
  <si>
    <t>Thuế mới được giảm đáng kể, giúp tôi cảm thấy công bằng hơn so với trước đây. Mức thuế mới phù hợp với thu nhập của tôi</t>
  </si>
  <si>
    <t>Mức thuế tiết kiệm được sẽ được sử dụng để cải thiện các dịch vụ công quan trọng, như y tế và giao thông.</t>
  </si>
  <si>
    <t>Tôi đã đọc các tài liệu giải thích về chính sách mới từ cơ quan thuế và thấy chúng khá rõ ràng.</t>
  </si>
  <si>
    <t>Chính sách mới mang lại lợi ích đáng kể cho tôi, giảm gánh nặng tài chính. Tôi sẽ tuân thủ và ủng hộ việc thực hiện nó.</t>
  </si>
  <si>
    <t>Quy trình khai báo thuế và giao dịch với cơ quan thuế đã đơn giản hơn nhiều so với trước đây, tiết kiệm thời gian đáng kể cho người dân.</t>
  </si>
  <si>
    <t>Biểu thuế mới có ít bậc hơn, dễ hiểu hơn. Điều này giúp tôi nhanh chóng tính toán và khai báo thuế mà không cần sự hỗ trợ từ bên ngoài</t>
  </si>
  <si>
    <t>Nhà nước đã thực hiện công bằng khi tăng giảm trừ gia cảnh cho người phụ thuộc, thể hiện một cách tiếp cận khách quan đối với mọi người nộp thuế.</t>
  </si>
  <si>
    <t>Với mức thu nhập của mình, tôi thấy rằng mức thuế mới được áp dụng là công bằng. Việc giảm thuế giúp tôi cảm thấy được đối xử công bằng hơn</t>
  </si>
  <si>
    <t>Thuế tôi đóng sẽ được sử dụng hiệu quả để cải thiện dịch vụ công, điều này làm tăng sự tin tưởng vào việc đầu tư của nhà nước.</t>
  </si>
  <si>
    <t>Nhà nước đã giải thích rõ ràng về mục tiêu và lý do của chính sách mới. Điều này làm tăng niềm tin của tôi vào quyết định của họ</t>
  </si>
  <si>
    <t>Tôi ủng hộ và tuân thủ chính sách mới vì nó mang lại lợi ích thực tế cho người dân, giảm gánh nặng về thuế đồng thời đơn giản hóa quy trình.</t>
  </si>
  <si>
    <t>Nhà nước đã cải thiện khả năng phát hiện và xử lý các hành vi trốn thuế, nhưng mức độ hiệu quả vẫn phụ thuộc vào việc thực thi.</t>
  </si>
  <si>
    <t>Công nghệ hiện đại giúp cơ quan thuế dễ dàng hơn trong việc quản lý thuế, giảm nguy cơ trốn thuế.</t>
  </si>
  <si>
    <t>Thủ tục khai thuế trở nên đơn giản, nhanh chóng và thuận tiện hơn so với trước đây, đặc biệt là sau khi áp dụng luật mới.</t>
  </si>
  <si>
    <t>Biểu thuế được rút gọn thành 5 bậc, dễ dàng hơn cho người dân tính toán và nộp thuế.</t>
  </si>
  <si>
    <t>Tôi tin rằng Nhà nước sẽ thực thi chính sách công bằng và minh bạch vì mức thuế mới giảm đáng kể, tôi cảm thấy được đối xử công bằng hơn.</t>
  </si>
  <si>
    <t>Những thay đổi này giúp tôi đóng mức thuế phù hợp với thu nhập của mình, tôi thấy đây là một sự công bằng.</t>
  </si>
  <si>
    <t>Thuế giảm đáng kể và được sử dụng hiệu quả cho các dịch vụ công, tôi tin rằng việc này sẽ cải thiện cuộc sống hàng ngày của tôi và người dân.</t>
  </si>
  <si>
    <t>Nhà nước đã giải thích rõ ràng mục tiêu của chính sách mới, mặc dù vẫn có những thay đổi, nhưng tôi cảm thấy hài lòng với sự minh bạch này.</t>
  </si>
  <si>
    <t>Tôi ủng hộ và tuân thủ chính sách mới vì nó mang lại lợi ích đáng kể về mặt tài chính cho tôi, đồng thời tạo ra một môi trường thuế công bằng hơn.</t>
  </si>
  <si>
    <t>Nếu hành vi gian lận hoặc trốn thuế bị phát hiện, tôi sẽ đồng ý với khả năng xử lý nghiêm vì hệ thống quản lý thuế ngày càng hiện đại.</t>
  </si>
  <si>
    <t>Việc sử dụng công nghệ để phát hiện các hành vi trốn thuế có thể giúp tăng cường hiệu quả quản lý thuế, tôi đồng ý với khả năng này.</t>
  </si>
  <si>
    <t>Thủ tục khai báo và quy trình làm việc với cơ quan thuế trở nên đơn giản hơn, thuận tiện cho người dân nộp thuế.</t>
  </si>
  <si>
    <t>Biểu thuế mới có ít bậc hơn, dễ hiểu và thực hiện hơn so với trước đây, do đó tôi đồng ý về sự đơn giản hóa.</t>
  </si>
  <si>
    <t>Một cách tiếp cận công bằng và minh bạch trong việc đánh giá mức thuế phù hợp với thu nhập của tôi, nên tôi tin vào tính khách quan của cơ quan thuế.</t>
  </si>
  <si>
    <t>Tiết kiệm được tiền thuế, do đó tôi cảm thấy công bằng khi đóng mức thuế mới này.</t>
  </si>
  <si>
    <t>Thuế tôi đóng sẽ được sử dụng hiệu quả để cải thiện dịch vụ công, nên tôi tin tưởng vào việc sử dụng nguồn thu của mình.</t>
  </si>
  <si>
    <t>Nhà nước đã giải thích rõ ràng về mục tiêu và lý do sửa đổi thuế lần này, tôi đồng ý với sự minh bạch này.</t>
  </si>
  <si>
    <t>Sau khi xem xét các quyền lợi và nghĩa vụ mới, tôi ủng hộ và tuân thủ chính sách thuế mới vì nó mang lại lợi ích cho người dân như tôi.</t>
  </si>
  <si>
    <t>Với mức giảm trừ gia cảnh tăng mạnh, việc trốn thuế sẽ khó khăn hơn. Công nghệ hiện đại cũng giúp phát hiện nhanh chóng các hành vi gian lận.</t>
  </si>
  <si>
    <t>Cơ quan thuế có thể sử dụng công nghệ để theo dõi và xử lý kịp thời các hành vi trốn thuế, mặc dù không rõ về mức độ thực hiện.</t>
  </si>
  <si>
    <t>Thủ tục khai báo thuế đơn giản hơn với mức giảm trừ gia cảnh cao hơn. Việc này làm giảm rắc rối cho người dân.</t>
  </si>
  <si>
    <t>Biểu thuế đơn giản hóa giúp dễ dàng tính toán và hiểu rõ hơn về mức thuế phải đóng, so sánh với trước đây.</t>
  </si>
  <si>
    <t>Nhà nước đã cải cách để công bằng hơn, giảm gánh nặng thuế cho người dân. Mức thuế mới được coi là hợp lý đối với thu nhập của tôi.</t>
  </si>
  <si>
    <t>Thuế mới được thiết kế để giảm gánh nặng và công bằng hơn so với trước đây, phù hợp với mức thu nhập của tôi.</t>
  </si>
  <si>
    <t>Mức thuế đóng góp vào các dịch vụ công như y tế, giáo dục có thể cải thiện chất lượng cuộc sống</t>
  </si>
  <si>
    <t>Quyết định này đã được giải thích rõ ràng và mục tiêu của nó cũng rất minh bạch.</t>
  </si>
  <si>
    <t>Tôi ủng hộ cải cách thuế vì giảm gánh nặng cho người dân, mang lại công bằng hơn trong việc đóng góp</t>
  </si>
  <si>
    <t>Dù có công nghệ phát hiện gian lận và trốn thuế, nhưng vẫn cần sự giám sát chặt chẽ từ phía người dân để nâng cao hiệu quả quản lý. Thuế là trách nhiệm của mỗi cá nhân.</t>
  </si>
  <si>
    <t>Cơ quan thuế có nhiều nguồn lực và công nghệ hiện đại, tuy nhiên, việc phát hiện và xử lý gian lận cần sự phối hợp chặt chẽ giữa cơ quan chức năng và người dân.</t>
  </si>
  <si>
    <t>Thủ tục khai thuế dễ dàng hơn với mức giảm trừ gia cảnh cao hơn, tuy nhiên, việc áp dụng các quy định mới vẫn cần thời gian để điều chỉnh.</t>
  </si>
  <si>
    <t>Biểu thuế đơn giản hóa từ 7 bậc xuống 5 bậc giúp tính toán dễ dàng hơn. Tuy nhiên, người dân vẫn cần nắm bắt đúng các quy định mới.</t>
  </si>
  <si>
    <t>Tôi tin rằng cơ quan thuế sẽ thực thi chính sách một cách công bằng, mặc dù việc quản lý và giám sát vẫn cần cải thiện.</t>
  </si>
  <si>
    <t>Mức thuế mới là phù hợp với thu nhập của tôi. Mức giảm trừ gia cảnh cao hơn giúp tôi tiết kiệm được một khoản tiền đáng kể.</t>
  </si>
  <si>
    <t>Tôi tin rằng số tiền thuế đóng sẽ được sử dụng hiệu quả để cải thiện dịch vụ công, mặc dù việc giám sát chi tiêu của Nhà nước cần tăng cường.</t>
  </si>
  <si>
    <t>Nhà nước đã giải thích rõ ràng về mục đích và lý do thay đổi thuế. Tuy nhiên, tôi mong rằng thông tin sẽ tiếp tục được cập nhật thường xuyên.</t>
  </si>
  <si>
    <t>Tác động tài chính tích cực từ việc áp dụng thuế mới đã tăng niềm tin của tôi vào hệ thống và sự công bằng trong quy định thuế. Tôi ủng hộ và tuân thủ chính sách mới.</t>
  </si>
  <si>
    <t>Hiện nay, công nghệ và hệ thống quản lý thuế đã phát triển mạnh mẽ, việc gian lận khó có thể tránh được. Tuy nhiên, do chưa rõ ràng về thực thi cụ thể nên còn nghi ngờ.</t>
  </si>
  <si>
    <t>Cơ quan thuế có đủ khả năng và công nghệ để phát hiện trốn thuế, đặc biệt là với biểu thuế đơn giản hơn. Điều này tăng cường niềm tin vào hệ thống quản lý thuế.</t>
  </si>
  <si>
    <t>Quy trình khai báo và làm việc với cơ quan thuế trở nên đơn giản hơn nhiều so với trước đây, giảm thời gian chờ đợi và thủ tục rườm rà.</t>
  </si>
  <si>
    <t>Biểu thuế mới đơn giản hóa các bậc thuế, dễ hiểu và thực hiện thuận lợi. Điều này làm tăng sự tiện lợi cho người nộp thuế.</t>
  </si>
  <si>
    <t>Niềm tin vào việc Nhà nước sẽ công bằng trong việc áp dụng chính sách mới vẫn còn yếu do chưa rõ ràng về cách cụ thể thực thi.</t>
  </si>
  <si>
    <t>Thuế mới giảm đáng kể so với trước đây, mức thuế này được xem là công bằng cho thu nhập của tôi hiện tại.</t>
  </si>
  <si>
    <t>Tiết kiệm được nhiều tiền từ việc giảm trừ gia cảnh và biểu thuế mới, số tiền sẽ được sử dụng hiệu quả để cải thiện dịch vụ công.</t>
  </si>
  <si>
    <t>Đã có thông tin đầy đủ về mục tiêu của chính sách mới, tuy nhiên vẫn còn thiếu minh bạch trong việc thực thi cụ thể.</t>
  </si>
  <si>
    <t>Chuẩn bị ủng hộ và tuân thủ chính sách mới vì lợi ích tài chính rõ ràng và cải thiện thuận tiện cho người nộp thuế.</t>
  </si>
  <si>
    <t>Cơ quan thuế có nhiều biện pháp quản lý và công nghệ hiện đại, nhưng vẫn còn khả năng trốn thuế. Tuy nhiên, với mức giảm trừ gia cảnh tăng lên và số bậc thuế đơn giản hơn, hành vi gian lận sẽ khó khăn hơn.</t>
  </si>
  <si>
    <t>Cơ quan thuế có đủ công nghệ để phát hiện trốn thuế nhưng cần sự phối hợp của người dân. Mức giảm trừ gia cảnh và số bậc thuế đơn giản giúp việc kiểm soát dễ dàng hơn.</t>
  </si>
  <si>
    <t>Thủ tục khai báo thuế trở nên đơn giản, không còn rườm rà như trước. Việc này làm cho người dân dễ thực hiện và giảm thời gian chờ đợi.</t>
  </si>
  <si>
    <t>Biểu thuế mới có số bậc ít hơn, việc tính toán trở nên dễ dàng. Mức thu nhập chịu thuế thấp hơn giúp mọi người hiểu rõ hơn về mức thuế mình phải đóng.</t>
  </si>
  <si>
    <t>Nhà nước đang thực hiện công bằng và khách quan trong việc sửa đổi luật thuế, điều này thể hiện qua mức giảm trừ gia cảnh tăng lên. Mọi người đều được hưởng lợi từ chính sách mới.</t>
  </si>
  <si>
    <t>Mức thuế theo phương án mới là hợp lý đối với thu nhập của tôi. Việc này giúp tôi cảm thấy mình đang đóng góp công bằng cho xã hội.</t>
  </si>
  <si>
    <t>Nhà nước sử dụng số tiền thuế doanh nghiệp và cá nhân đóng để cải thiện dịch vụ công, điều này làm tăng niềm tin của tôi vào việc sử dụng nguồn lực hiệu quả.</t>
  </si>
  <si>
    <t>Chính phủ đã giải thích rõ ràng về mục tiêu và lý do sửa đổi thuế. Điều này giúp người dân hiểu được tầm quan trọng của chính sách mới.</t>
  </si>
  <si>
    <t>Tôi ủng hộ và tuân thủ chính sách mới vì nó giúp giảm gánh nặng tài chính, đồng thời tạo sự công bằng trong việc đóng thuế. Điều này làm tăng động lực cho tôi để tiếp tục tuân thủ.</t>
  </si>
  <si>
    <t>Biện pháp quản lý thuế hiện nay được cải thiện nhưng vẫn có thể gặp khó khăn trong việc phát hiện hành vi gian lận hoặc trốn thuế.</t>
  </si>
  <si>
    <t>Cơ quan thuế đã đầu tư công nghệ và nguồn lực để tăng cường quản lý, tuy nhiên, việc phát hiện các trường hợp trốn thuế vẫn còn hạn chế.</t>
  </si>
  <si>
    <t>Thủ tục khai báo thuế và làm việc với cơ quan thuế đã đơn giản hơn so với trước đây, nhưng vẫn cần cải thiện nữa.</t>
  </si>
  <si>
    <t>Biểu thuế mới đơn giản hơn, dễ hiểu và thực hiện thuận tiện hơn, giúp người dân dễ dàng tuân thủ chính sách.</t>
  </si>
  <si>
    <t>Tôi tin rằng Nhà nước sẽ thực thi chính sách một cách công bằng đối với mọi người nộp thuế, nhưng vẫn có sự nghi ngờ về việc thực thi.</t>
  </si>
  <si>
    <t>Mức thuế mới được giảm đáng kể so với trước đây, tôi cảm thấy nó là hợp lý và công bằng cho thu nhập của mình.</t>
  </si>
  <si>
    <t>Việc Nhà nước sử dụng số tiền thuế đóng để cải thiện dịch vụ công như y tế và hạ tầng giao thông khiến tôi tin rằng chúng sẽ được sử dụng hiệu quả.</t>
  </si>
  <si>
    <t>Nhà nước đã giải thích rõ ràng về lý do và mục tiêu của việc sửa đổi thuế, tuy nhiên, vẫn cần thêm minh bạch hơn trong quá trình thực thi.</t>
  </si>
  <si>
    <t>Tôi ủng hộ chính sách mới vì nó mang lại nhiều lợi ích như giảm gánh nặng thuế và tăng tính công bằng. Tôi sẽ tuân thủ các quy định mới.</t>
  </si>
  <si>
    <t>Hiện nay, cơ quan thuế có nhiều biện pháp quản lý và công nghệ hiện đại giúp phát hiện gian lận thuế. Tuy nhiên, vẫn còn khả năng người nộp thuế tìm cách trốn tránh.</t>
  </si>
  <si>
    <t>Cơ quan thuế đã đầu tư vào hệ thống công nghệ thông tin và nhân lực để cải thiện hiệu suất quản lý thuế, nhưng việc phát hiện gian lận vẫn còn hạn chế.</t>
  </si>
  <si>
    <t>Quy trình khai báo thuế trở nên đơn giản hơn với giảm trừ gia cảnh lớn hơn và số bậc thuế ít đi. Điều này làm cho quá trình thực hiện thuận tiện hơn so với trước đây.</t>
  </si>
  <si>
    <t>Số bậc thuế được rút gọn, làm cho việc tính toán thuế dễ dàng và rõ ràng hơn. Mặc dù vậy, vẫn cần thêm thời gian để quen thuộc với quy định mới.</t>
  </si>
  <si>
    <t>Tôi tin rằng cơ quan thuế sẽ thực thi chính sách một cách công bằng, nhưng việc cải cách này có thể làm thay đổi quyền lợi của nhiều người, nên cần sự công tâm trong quá trình quản lý.</t>
  </si>
  <si>
    <t>Thuế mới được giảm đi đáng kể và số bậc thuế ít hơn, điều này tạo cảm giác công bằng cho tôi. Tuy nhiên, mức thuế vẫn là một phần của trách nhiệm công dân nên cần chấp nhận.</t>
  </si>
  <si>
    <t>Tôi tin rằng tiền thuế sẽ được sử dụng hiệu quả để cải thiện dịch vụ công. Việc tăng giảm trừ gia cảnh và số bậc thuế giúp nâng cao chất lượng cuộc sống.</t>
  </si>
  <si>
    <t>Nhà nước đã giải thích rõ ràng về mục tiêu của việc cải cách thuế, tuy nhiên, cần có thêm thông tin chi tiết để người dân hiểu hơn về tác động thực tế.</t>
  </si>
  <si>
    <t>Tác động tài chính tích cực từ mức thuế mới đã làm tăng sự ủng hộ và tuân thủ cho chính sách mới. Tuy nhiên, vẫn cần thêm thời gian để thích nghi với quy định mới.</t>
  </si>
  <si>
    <t>Cơ quan thuế có thể áp dụng công nghệ để theo dõi và xử lý hành vi trốn thuế hiệu quả hơn, nhưng độ tin cậy còn phụ thuộc vào sự tuân thủ của các doanh nghiệp và cá nhân.</t>
  </si>
  <si>
    <t>Quy trình làm việc với cơ quan thuế đơn giản hóa so với trước đây, thủ tục khai báo thuế cũng thuận tiện hơn nhiều, giúp giảm thời gian chờ đợi và công sức cho người nộp thuế.</t>
  </si>
  <si>
    <t>Biểu thuế mới đơn giản hóa mức bậc thuế từ 7 xuống còn 5, dễ hiểu và thực hiện hơn so với trước đây. Việc giảm trừ gia cảnh tăng lên cũng giúp việc tính toán dễ dàng hơn.</t>
  </si>
  <si>
    <t>Tôi tin rằng Nhà nước sẽ thực thi chính sách một cách khách quan và công bằng, nhưng độ tin cậy còn phụ thuộc vào quy định cụ thể trong Luật Thuế TNCN mới.</t>
  </si>
  <si>
    <t>Với mức thuế mới, tôi cảm thấy là hợp lý so với thu nhập hiện tại của mình và mức giảm trừ gia cảnh tăng lên. Điều này mang đến một cảm giác công bằng hơn cho người nộp thuế.</t>
  </si>
  <si>
    <t>Thuế mà tôi đóng sẽ được sử dụng vào các dịch vụ công như y tế, giáo dục và cơ sở hạ tầng, điều này giúp tôi tin rằng việc đóng thuế có ích cho cộng đồng.</t>
  </si>
  <si>
    <t>Nhà nước đã giải thích rõ ràng về mục tiêu của việc sửa đổi Luật Thuế TNCN, nhưng mức độ minh bạch còn phụ thuộc vào cách thực thi chính sách.</t>
  </si>
  <si>
    <t>Tôi ủng hộ và sẽ tuân thủ chính sách mới vì nó mang lại lợi ích về mặt tài chính và đơn giản hóa quy trình nộp thuế. Tôi cũng tin rằng việc này sẽ giúp cải thiện dịch vụ công cho cộng đồng.</t>
  </si>
  <si>
    <t>Hiện nay, mặc dù cơ quan thuế có công nghệ phát hiện gian lận nhưng do tôi không phải đóng thuế nên khả năng bị phát hiện đối với cá nhân như tôi thấp. Tuy nhiên, nếu ai đó khác trốn thuế thì họ sẽ bị xử lý nghiêm khắc.</t>
  </si>
  <si>
    <t>Nếu Nhà nước và cơ quan thuế có đủ công nghệ để phát hiện gian lận, khả năng phát hiện các hành vi trốn thuế sẽ cao hơn so với trước đây. Tuy nhiên, vì tôi không phải đóng thuế nên không có cảm giác thực tế về vấn đề này.</t>
  </si>
  <si>
    <t>Quy trình khai báo thuế và làm việc với cơ quan thuế trở nên đơn giản hơn so với trước đây. Mức giảm trừ gia cảnh cao giúp tôi không phải lo lắng quá nhiều về thủ tục.</t>
  </si>
  <si>
    <t>Phương án mới đơn giản hóa biểu thuế, số bậc thuế giảm từ 7 xuống còn 5. Điều này giúp việc tính thuế dễ dàng và nhanh chóng hơn so với trước đây.</t>
  </si>
  <si>
    <t>Nhà nước đã công bố một cách rõ ràng về chính sách mới, mặc dù tôi không phải đóng thuế nhưng vẫn tin tưởng vào sự thực thi của họ.</t>
  </si>
  <si>
    <t>Với mức giảm trừ gia cảnh cao và thu nhập thấp hơn so với trước đây, tôi thấy việc không phải đóng thuế là hợp lý đối với người có thu nhập như tôi.</t>
  </si>
  <si>
    <t>Dù tôi không phải đóng thuế nhưng vẫn tin rằng số tiền mà Nhà nước sử dụng cho các dịch vụ công sẽ được quản lý một cách hiệu quả và mang lại lợi ích cho cộng đồng.</t>
  </si>
  <si>
    <t>Nhà nước đã giải thích rõ ràng về mục tiêu của việc sửa đổi thuế lần này, mặc dù tôi không phải đóng thuế nhưng vẫn cảm thấy chính sách mới là một bước tiến tích cực.</t>
  </si>
  <si>
    <t>Dù tôi không phải đóng thuế nhưng vẫn ủng hộ và tuân thủ chính sách mới vì nó giúp giảm gánh nặng về mặt tài chính cho người dân như tôi. Việc đơn giản hóa quy trình khai báo thuế cũng là một lợi ích.</t>
  </si>
  <si>
    <t>Hiện nay, công nghệ theo dõi và phát hiện hành vi gian lận hoặc trốn thuế đã tiến bộ nhiều, nhưng mức độ thực thi vẫn phụ thuộc vào nhân sự và nguồn lực của cơ quan thuế. Tuy nhiên, với sự cải cách này, khả năng phát hiện sẽ tăng lên.</t>
  </si>
  <si>
    <t>Cơ quan thuế đã có nhiều công cụ kỹ thuật để theo dõi và xử lý các hành vi trốn thuế. Với việc đơn giản hóa quy trình quản lý thuế, khả năng phát hiện và xử lý sẽ trở nên hiệu quả hơn.</t>
  </si>
  <si>
    <t>Quy trình khai báo thuế đã được cải thiện đáng kể nhờ sự đơn giản hóa của biểu thuế. Các bước thực hiện nhanh chóng, thuận tiện và dễ dàng hơn so với trước đây.</t>
  </si>
  <si>
    <t>Biểu thuế mới có ít bậc hơn nên việc tính toán thuế trở nên đơn giản và dễ hiểu hơn. Người dân như tôi cảm thấy dễ thực hiện và nắm bắt hơn.</t>
  </si>
  <si>
    <t>Tôi tin rằng cơ quan thuế sẽ tiếp tục thực thi chính sách một cách công bằng và khách quan, đặc biệt là sau khi các mức giảm trừ gia cảnh đã được cải thiện.</t>
  </si>
  <si>
    <t>Với thu nhập của tôi, việc đóng thuế theo phương án mới là hợp lý. Mức giảm trừ gia cảnh mới giúp tôi tiết kiệm hơn so với trước đây, tạo cảm giác công bằng.</t>
  </si>
  <si>
    <t>Thuế tôi đóng sẽ được sử dụng hiệu quả để cải thiện dịch vụ công như y tế và hạ tầng. Điều này tăng niềm tin của tôi vào việc sử dụng nguồn lực một cách công bằng.</t>
  </si>
  <si>
    <t>Nhà nước đã giải thích rõ ràng về mục đích và lý do để cải cách thuế, tạo sự minh bạch và tin tưởng từ phía người dân.</t>
  </si>
  <si>
    <t>Tôi ủng hộ chính sách mới vì nó giúp tôi tiết kiệm được một khoản tiền đáng kể, đồng thời đơn giản hóa quy trình khai báo thuế. Tôi sẽ tuân thủ.</t>
  </si>
  <si>
    <t>Tăng mức giảm trừ gia cảnh và đơn giản hóa biểu thuế nên hành vi gian lận khó phát hiện hơn. Tuy nhiên, khả năng phát hiện trốn thuế phụ thuộc nhiều vào hiệu quả của công nghệ và nhân lực quản lý.</t>
  </si>
  <si>
    <t>Việc áp dụng công nghệ số trong quản lý thuế có thể giúp cải thiện khả năng phát hiện hành vi trốn thuế, nhưng cần thời gian để triển khai hiệu quả.</t>
  </si>
  <si>
    <t>Các quy trình làm việc với cơ quan thuế đơn giản hơn và thủ tục khai báo thuế thuận tiện hơn. Thuế giảm trừ gia cảnh tăng nên thủ tục cần được tối ưu hóa để đảm bảo công bằng.</t>
  </si>
  <si>
    <t>Biểu thuế đơn giản hơn với ít bậc, dễ hiểu và thực hiện nhanh chóng. Điều này giúp người dân dễ dàng tuân thủ pháp luật về thuế.</t>
  </si>
  <si>
    <t>Tôi tin rằng Nhà nước sẽ thực thi chính sách một cách công tâm. Mức thuế mới phù hợp với thu nhập của tôi, giảm gánh nặng tài chính và tăng niềm tin vào hệ thống thuế</t>
  </si>
  <si>
    <t>Mức thuế mới được thiết kế để đảm bảo tính công bằng. Thuế giảm trừ gia cảnh tăng giúp phân phối thuế một cách công bằng hơn.</t>
  </si>
  <si>
    <t>Tôi tin rằng số tiền thuế tôi đóng sẽ được sử dụng hiệu quả để cải thiện các dịch vụ công, như y tế và đường xá. Mức thuế mới tạo điều kiện cho việc này</t>
  </si>
  <si>
    <t>Nhà nước đã giải thích rõ ràng về mục tiêu của chính sách thuế mới. Tôi cảm thấy thông tin được cung cấp đầy đủ và minh bạch.</t>
  </si>
  <si>
    <t>Tôi ủng hộ chính sách thuế mới vì nó giảm gánh nặng tài chính, tạo niềm tin vào hệ thống thuế và giúp cải thiện các dịch vụ công. Tôi sẽ tuân thủ</t>
  </si>
  <si>
    <t>Hiện nay, cơ quan thuế đã có nhiều biện pháp quản lý và sử dụng công nghệ hiện đại, nên tin rằng hành vi gian lận hoặc trốn thuế sẽ dễ bị phát hiện. Nâng cao mức giảm trừ gia cảnh cũng giúp hạn chế việc trốn thuế.</t>
  </si>
  <si>
    <t>Cơ quan thuế có khả năng và công nghệ để xử lý nghiêm các hành vi trốn thuế, do đó tin rằng chính sách sẽ được thực thi hiệu quả.</t>
  </si>
  <si>
    <t>Thủ tục khai báo thuế và quy trình làm việc với cơ quan thuế trở nên đơn giản hơn, dễ dàng tiếp cận thông tin và giao dịch trực tuyến thuận lợi hơn.</t>
  </si>
  <si>
    <t>Số bậc thuế được rút gọn, cách tính thuế rõ ràng hơn, giúp việc tính toán và nộp thuế trở nên thuận tiện.</t>
  </si>
  <si>
    <t>Đối với mức thu nhập của mình, sự thay đổi trong chính sách mới công bằng và khách quan, đảm bảo việc thực thi pháp luật được áp dụng cho tất cả mọi người</t>
  </si>
  <si>
    <t>Mức thuế sau khi giảm trừ gia cảnh và các thay đổi về bậc thuế là hợp lý với thu nhập của mình.</t>
  </si>
  <si>
    <t>Thuê tôi đóng góp cho việc cải thiện dịch vụ công, như y tế và cơ sở hạ tầng, giúp nâng cao chất lượng cuộc sống</t>
  </si>
  <si>
    <t>Nhà nước đã giải thích rõ ràng mục tiêu của chính sách mới thông qua các kênh truyền thông công cộng</t>
  </si>
  <si>
    <t>Sau khi xem xét tác động tài chính và sự đơn giản hóa, tôi ủng hộ và tuân thủ chính sách mới.</t>
  </si>
  <si>
    <t>Việc tăng mức giảm trừ gia cảnh và đơn giản hóa biểu thuế có thể khiến việc gian lận trở nên khó khăn hơn, nhưng tôi vẫn lo ngại về khả năng thực thi.</t>
  </si>
  <si>
    <t>Nhà nước đã đầu tư công nghệ để quản lý thuế hiệu quả hơn, tuy nhiên, vẫn cần cải thiện thêm trong việc phát hiện gian lận.</t>
  </si>
  <si>
    <t>Quy trình khai báo thuế và làm việc với cơ quan thuế trở nên đơn giản hơn nhiều so với trước đây, tôi thấy rất thuận tiện.</t>
  </si>
  <si>
    <t>Biểu thuế mới đơn giản hóa bậc thuế từ 7 xuống còn 5, giúp dễ hiểu và thực hiện hơn cho người dân.</t>
  </si>
  <si>
    <t>Tôi tin rằng chính sách mới sẽ được thực thi công bằng với mọi người nộp thuế, mặc dù tôi vẫn là người đa nghi về việc này.</t>
  </si>
  <si>
    <t>Thuế mới giảm đáng kể so với trước đây, tôi thấy mức thuế này hợp lý cho thu nhập của mình.</t>
  </si>
  <si>
    <t>Một phần thu thuế sẽ được sử dụng vào việc cải thiện các dịch vụ công, điều này làm tăng niềm tin của tôi</t>
  </si>
  <si>
    <t>Nhà nước đã giải thích rõ về mục tiêu và lý do của việc thay đổi thuế lần này, tuy nhiên, vẫn còn cần nhiều thông tin hơn.</t>
  </si>
  <si>
    <t>Tôi ủng hộ chính sách mới vì nó mang lại lợi ích tài chính cho tôi và đơn giản hóa quy trình khai thuế.</t>
  </si>
  <si>
    <t>Nhà nước đã đầu tư công nghệ và nhân lực vào việc quản lý thuế, do đó khả năng phát hiện trốn thuế tăng lên.</t>
  </si>
  <si>
    <t>Cơ quan thuế có đủ nguồn lực và hệ thống để xử lý nghiêm các trường hợp vi phạm</t>
  </si>
  <si>
    <t>Quy trình khai báo thuế đã đơn giản hơn, giảm thời gian chờ đợi khi làm việc với cơ quan thuế</t>
  </si>
  <si>
    <t>Biểu thuế mới có ít bậc hơn, dễ hiểu và thực hiện nhanh chóng hơn so với trước đây</t>
  </si>
  <si>
    <t>Nhà nước đã thể hiện sự công bằng trong việc điều chỉnh mức giảm trừ gia cảnh và bậc thuế</t>
  </si>
  <si>
    <t>Thuế tôi phải đóng theo phương án mới là hợp lý, phù hợp với thu nhập của mình</t>
  </si>
  <si>
    <t>Thiết bị thuế mới sẽ được sử dụng hiệu quả để cải thiện dịch vụ công, mang lại lợi ích cho người dân</t>
  </si>
  <si>
    <t>Nhà nước đã giải thích rõ ràng về mục tiêu và lý do của việc sửa đổi luật thuế lần này</t>
  </si>
  <si>
    <t>Tôi ủng hộ chính sách mới vì nó giúp tôi tiết kiệm được chi phí và cải thiện dịch vụ công</t>
  </si>
  <si>
    <t>Dù quy định quản lý thuế hiện nay không hoàn hảo, nhưng với sự phát triển của công nghệ, khả năng phát hiện hành vi gian lận hoặc trốn thuế sẽ cao hơn. Tuy nhiên, thực tế vẫn cần thời gian để các cơ quan thuế hoàn thiện hệ thống.</t>
  </si>
  <si>
    <t>Cơ quan thuế có đủ nguồn lực và công nghệ hiện đại để phát hiện và xử lý nghiêm các hành vi trốn thuế. Điều này thể hiện sự cam kết của nhà nước trong việc bảo vệ quyền lợi chung của người nộp thuế.</t>
  </si>
  <si>
    <t>Quy trình làm việc với cơ quan thuế đã đơn giản hơn, nhưng vẫn cần thêm thời gian để mọi người quen thuộc và tận dụng các công cụ hỗ trợ trực tuyến.</t>
  </si>
  <si>
    <t>Cách tính thuế mới đơn giản và dễ hiểu. Số bậc thuế giảm từ 7 xuống 5, làm cho việc phân loại thu nhập và xác định mức thuế trở nên dễ dàng hơn.</t>
  </si>
  <si>
    <t>Tôi tin rằng cơ quan thuế sẽ thực thi chính sách một cách công tâm. Tuy nhiên, sự phức tạp của thuế cũ đã khiến nhiều người gặp khó khăn trong việc hiểu và tuân thủ, do đó giảm niềm tin.</t>
  </si>
  <si>
    <t>Thu nhập của tôi ở mức trung bình nên mức thuế mới (12.4 triệu/tháng) là hợp lý. Mức giảm trừ gia cảnh tăng lên đã giúp tôi tiết kiệm được một khoản tiền đáng kể.</t>
  </si>
  <si>
    <t>Thuế đóng góp vào việc cải thiện cơ sở hạ tầng và dịch vụ công, tuy nhiên vẫn cần giám sát chặt chẽ để tránh lãng phí.</t>
  </si>
  <si>
    <t>Nhà nước đã giải thích rõ về mục tiêu của chính sách mới. Tuy nhiên, việc thực thi cụ thể vẫn còn là vấn đề cần cải thiện.</t>
  </si>
  <si>
    <t>Tôi ủng hộ và tuân thủ chính sách thuế mới vì lợi ích nó mang lại cho tôi và xã hội. Thu nhập của tôi ở mức trung bình nên việc giảm trừ gia cảnh tăng lên đã giúp tôi tiết kiệm được một khoản tiền đáng kể.</t>
  </si>
  <si>
    <t>Nhìn chung, tôi tin rằng với sự phát triển của công nghệ và quy định quản lý thuế hiện nay, hành vi gian lận hoặc trốn thuế sẽ khó tránh khỏi bị phát hiện. Tuy nhiên, việc thực thi pháp luật cần có sự phối hợp chặt chẽ giữa nhiều cơ quan.</t>
  </si>
  <si>
    <t>Cơ quan thuế đã và đang áp dụng các công nghệ tiên tiến để quản lý và giám sát hoạt động kinh doanh. Tuy nhiên, việc đảm bảo sự công bằng trong quá trình xử lý vẫn cần được cải thiện.</t>
  </si>
  <si>
    <t>Thủ tục khai báo thuế đã đơn giản hơn so với trước đây, đặc biệt là với việc sử dụng phần mềm khai thuế trực tuyến. Tuy nhiên, việc triển khai rộng rãi vẫn cần thời gian.</t>
  </si>
  <si>
    <t>Sự đơn giản hóa của biểu thuế đã giúp tôi dễ dàng tính toán và nộp thuế hơn. Việc giảm số bậc thuế cũng góp phần làm giảm độ phức tạp.</t>
  </si>
  <si>
    <t>Tôi tin rằng Nhà nước sẽ thực thi chính sách một cách công tâm, nhưng vẫn cần thêm thời gian để mọi người hiểu và chấp nhận quy định mới.</t>
  </si>
  <si>
    <t>Sau khi xem xét tác động tài chính, tôi thấy mức thuế mới là hợp lý. Việc giảm trừ gia cảnh lớn hơn đã giúp tôi tiết kiệm được một khoản tiền đáng kể.</t>
  </si>
  <si>
    <t>Tôi tin rằng số tiền thuế tôi đóng sẽ được sử dụng hiệu quả để cải thiện chất lượng dịch vụ công, nhưng cần thêm minh bạch về cách sử dụng nguồn lực này.</t>
  </si>
  <si>
    <t>Nhà nước đã giải thích rõ ràng về mục tiêu của việc sửa đổi thuế. Tuy nhiên, tôi hy vọng sẽ có thêm thông tin cụ thể về các dự án được tài trợ từ số tiền thuế thu thập.</t>
  </si>
  <si>
    <t>Sau khi xem xét tất cả các yếu tố, tôi ủng hộ và tuân thủ chính sách mới. Việc giảm trừ gia cảnh lớn hơn đã giúp cải thiện tình hình tài chính của gia đình tôi.</t>
  </si>
  <si>
    <t>Việc tăng mức giảm trừ gia cảnh và đơn giản hóa biểu thuế có thể làm cho hành vi gian lận trở nên khó khăn hơn, nhưng vẫn cần sự giám sát chặt chẽ từ cơ quan thuế.</t>
  </si>
  <si>
    <t>Nhà nước đã đầu tư nhiều vào công nghệ và nhân lực để quản lý thuế hiệu quả hơn, tuy nhiên, việc phát hiện trốn thuế hoàn toàn phụ thuộc vào sự tận tụy của các cơ quan chức năng.</t>
  </si>
  <si>
    <t>Quy trình khai báo thuế trở nên đơn giản hơn với mức giảm trừ gia cảnh cao hơn, giúp người dân dễ dàng hơn trong việc thực hiện thủ tục.</t>
  </si>
  <si>
    <t>Biểu thuế mới có ít bậc và rõ ràng hơn so với trước đây, làm cho quá trình tính thuế trở nên thuận tiện và dễ hiểu hơn.</t>
  </si>
  <si>
    <t>Tôi tin rằng cơ quan thuế sẽ thực thi chính sách một cách công bằng, nhưng vẫn cần sự minh bạch trong việc áp dụng các quy định mới.</t>
  </si>
  <si>
    <t>Mức thuế mới tôi phải đóng là hợp lý cho thu nhập của tôi và gia đình, điều này tạo cảm giác công bằng.</t>
  </si>
  <si>
    <t>Tôi tin rằng số tiền thuế đóng sẽ được sử dụng hiệu quả để cải thiện dịch vụ công, mặc dù cần có thêm minh bạch về cách sử dụng nguồn thu</t>
  </si>
  <si>
    <t>Nhà nước đã giải thích rõ ràng về mục tiêu của việc sửa đổi thuế, nhưng vẫn có thể cải thiện trong việc truyền thông và minh bạch hơn.</t>
  </si>
  <si>
    <t>Tôi ủng hộ chính sách mới vì nó tạo ra sự công bằng và thuận tiện hơn cho người dân, đồng thời tôi sẽ tuân thủ các quy định mới.</t>
  </si>
  <si>
    <t>Chính phủ và cơ quan thuế đã tăng cường công nghệ để theo dõi giao dịch tài chính, do đó khả năng phát hiện hành vi gian lận hoặc trốn thuế là cao. Tuy nhiên, vẫn còn một số rủi ro về mặt thực thi.</t>
  </si>
  <si>
    <t>Nhà nước đã đầu tư vào hệ thống công nghệ thông tin để cải thiện khả năng quản lý và kiểm soát thuế, giảm thiểu cơ hội trốn thuế. Tuy nhiên, hiệu quả vẫn phụ thuộc vào việc áp dụng.</t>
  </si>
  <si>
    <t>Thủ tục khai báo thuế trở nên đơn giản hơn với mức giảm trừ gia cảnh cao và số bậc thuế ít đi. Điều này làm cho quá trình nộp thuế thuận tiện và nhanh chóng hơn.</t>
  </si>
  <si>
    <t>Các bậc thuế mới đã được đơn giản hóa, dễ hiểu và dễ thực hiện. Mức giảm trừ gia cảnh cao cũng giúp tính toán thuế trở nên dễ dàng hơn.</t>
  </si>
  <si>
    <t>Tôi tin rằng Nhà nước sẽ công tâm trong việc áp dụng chính sách mới, nhưng vẫn cần thêm thời gian để chứng minh. Công bằng được thể hiện qua mức giảm trừ gia cảnh và số bậc thuế đơn giản.</t>
  </si>
  <si>
    <t>Mức thuế mới phù hợp với thu nhập của tôi, giúp tiết kiệm chi phí và giảm áp lực tài chính.</t>
  </si>
  <si>
    <t>Thuế đóng góp vào việc cải thiện hạ tầng công cộng và dịch vụ công. Số tiền tiết kiệm từ thuế mới có thể được sử dụng hiệu quả hơn cho các dự án này.</t>
  </si>
  <si>
    <t>Nhà nước đã giải thích rõ ràng về sự cần thiết của việc sửa đổi luật thuế, nhưng vẫn có những điểm chưa rõ ràng. Tuy nhiên, thông tin được cung cấp là đầy đủ và dễ hiểu.</t>
  </si>
  <si>
    <t>Chính sách mới mang lại lợi ích tài chính cho tôi và giảm áp lực về mặt quản lý thuế. Tôi sẽ ủng hộ và tuân thủ nó</t>
  </si>
  <si>
    <t>Quy định quản lý thuế hiện tại chưa rõ ràng, dễ dàng gây hiểu lầm về cách thực thi.</t>
  </si>
  <si>
    <t>Cơ quan thuế cần cải thiện công nghệ để phát hiện gian lận và trốn thuế hiệu quả hơn.</t>
  </si>
  <si>
    <t>Phương án mới đơn giản hóa quy trình khai báo, giảm bớt các thủ tục phức tạp.</t>
  </si>
  <si>
    <t>Biểu thuế mới rõ ràng và dễ hiểu hơn so với trước đây</t>
  </si>
  <si>
    <t>Tôi không hoàn toàn tin rằng cơ quan thuế sẽ thực thi công bằng, vì vẫn có thể có sự không công bằng trong quá trình xử lý.</t>
  </si>
  <si>
    <t>Thuế mới được giảm đáng kể, khiến tôi cảm thấy mình đóng góp công bằng hơn.</t>
  </si>
  <si>
    <t>Hiểu rằng thuế sẽ được sử dụng hiệu quả cho dịch vụ công nhưng không chắc chắn hoàn toàn về cách thực hiện</t>
  </si>
  <si>
    <t>Mặc dù giải thích rõ ràng, nhưng tôi vẫn nghi ngờ về sự minh bạch trong việc sử dụng nguồn thu thuế.</t>
  </si>
  <si>
    <t>Tôi ủng hộ và tuân thủ chính sách mới vì nó có lợi cho tôi và gia đình, đồng thời giảm gánh nặng tài chính.</t>
  </si>
  <si>
    <t>Hiện nay, với sự phát triển của công nghệ và cơ sở pháp lý, tôi tin rằng hành vi gian lận hoặc trốn thuế sẽ được phát hiện và xử lý nghiêm. Tuy nhiên, vấn đề quản trị vẫn còn tồn tại.</t>
  </si>
  <si>
    <t>Nhà nước đã đầu tư vào công nghệ và nhân lực để nâng cao hiệu quả quản lý, tôi tin rằng khả năng phát hiện và xử lý gian lận thuế sẽ được cải thiện đáng kể. Tuy nhiên, còn phụ thuộc vào thực thi.</t>
  </si>
  <si>
    <t>So với trước đây, quy trình khai thuế trở nên đơn giản hơn, thủ tục cũng tiện lợi hơn, giúp người dân dễ dàng làm việc với cơ quan thuế. Điều này đã cải thiện đáng kể sự thuận tiện cho người nộp thuế.</t>
  </si>
  <si>
    <t>Biểu thuế mới có ít bậc và đơn giản hóa quy trình tính thuế, giảm bớt sự phức tạp cho người dân trong việc tính toán. Điều này giúp tôi dễ dàng áp dụng các mức thuế mới hơn.</t>
  </si>
  <si>
    <t>Tôi tin rằng Nhà nước sẽ thực hiện chính sách một cách khách quan và công bằng, nhưng vẫn còn tồn tại một số lo ngại về việc giám sát hiệu quả trong quá trình thực thi.</t>
  </si>
  <si>
    <t>Mức thuế mới giảm đáng kể so với trước đây, phù hợp hơn với thu nhập của tôi. Điều này làm tăng sự công bằng và tính công bằng trong việc đóng góp vào ngân sách nhà nước.</t>
  </si>
  <si>
    <t>Tôi tin rằng số tiền thuế đóng sẽ được sử dụng hiệu quả để cải thiện các dịch vụ công, tuy nhiên, tôi mong muốn có thêm thông tin chi tiết về cách sử dụng nguồn thu này.</t>
  </si>
  <si>
    <t>Nhà nước đã giải thích rõ ràng về mục tiêu của việc sửa đổi thuế, nhưng vẫn còn một số điểm chưa được minh bạch đầy đủ.</t>
  </si>
  <si>
    <t>Tôi ủng hộ và tuân thủ chính sách mới vì nó giảm nhẹ gánh nặng tài chính cho tôi và gia đình, đồng thời đơn giản hóa quy trình khai thuế. Tôi hy vọng các cải cách sẽ mang lại lợi ích thực tế cho người dân.</t>
  </si>
  <si>
    <t>Biểu thuế mới có ít bậc hơn, khiến việc tính toán dễ dàng và nhanh chóng hơn. Tuy nhiên, vẫn còn một số điều khoản phức tạp cần nắm rõ.</t>
  </si>
  <si>
    <t>Tôi tin rằng cơ quan thuế sẽ thực thi chính sách công bằng, nhưng tôi vẫn có chút lo ngại về khả năng giám sát và xử lý nghiêm minh các trường hợp vi phạm.</t>
  </si>
  <si>
    <t>Nhìn chung, mức thuế mới phù hợp với thu nhập của tôi. Tuy nhiên, việc giảm trừ gia cảnh tăng lên làm cho tôi cảm thấy công bằng hơn.</t>
  </si>
  <si>
    <t>Thuê tôi đóng góp vào sự phát triển cơ sở hạ tầng và các dịch vụ công khác, nhưng tôi mong muốn có thêm thông tin về cách sử dụng cụ thể số tiền thuế này.</t>
  </si>
  <si>
    <t>Nhà nước đã giải thích rõ ràng về mục tiêu của việc sửa đổi thuế, tuy nhiên, tôi hy vọng sẽ thấy thêm các biện pháp thực thi công khai và minh bạch hơn.</t>
  </si>
  <si>
    <t>Tổng thể, chính sách mới có nhiều lợi ích cho tôi. Tôi ủng hộ nó vì nó tạo ra một hệ thống thuế công bằng và đơn giản hơn.</t>
  </si>
  <si>
    <t>Trong tình hình hiện tại, mặc dù tôi không có thông tin cụ thể về hệ thống quản lý thuế mới, nhưng với mức giảm trừ gia cảnh cao hơn trước, tôi tin rằng cơ quan thuế sẽ dễ dàng phát hiện và xử lý các hành vi trốn thuế.</t>
  </si>
  <si>
    <t>Như đã đề cập, tôi dựa trên mức giảm trừ gia cảnh cao hơn để đánh giá khả năng kiểm soát của cơ quan thuế, mặc dù không có thông tin cụ thể về công nghệ và nguồn lực.</t>
  </si>
  <si>
    <t>So với trước đây, với quy định đơn giản hóa, tôi thấy rằng thủ tục khai báo thuế sẽ thuận tiện hơn cho người dân, nhưng vẫn cần thời gian để quen thuộc.</t>
  </si>
  <si>
    <t>Ngưỡng chịu thuế và số bậc thuế giảm đi khiến việc tính toán đơn giản hơn nhiều, tôi thấy dễ thực hiện hơn so với trước đây.</t>
  </si>
  <si>
    <t>Mức thuế không thay đổi nhưng với mức giảm trừ gia cảnh cao hơn, tôi tin rằng cơ quan thuế sẽ công bằng khi đánh giá thu nhập của tôi.</t>
  </si>
  <si>
    <t>Mức thuế vẫn không thay đổi so với trước đây, nhưng mức giảm trừ gia cảnh cao hơn làm cho tôi cảm thấy thuế mình đóng là công bằng.</t>
  </si>
  <si>
    <t>Dù thu nhập của tôi không tăng, nhưng với mức giảm trừ gia cảnh cao hơn, tôi tin rằng số tiền thuế đóng sẽ được sử dụng hiệu quả để cải thiện dịch vụ công.</t>
  </si>
  <si>
    <t>Chính phủ đã giải thích rõ ràng về mục tiêu và lý do sửa đổi thuế, mặc dù tôi không biết chi tiết cụ thể về cách thực hiện.</t>
  </si>
  <si>
    <t>Trong tổng thể, tôi ủng hộ chính sách mới vì nó đơn giản hóa thủ tục và tăng giảm trừ gia cảnh giúp đỡ cho người dân như tôi.</t>
  </si>
  <si>
    <t>Khả năng phát hiện và xử lý được cải thiện, song vẫn phụ thuộc vào hiệu quả quản lý của cơ quan thuế.</t>
  </si>
  <si>
    <t>Quy trình đơn giản hơn trước, đặc biệt là việc giảm số bậc thuế từ 7 xuống 5.</t>
  </si>
  <si>
    <t>Cách tính và các bậc thuế mới dễ hiểu hơn, giúp người nộp thuế nắm bắt nhanh chóng.</t>
  </si>
  <si>
    <t>Đối xử công bằng giữa các cá nhân với mức giảm trừ gia cảnh cao hơn, nhưng vẫn có sự chênh lệch về thu nhập.</t>
  </si>
  <si>
    <t>Mức thuế mới phù hợp với thu nhập hiện tại của tôi, góp phần tăng niềm tin vào chính sách.</t>
  </si>
  <si>
    <t>Thuế được sử dụng để cải thiện dịch vụ công, nhưng hiệu quả cụ thể còn phụ thuộc vào quản lý nguồn lực.</t>
  </si>
  <si>
    <t>Đã có giải thích rõ ràng về mục tiêu và lý do sửa đổi, nâng cao tính minh bạch.</t>
  </si>
  <si>
    <t>Nhìn chung, chính sách mới mang lại lợi ích đáng kể và đơn giản hơn so với trước đây, tôi ủng hộ.</t>
  </si>
  <si>
    <t>Việc tăng mức giảm trừ gia cảnh và đơn giản hóa biểu thuế có thể làm giảm động lực cho các hành vi gian lận hoặc trốn thuế, nhưng thực tế vẫn cần sự giám sát chặt chẽ từ cơ quan thuế.</t>
  </si>
  <si>
    <t>Ngành công nghệ thông tin phát triển nhanh chóng, có khả năng cao nhà nước và cơ quan thuế sẽ nâng cấp hệ thống để tăng cường hiệu quả quản lý và xử lý vi phạm.</t>
  </si>
  <si>
    <t>Hệ thống thuế mới đơn giản hơn so với trước đây, thủ tục khai báo thuế cũng dễ dàng và nhanh chóng hơn, giảm bớt phiền toái cho người dân.</t>
  </si>
  <si>
    <t>Biểu thuế được đơn giản hóa từ 7 bậc xuống 5 bậc, việc tính toán thuế trở nên dễ dàng hơn và rõ ràng hơn.</t>
  </si>
  <si>
    <t>Mức thuế mới có vẻ công bằng hơn so với trước đây, giảm bớt gánh nặng về mặt tài chính cho người dân.</t>
  </si>
  <si>
    <t>Nhìn chung mức thuế mới là hợp lý đối với thu nhập của tôi, giảm trừ gia cảnh tăng cao giúp tiết kiệm tiền thuế.</t>
  </si>
  <si>
    <t>Tiết kiệm được nhiều tiền thuế, tôi tin rằng số tiền này sẽ được sử dụng hiệu quả để cải thiện dịch vụ công và hạ tầng cơ sở</t>
  </si>
  <si>
    <t>Các giải thích về chính sách mới khá rõ ràng, mục tiêu của việc sửa đổi thuế lần này là giảm gánh nặng cho người dân.</t>
  </si>
  <si>
    <t>Tôi ủng hộ và tuân thủ chính sách mới vì nó đơn giản hơn và giúp tôi tiết kiệm được tiền thuế, đồng thời cải thiện dịch vụ công</t>
  </si>
  <si>
    <t>Thuê được sử dụng hiệu quả cho mục đích công cộng như y tế và giáo dục sẽ tạo niềm tin vào việc đóng thuế.</t>
  </si>
  <si>
    <t>Nhà nước đã giải thích rõ ràng về mục tiêu và lý do của chính sách mới, nâng cao sự minh bạch.</t>
  </si>
  <si>
    <t>Chính sách mới giảm gánh nặng thuế cho tôi mà vẫn công bằng, tôi sẽ ủng hộ và tuân thủ.</t>
  </si>
  <si>
    <t>Cơ quan thuế đã có nhiều cải tiến trong việc quản lý và công nghệ xử lý dữ liệu, tuy nhiên vẫn cần thời gian để hoàn thiện và tối ưu hóa.</t>
  </si>
  <si>
    <t>Quy trình khai báo thuế đơn giản hơn so với trước đây, nhưng vẫn cần quá trình học hỏi cho người nộp thuế mới quen thuộc với các thay đổi.</t>
  </si>
  <si>
    <t>Biểu thuế đơn giản hóa và giảm số bậc giúp dễ dàng tính toán. Tuy nhiên, việc chuyển đổi từ quy định cũ cần thời gian để làm quen.</t>
  </si>
  <si>
    <t>Tôi tin Nhà nước sẽ thực thi chính sách công bằng, nhưng vẫn có nghi ngờ về cách quản lý và phân phối nguồn lực thuế.</t>
  </si>
  <si>
    <t>Với mức giảm trừ gia cảnh tăng lên, tôi thấy mức thuế mới là hợp lý. Tuy nhiên, việc áp dụng cụ thể cho từng trường hợp có thể khác nhau.</t>
  </si>
  <si>
    <t>Tôi tin số tiền thuế đóng sẽ được sử dụng hiệu quả để cải thiện các dịch vụ công, nhưng cần nhìn nhận kết quả thực tế trong tương lai.</t>
  </si>
  <si>
    <t>Nhà nước đã giải thích rõ về mục tiêu và lý do của việc thay đổi thuế lần này. Tuy nhiên, tôi vẫn mong muốn có thêm thông tin chi tiết hơn.</t>
  </si>
  <si>
    <t>Tôi ủng hộ chính sách mới vì nó giúp giảm gánh nặng tài chính cho người dân. Việc đơn giản hóa quy trình cũng hỗ trợ việc tuân thủ.</t>
  </si>
  <si>
    <t>Mức thuế mới phù hợp với thu nhập của tôi. Tuy nhiên, việc đánh giá mức thuế còn phụ thuộc vào nhiều yếu tố khác như chi phí sinh hoạt và tình hình kinh tế chung.</t>
  </si>
  <si>
    <t>Tôi tin rằng số tiền thuế đóng sẽ được sử dụng hiệu quả để cải thiện dịch vụ công, nhưng cần có thêm thông tin về cách sử dụng nguồn thu từ thuế.</t>
  </si>
  <si>
    <t>Nhà nước đã giải thích rõ ràng về mục tiêu của việc sửa đổi thuế. Tuy nhiên, tôi vẫn mong muốn có thêm thông tin chi tiết hơn về quy trình thực hiện chính sách mới.</t>
  </si>
  <si>
    <t>Tôi ủng hộ và tuân thủ chính sách mới vì nó giúp giảm gánh nặng thuế cho người dân. Tuy nhiên, tôi vẫn giữ thái độ thận trọng và sẽ theo dõi sát sao các thay đổi.</t>
  </si>
  <si>
    <t>Mức thuế tôi phải đóng thấp hơn so với trước đây và doanh thu gia đình không quá lớn nên tôi thấy mức thuế này là công bằng.</t>
  </si>
  <si>
    <t>Thuê tôi sẽ được sử dụng để cải thiện các dịch vụ công, nhưng tôi vẫn lo ngại về việc quản lý hiệu quả của chúng.</t>
  </si>
  <si>
    <t>Nhà nước đã giải thích rõ ràng về mục tiêu và lý do của việc sửa đổi thuế, tuy nhiên, tôi muốn có thêm thông tin cụ thể hơn về cách sử dụng thu ngân sách.</t>
  </si>
  <si>
    <t>Trong tổng thể, tôi ủng hộ chính sách mới vì giảm trừ gia cảnh cao hơn và mức thuế thấp hơn so với trước đây. Mặc dù vậy, tôi vẫn muốn có thêm bảo đảm về việc quản lý hiệu quả thu ngân sách.</t>
  </si>
  <si>
    <t>Quy trình khai báo thuế trở nên đơn giản hơn khi số bậc thuế được giảm từ 7 xuống còn 5. Tuy nhiên, việc tiếp cận dịch vụ thuế qua mạng vẫn chưa thực sự thuận tiện.</t>
  </si>
  <si>
    <t>Phương án mới về thuế đã làm giảm mức thuế phải đóng của tôi, giúp dễ dàng tính toán và thực hiện hơn. Điều này tạo ra cảm giác thuận tiện cho người nộp thuế.</t>
  </si>
  <si>
    <t>Tôi tin rằng nhà nước sẽ công bằng trong việc thực thi chính sách mới. Việc tăng giảm trừ gia cảnh và đơn giản hóa biểu thuế đã làm giảm gánh nặng tài chính của người dân như tôi.</t>
  </si>
  <si>
    <t>Mức thuế mới mà tôi phải đóng là hợp lý, giúp phân bổ công bằng hơn theo thu nhập. Điều này thể hiện sự công bằng về mặt chính sách.</t>
  </si>
  <si>
    <t>Nhà nước đã sử dụng số tiền thuế doanh nghiệp và cá nhân nộp để đầu tư vào các dịch vụ công, như y tế và cơ sở hạ tầng. Điều này tạo ra niềm tin rằng thuế đóng góp của tôi đang được sử dụng hiệu quả.</t>
  </si>
  <si>
    <t>Nhà nước đã giải thích rõ ràng về mục tiêu và lý do của việc sửa đổi chính sách thuế. Tuy nhiên, cần thêm thông tin về cách sử dụng số tiền thuế để tăng sự hiểu biết của công chúng.</t>
  </si>
  <si>
    <t>Sau khi tính toán tác động tài chính và xem xét các điều kiện cải tiến, tôi ủng hộ và sẽ tuân thủ chính sách mới. Điều này giúp giảm gánh nặng thuế cho người dân như tôi.</t>
  </si>
  <si>
    <t>Thuế đã được đơn giản hóa và công khai hơn, nhưng vẫn có nguy cơ gian lận nếu không cẩn trọng.</t>
  </si>
  <si>
    <t>Cơ quan thuế có khả năng cao để phát hiện và xử lý gian lận với công nghệ hiện đại.</t>
  </si>
  <si>
    <t>Thủ tục khai báo thuế đã trở nên đơn giản hơn, tiết kiệm thời gian cho người dân.</t>
  </si>
  <si>
    <t>Cách tính thuế mới rõ ràng và dễ hiểu hơn so với trước đây.</t>
  </si>
  <si>
    <t>Tôi tin rằng Nhà nước sẽ công bằng trong việc thực thi chính sách, nhưng vẫn có một chút nghi ngờ vì lịch sử quản lý thuế.</t>
  </si>
  <si>
    <t>Thuế mới này phù hợp với thu nhập của tôi và các mức giảm trừ gia cảnh tăng lên.</t>
  </si>
  <si>
    <t>Tài nguyên thuế sẽ được sử dụng để cải thiện dịch vụ công, nhưng cần thời gian để thấy kết quả.</t>
  </si>
  <si>
    <t>Tôi tin Nhà nước đã giải thích rõ ràng về lý do và mục tiêu của việc sửa đổi thuế lần này.</t>
  </si>
  <si>
    <t>Chính sách mới có lợi cho tôi, giảm gánh nặng tài chính và thủ tục làm việc với cơ quan thuế trở nên dễ dàng hơn.</t>
  </si>
  <si>
    <t>Việc giảm trừ gia cảnh tăng lên và đơn giản hóa biểu thuế có thể làm tăng khả năng phát hiện hành vi gian lận, nhưng không hoàn toàn loại bỏ khả năng trốn thuế.</t>
  </si>
  <si>
    <t>Cơ quan thuế với công nghệ hiện đại và quy định quản lý thuế chặt chẽ hơn có thể phát hiện và xử lý nghiêm các hành vi trốn thuế hiệu quả.</t>
  </si>
  <si>
    <t>Thủ tục khai báo thuế trở nên đơn giản hơn, giảm bớt rào cản cho người dân trong việc thực hiện nghĩa vụ nộp thuế.</t>
  </si>
  <si>
    <t>Biểu thuế mới có ít bậc và mức thuế suất rõ ràng, dễ hiểu hơn so với trước đây.</t>
  </si>
  <si>
    <t>Chính sách mới với giảm trừ gia cảnh tăng lên và biểu thuế đơn giản hóa tạo cảm giác công bằng trong việc thực thi pháp luật về thuế.</t>
  </si>
  <si>
    <t>Mức thuế sau khi tính toán cho thấy tôi phải đóng ít hơn, điều này thể hiện mức độ hợp lý đối với thu nhập của mình.</t>
  </si>
  <si>
    <t>Thuế đóng góp vào việc cải thiện dịch vụ công như y tế và đường xá, tạo niềm tin rằng tiền thuế được sử dụng hiệu quả.</t>
  </si>
  <si>
    <t>Chính phủ đã giải thích rõ ràng về mục tiêu của chính sách mới, nhưng vẫn cần thêm thông tin chi tiết để tăng độ minh bạch.</t>
  </si>
  <si>
    <t>Sau khi xem xét các quyền lợi và nghĩa vụ, tôi ủng hộ và tuân thủ chính sách mới vì nó mang lại nhiều lợi ích cho cá nhân và xã hội.</t>
  </si>
  <si>
    <t>Dù có khả năng phát hiện gian lận, nhưng việc thuế được đơn giản hóa có thể làm giảm sự giám sát kỹ lưỡng đối với các công ty lớn.</t>
  </si>
  <si>
    <t>Cơ quan thuế đã đầu tư vào công nghệ và nhân lực để phát hiện gian lận, nhưng hiệu quả vẫn phụ thuộc vào nguồn lực và cách triển khai.</t>
  </si>
  <si>
    <t>Thủ tục thuế được đơn giản hóa so với trước đây, làm giảm thời gian chờ đợi và rắc rối cho người dân.</t>
  </si>
  <si>
    <t>Bậc thuế mới đơn giản hơn nhiều, dễ hiểu và thực hiện thuận tiện hơn so với trước đây.</t>
  </si>
  <si>
    <t>Tôi tin rằng cơ quan thuế sẽ công bằng trong việc thực thi chính sách, nhưng vẫn có sự nghi ngờ về khả năng thực hiện đầy đủ.</t>
  </si>
  <si>
    <t>Thuế mới được giảm đi đáng kể và công bằng hơn cho thu nhập của tôi, tăng cảm giác công bằng</t>
  </si>
  <si>
    <t>Dù thuế đã giảm nhưng không chắc chắn về cách sử dụng số tiền thuế này, nhưng vẫn tin tưởng vào mục tiêu cải thiện dịch vụ công.</t>
  </si>
  <si>
    <t>Nhà nước đã giải thích rõ ràng về mục đích và lý do của việc sửa đổi thuế, tăng sự minh bạch và niềm tin</t>
  </si>
  <si>
    <t>Tôi ủng hộ chính sách mới vì giảm thuế đáng kể và thủ tục đơn giản hơn, đồng thời tin tưởng vào mục tiêu cải thiện dịch vụ công.</t>
  </si>
  <si>
    <t>Dù không có thêm thông tin về khả năng phát hiện trốn thuế, nhưng với mức giảm trừ gia cảnh lớn hơn và đơn giản hóa biểu thuế, việc gian lận trở nên khó khăn hơn. Điều này tăng tính công bằng.</t>
  </si>
  <si>
    <t>Cơ quan thuế có thể đã đầu tư công nghệ để theo dõi các giao dịch tài chính, nhưng thông tin không rõ ràng về khả năng phát hiện trốn thuế cụ thể. Tuy nhiên, mức giảm trừ gia cảnh lớn hơn làm giảm khả năng trốn thuế.</t>
  </si>
  <si>
    <t>Quy trình khai thuế đơn giản hơn với số bậc thuế giảm và mức giảm trừ gia cảnh tăng. Việc tính toán thuế cũng dễ dàng hơn cho người dân.</t>
  </si>
  <si>
    <t>Biểu thuế mới đơn giản, rõ ràng hơn so với trước đây. Mức giảm trừ gia cảnh lớn giúp việc tính toán thuế trở nên thuận tiện hơn.</t>
  </si>
  <si>
    <t>Mức thuế giảm đáng kể và cách tính thuế đơn giản hơn tạo niềm tin vào sự công bằng của hệ thống thuế mới. Người dân không bị trừng phạt quá mức về mặt tài chính.</t>
  </si>
  <si>
    <t>Người nộp thuế như tôi, với thu nhập trung bình, đóng thuế theo quy định mới là hợp lý. Mức giảm trừ gia cảnh tăng giúp công bằng hơn.</t>
  </si>
  <si>
    <t>Thuế sẽ được sử dụng hiệu quả để cải thiện dịch vụ công, tạo niềm tin vào việc đầu tư của Nhà nước.</t>
  </si>
  <si>
    <t>Nhà nước đã giải thích rõ về mục tiêu và lý do sửa đổi thuế. Tuy nhiên, thông tin chưa đầy đủ về cách thực hiện và quản lý thuế mới.</t>
  </si>
  <si>
    <t>Tác động tài chính tích cực từ việc giảm thuế đáng kể đã tăng sự ủng hộ cho chính sách mới. Tôi sẽ tuân thủ và ủng hộ nếu các quy định được thực thi công bằng.</t>
  </si>
  <si>
    <t>Hiện nay, mặc dù có nhiều quy định quản lý thuế nhưng tôi tin rằng với công nghệ ngày càng phát triển, việc phát hiện hành vi gian lận hoặc trốn thuế sẽ trở nên dễ dàng hơn. Tuy nhiên, do chưa quá quen thuộc với các quy định mới, mức độ tin tưởng vẫn ở mức vừa phải.</t>
  </si>
  <si>
    <t>Nhà nước và cơ quan thuế đã thể hiện quyết tâm trong việc chống trốn thuế thông qua nhiều biện pháp quản lý. Tuy nhiên, tôi nghĩ rằng để thực sự hiệu quả, vẫn cần thêm thời gian để đào tạo cán bộ thuế.</t>
  </si>
  <si>
    <t>So với trước đây, quy trình khai báo và làm việc với cơ quan thuế đã đơn giản hơn nhiều. Thủ tục cũng tiện lợi hơn rất nhiều nhờ công nghệ số hóa.</t>
  </si>
  <si>
    <t>Cách tính thuế và các bậc thuế trong phương án mới rõ ràng hơn, dễ hiểu và dễ thực hiện. Điều này giúp người dân dễ dàng tuân thủ hơn.</t>
  </si>
  <si>
    <t>Tôi tin rằng Nhà nước sẽ thực thi chính sách một cách công bằng đối với mọi người nộp thuế. Mặc dù có thể còn nhiều lo ngại, nhưng tôi vẫn giữ niềm tin vào sự minh bạch của nhà nước.</t>
  </si>
  <si>
    <t>Công bằng về mặt tài chính, mức thuế mới giảm so với trước đây giúp tiết kiệm một khoản đáng kể. Điều này thể hiện tính công bằng trong việc phân bổ gánh nặng thuế giữa các đối tượng thu nhập khác nhau.</t>
  </si>
  <si>
    <t>Thuế tôi đóng sẽ được sử dụng hiệu quả cho các dịch vụ công, như y tế và đường xá. Điều này tăng niềm tin của tôi vào việc sử dụng tiền thuế một cách minh bạch.</t>
  </si>
  <si>
    <t>Nhà nước đã giải thích khá rõ ràng về mục tiêu và lý do sửa đổi thuế. Tuy nhiên, để minh bạch hơn nữa, cần có thêm thông tin chi tiết về cách sử dụng số tiền thu được.</t>
  </si>
  <si>
    <t>Tôi ủng hộ chính sách mới vì nó giúp giảm gánh nặng tài chính và đơn giản hóa quy trình thuế. Tuy nhiên, tôi vẫn cần thêm thời gian để quen thuộc với các quy định mới.</t>
  </si>
  <si>
    <t>Biện pháp quản lý thuế hiện nay chưa đủ mạnh để phát hiện trốn thuế, đặc biệt với số lượng người nộp thuế lớn.</t>
  </si>
  <si>
    <t>Cơ quan thuế có công nghệ và khả năng để phát hiện gian lận nhưng thực tế không luôn hiệu quả.</t>
  </si>
  <si>
    <t>Quy trình khai báo thuế đơn giản hơn so với trước đây, thủ tục cũng nhanh chóng và thuận tiện hơn.</t>
  </si>
  <si>
    <t>Biểu thuế mới rõ ràng hơn, dễ hiểu và thực hiện dễ dàng hơn so với biểu cũ.</t>
  </si>
  <si>
    <t>Tôi tin Nhà nước sẽ thực thi chính sách một cách công bằng nhưng vẫn có sự nghi ngờ về việc quản lý thuế</t>
  </si>
  <si>
    <t>Mức thuế mới giảm đáng kể so với trước đây nên tôi thấy nó hợp lý cho thu nhập của mình.</t>
  </si>
  <si>
    <t>Tôi tin số tiền thuế đóng sẽ được sử dụng hiệu quả để cải thiện dịch vụ công nhưng còn lo ngại về việc quản lý.</t>
  </si>
  <si>
    <t>Nhà nước đã giải thích rõ mục đích của chính sách mới thông qua các kênh truyền thông</t>
  </si>
  <si>
    <t>Sau khi xem xét, tôi ủng hộ và tuân thủ chính sách mới vì nó mang lại lợi ích cho tôi.</t>
  </si>
  <si>
    <t>Tăng cường quản lý thuế và công nghệ hiện đại có thể phát hiện hành vi gian lận, nhưng vẫn cần sự phối hợp giữa người dân và cơ quan thuế để tăng hiệu quả.</t>
  </si>
  <si>
    <t>Nhà nước đã đầu tư vào hệ thống công nghệ thông tin và nhân lực có thể giúp phát hiện và xử lý trốn thuế một cách hiệu quả.</t>
  </si>
  <si>
    <t>So với trước đây, quy trình khai báo thuế trở nên đơn giản hơn, nhưng vẫn cần thời gian để người dân quen thuộc.</t>
  </si>
  <si>
    <t>Tôi tin rằng cơ quan thuế sẽ thực thi chính sách một cách công bằng đối với mọi người nộp thuế.</t>
  </si>
  <si>
    <t>Thuế mới có mức giảm trừ gia cảnh cao hơn, phù hợp với thu nhập của tôi và người phụ thuộc, cho thấy sự công bằng trong việc phân phối gánh nặng thuế.</t>
  </si>
  <si>
    <t>Tôi tin rằng số tiền thuế đóng sẽ được sử dụng hiệu quả để cải thiện chất lượng cuộc sống thông qua các dịch vụ công như y tế và đường xá.</t>
  </si>
  <si>
    <t>Cơ quan thuế đã giải thích rõ ràng về mục tiêu và lý do của việc sửa đổi chính sách thuế, tạo sự minh bạch.</t>
  </si>
  <si>
    <t>Sau khi xem xét giảm trừ gia cảnh cao hơn và quy trình khai báo thuế đơn giản hơn, tôi ủng hộ và sẵn lòng tuân thủ chính sách mới.</t>
  </si>
  <si>
    <t>Với mức giảm trừ gia cảnh cao và thuế suất thấp hơn so với trước đây, tôi thấy mình đóng góp công bằng cho xã hội. Việc này làm tăng niềm tin về sự công bằng của hệ thống</t>
  </si>
  <si>
    <t>Thuế được sử dụng để cải thiện dịch vụ công, nhưng thông tin cụ thể về việc sử dụng nguồn thu thuế còn hạn chế nên tôi không hoàn toàn chắc chắn.</t>
  </si>
  <si>
    <t>Nhà nước đã giải thích một cách tổng quát về mục tiêu của chính sách mới, nhưng chi tiết hơn về cách thực hiện vẫn cần được cung cấp để tăng độ tin tưởng.</t>
  </si>
  <si>
    <t>Sau khi xem xét các quyền lợi và nghĩa vụ, tôi ủng hộ và sẽ tuân thủ chính sách mới. Tuy nhiên, sự phức tạp của quy định vẫn khiến tôi cảm thấy không hoàn toàn hài lòng.</t>
  </si>
  <si>
    <t>Nếu quản lý thuế hiệu quả, việc phát hiện trốn thuế sẽ tăng. Tuy nhiên, với luật mới có nhiều thay đổi, khả năng phát hiện cần thời gian để điều chỉnh và ứng dụng.</t>
  </si>
  <si>
    <t>Nhà nước đã đầu tư vào công nghệ nhằm cải thiện hiệu quả quản lý thuế. Tuy nhiên, với sự phức tạp của luật mới, việc áp dụng có thể gặp khó khăn.</t>
  </si>
  <si>
    <t>So với trước đây, quy trình khai báo và làm việc với cơ quan thuế đã đơn giản hóa đáng kể. Điều này giúp tôi thuận tiện hơn trong việc thực hiện nghĩa vụ thuế.</t>
  </si>
  <si>
    <t>Biểu thuế mới có ít bậc hơn, dễ hiểu và thực hiện nhanh chóng hơn so với trước đây. Điều này làm cho quá trình tính toán thuế trở nên thuận lợi hơn.</t>
  </si>
  <si>
    <t>Tôi tin rằng nhà nước sẽ công tâm trong việc áp dụng luật mới, nhưng cần thêm thời gian để kiểm chứng thực tế.</t>
  </si>
  <si>
    <t>Với mức thuế giảm đáng kể và các mức thuế suất rõ ràng hơn, tôi thấy là công bằng. Điều này giúp tôi cảm thấy hài lòng về hệ thống thuế mới.</t>
  </si>
  <si>
    <t>Thuế của tôi được sử dụng để cải thiện dịch vụ công, điều này làm tăng niềm tin vào hệ thống thuế mới.</t>
  </si>
  <si>
    <t>Nhà nước đã giải thích rõ ràng về mục tiêu và lý do sửa đổi luật thuế. Điều này giúp tôi hiểu hơn về sự thay đổi.</t>
  </si>
  <si>
    <t>Tổng hợp tất cả các yếu tố, tôi ủng hộ và tuân thủ chính sách mới vì lợi ích cá nhân cũng như đối với xã hội.</t>
  </si>
  <si>
    <t>Dù tôi tin rằng cơ quan thuế có công nghệ để phát hiện trốn thuế, nhưng tôi vẫn lo ngại về khả năng thực thi và kiểm soát của họ.</t>
  </si>
  <si>
    <t>Việc Nhà nước có đủ nguồn lực để quản lý hiệu quả hệ thống thuế là một vấn đề cần xem xét kỹ lưỡng.</t>
  </si>
  <si>
    <t>Quy trình khai báo và làm việc với cơ quan thuế trở nên đơn giản hơn, nhưng tôi vẫn gặp khó khăn khi áp dụng các quy định mới.</t>
  </si>
  <si>
    <t>Biểu thuế được đơn giản hóa, dễ hiểu hơn. Việc giảm bậc thuế từ 7 xuống 5 giúp việc tính toán trở nên thuận tiện hơn.</t>
  </si>
  <si>
    <t>Tôi tin rằng Nhà nước sẽ thực thi chính sách một cách công bằng đối với mọi người nộp thuế, nhưng vẫn có nghi ngờ về khả năng quản lý của họ.</t>
  </si>
  <si>
    <t>Thuế mới giảm so với trước đây nên tôi cảm thấy mức thuế đóng là hợp lý. Tuy nhiên, mức giảm không quá lớn như mong đợi.</t>
  </si>
  <si>
    <t>Tôi tin rằng số tiền thuế đóng sẽ được sử dụng hiệu quả cho các dịch vụ công, nhưng tôi cần xem thêm thông tin cụ thể về cách sử dụng nguồn thu</t>
  </si>
  <si>
    <t>Nhà nước đã giải thích rõ ràng lý do và mục tiêu của việc sửa đổi thuế, điều này làm tăng niềm tin của tôi.</t>
  </si>
  <si>
    <t>Tôi ủng hộ chính sách mới vì nó mang lại lợi ích tài chính cho tôi. Tuy nhiên, tôi vẫn lo ngại về khả năng quản lý của cơ quan thuế và cần xem xét kỹ lưỡng trước khi tuân thủ.</t>
  </si>
  <si>
    <t>Nhà nước và cơ quan thuế có nhiều biện pháp phát hiện hành vi gian lận, trốn thuế, nhưng hiệu quả thực tế vẫn phụ thuộc vào sự cam kết của các bên liên quan.</t>
  </si>
  <si>
    <t>Cơ sở hạ tầng công nghệ thông tin đã phát triển mạnh mẽ, giúp nâng cao khả năng phát hiện và xử lý trốn thuế hiệu quả hơn.</t>
  </si>
  <si>
    <t>Quy trình khai báo thuế đơn giản hơn với số bậc thuế giảm đi và mức giảm trừ gia cảnh tăng lên, làm việc với cơ quan thuế cũng thuận tiện hơn.</t>
  </si>
  <si>
    <t>Cách tính thuế mới rõ ràng và dễ hiểu hơn so với trước đây, giúp người dân nắm bắt và thực hiện nhanh chóng.</t>
  </si>
  <si>
    <t>Tôi tin rằng chính phủ sẽ công tâm trong việc thực thi các quy định về thuế, nhưng vẫn cần thêm thời gian để chứng minh.</t>
  </si>
  <si>
    <t>Mức thuế mới được điều chỉnh phù hợp với thu nhập của tôi và người dân cùng mức độ, nên cảm thấy công bằng.</t>
  </si>
  <si>
    <t>Thuế đóng góp vào các dịch vụ công quan trọng như y tế, giáo dục và hạ tầng, giúp nâng cao chất lượng cuộc sống.</t>
  </si>
  <si>
    <t>Có nhiều thông tin giải thích về mục tiêu cải cách thuế, nhưng tôi hy vọng sẽ có thêm nhiều thông tin chi tiết trong tương lai.</t>
  </si>
  <si>
    <t>Tôi ủng hộ chính sách mới vì lợi ích tài chính và sự đơn giản hóa quy trình khai báo thuế, đồng thời sẽ tuân thủ để đóng góp tích cực cho xã hội.</t>
  </si>
  <si>
    <t>Cơ quan thuế có thể áp dụng công nghệ để theo dõi, nhưng không rõ liệu họ có đủ khả năng hay không.</t>
  </si>
  <si>
    <t>Quy trình đơn giản hơn với mức giảm trừ gia cảnh cao nên thuận tiện cho việc khai báo thuế.</t>
  </si>
  <si>
    <t>Biểu thuế mới rõ ràng và dễ hiểu, nhưng cần thời gian để quen thuộc.</t>
  </si>
  <si>
    <t>Niềm tin vào sự công bằng của cơ quan thuế tăng do mức giảm trừ gia cảnh cao hơn thu nhập.</t>
  </si>
  <si>
    <t>Thuế theo phương án mới hợp lý vì không phải đóng, mặc dù chưa rõ về hiệu quả sử dụng nguồn ngân sách.</t>
  </si>
  <si>
    <t>Tin rằng số thuế đóng sẽ được sử dụng hiệu quả cho dịch vụ công, nhưng cần thời gian để kiểm chứng.</t>
  </si>
  <si>
    <t>Nhìn chung, tôi đồng ý với mục tiêu cải cách vì mục đích rõ ràng và minh bạch.</t>
  </si>
  <si>
    <t>Chấp nhận chính sách mới do thuận tiện và công bằng hơn so với trước đây.</t>
  </si>
  <si>
    <t>Phương án mới đơn giản hóa biểu thuế, tạo sự rõ ràng và dễ hiểu hơn so với trước đây, giảm tải cho người nộp thuế trong việc tính toán.</t>
  </si>
  <si>
    <t>Tôi tin rằng Nhà nước sẽ thực thi chính sách một cách công tâm, nhưng cần thêm thông tin về cách kiểm soát và giám sát hành vi trốn thuế để tăng niềm tin.</t>
  </si>
  <si>
    <t>Lưu ý mức thuế mới giảm đáng kể so với trước đây, tôi thấy phương án mới là hợp lý hơn vì tôi được giảm trừ gia cảnh nhiều hơn và số bậc thuế cũng đơn giản hơn.</t>
  </si>
  <si>
    <t>Thuế tôi đóng sẽ được sử dụng hiệu quả để cải thiện dịch vụ công, nhưng cần thêm thông tin về cách sử dụng nguồn thu này.</t>
  </si>
  <si>
    <t>Tôi thấy Nhà nước đã giải thích rõ ràng về mục tiêu của việc sửa đổi thuế lần này, mặc dù vẫn có một số thắc mắc về khả năng kiểm soát trốn thuế.</t>
  </si>
  <si>
    <t>Sau khi xem xét tác động tài chính và các thay đổi trong biểu thuế, tôi ủng hộ và tuân thủ chính sách mới vì nó công bằng hơn so với trước đây.</t>
  </si>
  <si>
    <t>Các thủ tục khai báo thuế đã được đơn giản hóa, giảm số bước và có nhiều hình thức nộp thuế linh hoạt hơn. Điều này giúp quá trình làm việc với cơ quan thuế trở nên thuận tiện.</t>
  </si>
  <si>
    <t>Biểu thuế mới có ít bậc hơn và mức thuế suất cụ thể, dễ hiểu hơn so với trước đây. Việc giảm số bậc thuế cũng giúp người dân tính toán thu nhập chịu thuế đơn giản hơn.</t>
  </si>
  <si>
    <t>Nhà nước đã thực hiện việc cải cách thuế một cách khách quan và công bằng, đảm bảo không ai bị lợi dụng hoặc bỏ sót. Các mức giảm trừ gia cảnh mới cũng giúp tạo ra sự công bằng.</t>
  </si>
  <si>
    <t>Với thu nhập hiện tại của tôi, mức thuế mới là hợp lý và công bằng. Nó không quá cao so với quy định trước đây.</t>
  </si>
  <si>
    <t>Tôi tin rằng số tiền thuế đóng sẽ được sử dụng hiệu quả cho mục đích phục vụ cộng đồng như cải thiện y tế, giáo dục và giao thông công cộng.</t>
  </si>
  <si>
    <t>Nhà nước đã giải thích rõ ràng về việc cải cách thuế, tuy nhiên có thể cần thêm thông tin chi tiết hơn để người dân hiểu đầy đủ.</t>
  </si>
  <si>
    <t>Tôi ủng hộ và tuân thủ chính sách mới vì nó mang lại lợi ích tài chính cho tôi cũng như tạo ra sự công bằng trong việc đánh thuế. Việc cải cách này giúp giảm gánh nặng về mặt tài chính.</t>
  </si>
  <si>
    <t>Nếu mức giảm trừ gia cảnh đã tăng cao hơn thu nhập của tôi, việc Nhà nước phải kiểm tra cụ thể đến từng người có thể không cần thiết.</t>
  </si>
  <si>
    <t>Tăng mức giảm trừ gia cảnh và đơn giản hóa biểu thuế có thể làm giảm khả năng phát hiện hành vi trốn thuế.</t>
  </si>
  <si>
    <t>Quy trình khai báo thuế trở nên dễ dàng hơn khi không cần nhiều thông tin rườm rà như trước, nhưng vẫn còn khó khăn với người không am hiểu về thuế.</t>
  </si>
  <si>
    <t>Biểu thuế đơn giản hóa, bậc thuế ít đi giúp việc tính toán và nộp thuế dễ dàng hơn so với trước đây.</t>
  </si>
  <si>
    <t>Nhà nước đã nâng mức giảm trừ gia cảnh, tôi cảm thấy chính sách mới là công bằng đối với người như tôi.</t>
  </si>
  <si>
    <t>Với mức thu nhập thấp và không phụ thuộc vào nhiều nguồn thu, tôi cho rằng mức thuế này là hợp lý.</t>
  </si>
  <si>
    <t>Tôi tin số tiền thuế tôi đóng sẽ được sử dụng hiệu quả để cải thiện các dịch vụ công.</t>
  </si>
  <si>
    <t>Chính phủ đã giải thích rõ ràng về chính sách mới, nhưng vẫn cần thêm thông tin về cách sử dụng nguồn thu ngân sách.</t>
  </si>
  <si>
    <t>Nhờ mức giảm trừ gia cảnh cao và biểu thuế đơn giản hóa, tôi đồng ý và sẽ tuân thủ chính sách mới.</t>
  </si>
  <si>
    <t>Nhờ mức giảm trừ gia cảnh cao, thủ tục khai báo trở nên dễ dàng hơn so với trước đây.</t>
  </si>
  <si>
    <t>Biểu thuế đơn giản hóa giúp tôi hiểu rõ hơn về quy trình tính thuế.</t>
  </si>
  <si>
    <t>Tôi tin rằng nhà nước sẽ công bằng trong việc thực thi chính sách, nhất là khi mức giảm trừ gia cảnh cao đã giải quyết vấn đề của tôi.</t>
  </si>
  <si>
    <t>Với thu nhập và số người phụ thuộc như hiện tại, tôi cảm thấy mức thuế mới này rất hợp lý.</t>
  </si>
  <si>
    <t>Những khoản thuế đóng góp vào việc cải thiện dịch vụ công, đặc biệt là y tế và giao thông.</t>
  </si>
  <si>
    <t>Chính phủ đã công bố chi tiết về mục tiêu cải cách, giúp tôi hiểu rõ hơn.</t>
  </si>
  <si>
    <t>Dù có một số lo ngại nhưng sau khi xem xét kỹ, tôi vẫn ủng hộ và tuân thủ chính sách mới.</t>
  </si>
  <si>
    <t>Dựa trên các cải tiến về công nghệ và quản lý thuế, tôi tin rằng hành vi gian lận hoặc trốn thuế sẽ khó xảy ra. Cơ quan thuế có nhiều nguồn lực để phát hiện và xử phạt những hành vi bất hợp pháp.</t>
  </si>
  <si>
    <t>Nhà nước đã đầu tư vào công nghệ thông tin, giúp việc quản lý và phát hiện trốn thuế trở nên dễ dàng hơn. Công nghệ này không chỉ giúp tăng cường giám sát mà còn giảm bớt gánh nặng cho người dân.</t>
  </si>
  <si>
    <t>So với trước đây, quy trình khai báo thuế đã đơn giản hơn nhiều. Tôi thấy các thủ tục nay dễ dàng và thuận tiện hơn rất nhiều, đặc biệt là việc sử dụng công nghệ để thực hiện các giao dịch trực tuyến.</t>
  </si>
  <si>
    <t>Cách tính thuế mới đã đơn giản hóa đáng kể so với trước đây. Các bậc thuế giảm từ 7 xuống còn 5, và mức giảm trừ gia cảnh cũng tăng lên, giúp việc tính toán thuế trở nên dễ dàng hơn.</t>
  </si>
  <si>
    <t>Tôi tin rằng cơ quan thuế sẽ thực thi chính sách một cách công bằng và khách quan. Các biện pháp mới nhằm đảm bảo rằng mọi người nộp thuế được đối xử bình đẳng.</t>
  </si>
  <si>
    <t>Mức thuế tôi phải đóng theo phương án mới là hợp lý, đặc biệt với mức giảm trừ gia cảnh tăng lên. Điều này làm cho việc đóng thuế trở nên công bằng hơn so với trước đây.</t>
  </si>
  <si>
    <t>Tôi tin rằng số tiền thuế tôi đóng sẽ được sử dụng hiệu quả để cải thiện dịch vụ công, đặc biệt là y tế và hạ tầng cơ sở. Việc tăng mức giảm trừ gia cảnh cũng giúp giảm gánh nặng tài chính cho người dân.</t>
  </si>
  <si>
    <t>Nhà nước đã giải thích rất rõ về mục tiêu và lý do của việc sửa đổi thuế này, từ đó tạo niềm tin rằng họ đang thực hiện các thay đổi vì lợi ích tốt nhất của công chúng.</t>
  </si>
  <si>
    <t>Tôi ủng hộ chính sách mới vì nó không chỉ đơn giản hóa quy trình khai báo thuế mà còn giúp tôi tiết kiệm được một khoản tiền đáng kể. Điều này đồng thời cũng tạo ra niềm tin rằng việc đóng thuế sẽ mang lại lợi ích thực tế cho người dân.</t>
  </si>
  <si>
    <t>Những quy định quản lý thuế hiện nay cần nhiều cải tiến, nhưng với việc tăng mức giảm trừ gia cảnh và đơn giản hóa biểu thuế, khả năng phát hiện hành vi gian lận trở nên dễ dàng hơn. Tuy nhiên, vẫn còn những điểm chưa rõ ràng về sự tuân thủ.</t>
  </si>
  <si>
    <t>Như ENF1, mặc dù khả năng phát hiện và xử lý nghiêm các hành vi trốn thuế đã cải thiện, nhưng cơ quan thuế cần nhiều hơn nữa để đảm bảo công bằng trong thực thi luật.</t>
  </si>
  <si>
    <t>Các thủ tục khai báo thuế trở nên đơn giản và tiện lợi hơn so với trước đây. Điều này giúp người dân dễ dàng thực hiện đúng các quy định của pháp luật về thuế.</t>
  </si>
  <si>
    <t>Biểu thuế mới có ít bậc hơn, khiến việc tính toán thuế trở nên dễ dàng và rõ ràng hơn. Người dân dễ dàng hiểu và áp dụng.</t>
  </si>
  <si>
    <t>Tôi tin rằng Nhà nước sẽ thực thi chính sách một cách khách quan và công bằng, nhưng cần thêm minh bạch trong quá trình quản lý để tăng niềm tin.</t>
  </si>
  <si>
    <t>Theo phương án mới, tôi đóng thuế ít hơn so với trước đây. Mức giảm trừ gia cảnh cao hơn và số bậc thuế đơn giản hơn giúp tôi cảm thấy mức thuế này là công bằng.</t>
  </si>
  <si>
    <t>Thuế được sử dụng để cải thiện các dịch vụ công, điều này giúp nâng cao chất lượng cuộc sống của người dân. Tuy nhiên, cần có báo cáo chi tiết về việc sử dụng số tiền thuế.</t>
  </si>
  <si>
    <t>Nhà nước đã giải thích rõ ràng về lý do và mục tiêu của việc sửa đổi thuế lần này. Điều này giúp tôi hiểu được giá trị của chính sách mới đối với xã hội.</t>
  </si>
  <si>
    <t>Dựa trên các lợi ích từ phương án mới, tôi ủng hộ và tuân thủ chính sách mới hiện nay. Mặc dù vậy, cần có sự minh bạch hơn nữa để tăng niềm tin vào việc thực thi chính sách.</t>
  </si>
  <si>
    <t>Cơ quan thuế với sự hỗ trợ của công nghệ đã có khả năng kiểm soát và xử lý nghiêm các hành vi trốn thuế tốt hơn. Tuy nhiên, vẫn cần cải thiện nhiều hơn nữa về độ chính xác trong quản lý.</t>
  </si>
  <si>
    <t>Quy trình khai báo thuế và làm việc với cơ quan thuế trở nên đơn giản và nhanh chóng hơn. Sử dụng phần mềm điện tử giúp người dân tiết kiệm thời gian.</t>
  </si>
  <si>
    <t>Bậc thuế được giảm từ 7 xuống 5, việc tính toán thuế trở nên dễ dàng, rõ ràng hơn so với trước đây. Điều này giúp mọi người hiểu và thực hiện chính sách thuế một cách thuận tiện.</t>
  </si>
  <si>
    <t>Nhà nước đã công bố quyết định sửa đổi Luật Thuế TNCN theo hướng khách quan, minh bạch. Các quy định mới giúp giảm gánh nặng về thuế cho người dân như tôi.</t>
  </si>
  <si>
    <t>Theo phương án mới, mức thuế mà tôi đóng là hợp lý. Thu nhập của tôi thuộc bậc thuế thấp nhất nên chỉ đóng với thuế suất 5%, đây được xem là mức thuế công bằng.</t>
  </si>
  <si>
    <t>Với việc giảm trừ gia cảnh lớn hơn, tôi tin rằng số tiền thuế mà Nhà nước thu được sẽ được sử dụng hiệu quả để cải thiện các dịch vụ công cho người dân như y tế và giao thông.</t>
  </si>
  <si>
    <t>Nhà nước đã giải thích rõ ràng về mục tiêu của việc sửa đổi thuế, nhưng cần làm rõ hơn về cách sử dụng số tiền thu được từ thuế để tăng thêm sự tin tưởng của người dân.</t>
  </si>
  <si>
    <t>Tôi ủng hộ chính sách mới này vì nó giúp giảm gánh nặng về thuế cho người dân như tôi. Thu nhập của tôi không cao nên việc giảm trừ gia cảnh lớn hơn đã giúp tôi tiết kiệm được nhiều tiền.</t>
  </si>
  <si>
    <t>Tôi đồng ý, với mức giảm trừ gia cảnh tăng lên và quy định đơn giản hơn, việc phát hiện hành vi gian lận hoặc trốn thuế sẽ dễ dàng hơn.</t>
  </si>
  <si>
    <t>Cơ quan thuế có đủ khả năng và công nghệ để phát hiện và xử lý các hành vi trốn thuế, do đó tôi đồng ý với điểm này.</t>
  </si>
  <si>
    <t>Quy trình khai báo thuế trở nên đơn giản hơn với mức giảm trừ gia cảnh cao hơn, điều này làm cho thủ tục thuận tiện và nhanh chóng hơn.</t>
  </si>
  <si>
    <t>Phương án mới đơn giản hóa biểu thuế từ 7 bậc xuống 5 bậc, giúp việc tính thuế dễ hiểu và thực hiện hơn so với trước đây.</t>
  </si>
  <si>
    <t>Việc Nhà nước tăng mức giảm trừ gia cảnh cho bản thân và người phụ thuộc làm tôi cảm thấy công bằng trong cách áp dụng chính sách.</t>
  </si>
  <si>
    <t>Nhìn chung, mức thuế mới phù hợp với thu nhập của tôi, do đó tôi tin rằng nó là công bằng.</t>
  </si>
  <si>
    <t>Thuế đóng góp vào việc cải thiện dịch vụ công như y tế và cơ sở hạ tầng, điều này làm tăng niềm tin của tôi về cách sử dụng số tiền thuế.</t>
  </si>
  <si>
    <t>Nhà nước đã giải thích rõ ràng về mục tiêu và lý do của việc sửa đổi thuế lần này, điều này làm tăng tính minh bạch và khiến tôi tin tưởng hơn.</t>
  </si>
  <si>
    <t>Chính sách mới phù hợp với thu nhập của tôi và giảm gánh nặng về mặt tài chính, do đó tôi ủng hộ và sẽ tuân thủ.</t>
  </si>
  <si>
    <t>Nhìn chung, tôi tin rằng với sự phát triển của công nghệ hiện nay, cơ quan thuế có khả năng giám sát và xử lý nghiêm túc các hành vi trốn thuế. Tuy nhiên, việc thực thi vẫn phụ thuộc vào hiệu quả quản lý và nguồn lực.</t>
  </si>
  <si>
    <t>Tôi tin rằng Nhà nước và cơ quan thuế sẽ có đủ khả năng để phát hiện và xử lý nghiêm các hành vi trốn thuế với sự hỗ trợ của công nghệ. Điều này tạo ra một môi trường kinh doanh minh bạch hơn.</t>
  </si>
  <si>
    <t>So với trước đây, quy trình khai báo thuế và giao tiếp với cơ quan thuế đơn giản hơn nhiều. Điều này giúp tiết kiệm thời gian và công sức cho người dân.</t>
  </si>
  <si>
    <t>Các bậc thuế mới được đơn giản hóa, dễ hiểu hơn. Việc giảm trừ gia cảnh cao lên giúp việc tính thuế trở nên dễ dàng hơn.</t>
  </si>
  <si>
    <t>Tôi tin rằng Nhà nước sẽ thực thi chính sách một cách công bằng và khách quan. Sự đơn giản hóa quy trình và mức giảm trừ gia cảnh cao là dấu hiệu cho thấy sự công bằng trong việc áp dụng thuế.</t>
  </si>
  <si>
    <t>Với thu nhập của mình, tôi thấy mức thuế mới được tính toán hợp lý. Mức giảm trừ gia cảnh cao và số bậc thuế ít hơn giúp tôi không phải đóng quá nhiều thuế.</t>
  </si>
  <si>
    <t>Tôi tin rằng số tiền thuế mà tôi đóng sẽ được sử dụng hiệu quả để cải thiện dịch vụ công. Việc giảm trừ gia cảnh cao và đơn giản hóa quy trình làm cho tôi cảm thấy như mình đang góp phần vào việc xây dựng một xã hội tốt hơn.</t>
  </si>
  <si>
    <t>Nhà nước đã giải thích rõ ràng về lý do và mục tiêu của việc sửa đổi thuế. Các thông tin được cung cấp giúp tôi hiểu rõ hơn về chính sách mới.</t>
  </si>
  <si>
    <t>Tôi ủng hộ và tuân thủ chính sách mới vì nó đơn giản hóa quy trình, giảm gánh nặng về thuế cho người dân và tạo ra một môi trường kinh doanh công bằng.</t>
  </si>
  <si>
    <t>Trong thực tế, các cơ quan thuế đã có nhiều biện pháp quản lý và xử lý nghiêm minh về gian lận thuế. Với sự hỗ trợ của công nghệ, khả năng phát hiện vi phạm ngày càng cao.</t>
  </si>
  <si>
    <t>Nhà nước luôn chú trọng nâng cao hiệu quả quản lý, có đủ nguồn lực và công nghệ để giám sát các hành vi trốn thuế. Điều này tạo niềm tin cho người dân về sự minh bạch.</t>
  </si>
  <si>
    <t>Quy trình khai báo thuế đã đơn giản hơn, thủ tục trở nên nhanh chóng và thuận tiện hơn nhiều so với trước đây. Đây là một cải tiến lớn đối với người dân.</t>
  </si>
  <si>
    <t>Biểu thuế mới có số bậc ít hơn và dễ hiểu hơn, giúp người dân không còn cảm thấy bị rối rắm về cách tính thuế.</t>
  </si>
  <si>
    <t>Nhà nước đã công bố rõ ràng mục tiêu cải cách, tôi tin rằng họ sẽ thực hiện chính sách một cách khách quan và công bằng.</t>
  </si>
  <si>
    <t>Thuế mới có mức giảm trừ gia cảnh tăng lên, phù hợp với thu nhập của tôi. Đây là điều tôi thấy công bằng.</t>
  </si>
  <si>
    <t>Số tiền thuế tôi đóng sẽ được sử dụng hiệu quả để cải thiện dịch vụ công, tạo ra một môi trường tốt hơn cho cộng đồng.</t>
  </si>
  <si>
    <t>Nhà nước đã giải thích rõ ràng về mục tiêu và ý nghĩa của việc sửa đổi thuế. Điều này tăng sự tin tưởng của tôi vào chính sách mới.</t>
  </si>
  <si>
    <t>Tôi ủng hộ chính sách mới vì nó có lợi cho người dân như tôi, đồng thời tạo ra một môi trường giao dịch công bằng và minh bạch.</t>
  </si>
  <si>
    <t>Quy trình làm việc với cơ quan thuế đơn giản hơn trước, nhưng vẫn còn nhiều thủ tục phức tạp cần cải thiện.</t>
  </si>
  <si>
    <t>Biểu thuế mới có ít bậc hơn và dễ hiểu, giúp tính toán nhanh chóng hơn so với trước đây.</t>
  </si>
  <si>
    <t>Tôi tin Nhà nước sẽ thực thi chính sách một cách công bằng vì mức thuế không thay đổi đối với tôi.</t>
  </si>
  <si>
    <t>Mức giảm trừ gia cảnh cao hơn giúp tôi không phải đóng thuế, nên tôi cảm thấy công bằng.</t>
  </si>
  <si>
    <t>Tuy mức thuế không thay đổi nhưng số tiền này sẽ được sử dụng hiệu quả cho dịch vụ công.</t>
  </si>
  <si>
    <t>Chính phủ đã giải thích về mục tiêu của việc sửa đổi thuế, mặc dù tôi vẫn nghi ngờ về độ minh bạch.</t>
  </si>
  <si>
    <t>Tôi ủng hộ chính sách mới vì mức thuế không thay đổi và giảm trừ gia cảnh cao hơn giúp tôi không phải đóng thuế.</t>
  </si>
  <si>
    <t>Dù quy định quản lý thuế ngày càng chặt chẽ, nhưng với việc giảm trừ gia cảnh và bậc thuế đơn giản hơn, khả năng phát hiện hành vi gian lận hoặc trốn thuế có thể giảm đi.</t>
  </si>
  <si>
    <t>Nhà nước đã đầu tư nhiều vào công nghệ để quản lý thuế, nhưng với việc giảm trừ gia cảnh và bậc thuế đơn giản hơn, khả năng phát hiện các hành vi bất thường có thể không còn hiệu quả như trước.</t>
  </si>
  <si>
    <t>Thủ tục khai báo thuế trở nên đơn giản hơn với mức giảm trừ gia cảnh cao và số bậc thuế ít hơn, giúp việc làm việc với cơ quan thuế nhanh chóng hơn.</t>
  </si>
  <si>
    <t>Cách tính thuế và các bậc thuế mới dễ hiểu và thực hiện đơn giản hơn so với trước đây, giảm đi sự phức tạp.</t>
  </si>
  <si>
    <t>Tôi tin rằng Nhà nước sẽ thực thi chính sách một cách công bằng, nhưng việc giảm trừ gia cảnh cao có thể tạo ra sự nghi ngờ về tính công bằng giữa các đối tượng khác nhau.</t>
  </si>
  <si>
    <t>Mức thuế mới phù hợp với thu nhập của tôi và giảm trừ gia cảnh cao làm cho mức thuế này trở nên công bằng hơn so với trước đây.</t>
  </si>
  <si>
    <t>Thuế đóng góp vào việc cải thiện dịch vụ công, nhưng tôi nghi ngờ về hiệu quả sử dụng nguồn lực này.</t>
  </si>
  <si>
    <t>Nhà nước đã giải thích rõ ràng về mục tiêu của việc sửa đổi thuế, nhưng tôi vẫn cần thêm thông tin về cách sử dụng nguồn thu thuế.</t>
  </si>
  <si>
    <t>Tôi ủng hộ chính sách mới vì nó giúp giảm gánh nặng tài chính cho người dân và thủ tục làm việc với cơ quan thuế đơn giản hơn.</t>
  </si>
  <si>
    <t>Mức thuế mới cho phép tôi đóng thuế ít hơn, phù hợp với thu nhập hiện tại. Điều này khiến tôi cảm thấy thuế được áp dụng công bằng.</t>
  </si>
  <si>
    <t>Tiền thuế đóng góp vào các dịch vụ công như y tế và giao thông, giúp cải thiện chất lượng cuộc sống.</t>
  </si>
  <si>
    <t>Mặc dù giải thích về chính sách mới không đầy đủ nhưng tôi thấy cơ quan thuế đã cố gắng minh bạch hơn so với trước đây.</t>
  </si>
  <si>
    <t>Tôi ủng hộ và tuân thủ chính sách mới vì nó mang lại lợi ích cho người dân và giảm gánh nặng về mặt tài chính.</t>
  </si>
  <si>
    <t>Dù quy định quản lý thuế hiện nay đã cải thiện, nhưng tôi vẫn nghi ngờ khả năng phát hiện trốn thuế của cơ quan thuế. Việc xử lý nghiêm các hành vi gian lận hay trốn thuế phụ thuộc nhiều vào hiệu suất thực tế của họ.</t>
  </si>
  <si>
    <t>Nhà nước và cơ quan thuế đã có sự đầu tư về công nghệ, tuy nhiên tôi vẫn lo ngại về khả năng triển khai và ứng dụng công nghệ một cách hiệu quả. Việc xử lý nghiêm cũng cần phụ thuộc vào chính sách quản lý.</t>
  </si>
  <si>
    <t>So với trước đây, quy trình làm việc với cơ quan thuế đã đơn giản hơn nhiều. Tuy nhiên, việc khai báo thuế vẫn còn phức tạp và đôi khi gây khó khăn cho người dân.</t>
  </si>
  <si>
    <t>Biểu thuế mới có ít bậc hơn nên dễ hiểu hơn. Việc tính toán thuế cũng đơn giản đi nhiều so với trước đây, giúp tôi chủ động trong việc quản lý tài chính của mình.</t>
  </si>
  <si>
    <t>Tôi tin rằng Nhà nước và cơ quan thuế sẽ thực thi chính sách một cách công bằng, nhưng vẫn cần thêm thời gian để chứng minh. Việc cải cách thuế mới giúp tôi cảm thấy công bằng hơn.</t>
  </si>
  <si>
    <t>Nhìn chung mức thuế mới là hợp lý với thu nhập của tôi. Mức giảm trừ gia cảnh và số bậc thuế ít hơn giúp tôi tiết kiệm được nhiều chi phí</t>
  </si>
  <si>
    <t>Tiền thuế mà tôi đóng sẽ được sử dụng vào các dịch vụ công, như y tế và giao thông. Tuy nhiên, tôi vẫn mong muốn có thêm thông tin cụ thể về cách sử dụng số tiền này.</t>
  </si>
  <si>
    <t>Nhà nước đã giải thích rõ ràng về mục tiêu cải cách thuế mới. Việc này tăng cường niềm tin của tôi vào quyết định này</t>
  </si>
  <si>
    <t>Sau khi xem xét các quyền lợi và nghĩa vụ, tôi ủng hộ chính sách mới. Nó giúp tôi tiết kiệm được chi phí và giảm bớt sự phức tạp trong việc khai báo thuế.</t>
  </si>
  <si>
    <t>Nguyên tắc quản lý thuế hiện tại vẫn được duy trì, nhưng với mức giảm trừ gia cảnh tăng cao hơn, việc phát hiện gian lận hoặc trốn thuế có thể trở nên khó khăn hơn.</t>
  </si>
  <si>
    <t>Cơ quan thuế có khả năng và công nghệ để giám sát, nhưng với mức giảm trừ gia cảnh cao hơn, việc phát hiện gian lận vẫn là thách thức.</t>
  </si>
  <si>
    <t>Quy trình khai báo thuế đơn giản hóa, không còn nhiều bước phức tạp như trước đây. Các quy định về giảm trừ gia cảnh rõ ràng hơn và dễ hiểu hơn.</t>
  </si>
  <si>
    <t>Các bậc thuế mới được đơn giản hóa, dễ hiểu và thực hiện thuận tiện hơn so với trước đây. Việc tính toán thuế trở nên nhanh chóng và chính xác hơn.</t>
  </si>
  <si>
    <t>Tôi tin rằng Nhà nước sẽ công tâm trong việc quản lý thuế mới, nhưng việc kiểm soát gian lận vẫn là vấn đề cần giải quyết.</t>
  </si>
  <si>
    <t>Theo phương án mới, mức thuế tôi phải đóng là hợp lý và công bằng. Mức giảm trừ gia cảnh tăng cao giúp giảm gánh nặng thuế cho tôi.</t>
  </si>
  <si>
    <t>Số tiền thuế tôi đóng sẽ được sử dụng hiệu quả để cải thiện dịch vụ công, như y tế và đường xá. Điều này tạo niềm tin vào việc chi tiêu ngân sách của Nhà nước.</t>
  </si>
  <si>
    <t>Nhà nước đã giải thích rõ ràng về mục đích và lý do của việc sửa đổi thuế lần này, nhưng vẫn cần cải thiện hơn nữa trong việc truyền thông cho người dân.</t>
  </si>
  <si>
    <t>Tôi ủng hộ chính sách mới vì nó giúp giảm gánh nặng thuế cho tôi và gia đình. Tuy nhiên, việc kiểm soát gian lận và trốn thuế vẫn là vấn đề cần giải quyết.</t>
  </si>
  <si>
    <t>Cơ quan thuế có thể phát hiện hành vi gian lận nhưng không chắc chắn cao về xử lý nghiêm.</t>
  </si>
  <si>
    <t>Nhà nước và cơ quan thuế đã đầu tư công nghệ để phát hiện, xử lý trốn thuế.</t>
  </si>
  <si>
    <t>Quy trình khai thuế đơn giản hơn trước nhưng vẫn còn phức tạp đối với người không am hiểu về thuế.</t>
  </si>
  <si>
    <t>Biểu thuế mới đơn giản, dễ hiểu và thực hiện dễ dàng hơn so với trước đây.</t>
  </si>
  <si>
    <t>Niềm tin vào sự công bằng trong việc thực thi chính sách thuế còn hạn chế do thiếu minh bạch.</t>
  </si>
  <si>
    <t>Thuế mới có thể hợp lý nhưng chưa chắc chắn cao về tính công bằng cho mọi đối tượng.</t>
  </si>
  <si>
    <t>Số tiền thuế đóng sẽ được sử dụng hiệu quả để cải thiện các dịch vụ công, nhưng còn phụ thuộc vào sự thực hiện.</t>
  </si>
  <si>
    <t>Nhà nước đã giải thích rõ ràng về mục tiêu và lý do sửa đổi chính sách thuế.</t>
  </si>
  <si>
    <t>Chính sách mới mang lại lợi ích tài chính nhưng cần cải thiện trong việc minh bạch và công bằng.</t>
  </si>
  <si>
    <t>Dù không hoàn toàn tin tưởng, nhưng các quy định quản lý thuế mới có thể giúp giảm hành vi trốn thuế. Cơ quan thuế đã cải thiện khả năng phát hiện thông qua công nghệ.</t>
  </si>
  <si>
    <t>Nhà nước và cơ quan thuế có nhiều nguồn lực hơn để giám sát, xử lý các vấn đề về thuế do công nghệ được nâng cấp.</t>
  </si>
  <si>
    <t>Quy trình làm việc với cơ quan thuế trở nên đơn giản hơn, thủ tục khai báo thuế thuận lợi hơn so với trước đây.</t>
  </si>
  <si>
    <t>Biểu thuế mới có ít bậc hơn và dễ hiểu hơn, giúp tôi tính toán nhanh chóng và chính xác hơn.</t>
  </si>
  <si>
    <t>Tôi tin Nhà nước sẽ thực thi các quy định một cách công bằng, nhưng vẫn cần thêm thời gian để kiểm chứng.</t>
  </si>
  <si>
    <t>Mức thuế mới có thể hợp lý với thu nhập của tôi. Tuy nhiên, mức giảm trừ gia cảnh cao hơn tạo sự công bằng hơn cho người lao động.</t>
  </si>
  <si>
    <t>Nhà nước cần sử dụng nguồn thu thuế hiệu quả để cải thiện các dịch vụ công. Tôi hy vọng sẽ thấy kết quả trong tương lai.</t>
  </si>
  <si>
    <t>Tôi đồng ý với việc giải thích của Nhà nước về mục tiêu và lý do sửa đổi thuế, nhưng vẫn cần thêm thông tin chi tiết hơn.</t>
  </si>
  <si>
    <t>Phương án mới mang lại lợi ích cho tôi. Tôi sẽ tuân thủ chính sách mới để tận dụng ưu đãi từ Nhà nước.</t>
  </si>
  <si>
    <t>Dựa trên thông tin, không có nhiều biện pháp cụ thể được nêu ra về việc phát hiện và xử lý gian lận thuế. Điều này khiến tôi nghi ngờ khả năng thực thi quản lý thuế.</t>
  </si>
  <si>
    <t>Khả năng của cơ quan thuế trong việc sử dụng công nghệ để phát hiện trốn thuế chưa được đề cập cụ thể, nên tôi không hoàn toàn tin tưởng.</t>
  </si>
  <si>
    <t>Quy trình khai báo thuế và giao tiếp với cơ quan thuế đã đơn giản hơn, tuy nhiên vẫn còn nhiều thủ tục cần cải tiến.</t>
  </si>
  <si>
    <t>Biểu thuế mới đơn giản hóa nhiều, nhưng việc tính toán cụ thể cho từng mức thu nhập chưa thật sự dễ dàng.</t>
  </si>
  <si>
    <t>Tôi tin rằng các cơ quan thuế sẽ cố gắng thực thi công bằng, nhưng cần thêm minh bạch hơn về cách thực hiện để tăng niềm tin.</t>
  </si>
  <si>
    <t>Như đã đề cập trước đây, mức thuế mới phù hợp với thu nhập của tôi. Điều này làm tăng cảm giác công bằng cho tôi.</t>
  </si>
  <si>
    <t>Sau khi xem xét tác động tài chính và các quyền lợi mới, tôi tin rằng thuế đóng góp sẽ được sử dụng hiệu quả.</t>
  </si>
  <si>
    <t>Nhìn chung, Nhà nước đã giải thích về mục tiêu cải cách rõ ràng, tuy nhiên còn thiếu minh bạch về chi tiết thực hiện.</t>
  </si>
  <si>
    <t>Tôi ủng hộ và sẽ tuân thủ chính sách mới, vì nó giúp tôi tiết kiệm được một khoản tiền đáng kể và đơn giản hóa quy trình nộp thuế.</t>
  </si>
  <si>
    <t>Dù thuế giảm, tôi vẫn nghi ngờ khả năng phát hiện gian lận của cơ quan thuế.</t>
  </si>
  <si>
    <t>Tôi tin công nghệ ngày càng phát triển sẽ giúp phát hiện trốn thuế hiệu quả hơn.</t>
  </si>
  <si>
    <t>Quy trình làm việc với cơ quan thuế đơn giản, tiện lợi hơn so với trước đây.</t>
  </si>
  <si>
    <t>Bậc thuế ít đi nhưng vẫn phức tạp vì cần tính toán nhiều.</t>
  </si>
  <si>
    <t>Tôi tin tưởng cơ quan thuế sẽ thực hiện công bằng, khách quan.</t>
  </si>
  <si>
    <t>Thuế tôi đóng phù hợp với thu nhập của mình và giảm trừ gia cảnh tăng nên thấy công bằng hơn.</t>
  </si>
  <si>
    <t>Tiền thuế tôi đóng sẽ được sử dụng hiệu quả cho các dịch vụ công</t>
  </si>
  <si>
    <t>Nhà nước đã giải thích rõ mục tiêu cải cách thuế, mặc dù có thể còn thiếu thông tin.</t>
  </si>
  <si>
    <t>Dù giảm trừ gia cảnh tăng nhưng vẫn phải đóng một khoản thuế nên ủng hộ chính sách mới</t>
  </si>
  <si>
    <t>Nhà nước và cơ quan thuế đã có nhiều biện pháp quản lý mạnh mẽ, tuy nhiên vẫn cần nâng cao công nghệ để phát hiện gian lận.</t>
  </si>
  <si>
    <t>Cơ quan thuế có đủ khả năng và công nghệ để phát hiện trốn thuế, với việc tăng cường sử dụng công nghệ sẽ làm giảm tình trạng gian lận.</t>
  </si>
  <si>
    <t>Hình thức khai báo thuế và quy trình làm việc với cơ quan thuế dễ dàng hơn so với trước đây, nhưng vẫn cần cải thiện thêm về độ tự động hóa.</t>
  </si>
  <si>
    <t>Biểu thuế mới đơn giản hơn so với trước đây, giúp việc tính toán và thực hiện thuận lợi hơn, tuy nhiên còn một số điểm phức tạp khi áp dụng vào thực tế.</t>
  </si>
  <si>
    <t>Tôi tin rằng Nhà nước sẽ thực thi chính sách một cách công tâm, nhưng cần tăng cường minh bạch thông tin để nâng cao niềm tin của người dân.</t>
  </si>
  <si>
    <t>Mức thuế mới được xem xét kỹ lưỡng và phù hợp với thu nhập của tôi, tạo cảm giác công bằng trong việc đóng góp cho xã hội.</t>
  </si>
  <si>
    <t>Tôi tin rằng số tiền thuế đóng sẽ được sử dụng hiệu quả để cải thiện các dịch vụ công, nhưng cần có thêm thông tin về cách sử dụng số tiền này.</t>
  </si>
  <si>
    <t>Nhà nước đã giải thích rõ ràng về mục tiêu và lý do của việc sửa đổi thuế, tuy nhiên vẫn cần cải thiện trong việc truyền đạt thông tin đến người dân.</t>
  </si>
  <si>
    <t>Tôi ủng hộ chính sách mới vì nó mang lại nhiều lợi ích về mặt tài chính và công bằng, đồng thời tôi sẽ tuân thủ để đóng góp tích cực cho xã hội.</t>
  </si>
  <si>
    <t>Nước ta có hệ thống quản lý thuế ngày càng chặt chẽ, việc trốn thuế khó lường hơn, nhưng vẫn phụ thuộc vào sự tuân thủ của người dân và quy định cụ thể.</t>
  </si>
  <si>
    <t>Cơ quan thuế đang đầu tư nhiều vào công nghệ để nâng cao khả năng phát hiện hành vi trốn thuế, tuy nhiên vẫn cần thêm thời gian để hoàn thiện.</t>
  </si>
  <si>
    <t>So với trước đây, quy trình khai báo và làm việc với cơ quan thuế trở nên đơn giản hơn, tiết kiệm thời gian và công sức.</t>
  </si>
  <si>
    <t>Biểu thuế mới có ít bậc hơn, dễ dàng tính toán và thực hiện hơn so với trước đây.</t>
  </si>
  <si>
    <t>Nhà nước đã công bố rõ ràng về chính sách thuế mới, tuy nhiên vẫn cần thêm sự minh bạch về cách áp dụng cụ thể.</t>
  </si>
  <si>
    <t>Thuế mới giảm đáng kể so với trước đây, tôi thấy điều này hợp lý cho thu nhập của mình.</t>
  </si>
  <si>
    <t>Thuốc được sử dụng hiệu quả để cải thiện hạ tầng và dịch vụ công sẽ góp phần nâng cao chất lượng cuộc sống.</t>
  </si>
  <si>
    <t>Nhà nước đã giải thích rõ ràng về mục tiêu của việc sửa đổi thuế, tuy nhiên cần thêm thông tin chi tiết về quy trình thực hiện.</t>
  </si>
  <si>
    <t>Tôi ủng hộ và tuân thủ chính sách mới vì nó có lợi cho tôi, giảm gánh nặng tài chính.</t>
  </si>
  <si>
    <t>Nhà nước đã thực hiện nhiều biện pháp quản lý thuế, nhưng vẫn có nguy cơ gian lận do chưa đủ công nghệ hiện đại.</t>
  </si>
  <si>
    <t>Việc áp dụng công nghệ trong quản lý thuế đang được cải thiện, tuy nhiên khả năng phát hiện trốn thuế còn hạn chế so với mong đợi.</t>
  </si>
  <si>
    <t>Quy trình khai báo thuế dễ dàng hơn, thời gian chờ xử lý giảm đi, nhưng vẫn có thể gặp khó khăn khi cần hỗ trợ từ cơ quan thuế.</t>
  </si>
  <si>
    <t>Biểu thuế đơn giản hơn, dễ hiểu và thực hiện thuận tiện, đặc biệt với mức giảm trừ gia cảnh mới.</t>
  </si>
  <si>
    <t>Tôi tin rằng cơ quan thuế sẽ cố gắng công bằng trong việc thực thi chính sách mới, nhưng cần thêm thời gian để chứng minh.</t>
  </si>
  <si>
    <t>Mức thuế giảm đáng kể, tôi thấy hợp lý với thu nhập hiện tại và số người phụ thuộc.</t>
  </si>
  <si>
    <t>Tiền thuế sẽ được sử dụng hiệu quả cho các dịch vụ công, nhưng cần thêm thông tin về chi tiêu cụ thể từ ngân sách nhà nước.</t>
  </si>
  <si>
    <t>Nhà nước đã giải thích rõ ràng về mục đích của việc sửa đổi thuế, tuy nhiên tôi mong muốn có thêm thông tin về hiệu quả của chính sách mới.</t>
  </si>
  <si>
    <t>Tôi ủng hộ và tuân thủ chính sách mới vì lợi ích tài chính và sự đơn giản hóa quy trình khai báo thuế.</t>
  </si>
  <si>
    <t>Tôi tin rằng nhà nước sẽ thực thi chính sách một cách công bằng, nhưng vẫn có sự nghi ngờ về việc kiểm soát và quản lý hiệu quả.</t>
  </si>
  <si>
    <t>Mức thuế mới hợp lý cho thu nhập của tôi, giảm gánh nặng tài chính.</t>
  </si>
  <si>
    <t>Thuế đóng góp vào các dịch vụ công quan trọng như y tế và cơ sở hạ tầng.</t>
  </si>
  <si>
    <t>Nhà nước đã giải thích đầy đủ về mục tiêu của việc cải cách thuế, nhưng thông tin chi tiết cần được cung cấp nhiều hơn.</t>
  </si>
  <si>
    <t>Tôi ủng hộ chính sách mới vì nó giúp tôi tiết kiệm tiền và đơn giản hóa quy trình khai báo thuế.</t>
  </si>
  <si>
    <t>Nhà nước đã tăng cường kiểm soát thuế và công nghệ hiện đại giúp phát hiện trốn thuế dễ dàng hơn, nhưng vẫn có thể còn thiếu trong thực tế.</t>
  </si>
  <si>
    <t>Cơ quan thuế có đủ khả năng phát hiện, xử lý trốn thuế với quy định mới đơn giản và hiệu quả hơn.</t>
  </si>
  <si>
    <t>Thủ tục khai báo thuế đơn giản hơn trước đây, nhưng vẫn cần thời gian làm quen.</t>
  </si>
  <si>
    <t>Cách tính thuế và bậc thuế mới đơn giản, dễ hiểu và thực hiện thuận lợi hơn so với trước đây.</t>
  </si>
  <si>
    <t>Tôi tin rằng Nhà nước sẽ thực thi chính sách một cách công bằng, nhưng còn phụ thuộc vào thực tế quản lý.</t>
  </si>
  <si>
    <t>Mức thuế mới là hợp lý cho thu nhập của tôi và người cùng ngành nghề, tạo cảm giác công bằng.</t>
  </si>
  <si>
    <t>Thuế đóng góp vào cải thiện dịch vụ công, nhưng hiệu quả sử dụng còn phụ thuộc vào quản lý Nhà nước.</t>
  </si>
  <si>
    <t>Nhà nước đã giải thích rõ ràng về mục tiêu và lý do sửa đổi thuế lần này</t>
  </si>
  <si>
    <t>Sau khi xem xét, tôi ủng hộ chính sách mới vì nó mang lại lợi ích tài chính cho tôi.</t>
  </si>
  <si>
    <t>Dù có khả năng phát hiện và xử lý trốn thuế, nhưng với mức giảm trừ gia cảnh cao hơn, tôi cho rằng hành vi gian lận sẽ ít xảy ra hơn. Điều này tạo cảm giác an tâm về tính công bằng.</t>
  </si>
  <si>
    <t>Cơ quan thuế có đủ khả năng và công nghệ để phát hiện trốn thuế, nhưng hiệu quả thực thi còn phụ thuộc vào sự giám sát của người dân. Hiện nay, tôi tin rằng cơ quan thuế sẽ thực hiện tốt nhiệm vụ này.</t>
  </si>
  <si>
    <t>Các thủ tục khai báo thuế và quy trình làm việc với cơ quan thuế đã đơn giản hơn so với trước đây, giúp tiết kiệm thời gian cho người dân.</t>
  </si>
  <si>
    <t>Biểu thuế mới có ít bậc hơn, dễ hiểu và thực hiện thuận tiện hơn. Điều này làm tăng độ tin cậy trong quá trình tính thuế của tôi.</t>
  </si>
  <si>
    <t>Nhà nước đã cải cách thuế một cách công bằng, với mức giảm trừ gia cảnh cao hơn và số bậc thuế ít hơn, tạo cảm giác mọi người nộp thuế đều được đối xử công bằng.</t>
  </si>
  <si>
    <t>Với thu nhập của tôi, mức thuế mới là hợp lý. Tôi tin rằng chính sách này đã xem xét kỹ lưỡng và phù hợp với thực tế kinh tế hiện tại.</t>
  </si>
  <si>
    <t>Tài nguyên thuế sẽ được sử dụng hiệu quả để cải thiện các dịch vụ công, tạo niềm tin cho người dân về việc đóng góp của mình.</t>
  </si>
  <si>
    <t>Nhà nước đã giải thích rõ ràng mục tiêu và lý do của việc sửa đổi thuế. Thông qua các kênh thông tin, tôi có thể hiểu được quyết định này.</t>
  </si>
  <si>
    <t>Chính sách mới phù hợp với thu nhập và nghĩa vụ thuế của tôi. Tôi ủng hộ và sẽ tuân thủ các quy định mới.</t>
  </si>
  <si>
    <t>Dù các quy định quản lý thuế được cải thiện, mức giảm trừ gia cảnh cao hơn thu nhập nên tôi không lo ngại về việc gian lận hoặc trốn thuế.</t>
  </si>
  <si>
    <t>Nhà nước và cơ quan thuế có khả năng và công nghệ để phát hiện các hành vi gian lận, nhưng mức giảm trừ gia cảnh cao làm cho việc xử lý không cần thiết.</t>
  </si>
  <si>
    <t>Quy trình khai báo thuế đơn giản hơn so với trước đây, người dân dễ dàng tiếp cận và thực hiện.</t>
  </si>
  <si>
    <t>Bậc thuế ít đi nhưng không làm giảm độ chính xác, việc tính toán thuế trở nên dễ dàng hơn.</t>
  </si>
  <si>
    <t>Tôi tin Nhà nước sẽ thực thi một cách công bằng và khách quan, với mức thuế giảm từ trước đến nay là hợp lý.</t>
  </si>
  <si>
    <t>Làm việc công vụ và thu nhập thấp hơn mức phải đóng thuế nên tôi thấy công bằng khi không phải đóng</t>
  </si>
  <si>
    <t>Tiền thuế đóng sẽ được sử dụng hiệu quả, cải thiện dịch vụ công cho người dân như y tế, giao thông.</t>
  </si>
  <si>
    <t>Nhà nước đã giải thích rõ ràng về mục tiêu và lý do sửa đổi chính sách thuế, tạo sự tin tưởng</t>
  </si>
  <si>
    <t>Chính sách mới có lợi cho tôi nên tôi ủng hộ và tuân thủ.</t>
  </si>
  <si>
    <t>Tôi đồng ý với nhận định này vì mức giảm trừ gia cảnh cao đã giúp tôi không phải đóng thuế. Công nghệ hiện đại của cơ quan thuế cũng hỗ trợ việc quản lý và phát hiện gian lận.</t>
  </si>
  <si>
    <t>Cơ quan thuế có nhiều công cụ để giám sát và xử lý các hành vi trốn thuế, tuy nhiên tôi hy vọng họ sẽ tiếp tục cải tiến để tăng hiệu quả quản lý.</t>
  </si>
  <si>
    <t>Quy trình khai báo thuế và giao dịch với cơ quan thuế đã đơn giản hơn nhiều so với trước đây nhờ việc giảm số bậc thuế và tăng mức giảm trừ gia cảnh.</t>
  </si>
  <si>
    <t>Biểu thuế mới dễ hiểu và thực hiện thuận lợi hơn, giúp tôi không cần phải tính toán phức tạp nữa</t>
  </si>
  <si>
    <t>Tôi tin rằng cơ quan thuế sẽ công bằng trong việc áp dụng chính sách mới vì mức thuế giảm đã đảm bảo tính công bằng cho người dân.</t>
  </si>
  <si>
    <t>Nếu mức thu nhập của tôi vẫn không phải đóng thuế, tôi thấy đó là một mức thuế hợp lý và công bằng</t>
  </si>
  <si>
    <t>Thuế mà tôi đóng sẽ được sử dụng hiệu quả cho các dịch vụ công, giúp cải thiện chất lượng cuộc sống của người dân.</t>
  </si>
  <si>
    <t>Tôi đồng ý với việc giải thích rõ ràng về mục tiêu và lý do thay đổi thuế lần này. Điều này tăng niềm tin vào sự minh bạch của cơ quan quản lý</t>
  </si>
  <si>
    <t>Dựa trên các quyền lợi đã được cải thiện, tôi ủng hộ và tuân thủ chính sách mới hiện nay.</t>
  </si>
  <si>
    <t>Dựa trên các quy định quản lý thuế hiện tại, tôi tin rằng hành vi gian lận hoặc trốn thuế sẽ dễ dàng bị phát hiện và xử lý nghiêm. Tuy nhiên, việc thực thi cần có sự phối hợp chặt chẽ giữa nhiều cơ quan</t>
  </si>
  <si>
    <t>Nhà nước và các cơ quan thuế đã đầu tư công nghệ tiên tiến để phát hiện trốn thuế. Điều này cho thấy họ có khả năng xử lý nghiêm các hành vi sai phạm.</t>
  </si>
  <si>
    <t>Quy trình khai báo thuế và làm việc với cơ quan thuế trở nên đơn giản hơn, thuận tiện hơn so với trước đây. Điều này giúp tôi tiết kiệm thời gian.</t>
  </si>
  <si>
    <t>Biểu thuế mới đơn giản hơn, dễ hiểu và thực hiện dễ dàng hơn. Sự thay đổi này giúp giảm bớt phiền toái trong việc tính toán thuế</t>
  </si>
  <si>
    <t>Tôi tin rằng Nhà nước sẽ công bằng khi thực thi chính sách mới. Mức thuế tôi đóng theo phương án mới là phù hợp với thu nhập của mình.</t>
  </si>
  <si>
    <t>Thuế tôi phải đóng hiện tại được coi là công bằng. Nó phản ánh đúng mức độ sử dụng dịch vụ công và khả năng chi trả</t>
  </si>
  <si>
    <t>Tiền thuế mà tôi đóng sẽ được sử dụng hiệu quả để cải thiện các dịch vụ công, từ đó giúp nâng cao chất lượng cuộc sống của người dân</t>
  </si>
  <si>
    <t>Nhà nước đã minh bạch về lý do và mục tiêu của việc sửa đổi thuế. Điều này làm tăng niềm tin của tôi vào sự thực thi chính sách mới</t>
  </si>
  <si>
    <t>Sau khi xem xét các quyền lợi và nghĩa vụ, tôi ủng hộ và tuân thủ chính sách mới hiện nay vì nó mang lại nhiều lợi ích cho tôi.</t>
  </si>
  <si>
    <t>Hiện nay, với sự phát triển của công nghệ và hệ thống quản lý thuế, tôi tin rằng hành vi gian lận hoặc trốn thuế sẽ dễ dàng bị phát hiện. Tuy nhiên, việc thực thi có thể phụ thuộc vào hiệu suất làm việc của cơ quan thuế.</t>
  </si>
  <si>
    <t>Nhà nước và các cơ quan thuế đã đầu tư mạnh mẽ vào công nghệ, tôi tin rằng họ đủ khả năng để phát hiện và xử lý nghiêm các hành vi trốn thuế.</t>
  </si>
  <si>
    <t>So với trước đây, quy trình khai báo thuế trở nên đơn giản hơn. Các bước thủ tục được làm rõ ràng, tiện lợi hơn cho người dân.</t>
  </si>
  <si>
    <t>Biểu thuế mới đã đơn giản hóa nhiều so với trước đây, dễ hiểu và thực hiện hơn. Số bậc thuế từ 7 xuống còn 5 tạo cảm giác thuận tiện và minh bạch hơn</t>
  </si>
  <si>
    <t>Tôi tin rằng cơ quan thuế sẽ thực thi chính sách một cách công bằng, vì mức giảm trừ gia cảnh và mức thu nhập chịu thuế đã được điều chỉnh phù hợp với tình hình hiện tại.</t>
  </si>
  <si>
    <t>Theo phương án mới, tôi thấy mình đóng mức thuế tương đối công bằng so với thu nhập của mình. Mức giảm trừ gia cảnh tăng lên giúp cân nhắc lại mức thuế một cách hợp lý.</t>
  </si>
  <si>
    <t>Thuế mà tôi đóng sẽ được sử dụng hiệu quả để cải thiện các dịch vụ công, như y tế và đường xá. Điều này tạo niềm tin rằng việc đóng thuế là hữu ích cho cộng đồng</t>
  </si>
  <si>
    <t>Nhà nước đã giải thích rõ ràng về mục tiêu của việc sửa đổi chính sách thuế lần này, nhưng vẫn cần thêm thông tin về cách sử dụng tiền thuế để tăng niềm tin.</t>
  </si>
  <si>
    <t>Để giảm bớt gánh nặng tài chính và đảm bảo mức thuế công bằng hơn, tôi ủng hộ và tuân thủ chính sách mới</t>
  </si>
  <si>
    <t>Cơ quan thuế có các công cụ và kỹ thuật hiện đại để phát hiện gian lận, tuy nhiên vẫn cần sự giám sát chặt chẽ từ người dân.</t>
  </si>
  <si>
    <t>Nhà nước đã đầu tư vào công nghệ, tuy nhiên hiệu quả thực tế phụ thuộc nhiều vào sự tuân thủ của cá nhân và doanh nghiệp.</t>
  </si>
  <si>
    <t>Quy trình khai thuế đơn giản hơn với mức giảm trừ gia cảnh cao, thuận lợi cho người dân.</t>
  </si>
  <si>
    <t>Bậc thuế ít hơn và rõ ràng hơn, dễ dàng áp dụng cho người dân.</t>
  </si>
  <si>
    <t>Nguyên tắc thực thi công bằng nhưng vẫn cần sự minh bạch trong quá trình thực hiện</t>
  </si>
  <si>
    <t>Thuế mới giảm, mức thuế này cho phép tôi đóng góp một cách hợp lý dựa trên thu nhập</t>
  </si>
  <si>
    <t>Chất lượng dịch vụ công có thể cải thiện với nguồn vốn từ thuế, nhưng cần thời gian thực hiện</t>
  </si>
  <si>
    <t>Đã giải thích rõ về mục tiêu và lý do của chính sách mới</t>
  </si>
  <si>
    <t>Chính sách mới phù hợp với tình hình tài chính cá nhân, tôi sẽ tuân thủ</t>
  </si>
  <si>
    <t>Hiện nay, với mức giảm trừ gia cảnh cao hơn trước, tôi không còn lo lắng về việc bị phát hiện trốn thuế.</t>
  </si>
  <si>
    <t>Nhà nước và cơ quan thuế đã có nhiều cải tiến công nghệ để quản lý thuế hiệu quả hơn trong thời gian gần đây.</t>
  </si>
  <si>
    <t>Quy trình khai báo thuế đơn giản hơn, đặc biệt là với mức giảm trừ gia cảnh cao nên tôi thấy thuận tiện hơn nhiều so với trước đây.</t>
  </si>
  <si>
    <t>Biểu thuế có ít bậc hơn và mức thuế suất rõ ràng hơn giúp việc tính toán đơn giản hơn.</t>
  </si>
  <si>
    <t>Việc giảm trừ gia cảnh cao và các thay đổi trong biểu thuế cho thấy Nhà nước đang thực hiện chính sách một cách công bằng.</t>
  </si>
  <si>
    <t>Mức thuế mới được thiết kế phù hợp với thu nhập của tôi, tôi không cảm thấy bị áp lực quá nhiều về mặt tài chính.</t>
  </si>
  <si>
    <t>Những khoản tiền thuế đóng góp vào việc cải thiện chất lượng cuộc sống và dịch vụ công</t>
  </si>
  <si>
    <t>Chính phủ đã cung cấp thông tin đầy đủ về những thay đổi này, tôi cảm thấy họ đang làm việc một cách minh bạch.</t>
  </si>
  <si>
    <t>Tất cả các thay đổi đều có lợi cho tôi và gia đình nên tôi ủng hộ chính sách mới</t>
  </si>
  <si>
    <t>Cơ quan thuế có đủ khả năng phát hiện gian lận do tăng giảm trừ gia cảnh và đơn giản hóa quy trình, tuy nhiên vẫn cần thêm cải tiến.</t>
  </si>
  <si>
    <t>Công nghệ hiện đại giúp nhà nước quản lý hiệu quả hơn về thuế, nhưng cũng cần nâng cao khả năng bảo mật thông tin cá nhân.</t>
  </si>
  <si>
    <t>Hơn trước đây, các quy trình khai báo thuế đã đơn giản và nhanh chóng hơn. Tuy nhiên, vẫn còn một số thủ tục phức tạp cần cải thiện.</t>
  </si>
  <si>
    <t>Biểu thuế mới đơn giản hóa bước tính toán và giảm số bậc từ 7 xuống 5, dễ thực hiện hơn cho người dân.</t>
  </si>
  <si>
    <t>Nhà nước đã thực thi chính sách một cách công bằng với mức giảm trừ gia cảnh cao hơn thu nhập nên không phải đóng thuế.</t>
  </si>
  <si>
    <t>Thuế mới được điều chỉnh phù hợp với mức sống và thu nhập của người dân, do đó thấy mức thuế này là công bằng.</t>
  </si>
  <si>
    <t>Mức giảm trừ gia cảnh cao nên tôi tin số tiền đóng thuế sẽ được sử dụng hiệu quả vào các dịch vụ công.</t>
  </si>
  <si>
    <t>Nhà nước đã giải thích rõ ràng về mục tiêu và lý do của việc sửa đổi chính sách thuế, tăng niềm tin của người dân.</t>
  </si>
  <si>
    <t>Tôi ủng hộ chính sách mới vì nó giảm gánh nặng thuế cho cá nhân và gia đình tôi. Đây là sự công bằng đối với thu nhập thực tế.</t>
  </si>
  <si>
    <t>Hiện nay, mặc dù cơ quan thuế có công nghệ phát hiện gian lận hoặc trốn thuế nhưng không biết cụ thể về khả năng thực thi của họ.</t>
  </si>
  <si>
    <t>Nếu Nhà nước đã đầu tư vào công nghệ và nguồn lực để phát hiện các hành vi trốn thuế, tôi sẽ tin tưởng hơn.</t>
  </si>
  <si>
    <t>Quy trình khai báo thuế trở nên đơn giản và thuận tiện hơn với việc giảm số bậc thuế từ 7 xuống còn 5.</t>
  </si>
  <si>
    <t>Cách tính thuế rõ ràng, dễ hiểu hơn so với trước đây, giúp người dân nắm bắt dễ dàng hơn.</t>
  </si>
  <si>
    <t>Nhà nước đã cải thiện các quy định về giảm trừ gia cảnh và đơn giản hóa biểu thuế, tạo ra một hệ thống công bằng hơn cho người nộp thuế.</t>
  </si>
  <si>
    <t>Mức thuế mới tương đối hợp lý với thu nhập của tôi, không quá cao và cũng không quá thấp so với quy định cũ.</t>
  </si>
  <si>
    <t>Tôi tin rằng số tiền thuế đóng sẽ được sử dụng hiệu quả để cải thiện các dịch vụ công như y tế và đường xá.</t>
  </si>
  <si>
    <t>Nhà nước đã giải thích rõ ràng về mục tiêu của việc sửa đổi chính sách thuế, tạo ra sự minh bạch trong quá trình thực thi.</t>
  </si>
  <si>
    <t>Dựa trên các cải tiến về mức thuế và quy định quản lý thuế, tôi ủng hộ và sẽ tuân thủ chính sách mới này.</t>
  </si>
  <si>
    <t>Các thủ tục khai báo thuế đã đơn giản hơn so với trước đây, không còn nhiều bước rườm rà. Việc này giúp tôi tiết kiệm thời gian và công sức khi làm việc với cơ quan thuế.</t>
  </si>
  <si>
    <t>Biểu thuế mới có số bậc giảm từ 7 xuống 5, điều này làm cho quá trình tính thuế trở nên dễ dàng hơn. Tôi thấy cách tính thuế mới đơn giản và dễ hiểu hơn so với trước đây.</t>
  </si>
  <si>
    <t>Nhà nước đã công bố các quy định về thuế một cách công bằng và minh bạch, điều này làm tôi tin rằng cơ quan thuế sẽ thực thi chính sách một cách khách quan và công tâm.</t>
  </si>
  <si>
    <t>Mức thuế mới mà tôi phải đóng phù hợp với thu nhập của tôi. Việc giảm trừ gia cảnh tăng lên giúp mức thuế trở nên công bằng hơn so với trước đây.</t>
  </si>
  <si>
    <t>Việc nhà nước sử dụng số tiền thuế để cải thiện các dịch vụ công như y tế và đường xá sẽ làm cho tôi tin tưởng rằng việc đóng thuế là có ý nghĩa đối với đời sống của tôi.</t>
  </si>
  <si>
    <t>Nhà nước đã giải thích rõ ràng về lý do và mục tiêu của việc sửa đổi chính sách thuế. Điều này làm tăng niềm tin của tôi vào quyết định này.</t>
  </si>
  <si>
    <t>Dựa trên các quyền lợi và nghĩa vụ mới, tôi ủng hộ và sẽ tuân thủ chính sách thuế mới hiện tại. Những thay đổi này đã tạo ra một hệ thống thuế công bằng hơn so với trước đây.</t>
  </si>
  <si>
    <t>Tôi tin rằng với sự phát triển của công nghệ, Nhà nước có thể cải thiện khả năng giám sát thuế nhưng vẫn còn nghi ngờ về thực tế quản lý.</t>
  </si>
  <si>
    <t>Thủ tục khai báo thuế và quy trình làm việc với cơ quan thuế đã đơn giản hơn so với trước đây, đặc biệt là với mức giảm trừ gia cảnh mới.</t>
  </si>
  <si>
    <t>Cách tính thuế và các bậc thuế trong phương án mới rõ ràng hơn, dễ thực hiện hơn. Điều này giúp tôi hiểu rõ hơn về trách nhiệm của mình.</t>
  </si>
  <si>
    <t>Tôi tin rằng Nhà nước sẽ công tâm khi áp dụng chính sách mới, nhưng vẫn lo ngại về việc các cơ quan thuế có thể thiên vị.</t>
  </si>
  <si>
    <t>Mức thuế tôi phải đóng theo phương án mới hợp lý. Số tiền giảm do mức độ giảm trừ gia cảnh tăng, tạo cảm giác công bằng hơn.</t>
  </si>
  <si>
    <t>Tôi tin rằng số tiền thuế tôi đóng sẽ được sử dụng hiệu quả để cải thiện dịch vụ công, nhưng vẫn có lo ngại về việc quản lý chi tiêu của Nhà nước.</t>
  </si>
  <si>
    <t>Chính phủ đã giải thích rõ ràng về mục tiêu và lý do thay đổi thuế, khiến tôi cảm thấy họ đang cố gắng cải thiện hệ thống một cách công bằng.</t>
  </si>
  <si>
    <t>Dù còn lo ngại nhưng tôi ủng hộ chính sách mới vì lợi ích tài chính mà nó mang lại cho tôi và gia đình.</t>
  </si>
  <si>
    <t>Hiện nay, với sự phát triển của công nghệ và tăng cường quản lý thuế, tôi cho rằng hành vi gian lận hoặc trốn thuế sẽ dễ bị phát hiện. Cơ quan thuế cũng đã có những cải tiến trong việc giám sát.</t>
  </si>
  <si>
    <t>Nhà nước đã đầu tư vào công nghệ và đào tạo cho đội ngũ làm việc, nên khả năng phát hiện và xử lý nghiêm các hành vi trốn thuế là khá cao. Tuy nhiên, vẫn còn cần cải thiện.</t>
  </si>
  <si>
    <t>So với trước đây, quy trình khai báo thuế đã đơn giản hơn nhiều. Các bước làm việc với cơ quan thuế cũng thuận tiện và nhanh chóng hơn.</t>
  </si>
  <si>
    <t>Các bậc thuế được đơn giản hóa từ 7 xuống 5, dễ hiểu hơn và thực hiện thuận tiện. Tuy nhiên, vẫn còn một số điểm cần cải thiện để tối ưu hơn.</t>
  </si>
  <si>
    <t>Tôi tin rằng cơ quan thuế sẽ thực thi chính sách mới công bằng và khách quan đối với mọi người nộp thuế.</t>
  </si>
  <si>
    <t>Thuế tôi phải đóng theo phương án mới được xem là hợp lý, phù hợp với mức thu nhập của mình. Tuy nhiên, vẫn có những điểm cần cải thiện trong việc minh bạch.</t>
  </si>
  <si>
    <t>Tôi tin rằng số tiền thuế tôi đóng sẽ được sử dụng hiệu quả để cải thiện các dịch vụ công cho người dân.</t>
  </si>
  <si>
    <t>Nhà nước đã giải thích về mục tiêu và lý do của việc sửa đổi chính sách thuế, tuy nhiên còn cần làm rõ hơn nữa.</t>
  </si>
  <si>
    <t>Tôi ủng hộ và tuân thủ chính sách mới vì nó mang lại lợi ích tài chính cho tôi và giảm bớt sự phức tạp. Tuy nhiên, vẫn có những điểm cần cải thiện để tăng độ tin cậy.</t>
  </si>
  <si>
    <t>Dù không có nhiều thông tin về khả năng phát hiện trốn thuế, nhưng với cải cách quản lý thuế, tôi tin rằng cơ quan thuế sẽ có nhiều công cụ để giám sát.</t>
  </si>
  <si>
    <t>Nhà nước đã đầu tư vào công nghệ và nhân lực trong thời gian qua nên khả năng của họ trong việc phát hiện trốn thuế được cải thiện so với trước đây.</t>
  </si>
  <si>
    <t>Quy trình khai thuế trở nên đơn giản hơn nhiều, thủ tục cũng thuận tiện và nhanh chóng hơn khi có thêm phần mềm hỗ trợ từ cơ quan thuế.</t>
  </si>
  <si>
    <t>Bậc thuế được đơn giản hóa giúp việc tính toán dễ dàng hơn. Đây là cải tiến đáng kể so với biểu thuế phức tạp trước đây.</t>
  </si>
  <si>
    <t>Việc giảm trừ gia cảnh tăng và số bậc thuế giảm có thể coi là một sự công bằng đối với người nộp thuế như tôi, nhưng vẫn cần thời gian để thực thi.</t>
  </si>
  <si>
    <t>Mức thuế mới mà tôi phải đóng hợp lý so với thu nhập của mình. Tuy nhiên, có thể sẽ có những thay đổi nhỏ trong việc phân bổ thu nhập vào các bậc thuế sau khi áp dụng.</t>
  </si>
  <si>
    <t>Tôi tin rằng số tiền thuế tôi đóng sẽ được sử dụng hiệu quả cho các dịch vụ công. Tuy nhiên, cần có thêm thông tin về cách sử dụng nguồn thu để tăng niềm tin.</t>
  </si>
  <si>
    <t>Có nhiều thông tin giải thích về mục tiêu và lý do của cải cách thuế mới, tuy nhiên, tôi hy vọng rằng sẽ có thêm thông tin chi tiết hơn trong tương lai.</t>
  </si>
  <si>
    <t>Dù giảm thuế so với trước đây, nhưng mức thuế hiện tại vẫn hợp lý và công bằng. Tôi ủng hộ việc áp dụng chính sách mới này.</t>
  </si>
  <si>
    <t>Cơ quan thuế có nhiều công cụ phát hiện trốn thuế, nhưng vẫn cần cải thiện hơn nữa về hiệu quả quản lý.</t>
  </si>
  <si>
    <t>Việc áp dụng công nghệ cao vào quản lý thuế giúp nâng cao khả năng phát hiện gian lận và trốn thuế.</t>
  </si>
  <si>
    <t>Quy trình khai thuế trở nên đơn giản hơn, nhưng vẫn có thể còn phức tạp đối với người không am hiểu về thuế.</t>
  </si>
  <si>
    <t>Biểu thuế được đơn giản hóa từ 7 bậc xuống 5 bậc, giúp việc tính toán thuế dễ dàng hơn cho người dân.</t>
  </si>
  <si>
    <t>Tôi tin rằng Nhà nước sẽ công bằng trong việc thực thi chính sách mới, nhưng vẫn cần giám sát chặt chẽ để đảm bảo.</t>
  </si>
  <si>
    <t>Thuế tôi phải đóng theo phương án mới hợp lý, phù hợp với thu nhập và số người phụ thuộc của mình.</t>
  </si>
  <si>
    <t>Tôi tin rằng thuế tôi đóng sẽ được sử dụng hiệu quả để cải thiện dịch vụ công, nhưng vẫn cần minh bạch hơn về cách sử dụng.</t>
  </si>
  <si>
    <t>Nhà nước đã giải thích rõ ràng về mục tiêu của việc sửa đổi thuế, nhưng tôi mong muốn có thêm thông tin về hiệu quả thực tế.</t>
  </si>
  <si>
    <t>Tôi ủng hộ chính sách mới và sẽ tuân thủ, do giảm trừ gia cảnh tăng lên và số bậc thuế đơn giản hơn.</t>
  </si>
  <si>
    <t>Hiện nay, các quy định quản lý thuế ngày càng chặt chẽ và công nghệ hiện đại giúp phát hiện hành vi gian lận trốn thuế trở nên dễ dàng hơn.</t>
  </si>
  <si>
    <t>Nhà nước đã đầu tư vào công nghệ và nhân lực để đảm bảo hiệu quả quản lý thuế, giảm thiểu cơ hội cho các hành vi gian lận.</t>
  </si>
  <si>
    <t>Việc đơn giản hóa quy trình khai báo thuế và làm việc với cơ quan thuế giúp tôi tiết kiệm thời gian và công sức.</t>
  </si>
  <si>
    <t>Các bậc thuế mới đơn giản hơn, dễ hiểu và thực hiện thuận lợi hơn so với trước đây.</t>
  </si>
  <si>
    <t>Tôi tin rằng Nhà nước sẽ công bằng trong việc áp dụng chính sách thuế cho mọi người dân.</t>
  </si>
  <si>
    <t>Mức thuế mới được giảm so với trước đây, phù hợp với thu nhập của tôi và tạo nên sự công bằng.</t>
  </si>
  <si>
    <t>Thuế đóng góp vào việc cải thiện hạ tầng cơ sở xã hội, do đó tôi tin tưởng số tiền thuế mình đóng sẽ được sử dụng hiệu quả.</t>
  </si>
  <si>
    <t>Tác động tài chính tích cực và các thay đổi thuận tiện trong quy trình làm việc với cơ quan thuế khiến tôi ủng hộ và tuân thủ chính sách mới.</t>
  </si>
  <si>
    <t>Trong thực tế, các quy định quản lý thuế hiện nay chưa đủ mạnh để phát hiện và xử lý hành vi gian lận hoặc trốn thuế một cách hiệu quả. Tuy nhiên, với sự cải cách này, tôi kỳ vọng sẽ có nhiều biện pháp hỗ trợ hơn cho việc kiểm soát.</t>
  </si>
  <si>
    <t>Cơ quan thuế đã tăng cường công nghệ và nguồn lực để phát hiện các hành vi trốn thuế. Tuy nhiên, hiệu quả thực tế còn phụ thuộc vào nhiều yếu tố khác như nguồn lực và chính sách.</t>
  </si>
  <si>
    <t>Việc đơn giản hóa quy trình khai báo thuế đã giúp giảm bớt rắc rối cho người nộp thuế. Tuy nhiên, việc thực hiện các thủ tục vẫn cần cải thiện nhiều hơn nữa để thuận tiện hơn.</t>
  </si>
  <si>
    <t>Biểu thuế mới đơn giản hóa nhiều so với trước đây, giúp dễ dàng tính toán và hiểu rõ hơn về quy trình đóng thuế. Sự đơn giản này cũng tạo cảm giác thuận lợi cho người dân.</t>
  </si>
  <si>
    <t>Tôi tin rằng cơ quan thuế sẽ cố gắng thực thi chính sách một cách công bằng, nhưng vẫn cần thêm thời gian để xem xét thực tế.</t>
  </si>
  <si>
    <t>Nhìn chung, mức thuế mới hợp lý và tôi cảm thấy mình đóng đúng mức so với thu nhập. Sự cải cách này đã giúp giảm bớt gánh nặng tài chính cho người dân.</t>
  </si>
  <si>
    <t>Tôi tin rằng số tiền thuế đóng sẽ được sử dụng hiệu quả để cải thiện các dịch vụ công, nhưng cần thời gian để chứng minh thực tế.</t>
  </si>
  <si>
    <t>Nhà nước đã giải thích về mục tiêu của chính sách mới. Tuy nhiên, tôi vẫn hy vọng có thêm thông tin cụ thể về hiệu quả sử dụng nguồn thu thuế.</t>
  </si>
  <si>
    <t>Sau khi xem xét các quyền lợi và nghĩa vụ, tôi ủng hộ và tuân thủ chính sách mới. Sự cải cách này đã giúp giảm bớt gánh nặng tài chính cho người dân và tạo cảm giác công bằng.</t>
  </si>
  <si>
    <t>Trình tự khai báo trở nên đơn giản hơn với mức giảm trừ gia cảnh cao và số bậc thuế ít đi</t>
  </si>
  <si>
    <t>Công thức tính thuế dễ hiểu hơn, không còn nhiều bậc thuế phức tạp như trước đây</t>
  </si>
  <si>
    <t>Mức giảm trừ gia cảnh cao và không phải đóng thuế cho thấy chính sách mới là công bằng đối với người dân bình thường.</t>
  </si>
  <si>
    <t>Nhìn chung, mức thuế mà tôi phải đóng theo phương án mới là hợp lý vì nó dựa trên thu nhập của mình</t>
  </si>
  <si>
    <t>Đồng ý với các cải tiến về thuế sẽ giúp cải thiện chất lượng cuộc sống thông qua dịch vụ công tốt hơn</t>
  </si>
  <si>
    <t>Dù không phải đóng thuế nhưng tôi thấy rằng chính phủ đã giải thích rõ ràng về mục tiêu của việc sửa đổi này</t>
  </si>
  <si>
    <t>Trong tổng thể, tôi ủng hộ và tuân thủ chính sách mới vì nó mang lại lợi ích cho người dân như mình.</t>
  </si>
  <si>
    <t>Nhà nước đã và đang tăng cường hệ thống quản lý thuế, nhưng vẫn có những lỗ hổng nhỏ cho hành vi gian lận. Tuy nhiên, với mức giảm trừ gia cảnh cao hơn, việc trốn thuế trở nên khó khăn hơn.</t>
  </si>
  <si>
    <t>Cơ quan thuế có công nghệ hiện đại để phát hiện các hành vi gian lận, nhưng cần tăng cường hơn nữa trong việc xử lý và giám sát.</t>
  </si>
  <si>
    <t>Việc giảm bậc thuế từ 7 xuống 5 đã đơn giản hóa quy trình khai báo thuế và làm cho nó dễ dàng hơn nhiều so với trước đây.</t>
  </si>
  <si>
    <t>Thay đổi về mức giảm trừ gia cảnh đã giúp tôi tiết kiệm đáng kể, đồng thời các bậc thuế mới cũng trở nên rõ ràng hơn.</t>
  </si>
  <si>
    <t>Tôi tin rằng Nhà nước sẽ thực thi chính sách một cách công bằng và khách quan, mặc dù vẫn còn nghi ngờ về việc này vì trước đây đã có nhiều vấn đề tương tự.</t>
  </si>
  <si>
    <t>Mức thuế mới tôi phải đóng là hợp lý với thu nhập của mình và các mức giảm trừ gia cảnh cao hơn, tạo nên sự công bằng cho người nộp thuế.</t>
  </si>
  <si>
    <t>Thuế tôi đóng sẽ được sử dụng hiệu quả để cải thiện dịch vụ công, nhưng cần có báo cáo cụ thể về việc này để tăng thêm niềm tin.</t>
  </si>
  <si>
    <t>Nhà nước đã giải thích một cách rõ ràng về mục tiêu của chính sách mới, tuy nhiên, tôi vẫn mong muốn có thêm thông tin chi tiết hơn.</t>
  </si>
  <si>
    <t>Tôi ủng hộ và tuân thủ chính sách mới vì nó mang lại lợi ích tài chính cho tôi và tạo ra sự công bằng hơn so với trước đây.</t>
  </si>
  <si>
    <t>Quy trình khai báo thuế đơn giản hơn trước, nhưng vẫn còn một số thủ tục phức tạp. Tuy nhiên, so với quy định cũ, đã có sự cải thiện rõ rệt.</t>
  </si>
  <si>
    <t>Số bậc thuế giảm từ 7 xuống 5 khiến tính toán thuế dễ dàng hơn và minh bạch hơn. Mức thuế mới hợp lý với thu nhập của tôi, tăng sự thuận tiện.</t>
  </si>
  <si>
    <t>Tôi tin Nhà nước sẽ thực thi chính sách một cách công bằng nhưng vẫn cần có thêm các biện pháp chống gian lận để đảm bảo tính minh bạch.</t>
  </si>
  <si>
    <t>Mức thuế mới phù hợp với thu nhập của tôi và số người phụ thuộc. Việc giảm trừ gia cảnh tăng lên giúp tiết kiệm tiền, tạo cảm giác công bằng.</t>
  </si>
  <si>
    <t>Thuế đóng góp vào các dịch vụ công như y tế, giáo dục, hạ tầng. Tuy nhiên, cần biết rõ hơn về cách sử dụng số tiền thu được để đảm bảo hiệu quả.</t>
  </si>
  <si>
    <t>Nhà nước đã giải thích rõ ràng mục đích của việc sửa đổi thuế nhưng vẫn cần có thêm thông tin chi tiết về quy trình thực thi.</t>
  </si>
  <si>
    <t>Sau khi tính toán tác động tài chính và sự đơn giản hóa, tôi ủng hộ và tuân thủ chính sách mới. Mặc dù còn một số nghi ngờ, nhưng lợi ích rõ ràng hơn.</t>
  </si>
  <si>
    <t>So với trước đây, quy trình khai báo thuế trở nên đơn giản hơn, số bậc thuế giảm từ 7 xuống còn 5. Điều này giúp tôi tiết kiệm thời gian và công sức khi làm việc với cơ quan thuế.</t>
  </si>
  <si>
    <t>Các bậc thuế mới được đơn giản hóa và dễ hiểu hơn, không còn nhiều trường hợp bị rối rắm do các mức thuế suất phức tạp trước đây. Điều này giúp tôi tính toán thu nhập chịu thuế nhanh chóng.</t>
  </si>
  <si>
    <t>Tôi tin rằng cơ quan thuế sẽ thực thi chính sách một cách công bằng và khách quan, dù mức giảm trừ gia cảnh tăng lên nhưng vẫn có các bậc thuế suất tương ứng với thu nhập.</t>
  </si>
  <si>
    <t>Với mức thuế mới, tôi thấy rằng mình đóng thuế phù hợp với thu nhập của mình và điều này thể hiện sự công bằng trong việc phân chia trách nhiệm giữa Nhà nước và người dân.</t>
  </si>
  <si>
    <t>Số tiền thuế tôi đóng sẽ được sử dụng để cải thiện các dịch vụ công, giúp nâng cao chất lượng cuộc sống cho người dân, từ đó mang lại niềm tin về việc đầu tư của mình</t>
  </si>
  <si>
    <t>Nhà nước đã có những giải thích rõ ràng về lý do và mục tiêu sửa đổi thuế lần này, giúp tôi hiểu rõ hơn về các thay đổi.</t>
  </si>
  <si>
    <t>Với sự đơn giản hóa quy trình làm việc với cơ quan thuế và mức giảm trừ gia cảnh tăng, cùng với việc tiết kiệm được một khoản tiền đáng kể so với trước đây, tôi ủng hộ và tuân thủ chính sách mới.</t>
  </si>
  <si>
    <t>Nhà nước và cơ quan thuế có nhiều biện pháp quản lý, giám sát về thuế. Tuy nhiên, vẫn còn khả năng bị gian lận do thiếu sự kiểm soát kỹ càng.</t>
  </si>
  <si>
    <t>Cơ quan thuế có công nghệ và nguồn lực để phát hiện trốn thuế nhưng phụ thuộc vào thực thi của họ.</t>
  </si>
  <si>
    <t>Thủ tục khai thuế đơn giản hơn, giảm bớt rào cản cho người dân. Tuy nhiên, vẫn có sự phức tạp khi tính toán các mức thuế.</t>
  </si>
  <si>
    <t>Biểu thuế mới đơn giản hóa và dễ hiểu hơn so với trước đây, giúp quá trình khai báo nhanh chóng và chính xác hơn.</t>
  </si>
  <si>
    <t>Tôi tin rằng Nhà nước sẽ thực thi công bằng nhưng vẫn có nguy cơ bị lợi dụng vì thông tin thuế còn dễ bị lạm dụng.</t>
  </si>
  <si>
    <t>Mức thuế mới giảm đáng kể so với trước đây, tôi cảm thấy nó là một sự công bằng đối với thu nhập hiện tại của mình.</t>
  </si>
  <si>
    <t>Thuế đóng góp vào các dịch vụ công quan trọng. Tôi tin rằng số tiền thuế đóng sẽ được sử dụng hiệu quả để cải thiện chất lượng cuộc sống.</t>
  </si>
  <si>
    <t>Nhà nước đã giải thích rõ ràng về chính sách mới, mặc dù vẫn còn nghi ngại về việc thực thi.</t>
  </si>
  <si>
    <t>Tôi ủng hộ và tuân thủ chính sách mới vì nó mang lại nhiều lợi ích hơn so với trước đây. Tuy nhiên, tôi sẽ tiếp tục theo dõi để đảm bảo rằng các quy định được thực thi công bằng.</t>
  </si>
  <si>
    <t>Nếu cơ quan thuế có công nghệ hiện đại, khả năng phát hiện trốn thuế sẽ cao. Tuy nhiên, với mức thu nhập và giảm trừ gia cảnh mới, tôi không cảm thấy mình dễ bị phát hiện gian lận.</t>
  </si>
  <si>
    <t>Nhà nước có đủ khả năng quản lý thuế nếu công nghệ được ứng dụng hiệu quả. Tuy nhiên, với mức thu nhập và giảm trừ gia cảnh mới, tôi không cảm thấy mình dễ bị phát hiện gian lận.</t>
  </si>
  <si>
    <t>Quy trình khai báo thuế trở nên đơn giản hơn, thuận tiện hơn. Việc này giúp tôi nhanh chóng hoàn thành các thủ tục liên quan đến thuế.</t>
  </si>
  <si>
    <t>Phương án mới có ít bậc thuế hơn và dễ hiểu hơn so với trước đây. Điều này làm cho việc tính toán và tuân thủ luật thuế trở nên đơn giản hơn.</t>
  </si>
  <si>
    <t>Tôi tin rằng Nhà nước sẽ thực hiện chính sách một cách công bằng, nhưng do tôi là người đa nghi nên không hoàn toàn tin tưởng tuyệt đối.</t>
  </si>
  <si>
    <t>Thuế mới giảm so với thuế cũ và phù hợp hơn với thu nhập của tôi. Điều này làm tăng niềm tin về tính công bằng của chính sách.</t>
  </si>
  <si>
    <t>Nhà nước sử dụng số tiền thuế để cải thiện các dịch vụ công, nhưng do tôi là người đa nghi nên không hoàn toàn tin tưởng tuyệt đối.</t>
  </si>
  <si>
    <t>Tôi đồng ý với việc giải thích về mục tiêu của chính sách mới. Tuy nhiên, do tôi là người đa nghi nên không hoàn toàn tin tưởng tuyệt đối.</t>
  </si>
  <si>
    <t>Sau khi xem xét các quyền lợi và nghĩa vụ, tôi ủng hộ và tuân thủ chính sách mới vì nó làm giảm gánh nặng thuế cho tôi.</t>
  </si>
  <si>
    <t>Dù có công nghệ hỗ trợ, tôi vẫn lo ngại rằng việc phát hiện gian lận thuế không phải lúc nào cũng hiệu quả.</t>
  </si>
  <si>
    <t>Cơ quan thuế đã cải thiện đáng kể trong việc sử dụng công nghệ, nhưng chưa thể đảm bảo phát hiện mọi hành vi trốn thuế.</t>
  </si>
  <si>
    <t>Quy trình khai báo và làm việc với cơ quan thuế trở nên đơn giản hơn, tuy nhiên vẫn cần thời gian để người dân thích nghi.</t>
  </si>
  <si>
    <t>Biểu thuế mới rõ ràng hơn so với trước đây, giúp tôi dễ dàng tính toán và thực hiện.</t>
  </si>
  <si>
    <t>Tôi tin rằng cơ quan thuế sẽ cố gắng thực thi công bằng, nhưng vẫn có thể gặp phải tình trạng xử lý không công bằng.</t>
  </si>
  <si>
    <t>Thuế mới giảm đáng kể so với trước đây và tôi thấy đó là mức phù hợp cho thu nhập của mình.</t>
  </si>
  <si>
    <t>Các khoản thuế đóng góp vào cải thiện dịch vụ công, nhưng vẫn cần giám sát để đảm bảo sử dụng hiệu quả.</t>
  </si>
  <si>
    <t>Nhà nước đã giải thích rõ ràng về mục tiêu sửa đổi luật, tuy nhiên thêm minh bạch hơn sẽ tốt.</t>
  </si>
  <si>
    <t>Tôi ủng hộ chính sách mới vì nó mang lại lợi ích cho tôi và giảm gánh nặng thuế. Tôi sẽ tuân thủ.</t>
  </si>
  <si>
    <t>Dù quy định quản lý thuế hiện nay đã tốt hơn, nhưng tôi vẫn nghi ngờ khả năng phát hiện gian lận hoặc trốn thuế.</t>
  </si>
  <si>
    <t>Cơ quan thuế có công nghệ và đội ngũ chuyên nghiệp để xử lý các vụ việc, tuy nhiên, thực tế việc phát hiện còn phụ thuộc vào nhiều yếu tố khác.</t>
  </si>
  <si>
    <t>Thủ tục khai báo thuế đã đơn giản hóa đáng kể, nhưng vẫn cần thêm thời gian để quen với các thay đổi mới.</t>
  </si>
  <si>
    <t>Cách tính thuế và bậc thuế mới dễ hiểu hơn nhiều so với trước đây, giảm bớt sự phức tạp cho người nộp thuế.</t>
  </si>
  <si>
    <t>Tôi tin rằng cơ quan thuế sẽ thực hiện chính sách một cách công bằng, nhưng vẫn có nghi ngờ về việc xử lý khách quan đối với mọi người nộp thuế.</t>
  </si>
  <si>
    <t>Mức thuế mới phù hợp với thu nhập của tôi, giảm gánh nặng tài chính, do đó tôi thấy công bằng.</t>
  </si>
  <si>
    <t>Tôi tin rằng số tiền thuế đóng sẽ được sử dụng hiệu quả để cải thiện các dịch vụ công, nhưng cần thêm thông tin cụ thể về cách sử dụng chi phí thuế.</t>
  </si>
  <si>
    <t>Nhà nước đã giải thích rõ ràng về mục tiêu sửa đổi thuế, tuy nhiên, tôi vẫn mong muốn có thêm nhiều thông tin chi tiết hơn về hiệu quả của chính sách mới.</t>
  </si>
  <si>
    <t>Tôi ủng hộ và tuân thủ chính sách mới vì lợi ích tài chính rõ ràng và sự đơn giản hóa các quy định thuế.</t>
  </si>
  <si>
    <t>Mức thuế tôi phải đóng là hợp lý với thu nhập hiện tại của mình. Việc tăng giảm trừ gia cảnh giúp cải thiện công bằng</t>
  </si>
  <si>
    <t>Tôi tin rằng số tiền thuế đóng sẽ được sử dụng hiệu quả để cải thiện dịch vụ công, nhưng cần có nhiều thông tin hơn về cách sử dụng nguồn thu thuế.</t>
  </si>
  <si>
    <t>Nhà nước đã giải thích rõ ràng về mục tiêu của việc sửa đổi luật thuế. Tuy nhiên, tôi mong muốn có thêm thông tin chi tiết về quá trình thực hiện</t>
  </si>
  <si>
    <t>Sau khi xem xét các quyền lợi và nghĩa vụ, tôi ủng hộ chính sách mới hiện nay. Điều này sẽ giúp giảm gánh nặng tài chính cho tôi.</t>
  </si>
  <si>
    <t>Nhà nước và cơ quan thuế đã đầu tư công nghệ để phát hiện hành vi trốn thuế, nhưng vẫn phụ thuộc vào các quy định cụ thể. Hiệu quả thực thi còn tùy thuộc vào việc tuân thủ của người dân.</t>
  </si>
  <si>
    <t>So với trước đây, quá trình khai báo thuế và làm việc với cơ quan thuế đã đơn giản hơn nhiều, thuận tiện cho người nộp thuế. Các bước thực hiện đều được minh bạch.</t>
  </si>
  <si>
    <t>Phương án mới đơn giản hóa biểu thuế, giảm số bậc và dễ hiểu hơn. Điều này giúp người dân dễ dàng tính toán và tuân thủ chính sách.</t>
  </si>
  <si>
    <t>Tôi tin rằng cơ quan thuế sẽ thực thi chính sách công bằng và khách quan đối với mọi người nộp thuế, nhưng vẫn cần giám sát chặt chẽ để đảm bảo tính minh bạch.</t>
  </si>
  <si>
    <t>Với mức giảm trừ gia cảnh tăng lên và số bậc thuế đơn giản hơn, tôi thấy mình đóng thuế công bằng so với thu nhập của mình. Điều này thể hiện sự công bằng trong việc phân bổ gánh nặng thuế.</t>
  </si>
  <si>
    <t>Thuế được sử dụng để cải thiện các dịch vụ công như y tế, giáo dục và hạ tầng, tôi tin rằng số tiền thuế đóng của mình sẽ góp phần vào việc này.</t>
  </si>
  <si>
    <t>Nhà nước đã giải thích rõ ràng về mục tiêu và lý do thay đổi chính sách thuế, tạo sự minh bạch cho người dân hiểu và chấp nhận.</t>
  </si>
  <si>
    <t>Tôi ủng hộ chính sách mới vì nó đơn giản hơn và tôi thấy mình đóng thuế công bằng. Tuy nhiên, vẫn cần cải thiện nữa để tăng độ tin cậy.</t>
  </si>
  <si>
    <t>Mặc dù mức giảm trừ gia cảnh cao hơn, nhưng quy định quản lý thuế chưa rõ ràng về việc phát hiện hành vi gian lận hoặc trốn thuế.</t>
  </si>
  <si>
    <t>Cơ quan thuế có khả năng kỹ thuật và công nghệ để giám sát, xử lý nghiêm các hành vi trốn thuế.</t>
  </si>
  <si>
    <t>Thủ tục khai báo thuế đơn giản hơn so với trước đây, nhưng vẫn còn một số bước phức tạp cần cải thiện.</t>
  </si>
  <si>
    <t>Phương án mới có ít bậc thuế và rõ ràng hơn, dễ thực hiện hơn, nhưng chưa phải là hoàn toàn đơn giản.</t>
  </si>
  <si>
    <t>Tôi tin rằng Nhà nước sẽ công bằng trong việc thực thi chính sách, nhưng vẫn còn một số lo ngại về sự công tâm.</t>
  </si>
  <si>
    <t>Mức thuế mới là hợp lý đối với thu nhập của tôi, mặc dù có một số thay đổi so với quy định cũ.</t>
  </si>
  <si>
    <t>Tôi tin rằng số tiền thuế đóng sẽ được sử dụng hiệu quả cho các dịch vụ công, nhưng cần thêm minh bạch.</t>
  </si>
  <si>
    <t>Nhà nước đã giải thích rõ về mục tiêu của việc sửa đổi chính sách thuế, nhưng vẫn còn một số thắc mắc cần giải đáp.</t>
  </si>
  <si>
    <t>Chính sách mới có lợi cho tôi và cải thiện thuận tiện hơn so với trước đây, nên tôi ủng hộ và tuân thủ.</t>
  </si>
  <si>
    <t>Dù cơ quan thuế có công nghệ phát hiện, nhưng vẫn cần sự phối hợp của người dân và doanh nghiệp để phát hiện gian lận hoặc trốn thuế.</t>
  </si>
  <si>
    <t>Cơ quan thuế đã đầu tư vào hệ thống quản lý thuế, tăng cường khả năng phát hiện và xử lý các hành vi trốn thuế.</t>
  </si>
  <si>
    <t>Quy trình khai báo thuế đơn giản hơn, nhưng vẫn cần thời gian để người dân làm quen với cách tính thuế mới.</t>
  </si>
  <si>
    <t>Biểu thuế mới có ít bậc và dễ hiểu hơn, giúp việc tính toán thuế trở nên thuận tiện hơn cho người dân.</t>
  </si>
  <si>
    <t>Tôi tin rằng cơ quan thuế sẽ thực thi chính sách một cách công bằng, nhưng vẫn cần thời gian để mọi người làm quen với quy định mới.</t>
  </si>
  <si>
    <t>Mức giảm trừ gia cảnh và số bậc thuế mới giúp tôi đóng thuế công bằng hơn so với trước đây.</t>
  </si>
  <si>
    <t>Thuê đóng góp vào việc cải thiện dịch vụ công, nhưng cần thời gian để thấy hiệu quả thực tế.</t>
  </si>
  <si>
    <t>Nhà nước đã giải thích rõ ràng về mục tiêu của chính sách mới, tạo sự minh bạch cho người dân.</t>
  </si>
  <si>
    <t>Tôi ủng hộ và tuân thủ chính sách mới vì nó giúp tôi tiết kiệm được nhiều tiền thuế, đồng thời làm việc dễ dàng hơn.</t>
  </si>
  <si>
    <t>Điều kiện thực thi hiện tại không được đề cập rõ ràng, nhưng mức giảm trừ gia cảnh tăng lên và đơn giản hóa biểu thuế có thể giúp phát hiện hành vi trốn thuế dễ dàng hơn. Điều này tạo ra niềm tin rằng Nhà nước sẽ xử lý nghiêm minh.</t>
  </si>
  <si>
    <t>Việc Nhà nước ban hành chính sách mới với mức giảm trừ gia cảnh cao và số bậc thuế đơn giản có thể giúp cải thiện khả năng quản lý thuế, nhưng không rõ liệu công nghệ và nguồn lực có đủ chưa.</t>
  </si>
  <si>
    <t>Các quy trình khai báo thuế hiện tại dễ dàng hơn so với trước đây. Mức giảm trừ gia cảnh tăng lên và số bậc thuế đơn giản hóa giúp quá trình tính thuế trở nên thuận tiện.</t>
  </si>
  <si>
    <t>Bậc thuế được đơn giản hóa từ 7 xuống còn 5, giúp người dân dễ dàng nắm bắt và thực hiện hơn. Mức giảm trừ gia cảnh cao hơn cũng làm cho quy trình trở nên thuận tiện.</t>
  </si>
  <si>
    <t>Nhà nước đã áp dụng mức giảm trừ gia cảnh và số bậc thuế mới công bằng đối với mọi người, nhưng không rõ liệu họ có thực thi chính sách một cách khách quan và công tâm như lời hứa.</t>
  </si>
  <si>
    <t>Với thu nhập của tôi, mức thuế mới được đánh giá là hợp lý. Mức giảm trừ gia cảnh cao hơn giúp tôi tiết kiệm tiền, nhưng không rõ liệu Nhà nước có sử dụng số tiền thuế này hiệu quả hay không.</t>
  </si>
  <si>
    <t>Tôi tin rằng số tiền thuế tôi đóng sẽ được sử dụng để cải thiện dịch vụ công. Tuy nhiên, việc thực hiện mục tiêu này phụ thuộc vào khả năng quản lý của Nhà nước và hiệu quả của các dự án.</t>
  </si>
  <si>
    <t>Nhà nước đã giải thích rõ ràng về mục đích sửa đổi thuế trong thông báo chính sách. Tuy nhiên, tôi hy vọng có thêm thông tin chi tiết hơn về cách sử dụng số tiền thuế thu được để cải thiện dịch vụ công.</t>
  </si>
  <si>
    <t>Tôi ủng hộ và tuân thủ chính sách mới vì mức giảm trừ gia cảnh cao và đơn giản hóa biểu thuế làm cho quy trình trở nên thuận tiện hơn. Tuy nhiên, tôi mong muốn Nhà nước giải thích rõ hơn về cách sử dụng số tiền thuế này.</t>
  </si>
  <si>
    <t>Nguyên tắc quản lý thuế hiện tại đã được cải tiến, tuy nhiên vẫn có thể gặp khó khăn trong việc phát hiện trốn thuế do quy mô và nguồn lực hạn chế của cơ quan thuế.</t>
  </si>
  <si>
    <t>Việc áp dụng công nghệ để quản lý thuế đã tốt hơn nhưng khả năng xử lý nghiêm các hành vi gian lận hoặc trốn thuế vẫn phụ thuộc vào nguồn lực và quyết tâm của cơ quan chức năng.</t>
  </si>
  <si>
    <t>Quy trình khai báo thuế trở nên đơn giản hơn, nhưng thủ tục vẫn có thể tốn thời gian do quy định chi tiết về các bậc thuế mới.</t>
  </si>
  <si>
    <t>Biểu thuế đã được đơn giản hóa, giảm số bậc từ 7 xuống còn 5, làm cho việc tính toán và thực hiện thuế trở nên dễ dàng hơn.</t>
  </si>
  <si>
    <t>Tôi tin rằng cơ quan thuế sẽ cố gắng thực thi chính sách công bằng nhưng vẫn lo ngại về khả năng kiểm soát và xử lý nghiêm các vi phạm.</t>
  </si>
  <si>
    <t>Thuế theo phương án mới là hợp lý, giảm gánh nặng tài chính cho tôi do mức thuế giảm trừ gia cảnh tăng lên đáng kể.</t>
  </si>
  <si>
    <t>Tôi tin rằng số tiền thuế đóng sẽ được sử dụng hiệu quả để cải thiện chất lượng dịch vụ công như y tế, giáo dục và giao thông.</t>
  </si>
  <si>
    <t>Nhà nước đã giải thích rõ ràng về mục tiêu của việc sửa đổi thuế nhưng vẫn có thể làm rõ thêm về các biện pháp thực thi.</t>
  </si>
  <si>
    <t>Tôi ủng hộ và tuân thủ chính sách mới vì nó giảm gánh nặng tài chính cho tôi đồng thời cải thiện cơ sở hạ tầng công cộng.</t>
  </si>
  <si>
    <t>Dựa trên thông tin, tôi không hoàn toàn tin rằng hành vi gian lận hoặc trốn thuế sẽ dễ dàng bị phát hiện và xử lý nghiêm. Việc tăng giảm trừ gia cảnh và đơn giản hóa biểu thuế có thể làm giảm rủi ro cho người nộp thuế nhưng không loại bỏ hoàn toàn khả năng gian lận.</t>
  </si>
  <si>
    <t>Nhà nước đã nỗ lực cải thiện cơ sở hạ tầng công nghệ thông tin, tuy nhiên, việc phát hiện và xử lý nghiêm các hành vi trốn thuế vẫn cần thời gian để thực sự hiệu quả.</t>
  </si>
  <si>
    <t>So với trước đây, quy trình làm việc với cơ quan thuế đơn giản hơn, tuy nhiên, việc khai báo thuế qua mạng chưa thật sự thuận tiện và nhanh chóng như mong đợi.</t>
  </si>
  <si>
    <t>Biểu thuế mới đơn giản hóa bậc thuế và cách tính thuế. Điều này giúp tôi dễ hiểu và thực hiện hơn so với trước đây.</t>
  </si>
  <si>
    <t>Tôi tin rằng cơ quan thuế sẽ thực thi chính sách một cách khách quan, công tâm. Tuy nhiên, việc cải cách thuế cần thời gian để được đánh giá.</t>
  </si>
  <si>
    <t>Nhìn chung, mức thuế mới hợp lý và tôi cảm thấy công bằng khi đóng góp cho Nhà nước. Việc tăng giảm trừ gia cảnh giúp tôi tiết kiệm chi phí</t>
  </si>
  <si>
    <t>Tôi tin rằng số tiền thuế tôi đóng sẽ được sử dụng hiệu quả để cải thiện các dịch vụ công, nhưng cần thời gian để có kết quả cụ thể.</t>
  </si>
  <si>
    <t>Nhà nước đã giải thích rõ ràng về lý do và mục tiêu của việc sửa đổi thuế lần này. Tuy nhiên, tôi mong muốn có thêm thông tin chi tiết hơn về cách sử dụng số tiền thuế</t>
  </si>
  <si>
    <t>Tôi ủng hộ chính sách mới và quyết tâm tuân thủ vì thấy lợi ích rõ ràng từ việc cải cách thuế. Điều này giúp giảm gánh nặng tài chính cho tôi.</t>
  </si>
  <si>
    <t>Hiện nay, cơ quan thuế có nhiều công cụ phát hiện gian lận và trốn thuế, như công nghệ thông tin, hệ thống theo dõi thu nhập toàn diện. Điều này tăng khả năng phát hiện hành vi gian lận.</t>
  </si>
  <si>
    <t>Nhà nước đã đầu tư mạnh mẽ vào công nghệ và nguồn lực để quản lý thuế hiệu quả hơn, giảm thiểu cơ hội trốn tránh. Tuy nhiên, vẫn cần cải thiện về hệ thống thông tin liên kết giữa các ngành.</t>
  </si>
  <si>
    <t>Quy trình khai báo và làm việc với cơ quan thuế đã đơn giản hơn nhiều so với trước đây. Số bước và thời gian thực hiện thủ tục cũng giảm đáng kể.</t>
  </si>
  <si>
    <t>Biểu thuế mới có ít bậc, dễ hiểu và áp dụng cho nhiều trường hợp, làm giảm lỗi tính toán và tăng độ chính xác.</t>
  </si>
  <si>
    <t>Tôi tin rằng cơ quan thuế sẽ thực thi công bằng, nhưng cần thêm minh bạch về cách thức thực hiện để tăng niềm tin hơn nữa.</t>
  </si>
  <si>
    <t>Mức thuế mới giảm đáng kể so với trước đây, cho thấy sự công bằng và phù hợp với thu nhập của tôi. Điều này làm tăng cảm giác công bằng</t>
  </si>
  <si>
    <t>Thuế đóng góp vào việc cải thiện dịch vụ công. Tuy nhiên, cần thêm thông tin về cách sử dụng nguồn thu để tăng niềm tin.</t>
  </si>
  <si>
    <t>Nhà nước đã giải thích rõ ràng về mục tiêu của chính sách mới, nhưng vẫn cần minh bạch hơn về các biện pháp thực thi và hiệu quả</t>
  </si>
  <si>
    <t>Sau khi xem xét tác động tài chính tích cực và sự đơn giản hóa thủ tục, tôi ủng hộ và sẽ tuân thủ chính sách mới. Tuy nhiên, cần thêm cải tiến về minh bạch</t>
  </si>
  <si>
    <t>Việc tăng mức giảm trừ gia cảnh và đơn giản hóa biểu thuế có thể làm giảm cơ hội trốn thuế, tuy nhiên, hiệu quả thực hiện còn phụ thuộc vào khả năng quản lý của các cơ quan thuế.</t>
  </si>
  <si>
    <t>Cơ quan thuế đã áp dụng công nghệ tiên tiến như phần mềm khai thuế điện tử, nhưng vẫn cần cải thiện để phát hiện gian lận một cách hiệu quả hơn.</t>
  </si>
  <si>
    <t>Quy trình khai báo thuế và quy định mới đơn giản hơn so với trước đây, giảm thời gian chờ đợi và dễ thực hiện hơn.</t>
  </si>
  <si>
    <t>Biểu thuế mới có ít bậc hơn, việc tính toán và ứng dụng thuế trở nên dễ dàng và rõ ràng hơn.</t>
  </si>
  <si>
    <t>Mức thuế giảm đi và quy định công bằng hơn đã làm tăng niềm tin vào sự khách quan của cơ quan thuế trong việc thực thi chính sách.</t>
  </si>
  <si>
    <t>Đối với thu nhập hiện tại, mức thuế mới là hợp lý và công bằng, giảm gánh nặng tài chính cho người lao động.</t>
  </si>
  <si>
    <t>Thuế đóng góp vào việc cải thiện dịch vụ công như y tế, giáo dục và hạ tầng cơ sở, tạo niềm tin về sử dụng hiệu quả ngân sách</t>
  </si>
  <si>
    <t>Mặc dù có nhiều thông tin về chính sách mới, nhưng mức độ minh bạch cần được cải thiện hơn nữa để người dân hiểu rõ và ủng hộ.</t>
  </si>
  <si>
    <t>Tác động tài chính tích cực và sự đơn giản hóa quy định đã làm tăng khả năng chấp nhận và tuân thủ chính sách mới</t>
  </si>
  <si>
    <t>Nước ta đã có hệ thống quản lý thuế ngày càng chặt chẽ với sự hỗ trợ của công nghệ, do đó tôi tin rằng hành vi gian lận hoặc trốn thuế sẽ dễ bị phát hiện và xử lý nghiêm.</t>
  </si>
  <si>
    <t>Nhà nước đã đầu tư vào hệ thống thông tin quản lý thuế, nâng cao khả năng giám sát, do đó tôi có niềm tin rằng cơ quan thuế đủ khả năng để thực hiện các biện pháp xử lý nghiêm.</t>
  </si>
  <si>
    <t>So với trước đây, thủ tục khai báo thuế đã được đơn giản hóa và quy trình làm việc với cơ quan thuế thuận tiện hơn, giúp tiết kiệm thời gian cho người dân.</t>
  </si>
  <si>
    <t>Biểu thuế mới có ít bậc hơn, dễ dàng áp dụng và tính toán, giúp tôi dễ hiểu và thực hiện hơn so với trước đây.</t>
  </si>
  <si>
    <t>Tôi tin rằng Nhà nước sẽ thực thi chính sách một cách công bằng và khách quan cho mọi người nộp thuế, đảm bảo sự bình đẳng trong việc đóng góp vào ngân sách nhà nước.</t>
  </si>
  <si>
    <t>Mức thuế mới giảm so với trước đây, tôi cảm thấy đây là mức hợp lý cho thu nhập của mình. Điều này làm tăng niềm tin về tính công bằng của chính sách mới.</t>
  </si>
  <si>
    <t>Thuế đóng góp vào việc cải thiện các dịch vụ công như y tế, giao thông... do đó tôi tin rằng số tiền thuế tôi đóng sẽ được sử dụng hiệu quả.</t>
  </si>
  <si>
    <t>Nhà nước đã giải thích rõ ràng về mục tiêu và lý do của việc sửa đổi chính sách thuế này, điều này làm tăng sự minh bạch và tin tưởng vào quyết định của họ.</t>
  </si>
  <si>
    <t>Dựa trên các lợi ích về tài chính và thủ tục thuận tiện hơn, tôi ủng hộ và sẽ tuân thủ chính sách mới này.</t>
  </si>
  <si>
    <t>Dù có công nghệ hỗ trợ, nhưng tôi vẫn nghi ngờ việc phát hiện trốn thuế hiệu quả vì chưa rõ quy định quản lý thuế cụ thể.</t>
  </si>
  <si>
    <t>Công nghệ hiện đại giúp phát hiện gian lận dễ dàng hơn, tuy nhiên, nếu không có quy định cụ thể thì khả năng thực thi vẫn còn hạn chế.</t>
  </si>
  <si>
    <t>Quy trình khai thuế và làm việc với cơ quan thuế đã đơn giản hơn so với trước đây. Việc giảm trừ gia cảnh tăng giúp thuận tiện hơn.</t>
  </si>
  <si>
    <t>Các bậc thuế mới rõ ràng, dễ hiểu hơn so với trước đây, giúp tôi nắm bắt và thực hiện nhanh chóng.</t>
  </si>
  <si>
    <t>Tôi tin rằng Nhà nước sẽ công tâm trong việc thực thi chính sách mới nhưng cần có quy định cụ thể về quản lý thuế để đảm bảo.</t>
  </si>
  <si>
    <t>Mức giảm trừ gia cảnh và bậc thuế mới giúp tôi thấy mức đóng thuế hợp lý, phù hợp với thu nhập của mình.</t>
  </si>
  <si>
    <t>Thuế sẽ được sử dụng hiệu quả để cải thiện dịch vụ công, tôi tin tưởng vào việc này khi có thông tin minh bạch từ Nhà nước.</t>
  </si>
  <si>
    <t>Nhà nước đã giải thích rõ về mục tiêu và lý do của chính sách mới, giúp tôi hiểu và ủng hộ hơn.</t>
  </si>
  <si>
    <t>Sau khi xem xét các quyền lợi và nghĩa vụ theo chính sách mới, tôi đồng ý ủng hộ và tuân thủ vì giảm trừ gia cảnh tăng và bậc thuế rõ ràng hơn.</t>
  </si>
  <si>
    <t>Trình tự khai báo thuế đơn giản hơn trước đây, giúp người dân dễ dàng thực hiện hơn. Tuy nhiên, quy trình làm việc với cơ quan thuế vẫn còn phức tạp.</t>
  </si>
  <si>
    <t>Các bậc thuế mới đơn giản hóa và dễ hiểu, giảm độ phức tạp so với trước đây, giúp người dân dễ dàng tính toán.</t>
  </si>
  <si>
    <t>Nhà nước đã công bố rõ ràng về chính sách mới, tuy nhiên, việc thực thi vẫn phụ thuộc vào nhiều yếu tố khác như nguồn lực quản lý thuế.</t>
  </si>
  <si>
    <t>Mức thuế mới được giảm đáng kể so với trước đây, phù hợp hơn với thu nhập hiện tại của tôi. Điều này tăng sự công bằng trong việc đóng thuế.</t>
  </si>
  <si>
    <t>Thuế mới được sử dụng để cải thiện các dịch vụ công như y tế và giao thông, tuy nhiên, hiệu quả cụ thể còn phụ thuộc vào quản lý ngân sách nhà nước.</t>
  </si>
  <si>
    <t>Nhà nước đã giải thích rõ ràng về mục tiêu của việc cải cách thuế, tạo sự minh bạch trong chính sách.</t>
  </si>
  <si>
    <t>Sau khi xem xét các quyền lợi và nghĩa vụ mới, tôi ủng hộ và sẽ tuân thủ chính sách mới do mức giảm trừ gia cảnh lớn và cách tính thuế đơn giản hơn trước đây.</t>
  </si>
  <si>
    <t>Như đã nêu trên, các quy định mới dự kiến sẽ tăng cường khả năng phát hiện và xử lý trốn thuế nhờ việc đơn giản hóa biểu thuế.</t>
  </si>
  <si>
    <t>So với trước đây, thủ tục khai báo thuế trở nên dễ dàng hơn và nhanh chóng hơn, do đó tôi đồng ý với FAC1.</t>
  </si>
  <si>
    <t>Biểu thuế đơn giản hóa đã giúp việc tính thuế rõ ràng hơn, giảm độ phức tạp, từ đó tăng điểm cho FAC2.</t>
  </si>
  <si>
    <t>Tôi tin rằng Nhà nước sẽ thực thi chính sách một cách công bằng và khách quan, do sự đơn giản hóa quy trình đã giảm thiểu khả năng thiên vị.</t>
  </si>
  <si>
    <t>Sau khi xem xét các thay đổi, mức thuế mới cho thấy sự công bằng đối với thu nhập của tôi và người cùng ngành nghề khác</t>
  </si>
  <si>
    <t>Thuế tôi đóng sẽ được sử dụng hiệu quả để cải thiện dịch vụ công, do đó tôi tin tưởng vào việc này.</t>
  </si>
  <si>
    <t>Nhà nước đã giải thích rõ ràng về mục tiêu của chính sách mới thông qua các kênh truyền thông chính thức</t>
  </si>
  <si>
    <t>Với việc cải cách thuế, tôi đồng ý và sẽ tuân thủ chính sách mới vì nó có lợi cho tôi và công bằng hơn.</t>
  </si>
  <si>
    <t>Dù luật mới có đơn giản hóa biểu thuế, nhưng tôi vẫn tin rằng cơ quan thuế sẽ phát hiện và xử lý các hành vi gian lận hoặc trốn thuế. Thuế là trách nhiệm của mỗi cá nhân.</t>
  </si>
  <si>
    <t>Nhà nước và cơ quan thuế đã đầu tư công nghệ để phát hiện, xử lý các hành vi không tuân thủ pháp luật về thuế.</t>
  </si>
  <si>
    <t>So với trước đây, quy trình khai báo thuế trở nên đơn giản hơn nhiều, tiết kiệm thời gian và công sức.</t>
  </si>
  <si>
    <t>Biểu thuế mới có ít bậc hơn nhưng vẫn dễ hiểu, dễ thực hiện. Việc giảm trừ gia cảnh tăng lên cũng giúp tính toán nhanh chóng hơn.</t>
  </si>
  <si>
    <t>Tôi tin rằng Nhà nước sẽ thực thi chính sách một cách công bằng và khách quan cho tất cả mọi người nộp thuế, không phân biệt ai.</t>
  </si>
  <si>
    <t>Thuế mới theo phương án này là hợp lý. Thu nhập của tôi chỉ ở mức trung bình nên việc đóng thuế như vậy là công bằng.</t>
  </si>
  <si>
    <t>Tôi tin rằng số tiền thuế mình đóng sẽ được sử dụng hiệu quả để cải thiện các dịch vụ công và cơ sở hạ tầng.</t>
  </si>
  <si>
    <t>Nhà nước đã giải thích rõ ràng về mục tiêu của việc sửa đổi chính sách thuế lần này, giúp tôi hiểu rõ hơn.</t>
  </si>
  <si>
    <t>Tôi ủng hộ và tuân thủ chính sách mới hiện nay vì nó đơn giản hóa quy trình khai báo, giảm trừ gia cảnh nhiều hơn và công bằng cho người thu nhập trung bình như tôi.</t>
  </si>
  <si>
    <t>Các quy định quản lý thuế hiện nay đã được cải thiện, tuy nhiên do tôi không có kiến thức chuyên môn sâu về lĩnh vực này nên chưa thể đánh giá cao.</t>
  </si>
  <si>
    <t>Nhà nước và cơ quan thuế có khả năng công nghệ tốt để phát hiện hành vi trốn thuế, nhưng vẫn cần cải thiện thêm.</t>
  </si>
  <si>
    <t>So với trước đây, quy trình khai báo thuế trở nên đơn giản hơn nhiều, thuận tiện cho người nộp thuế.</t>
  </si>
  <si>
    <t>Các bậc thuế mới đơn giản hóa đáng kể so với trước đây, dễ hiểu và thực hiện dễ dàng hơn.</t>
  </si>
  <si>
    <t>Tôi tin rằng Nhà nước sẽ thực thi chính sách một cách công bằng, nhưng vẫn có nghi ngờ nhỏ về việc xử lý cụ thể.</t>
  </si>
  <si>
    <t>Mức thuế mới theo tôi là hợp lý và công bằng, giảm gánh nặng tài chính so với trước đây.</t>
  </si>
  <si>
    <t>Thuế tôi đóng sẽ được sử dụng hiệu quả để cải thiện dịch vụ công, tăng Niềm tin vào Nhà nước.</t>
  </si>
  <si>
    <t>Nhà nước đã giải thích rõ ràng về mục tiêu và lý do của việc sửa đổi thuế lần này, tạo niềm tin với người dân.</t>
  </si>
  <si>
    <t>Đối với tôi, chính sách mới là một bước tiến đáng kể, giảm gánh nặng tài chính và tăng Niềm tin vào Nhà nước.</t>
  </si>
  <si>
    <t>Thuế hiện nay có nhiều biện pháp kiểm soát, nhưng không phải lúc nào cũng hiệu quả.</t>
  </si>
  <si>
    <t>Cơ quan thuế có công nghệ và nguồn lực để phát hiện gian lận, nhưng tình hình thực tế chưa luôn như lý thuyết.</t>
  </si>
  <si>
    <t>Quy trình khai báo thuế trở nên đơn giản hơn với mức giảm trừ gia cảnh cao hơn. Tuy nhiên, vẫn còn một số thủ tục cần cải thiện.</t>
  </si>
  <si>
    <t>Biểu thuế mới rõ ràng và dễ hiểu hơn so với trước đây, điều này giúp việc tính toán thuế trở nên đơn giản hơn.</t>
  </si>
  <si>
    <t>Tôi tin rằng Nhà nước sẽ thực thi chính sách một cách công bằng, nhưng vẫn có nghi ngại về khả năng thực hiện.</t>
  </si>
  <si>
    <t>Mức thuế mới được giảm đáng kể so với trước đây, do đó tôi cảm thấy hợp lý và công bằng hơn.</t>
  </si>
  <si>
    <t>Thuế tôi đóng sẽ góp vào việc cải thiện dịch vụ công, nhưng không biết cụ thể như thế nào.</t>
  </si>
  <si>
    <t>Nhà nước đã giải thích rõ ràng về mục tiêu của chính sách mới, nhưng vẫn cần thêm minh bạch hơn trong thực thi.</t>
  </si>
  <si>
    <t>Tôi ủng hộ và tuân thủ chính sách mới vì nó giúp tôi tiết kiệm được nhiều tiền thuế. Tuy nhiên, tôi hy vọng sẽ có cải tiến về mặt quản lý thuế.</t>
  </si>
  <si>
    <t>Dù mức thuế giảm, tôi vẫn tin rằng cơ quan thuế có đủ khả năng kiểm soát. Tuy nhiên, việc quản lý thuế cần thêm thời gian để hiệu quả.</t>
  </si>
  <si>
    <t>Công nghệ hiện đại của nhà nước đã giúp cải thiện đáng kể khả năng phát hiện hành vi trốn thuế.</t>
  </si>
  <si>
    <t>So với trước đây, quá trình khai báo thuế và giao tiếp với cơ quan thuế trở nên dễ dàng hơn.</t>
  </si>
  <si>
    <t>Biểu thuế đơn giản hóa giúp việc tính toán thu nhập chịu thuế dễ dàng hơn nhiều</t>
  </si>
  <si>
    <t>Tôi tin rằng cơ quan thuế sẽ thực hiện chính sách một cách công bằng, nhưng cần thêm thời gian để chứng minh.</t>
  </si>
  <si>
    <t>Mức thuế mới giảm đáng kể so với trước đây, tôi cảm thấy mức này là hợp lý cho thu nhập của mình</t>
  </si>
  <si>
    <t>Thuế tôi đóng sẽ được sử dụng hiệu quả để cải thiện dịch vụ công, nhưng cần thêm thông tin về cách sử dụng cụ thể.</t>
  </si>
  <si>
    <t>Nhà nước đã giải thích rõ ràng mục tiêu của việc sửa đổi thuế, tôi ủng hộ</t>
  </si>
  <si>
    <t>Tôi sẽ tuân thủ và ủng hộ chính sách mới do lợi ích tài chính đáng kể.</t>
  </si>
  <si>
    <t>Dù cơ quan thuế có công nghệ phát hiện trốn thuế, nhưng mức giảm trừ gia cảnh cao và số bậc thuế đơn giản hơn khiến hành vi gian lận khó được phát hiện.</t>
  </si>
  <si>
    <t>Nhà nước đã đầu tư vào công nghệ quản lý thuế, tuy nhiên, việc gian lận hoặc trốn thuế vẫn có thể xảy ra do sự phức tạp của hệ thống tài chính cá nhân.</t>
  </si>
  <si>
    <t>Thủ tục khai báo thuế đơn giản hơn với mức giảm trừ gia cảnh cao, nhưng vẫn cần thời gian để quen thuộc.</t>
  </si>
  <si>
    <t>Cách tính thuế và các bậc thuế mới dễ hiểu, thuận tiện cho người nộp thuế. Việc đơn giản hóa biểu thuế góp phần tăng sự thuận lợi trong việc khai báo thuế.</t>
  </si>
  <si>
    <t>Tôi tin rằng Nhà nước sẽ thực thi chính sách một cách khách quan, công bằng và đối xử bình đẳng với mọi người nộp thuế. Việc cải cách giảm trừ gia cảnh giúp đảm bảo tính công bằng.</t>
  </si>
  <si>
    <t>Mức thuế mới phù hợp với thu nhập của tôi, giảm gánh nặng tài chính mà vẫn đảm bảo sự công bằng đối với các nhóm khác có thu nhập tương đương.</t>
  </si>
  <si>
    <t>Tôi tin rằng số tiền thuế đóng sẽ được sử dụng hiệu quả để cải thiện dịch vụ công. Việc cải cách thuế giúp nâng cao chất lượng cuộc sống cho người dân.</t>
  </si>
  <si>
    <t>Nhà nước đã giải thích rõ ràng về mục tiêu và lý do của việc sửa đổi chính sách thuế, tuy nhiên, cần thêm thông tin chi tiết để mọi người hiểu rõ hơn.</t>
  </si>
  <si>
    <t>Tôi ủng hộ và tuân thủ chính sách mới vì nó giúp giảm gánh nặng tài chính và mang lại sự công bằng. Tuy nhiên, tôi vẫn mong muốn có thêm thông tin về cách sử dụng số tiền thuế thu được.</t>
  </si>
  <si>
    <t>Việc tăng giảm trừ gia cảnh và đơn giản hóa biểu thuế có thể làm giảm khả năng phát hiện hành vi gian lận, nhưng cơ quan thuế vẫn có đủ khả năng xử lý nghiêm các trường hợp vi phạm.</t>
  </si>
  <si>
    <t>Cơ quan thuế có công nghệ và nguồn lực để giám sát hoạt động tài chính của cá nhân, do đó việc phát hiện và xử lý trốn thuế là khả thi.</t>
  </si>
  <si>
    <t>Quy trình khai báo thuế trở nên đơn giản hơn khi giảm số bậc thuế, nhưng vẫn cần thời gian để quen với các thay đổi mới.</t>
  </si>
  <si>
    <t>Biểu thuế được đơn giản hóa và dễ hiểu hơn, giúp việc tính thuế trở nên thuận tiện hơn cho người dân</t>
  </si>
  <si>
    <t>Tôi tin rằng cơ quan thuế sẽ thực thi chính sách một cách công bằng, nhưng cần thời gian để kiểm chứng hiệu quả.</t>
  </si>
  <si>
    <t>Mức thuế mới phù hợp với thu nhập của tôi và giảm trừ gia cảnh cũng tăng lên, tạo cảm giác công bằng hơn</t>
  </si>
  <si>
    <t>Thuế đóng góp vào cải thiện dịch vụ công là điều cần thiết, nhưng hiệu quả sử dụng nguồn lực còn phụ thuộc vào quản lý.</t>
  </si>
  <si>
    <t>Nhà nước đã giải thích rõ về mục tiêu của chính sách mới và tôi tin rằng các thông tin này đã được cung cấp đầy đủ</t>
  </si>
  <si>
    <t>Tôi ủng hộ chính sách mới dựa trên lợi ích tài chính và tính đơn giản hóa, đồng thời hy vọng nó sẽ phát huy hiệu quả trong thực tế.</t>
  </si>
  <si>
    <t>Thuế thu nhập cá nhân mới có nhiều biện pháp quản lý và giám sát, nhưng việc thực thi vẫn phụ thuộc vào sự hiệu quả của cơ quan thuế.</t>
  </si>
  <si>
    <t>Cơ quan thuế đã đầu tư công nghệ để cải thiện khả năng phát hiện trốn thuế, tuy nhiên, việc này cần thời gian để chứng minh hiệu quả.</t>
  </si>
  <si>
    <t>Quy trình khai báo và làm việc với cơ quan thuế trở nên đơn giản hơn, thuận tiện cho người dân. Tuy nhiên, vẫn còn một số thủ tục cần tối ưu hóa.</t>
  </si>
  <si>
    <t>Biểu thuế mới đơn giản hơn, dễ hiểu và thực hiện nhanh chóng hơn so với trước đây.</t>
  </si>
  <si>
    <t>Tôi tin rằng Nhà nước sẽ thực thi chính sách một cách công bằng và khách quan. Việc tăng giảm trừ gia cảnh giúp tạo ra sự công bằng trong việc đóng thuế.</t>
  </si>
  <si>
    <t>Mức thuế mới cho tôi là phù hợp, giảm từ 1,511,479 VNĐ/tháng xuống còn 438,826 VNĐ/tháng, giúp tiết kiệm được 1,072,653 VNĐ/tháng.</t>
  </si>
  <si>
    <t>Thuế tôi đóng sẽ được sử dụng hiệu quả để cải thiện chất lượng dịch vụ công, như y tế và giao thông.</t>
  </si>
  <si>
    <t>Nhà nước đã giải thích rõ ràng về mục tiêu của việc sửa đổi thuế mới. Tuy nhiên, cần thêm thông tin chi tiết về cách sử dụng nguồn thu từ thuế để tăng thêm niềm tin.</t>
  </si>
  <si>
    <t>Tôi ủng hộ và tuân thủ chính sách mới vì nó giúp tôi tiết kiệm được một khoản tiền đáng kể và quy trình đóng thuế trở nên đơn giản hơn.</t>
  </si>
  <si>
    <t>Mức thuế giảm đi và số tiền được trừ gia cảnh tăng, do đó tôi thấy mức thuế này là công bằng đối với thu nhập của mình.</t>
  </si>
  <si>
    <t>Số tiền thuế đóng sẽ được sử dụng hiệu quả để cải thiện dịch vụ công, do đó tôi có niềm tin vào việc sử dụng nguồn lực này.</t>
  </si>
  <si>
    <t>Nhà nước đã giải thích rõ ràng về mục tiêu và lý do của việc sửa đổi thuế, do đó tôi cảm thấy chính sách mới là cần thiết.</t>
  </si>
  <si>
    <t>Sau khi xem xét tác động tài chính tích cực và sự đơn giản hóa quy định, tôi ủng hộ và tuân thủ chính sách mới.</t>
  </si>
  <si>
    <t>Hiện nay cơ quan thuế có nhiều công cụ và hệ thống để phát hiện hành vi gian lận, như Cổng thông tin điện tử thuế. Tuy nhiên, vẫn còn những rủi ro về khả năng trốn thuế do các biện pháp quản lý chưa hoàn thiện.</t>
  </si>
  <si>
    <t>Cơ quan thuế đã cải tiến công nghệ và quy trình làm việc, nhưng khả năng phát hiện gian lận vẫn phụ thuộc vào nguồn lực và sự quyết tâm của cơ quan quản lý.</t>
  </si>
  <si>
    <t>Trình tự khai báo thuế trở nên đơn giản hơn với mức giảm trừ gia cảnh cao hơn. Tuy nhiên, vẫn cần thêm thời gian để người dân quen thuộc với quy trình mới.</t>
  </si>
  <si>
    <t>Biểu thuế được rút gọn và dễ hiểu hơn, giúp tính toán nhanh chóng và chính xác. Điều này làm giảm rủi ro sai sót cho người nộp thuế.</t>
  </si>
  <si>
    <t>Tôi tin rằng cơ quan thuế sẽ thực thi chính sách một cách công bằng, nhưng vẫn cần thêm thời gian để thấy rõ hiệu quả của các quy định mới.</t>
  </si>
  <si>
    <t>Mức thuế tôi phải đóng phù hợp với thu nhập hiện tại. Tuy nhiên, mức giảm trừ gia cảnh cao hơn giúp tôi tiết kiệm một số tiền đáng kể.</t>
  </si>
  <si>
    <t>Thuế tôi đóng sẽ được sử dụng hiệu quả để cải thiện dịch vụ công. Điều này tăng niềm tin vào việc quản lý ngân sách của nhà nước.</t>
  </si>
  <si>
    <t>Nhà nước đã giải thích rõ ràng về mục tiêu và phương án mới, giúp tôi hiểu được các thay đổi. Tuy nhiên, vẫn cần thêm thông tin cụ thể về cách sử dụng số tiền thuế thu được.</t>
  </si>
  <si>
    <t>Tôi ủng hộ chính sách mới vì nó giúp giảm gánh nặng tài chính và cải thiện sự công bằng trong việc phân bổ thuế. Tôi sẽ tuân thủ các quy định mới.</t>
  </si>
  <si>
    <t>Hiện nay, với sự phát triển của công nghệ và hệ thống quản lý thuế, tôi cho rằng khả năng phát hiện hành vi gian lận hoặc trốn thuế đã được cải thiện đáng kể. Các cơ quan thuế có nhiều cách để kiểm soát, như hệ thống hóa đơn điện tử, thông tin cá nhân từ các tổ chức khác, v.v.</t>
  </si>
  <si>
    <t>Nhà nước và cơ quan thuế đã đầu tư vào công nghệ và nguồn lực để nâng cao hiệu quả quản lý thuế. Điều này làm tăng khả năng phát hiện và xử lý các hành vi không tuân thủ.</t>
  </si>
  <si>
    <t>Quy trình khai báo thuế trở nên đơn giản hơn, đặc biệt là với việc áp dụng giảm trừ gia cảnh cao hơn. Điều này giúp người dân dễ dàng thực hiện hơn so với trước đây.</t>
  </si>
  <si>
    <t>Biểu thuế mới đơn giản hóa các bậc thuế và ngưỡng chịu thuế, làm cho việc tính toán thuế trở nên dễ dàng hơn và minh bạch hơn</t>
  </si>
  <si>
    <t>Tôi tin rằng Nhà nước sẽ thực thi chính sách một cách công bằng và khách quan. Điều này thể hiện qua sự đơn giản hóa quy trình và việc giảm trừ gia cảnh cao hơn.</t>
  </si>
  <si>
    <t>Với mức thuế mới, tôi thấy rằng mình được hưởng lợi từ những thay đổi tích cực, do đó cảm thấy công bằng về việc đóng thuế</t>
  </si>
  <si>
    <t>Thuế tôi đóng sẽ được sử dụng hiệu quả để cải thiện các dịch vụ công. Điều này tăng niềm tin của tôi vào việc nhà nước quản lý nguồn lực một cách minh bạch.</t>
  </si>
  <si>
    <t>Nhà nước đã giải thích rõ ràng về mục tiêu và lý do của việc cải cách thuế, điều này làm tăng sự tin tưởng của tôi</t>
  </si>
  <si>
    <t>Tổng hợp các điểm trên, tôi ủng hộ và tuân thủ chính sách mới. Nó không chỉ đơn giản hóa quy trình mà còn công bằng hơn cho người dân.</t>
  </si>
  <si>
    <t>Việc tăng mức giảm trừ gia cảnh và đơn giản hóa biểu thuế có thể làm giảm động cơ gian lận, nhưng vẫn cần sự giám sát chặt chẽ từ phía nhà nước để đảm bảo thực thi.</t>
  </si>
  <si>
    <t>Cơ quan thuế đã áp dụng công nghệ hiện đại trong quản lý thuế, tuy nhiên vẫn còn phụ thuộc vào việc kiểm soát nguồn thông tin của người nộp thuế.</t>
  </si>
  <si>
    <t>Thủ tục khai báo và quy trình làm việc với cơ quan thuế đã đơn giản hóa so với trước đây, nhưng vẫn có thể cải thiện hơn nữa.</t>
  </si>
  <si>
    <t>Biểu thuế mới đã đơn giản hóa nhiều so với trước đây, dễ hiểu và thực hiện hơn, giúp tôi không còn cảm thấy bối rối khi tính thuế.</t>
  </si>
  <si>
    <t>Tôi tin rằng nhà nước sẽ thực thi chính sách một cách công bằng vì mức thuế mới giảm đáng kể so với trước đây, tạo ra sự công bằng giữa các đối tượng nộp thuế.</t>
  </si>
  <si>
    <t>Mức thuế mới là hợp lý cho thu nhập của tôi và những người có cùng trình độ học vấn và nghề nghiệp như tôi.</t>
  </si>
  <si>
    <t>Tiền thuế của tôi sẽ được sử dụng hiệu quả để cải thiện các dịch vụ công, điều này tạo nên sự tin tưởng về việc sử dụng tiền thuế một cách minh bạch.</t>
  </si>
  <si>
    <t>Nhà nước đã giải thích rõ ràng về mục tiêu và lý do của việc sửa đổi chính sách thuế, tạo ra niềm tin về quyết định này.</t>
  </si>
  <si>
    <t>Hiện nay, cơ quan thuế có nhiều công cụ và công nghệ để phát hiện trốn thuế. Với mức giảm trừ gia cảnh cao hơn, việc phát hiện hành vi trốn thuế sẽ trở nên khó khăn hơn nhưng không phải là không thể.</t>
  </si>
  <si>
    <t>Cơ quan thuế có đủ nguồn lực và công nghệ để quản lý và xử lý nghiêm các trường hợp gian lận hoặc trốn thuế. Tuy nhiên, vẫn cần sự giám sát chặt chẽ từ phía công dân.</t>
  </si>
  <si>
    <t>So với trước đây, quy trình khai báo thuế đã đơn giản hơn nhiều, đặc biệt là với việc giảm số bậc thuế. Người dân dễ dàng làm theo hướng dẫn hơn và không còn cảm thấy bị rối rắm.</t>
  </si>
  <si>
    <t>Phương án mới có ít bậc thuế hơn, điều này giúp người dân tính toán thu nhập của mình một cách dễ dàng. Tuy nhiên, việc hiểu rõ về các quy định vẫn cần thời gian để làm quen.</t>
  </si>
  <si>
    <t>Tôi tin rằng cơ quan thuế sẽ thực thi chính sách này công bằng và khách quan đối với mọi người dân. Các biện pháp mới giúp giảm tải cho người dân, tạo sự công bằng trong việc đóng thuế.</t>
  </si>
  <si>
    <t>Với mức thu nhập của tôi, các bậc thuế mới giúp giảm gánh nặng tài chính đáng kể. Điều này thể hiện tính công bằng trong việc phân chia trách nhiệm đóng góp cho xã hội.</t>
  </si>
  <si>
    <t>Những khoản tiền thuế mà tôi đóng sẽ được sử dụng hiệu quả để cải thiện các dịch vụ công, từ đó mang lại lợi ích cho người dân như tôi. Điều này tăng niềm tin vào việc sử dụng tài chính một cách minh bạch.</t>
  </si>
  <si>
    <t>Tôi thấy rằng Nhà nước đã giải thích rõ ràng về mục tiêu của cải cách thuế, và các thông tin này được công bố rộng rãi trên truyền thông. Điều này tạo ra sự minh bạch và niềm tin vào quyết định của chính phủ.</t>
  </si>
  <si>
    <t>Sau khi xem xét những lợi ích mà chính sách mới mang lại, tôi ủng hộ và sẵn lòng tuân thủ các quy định mới. Việc giảm gánh nặng tài chính giúp tôi tập trung hơn vào việc phát triển bản thân và công việc.</t>
  </si>
  <si>
    <t>Nhà nước đã nâng cao mức giảm trừ gia cảnh và đơn giản hóa biểu thuế, giảm nguy cơ gian lận. Điều này cho thấy khả năng phát hiện trốn thuế sẽ dễ dàng hơn.</t>
  </si>
  <si>
    <t>Trang thiết bị và công nghệ của cơ quan thuế đã được cải thiện đáng kể trong thời gian gần đây, giúp họ có thể theo dõi sát sao hơn về các hoạt động tài chính cá nhân.</t>
  </si>
  <si>
    <t>Quy trình khai báo thuế trở nên đơn giản và thuận tiện hơn nhiều so với trước đây. Đặc biệt là việc giảm số bậc thuế từ 7 xuống còn 5, giúp người dân dễ dàng nắm bắt.</t>
  </si>
  <si>
    <t>Biểu thuế mới đơn giản hóa quy trình tính toán, ngưỡng chịu thuế rõ ràng hơn và tạo thuận lợi cho việc thực hiện nghĩa vụ thuế.</t>
  </si>
  <si>
    <t>Nhà nước đã cải thiện đáng kể về công bằng trong việc áp dụng thuế thông qua việc tăng mức giảm trừ gia cảnh và đơn giản hóa biểu thuế.</t>
  </si>
  <si>
    <t>Mức thuế mới được thiết kế phù hợp với thu nhập của tôi, cho thấy sự công bằng trong việc phân bổ gánh nặng thuế</t>
  </si>
  <si>
    <t>Thuế đóng góp vào các dịch vụ công như y tế và đường xá, tôi tin rằng số tiền thuế sẽ được sử dụng hiệu quả.</t>
  </si>
  <si>
    <t>Nhà nước đã giải thích rõ ràng về lý do và mục tiêu của việc cải cách thuế lần này, tạo niềm tin cho người dân.</t>
  </si>
  <si>
    <t>Tôi ủng hộ chính sách mới vì nó đơn giản hóa quy trình nộp thuế và giảm gánh nặng tài chính cho tôi</t>
  </si>
  <si>
    <t>Biểu thuế đơn giản hơn rất nhiều, giúp tôi hiểu rõ hơn về cách tính và không còn cảm thấy bị rối bởi nhiều bậc thuế.</t>
  </si>
  <si>
    <t>Tôi tin rằng Nhà nước sẽ thực thi chính sách một cách công tâm. Mức thuế mới được giảm đáng kể, tạo niềm tin vào sự công bằng trong việc đánh giá thu nhập.</t>
  </si>
  <si>
    <t>Mức thuế mới phù hợp với thu nhập của tôi và người khác có cùng mức độ phụ thuộc, đảm bảo tính công bằng.</t>
  </si>
  <si>
    <t>Thuê đóng góp vào việc cải thiện các dịch vụ công như y tế, giáo dục, hạ tầng... giúp tôi cảm thấy mình đang góp phần xây dựng đất nước.</t>
  </si>
  <si>
    <t>Nhà nước đã giải thích rõ ràng mục tiêu của chính sách mới. Tuy nhiên, việc cải cách thuế cần sự tham gia tích cực từ người dân để tạo ra sự tin tưởng.</t>
  </si>
  <si>
    <t>Dù có một số lo ngại về khả năng phát hiện trốn thuế, nhưng lợi ích tài chính rõ ràng đã khiến tôi ủng hộ và tuân thủ chính sách mới.</t>
  </si>
  <si>
    <t>Quy trình khai báo thuế trở nên đơn giản hơn nhưng vẫn có thể phức tạp với người không am hiểu về luật thuế.</t>
  </si>
  <si>
    <t>Phương án mới đơn giản hóa biểu thuế, dễ hiểu và thực hiện hơn so với trước đây.</t>
  </si>
  <si>
    <t>Tôi hy vọng cơ quan thuế sẽ công tâm trong việc áp dụng chính sách mới nhưng vẫn có nghi ngờ về khả năng thực thi.</t>
  </si>
  <si>
    <t>Tác động tài chính tích cực đã làm giảm gánh nặng thuế, giúp tôi thấy mức thuế mới là hợp lý.</t>
  </si>
  <si>
    <t>Tôi tin rằng số tiền thuế đóng sẽ được sử dụng hiệu quả để cải thiện dịch vụ công nhưng vẫn có sự nghi ngờ.</t>
  </si>
  <si>
    <t>Nhà nước đã giải thích rõ ràng về mục tiêu của việc sửa đổi thuế, nhưng vẫn cần thêm minh bạch hơn.</t>
  </si>
  <si>
    <t>Sau khi xem xét các quyền lợi và nghĩa vụ, tôi ủng hộ chính sách mới vì giảm gánh nặng thuế.</t>
  </si>
  <si>
    <t>Với việc cải cách thuế, các quy định quản lý thuế hiện nay có nhiều biện pháp mạnh mẽ hơn để phát hiện hành vi gian lận hoặc trốn thuế. Điều này làm tăng niềm tin rằng những người vi phạm sẽ bị xử lý nghiêm.</t>
  </si>
  <si>
    <t>Nhà nước và cơ quan thuế đã đầu tư công nghệ cao để cải thiện khả năng phát hiện, xử lý trốn thuế. Điều này thể hiện trách nhiệm của Nhà nước trong việc bảo vệ lợi ích chung.</t>
  </si>
  <si>
    <t>Việc đơn giản hóa quy trình khai báo và làm việc với cơ quan thuế đã giúp quá trình trở nên thuận tiện hơn nhiều so với trước đây. Các bước giảm trừ gia cảnh cũng dễ dàng thực hiện hơn.</t>
  </si>
  <si>
    <t>Biểu thuế mới có ít bậc hơn, đơn giản hóa quy trình tính thuế. Điều này giúp người dân hiểu và áp dụng chính sách một cách dễ dàng hơn.</t>
  </si>
  <si>
    <t>Nhà nước đã công bố rõ ràng về cơ sở của việc cải cách, thể hiện sự khách quan trong quá trình thực thi. Điều này tăng niềm tin vào tính công bằng của chính sách mới.</t>
  </si>
  <si>
    <t>Sau khi xem xét mức thuế và quyền lợi mới, tôi thấy rằng mức thuế mới là hợp lý cho thu nhập của mình. Việc giảm trừ gia cảnh tăng lên cũng giúp giảm gánh nặng về mặt tài chính.</t>
  </si>
  <si>
    <t>Việc sử dụng số tiền đóng thuế vào cải thiện dịch vụ công như y tế, đường xá... làm tôi cảm thấy mình đóng góp cho sự phát triển chung của đất nước.</t>
  </si>
  <si>
    <t>Nhà nước đã giải thích rõ ràng về mục tiêu và lý do của việc cải cách thuế, tạo nên sự minh bạch trong quá trình thực hiện chính sách mới.</t>
  </si>
  <si>
    <t>Trong tổng thể, tôi ủng hộ chính sách mới bởi vì nó đơn giản hơn, công bằng hơn và giúp giảm gánh nặng về mặt tài chính. Tôi sẽ tuân thủ quy định mới để đóng góp cho sự phát triển chung.</t>
  </si>
  <si>
    <t>Khả năng của Nhà nước trong việc xử lý trốn thuế đã được nâng cao, nhưng vấn đề về nguồn lực vẫn còn tồn tại.</t>
  </si>
  <si>
    <t>Biểu thuế được đơn giản hóa từ 7 bậc xuống còn 5 bậc, dễ hiểu và dễ thực hiện hơn</t>
  </si>
  <si>
    <t>Tôi tin rằng Nhà nước sẽ công tâm trong việc thực thi chính sách mới, nhưng vẫn cần có sự minh bạch và giám sát chặt chẽ.</t>
  </si>
  <si>
    <t>Thuế tôi phải đóng theo phương án mới là hợp lý, giảm trừ gia cảnh tăng lên giúp tôi tiết kiệm được một khoản tiền đáng kể</t>
  </si>
  <si>
    <t>Số thuế mà tôi đóng sẽ được sử dụng hiệu quả để cải thiện dịch vụ công, nhưng cần có thêm thông tin về cách sử dụng số tiền này.</t>
  </si>
  <si>
    <t>Nhà nước đã giải thích rõ ràng về mục tiêu của việc sửa đổi thuế, nhưng vẫn cần thêm thông tin chi tiết hơn</t>
  </si>
  <si>
    <t>Tôi ủng hộ và tuân thủ chính sách mới vì nó mang lại lợi ích tài chính cho tôi và đơn giản hóa quy trình làm việc với cơ quan thuế.</t>
  </si>
  <si>
    <t>Điểm số này được đánh giá thấp vì mặc dù có các quy định quản lý thuế, nhưng thực tế việc phát hiện và xử lý gian lận hoặc trốn thuế vẫn gặp nhiều khó khăn. Cơ quan thuế cần nâng cao khả năng giám sát.</t>
  </si>
  <si>
    <t>Điểm số này được đánh giá trung bình vì Nhà nước và cơ quan thuế đã tăng cường công nghệ để phát hiện, xử lý gian lận, nhưng việc thực thi vẫn còn nhiều thách thức.</t>
  </si>
  <si>
    <t>Điểm số này được đánh giá cao vì quy trình làm việc với cơ quan thuế và khai báo thuế đã đơn giản hơn so với trước đây, dễ dàng thực hiện hơn.</t>
  </si>
  <si>
    <t>Điểm số này được đánh giá rất cao vì cách tính thuế mới đơn giản, rõ ràng hơn nhiều so với trước đây, giảm bớt sự phức tạp và khó hiểu cho người dân.</t>
  </si>
  <si>
    <t>Điểm số này được đánh giá cao vì tôi tin rằng Nhà nước sẽ thực thi chính sách một cách công bằng và khách quan. Việc tăng giảm trừ gia cảnh giúp tạo cảm giác công bằng hơn.</t>
  </si>
  <si>
    <t>Điểm số này được đánh giá rất cao vì mức thuế mới phù hợp với thu nhập của tôi, cho thấy tính công bằng trong việc phân bổ gánh nặng thuế</t>
  </si>
  <si>
    <t>Điểm số này được đánh giá cao vì tôi tin rằng tiền thuế đóng góp sẽ được sử dụng hiệu quả để cải thiện dịch vụ công. Việc tăng mức giảm trừ gia cảnh cũng tạo cảm giác hài lòng về việc đóng góp.</t>
  </si>
  <si>
    <t>Điểm số này được đánh giá cao vì Nhà nước đã giải thích rõ ràng về mục tiêu và lý do của việc sửa đổi luật thuế lần này, giúp tôi hiểu hơn về chính sách mới</t>
  </si>
  <si>
    <t>Điểm số này được đánh giá rất cao vì sau khi xem xét các quyền lợi và nghĩa vụ, tôi ủng hộ và sẽ tuân thủ chính sách mới. Việc giảm thuế đã tạo cảm giác hài lòng về việc đóng góp</t>
  </si>
  <si>
    <t>Hiện nay, cơ quan thuế có nhiều công cụ và nguồn lực để phát hiện gian lận hoặc trốn thuế. Với việc tăng cường quản lý thông qua các ứng dụng công nghệ, khả năng phát hiện vi phạm sẽ cao hơn.</t>
  </si>
  <si>
    <t>Nhà nước đã đầu tư vào hệ thống công nghệ thông tin và nâng cấp cơ sở hạ tầng để hỗ trợ việc quản lý thuế hiệu quả hơn. Điều này cho thấy Nhà nước có khả năng xử lý nghiêm các hành vi trốn thuế.</t>
  </si>
  <si>
    <t>Các quy trình khai báo thuế và làm việc với cơ quan thuế đã đơn giản hóa đáng kể, giảm bớt rắc rối cho người dân. Điều này giúp quá trình thực hiện các thủ tục trở nên thuận tiện hơn.</t>
  </si>
  <si>
    <t>So với trước đây, hệ thống thuế mới có ít bậc và đơn giản hóa cách tính thuế, khiến việc thực hiện và hiểu rõ chính sách trở nên dễ dàng hơn.</t>
  </si>
  <si>
    <t>Tôi tin rằng Nhà nước sẽ thực thi chính sách một cách khách quan. Việc tăng giảm trừ gia cảnh và số bậc thuế đều hướng đến tính công bằng, giúp người dân có thu nhập thấp bị gánh nặng thuế ít hơn.</t>
  </si>
  <si>
    <t>Theo phương án mới, mức thuế tôi phải đóng là hợp lý. Tôi nhận thấy mình được giảm trừ gia cảnh nhiều hơn, đồng thời số bậc thuế đã đơn giản hóa, giúp tôi tiết kiệm được tiền thuế.</t>
  </si>
  <si>
    <t>Với việc cải cách chính sách thuế, tôi tin rằng số tiền thuế tôi đóng sẽ được sử dụng hiệu quả để cải thiện các dịch vụ công, như y tế và giao thông. Điều này thể hiện tính minh bạch trong sử dụng nguồn lực.</t>
  </si>
  <si>
    <t>Nhà nước đã giải thích rõ ràng về mục tiêu của việc sửa đổi thuế lần này. Thông qua các kênh truyền thông và tài liệu hướng dẫn, tôi cảm thấy mình có thể hiểu chính sách một cách đầy đủ.</t>
  </si>
  <si>
    <t>Tôi ủng hộ và tuân thủ chính sách mới vì nó mang lại lợi ích cho người dân như tôi. Việc giảm trừ gia cảnh và đơn giản hóa bậc thuế giúp cải thiện tình hình tài chính cá nhân của tôi.</t>
  </si>
  <si>
    <t>Dù tôi đồng ý rằng công nghệ hiện đại giúp phát hiện gian lận thuế dễ dàng hơn, nhưng tôi vẫn nghi ngờ về khả năng quản lý và thực thi của các cơ quan thuế.</t>
  </si>
  <si>
    <t>Tôi tin rằng với sự cải tiến về hệ thống công nghệ thông tin, cơ quan thuế sẽ có nhiều khả năng hơn để phát hiện gian lận.</t>
  </si>
  <si>
    <t>Việc giảm từ 7 bậc xuống 5 bậc giúp quá trình khai báo thuế đơn giản hơn và tiện lợi hơn so với trước đây.</t>
  </si>
  <si>
    <t>Biểu thuế đơn giản hơn, các bước tính toán dễ dàng hơn, tôi thấy mình có thể thực hiện được mà không cần sự hỗ trợ của người khác.</t>
  </si>
  <si>
    <t>Tôi tin tưởng rằng Nhà nước sẽ công bằng trong việc thực thi chính sách mới, nhưng vẫn lo ngại về khả năng quản lý và giám sát.</t>
  </si>
  <si>
    <t>Với mức thuế giảm đáng kể, tôi thấy mình đóng góp một cách công bằng hơn so với trước đây.</t>
  </si>
  <si>
    <t>Dù không có sự minh bạch đầy đủ về việc sử dụng số tiền thuế, nhưng tôi tin rằng những khoản thu này sẽ được sử dụng hiệu quả cho các dịch vụ công.</t>
  </si>
  <si>
    <t>Tôi đồng ý với mục tiêu chính sách mới vì nó giúp giảm gánh nặng tài chính cho người dân và tăng tính đơn giản hóa trong khai báo thuế.</t>
  </si>
  <si>
    <t>Sau khi xem xét tất cả các yếu tố, tôi ủng hộ và sẵn lòng tuân thủ chính sách mới vì nó mang lại lợi ích đáng kể cho tôi.</t>
  </si>
  <si>
    <t>Hiện nay, cơ quan thuế đã có nhiều biện pháp công khai và minh bạch hóa quy trình xử lý vi phạm. Tuy nhiên, vẫn còn một số rủi ro về việc phát hiện gian lận.</t>
  </si>
  <si>
    <t>Nhà nước đã đầu tư vào công nghệ và nhân lực để cải thiện khả năng kiểm soát thuế, tuy nhiên cần có thời gian để fully triển khai.</t>
  </si>
  <si>
    <t>Thủ tục khai báo thuế dễ dàng hơn với việc đơn giản hóa quy trình, nhưng vẫn cần cải tiến thêm về dịch vụ khách hàng.</t>
  </si>
  <si>
    <t>Biểu thuế mới rõ ràng và dễ hiểu hơn so với trước đây, giảm bớt sự phức tạp cho người dân.</t>
  </si>
  <si>
    <t>Nhà nước có thể thực thi công bằng nếu quy trình được triển khai đồng đều, nhưng cần cải thiện trong việc truyền thông.</t>
  </si>
  <si>
    <t>Thuế mới phù hợp với thu nhập của tôi và giảm gánh nặng tài chính, tạo cảm giác công bằng.</t>
  </si>
  <si>
    <t>Số tiền thuế đóng sẽ được sử dụng hiệu quả cho dịch vụ công, tăng niềm tin vào Nhà nước</t>
  </si>
  <si>
    <t>Đã có giải thích rõ ràng về mục tiêu cải cách, nhưng cần thêm thông tin chi tiết về việc sử dụng nguồn thu thuế.</t>
  </si>
  <si>
    <t>Chính sách mới giúp giảm gánh nặng tài chính và tạo sự công bằng, tôi sẽ ủng hộ và tuân thủ.</t>
  </si>
  <si>
    <t>Với mức giảm trừ gia cảnh tăng và quy định đơn giản hơn, hành vi gian lận có thể bị phát hiện dễ dàng. Cơ quan thuế cũng đã cải thiện công nghệ để theo dõi.</t>
  </si>
  <si>
    <t>Nhà nước đã đầu tư vào công nghệ và nguồn lực cho cơ quan thuế, tăng cường khả năng giám sát và xử lý trốn thuế hiệu quả hơn trước đây.</t>
  </si>
  <si>
    <t>Quy trình khai báo thuế đơn giản hơn, dễ dàng thực hiện thông qua các ứng dụng điện tử, giảm thời gian chờ đợi ở cơ quan thuế.</t>
  </si>
  <si>
    <t>Biểu thuế mới đơn giản hóa bậc thuế và mức thuế suất, dễ hiểu và thuận lợi cho người nộp thuế trong quá trình tính toán.</t>
  </si>
  <si>
    <t>Mức thuế giảm đáng kể so với trước đây, tạo niềm tin rằng Nhà nước đang thực thi công bằng và minh bạch.</t>
  </si>
  <si>
    <t>Những người có thu nhập như tôi được ưu đãi từ các mức giảm trừ gia cảnh cao hơn, thuế suất phù hợp với thu nhập của mình.</t>
  </si>
  <si>
    <t>Thuế đóng góp vào việc cải thiện dịch vụ công, đặc biệt là y tế và cơ sở hạ tầng, tạo sự tin tưởng rằng tiền thuế được sử dụng hiệu quả.</t>
  </si>
  <si>
    <t>Nhà nước đã giải thích rõ ràng mục tiêu của chính sách mới thông qua các kênh truyền thông, giúp người dân hiểu và ủng hộ.</t>
  </si>
  <si>
    <t>Dựa trên sự đơn giản hóa quy trình, giảm trừ gia cảnh cao hơn và mức thuế công bằng, tôi sẽ hỗ trợ và tuân thủ chính sách mới.</t>
  </si>
  <si>
    <t>Quy trình khai báo và làm việc với cơ quan thuế nhanh chóng hơn do giảm số bậc thuế, nhưng vẫn có thể cải thiện thêm về mặt kỹ thuật.</t>
  </si>
  <si>
    <t>Biểu thuế đơn giản hơn nhiều so với trước đây, dễ hiểu và thực hiện thuận lợi hơn.</t>
  </si>
  <si>
    <t>Tôi tin rằng cơ quan thuế sẽ công tâm trong việc áp dụng chính sách mới, nhưng vẫn cần thêm minh bạch về quy trình quản lý.</t>
  </si>
  <si>
    <t>Thuế giảm đáng kể, phù hợp với thu nhập của tôi, làm tăng cảm giác công bằng.</t>
  </si>
  <si>
    <t>Tiền thuế đóng góp vào sự phát triển cơ sở hạ tầng và dịch vụ công, tôi tin rằng nó được sử dụng hiệu quả.</t>
  </si>
  <si>
    <t>Lý do và mục tiêu của việc sửa đổi chính sách đã được giải thích rõ ràng trên các phương tiện thông tin đại chúng.</t>
  </si>
  <si>
    <t>Dù còn những lo ngại nhỏ, nhưng tổng thể tôi ủng hộ và sẽ tuân thủ chính sách mới vì lợi ích của mình và cộng đồng.</t>
  </si>
  <si>
    <t>Những thay đổi về thuế đã được thông báo rõ ràng, mặc dù tôi không phải là chuyên gia pháp lý nên vẫn có nghi ngờ về khả năng phát hiện trốn thuế hiệu quả.</t>
  </si>
  <si>
    <t>Cơ quan thuế hiện đại hóa công nghệ và quy trình, nhưng việc thực thi vẫn phụ thuộc vào nguồn lực và đội ngũ nhân viên của họ.</t>
  </si>
  <si>
    <t>Quy trình khai báo thuế trở nên dễ dàng hơn với nhiều giảm trừ gia cảnh, điều này tạo thuận lợi cho người dân.</t>
  </si>
  <si>
    <t>Biểu thuế đơn giản hóa giúp việc tính toán và nộp thuế dễ dàng hơn, tôi thấy hài lòng với thay đổi này.</t>
  </si>
  <si>
    <t>Tôi tin rằng cơ quan thuế sẽ thực hiện chính sách một cách công tâm, nhưng vẫn có lo ngại về khả năng thực thi.</t>
  </si>
  <si>
    <t>Thuế theo phương án mới giảm bớt gánh nặng tài chính của tôi và người phụ thuộc, nên tôi thấy mức thuế này là hợp lý.</t>
  </si>
  <si>
    <t>Nhà nước đã đầu tư vào nhiều lĩnh vực công cộng như y tế và giáo dục, số tiền thuế đóng góp vào những lợi ích này.</t>
  </si>
  <si>
    <t>Cơ quan thuế đã giải thích rõ ràng về mục tiêu của chính sách mới, tôi cảm thấy hài lòng với cách thức thực hiện.</t>
  </si>
  <si>
    <t>Chính sách mới có lợi cho tôi và gia đình, giảm gánh nặng tài chính, do đó tôi ủng hộ và tuân thủ.</t>
  </si>
  <si>
    <t>Dù không hoàn toàn tin tưởng, nhưng với các biện pháp quản lý thuế hiện đại, tôi cho rằng hành vi gian lận hoặc trốn thuế sẽ khó tránh khỏi sự phát hiện.</t>
  </si>
  <si>
    <t>Việc áp dụng công nghệ và nâng cao năng lực của cơ quan thuế giúp tăng khả năng phát hiện, xử lý các hành vi trốn thuế.</t>
  </si>
  <si>
    <t>So với quy trình trước đây, việc khai báo thuế trở nên dễ dàng hơn, thời gian chờ đợi và thủ tục cũng nhanh chóng hơn.</t>
  </si>
  <si>
    <t>Số bậc thuế giảm từ 7 xuống 5, đồng nghĩa với việc tính toán thuế trở nên đơn giản hơn, dễ hiểu hơn so với trước đây.</t>
  </si>
  <si>
    <t>Tôi tin rằng Nhà nước sẽ thực thi chính sách một cách khách quan và công bằng, vì số tiền thuế tôi đóng giảm đáng kể.</t>
  </si>
  <si>
    <t>Mức thuế mới phù hợp với thu nhập của tôi, do đó tôi cho rằng mức thuế này là công bằng.</t>
  </si>
  <si>
    <t>Việc giảm trừ gia cảnh và số bậc thuế mới giúp số tiền thuế tôi đóng được sử dụng hiệu quả hơn để cải thiện dịch vụ công.</t>
  </si>
  <si>
    <t>Nhà nước đã giải thích rõ ràng về mục tiêu của việc sửa đổi chính sách thuế, tuy nhiên, vẫn có sự nghi ngờ về cách triển khai.</t>
  </si>
  <si>
    <t>Sau khi xem xét tất cả các yếu tố, tôi ủng hộ và sẽ tuân thủ chính sách mới vì lợi ích mà nó mang lại cho tôi.</t>
  </si>
  <si>
    <t>Thuế TNCN có nhiều cải tiến, nhưng vẫn cần nỗ lực hơn để phát hiện hành vi gian lận.</t>
  </si>
  <si>
    <t>Cơ quan thuế có công nghệ và nguồn lực tốt, tuy nhiên hiệu quả thực thi còn phụ thuộc vào sự phối hợp giữa các cơ quan liên quan.</t>
  </si>
  <si>
    <t>Quy trình khai báo thuế đơn giản hơn, nhưng vẫn cần thời gian để người dân thích nghi với các thay đổi mới.</t>
  </si>
  <si>
    <t>Cách tính thuế và các bậc thuế rõ ràng hơn, dễ hiểu, giảm bớt sự phức tạp cho người nộp thuế.</t>
  </si>
  <si>
    <t>Tôi tin rằng Nhà nước sẽ thực thi chính sách công bằng, nhưng cần thêm minh bạch về cách thức thực hiện.</t>
  </si>
  <si>
    <t>Mức thuế mới có lợi cho tôi, giảm gánh nặng tài chính và tăng sự công bằng so với trước đây.</t>
  </si>
  <si>
    <t>Thuế đóng góp vào các dịch vụ công quan trọng như y tế và đường xá, tuy nhiên hiệu quả sử dụng nguồn lực cần được cải thiện.</t>
  </si>
  <si>
    <t>Nhà nước đã giải thích rõ về mục tiêu của chính sách mới, nhưng cần thêm thông tin cụ thể về các biện pháp thực thi.</t>
  </si>
  <si>
    <t>Tôi ủng hộ và tuân thủ chính sách mới vì nó có lợi cho tôi và gia đình, giảm gánh nặng tài chính và tăng sự công bằng.</t>
  </si>
  <si>
    <t>Dù có các quy định quản lý thuế hiện tại, nhưng với mức giảm trừ gia cảnh và bậc thuế đơn giản hơn, tôi thấy rằng hành vi gian lận hoặc trốn thuế sẽ khó phát hiện. Việc áp dụng Luật mới cần thêm thời gian để hiệu quả.</t>
  </si>
  <si>
    <t>Nhà nước đã cải tiến công nghệ và hệ thống quản lý thuế, nhưng khả năng phát hiện và xử lý trốn thuế vẫn phụ thuộc vào nhiều yếu tố. Việc thực thi cần thêm thời gian để hoàn thiện.</t>
  </si>
  <si>
    <t>Thủ tục khai báo thuế và quy trình làm việc với cơ quan thuế đã đơn giản hơn, nhưng do số lượng người nộp thuế lớn nên đôi khi vẫn gặp khó khăn trong quá trình xử lý hồ sơ.</t>
  </si>
  <si>
    <t>Cách tính thuế và bậc thuế mới đơn giản và dễ hiểu hơn so với trước đây. Tuy nhiên, việc chuyển đổi từ Luật cũ sang Luật mới cần thêm thời gian để người dân làm quen.</t>
  </si>
  <si>
    <t>Tôi tin rằng Nhà nước sẽ thực thi chính sách một cách công tâm và đối xử bình đẳng với mọi người nộp thuế. Việc cải cách thuế lần này có lợi cho tôi nên tôi cảm thấy hài lòng hơn về sự công bằng.</t>
  </si>
  <si>
    <t>Theo phương án mới, mức thuế mà tôi phải đóng hợp lý và công bằng so với thu nhập của mình. Việc giảm trừ gia cảnh lớn giúp tôi tiết kiệm được nhiều chi phí, từ đó thấy rằng mức thuế là công bằng.</t>
  </si>
  <si>
    <t>Tôi tin tưởng số tiền thuế mà tôi đóng sẽ được sử dụng hiệu quả để cải thiện dịch vụ công. Việc giảm trừ gia cảnh và bậc thuế mới giúp tôi cảm thấy mình đang góp phần vào sự phát triển chung của đất nước.</t>
  </si>
  <si>
    <t>Nhà nước đã giải thích rõ ràng về lý do và mục tiêu của việc sửa đổi thuế lần này. Tuy nhiên, để có độ tin cậy cao hơn, tôi mong muốn có thêm thông tin chi tiết về cách sử dụng số tiền thuế mà người dân đóng góp.</t>
  </si>
  <si>
    <t>Trước tác động tài chính tích cực từ việc giảm trừ gia cảnh và bậc thuế mới đơn giản, tôi ủng hộ và tuân thủ chính sách mới. Tuy nhiên, để tăng độ tin cậy, cần có thêm thông tin chi tiết về cách sử dụng số tiền thuế.</t>
  </si>
  <si>
    <t>Việc tăng mức giảm trừ gia cảnh và đơn giản hóa biểu thuế có thể làm giảm động lực cho hành vi gian lận. Tuy nhiên, khả năng phát hiện vẫn phụ thuộc vào hiệu quả của các cơ quan quản lý.</t>
  </si>
  <si>
    <t>Cơ sở hạ tầng công nghệ thông tin của Nhà nước ngày càng phát triển, tăng cường khả năng giám sát và xử phạt vi phạm. Tuy nhiên, việc thực thi vẫn cần thêm thời gian để hoàn thiện.</t>
  </si>
  <si>
    <t>Quy trình khai thuế mới đơn giản hơn với ít bậc thuế, nhưng do tôi là nhân viên công chức nên vẫn có một số thủ tục phức tạp. Tuy nhiên, so với trước đây thì đã cải thiện nhiều.</t>
  </si>
  <si>
    <t>Biểu thuế mới đơn giản và dễ hiểu hơn so với trước đây, đặc biệt là việc tăng mức giảm trừ gia cảnh giúp tôi tiết kiệm được một khoản tiền đáng kể. Điều này làm cho quá trình tính thuế trở nên thuận tiện hơn.</t>
  </si>
  <si>
    <t>Tôi tin rằng Nhà nước sẽ thực thi chính sách một cách công bằng, nhưng việc thực hiện cần thêm thời gian để chứng minh điều đó. Tuy nhiên, mức giảm trừ gia cảnh tăng đã mang lại lợi ích cụ thể cho tôi.</t>
  </si>
  <si>
    <t>Mức thuế mới phù hợp với thu nhập của tôi và số tiền tiết kiệm được từ việc giảm trừ gia cảnh khiến tôi cảm thấy công bằng hơn. Việc đơn giản hóa biểu thuế cũng giúp tôi dễ chấp nhận.</t>
  </si>
  <si>
    <t>Việc sử dụng số tiền thuế để cải thiện các dịch vụ công như y tế và cơ sở hạ tầng là điều hợp lý. Mức giảm trừ gia cảnh tăng đã mang lại lợi ích cụ thể cho tôi, làm tăng niềm tin vào việc sử dụng hiệu quả nguồn thu.</t>
  </si>
  <si>
    <t>Nhà nước đã giải thích rõ ràng về mục tiêu của chính sách mới. Tuy nhiên, do mức thuế giảm nên có thể sẽ không đủ thuyết phục cho những người vẫn còn đa nghi.</t>
  </si>
  <si>
    <t>Sau khi xem xét lợi ích từ việc đơn giản hóa biểu thuế và tăng mức giảm trừ gia cảnh, tôi ủng hộ và tuân thủ chính sách mới. Tuy nhiên, do còn một số lo ngại về khả năng thực thi nên không đồng ý hoàn toàn.</t>
  </si>
  <si>
    <t>Dù thuế đã đơn giản hơn, nhưng tôi vẫn lo ngại về khả năng phát hiện hành vi gian lận hoặc trốn thuế.</t>
  </si>
  <si>
    <t>Công nghệ hiện đại có thể hỗ trợ tốt trong việc phát hiện trốn thuế, nhưng tôi tin cần thêm thời gian để áp dụng hiệu quả.</t>
  </si>
  <si>
    <t>Quy trình khai báo và làm việc với cơ quan thuế đã đơn giản hơn so với trước đây, thuận tiện cho người dân.</t>
  </si>
  <si>
    <t>Biểu thuế mới có ít bậc hơn nên dễ hiểu hơn, nhưng tôi nghĩ cần thêm thời gian để thực hành và nắm vững.</t>
  </si>
  <si>
    <t>Tôi tin rằng Nhà nước sẽ công bằng trong việc áp dụng chính sách, nhưng cũng lo ngại về khả năng thực thi.</t>
  </si>
  <si>
    <t>Thuế mới giảm đáng kể so với trước đây nên tôi thấy mức thuế là hợp lý cho thu nhập của mình</t>
  </si>
  <si>
    <t>Với số tiền tiết kiệm được từ chính sách mới, tôi tin rằng nó sẽ được sử dụng hiệu quả để cải thiện dịch vụ công.</t>
  </si>
  <si>
    <t>Nhà nước đã giải thích rõ ràng về mục tiêu của việc sửa đổi thuế, nhưng tôi mong muốn có thêm thông tin chi tiết hơn</t>
  </si>
  <si>
    <t>Dù còn nghi ngại một số điểm, nhưng tôi ủng hộ và sẽ tuân thủ chính sách mới vì lợi ích cá nhân và cộng đồng.</t>
  </si>
  <si>
    <t>Dù mức thuế giảm, nhưng tôi vẫn tin rằng cơ quan thuế đủ khả năng phát hiện và xử lý các hành vi gian lận hoặc trốn thuế do quy định quản lý thuế mới.</t>
  </si>
  <si>
    <t>Cơ quan thuế có nhiều công cụ và nguồn lực để giám sát hoạt động kinh tế, tôi tin rằng họ sẽ phát hiện được các hành vi gian lận hoặc trốn thuế hiệu quả hơn trước.</t>
  </si>
  <si>
    <t>So với trước đây, quy trình khai báo thuế và làm việc với cơ quan thuế đơn giản hơn do giảm số bậc thuế, nhưng vẫn cần thêm thời gian để quen thuộc.</t>
  </si>
  <si>
    <t>Cách tính thuế và các bậc thuế mới dễ hiểu và dễ thực hiện hơn, giảm bớt sự phức tạp cho người dân.</t>
  </si>
  <si>
    <t>Tôi tin rằng Nhà nước sẽ thực thi chính sách một cách công bằng đối với mọi người nộp thuế, dù tôi nhận thấy việc cải cách thuế có tác động lớn đến thu nhập của mình.</t>
  </si>
  <si>
    <t>Mức thuế mới phù hợp với thu nhập của tôi và gia đình, tôi cảm thấy công bằng khi đóng mức thuế này.</t>
  </si>
  <si>
    <t>Tôi tin rằng số tiền thuế mình đóng sẽ được sử dụng hiệu quả để cải thiện dịch vụ công cho cả cộng đồng.</t>
  </si>
  <si>
    <t>Nhà nước đã giải thích rõ về mục tiêu của việc cải cách thuế, tôi hiểu hơn về lý do và lợi ích của chính sách mới.</t>
  </si>
  <si>
    <t>Sau khi xem xét các quyền lợi và nghĩa vụ theo chính sách mới, tôi ủng hộ và sẽ tuân thủ vì nó giúp giảm gánh nặng tài chính cho gia đình tôi.</t>
  </si>
  <si>
    <t>So với trước đây, quy trình làm việc với cơ quan thuế đã đơn giản hơn nhiều, ít cần các thủ tục rườm rà. Mức giảm trừ gia cảnh tăng cao cũng giúp quá trình khai báo trở nên thuận tiện hơn.</t>
  </si>
  <si>
    <t>Biểu thuế được đơn giản hóa với số bậc giảm, dễ hiểu và thực hiện hơn so với trước đây. Tuy nhiên, việc áp dụng các mức thuế mới cần thêm thời gian để quen thuộc.</t>
  </si>
  <si>
    <t>Tôi tin rằng Nhà nước sẽ thực thi chính sách công bằng và khách quan. Mức giảm trừ gia cảnh cao hơn cũng tạo ra sự công bằng trong việc phân bổ thuế giữa các nhóm thu nhập khác nhau.</t>
  </si>
  <si>
    <t>Với mức thuế mới, tôi cảm thấy rằng mình đóng góp một cách công bằng cho xã hội. Mức giảm trừ gia cảnh cao giúp giảm áp lực tài chính cho người có thu nhập trung bình như tôi.</t>
  </si>
  <si>
    <t>Tôi tin rằng số tiền thuế tôi đóng sẽ được sử dụng hiệu quả để cải thiện dịch vụ công và hạ tầng. Việc tăng mức giảm trừ gia cảnh cũng tạo cảm giác rằng tôi đang được đối xử công bằng.</t>
  </si>
  <si>
    <t>Nhà nước đã giải thích khá rõ về mục tiêu của việc sửa đổi thuế, nhưng cần thêm thông tin cụ thể về cách sử dụng số tiền thuế thu được để tăng niềm tin.</t>
  </si>
  <si>
    <t>Tôi ủng hộ và sẽ tuân thủ chính sách mới. Mức giảm trừ gia cảnh cao giúp tôi tiết kiệm được một khoản tiền đáng kể, đồng thời các quy định đơn giản hơn cũng làm việc khai thuế trở nên thuận tiện hơn.</t>
  </si>
  <si>
    <t>Quy trình khai báo thuế đơn giản hơn, dễ thực hiện trên ứng dụng điện tử, tiết kiệm thời gian cho người dân.</t>
  </si>
  <si>
    <t>Biểu thuế mới có ít bậc hơn nên việc tính toán và làm thủ tục thuế trở nên dễ dàng, minh bạch hơn.</t>
  </si>
  <si>
    <t>Việc tăng mức giảm trừ gia cảnh tạo ra sự công bằng hơn giữa các tầng lớp thu nhập, tôi tin rằng điều này sẽ được thực hiện một cách công tâm.</t>
  </si>
  <si>
    <t>Với thu nhập của mình, mức thuế mới là hợp lý và công bằng so với trước đây, giảm gánh nặng tài chính cho gia đình tôi.</t>
  </si>
  <si>
    <t>Nhà nước đã đầu tư vào nhiều dịch vụ công như y tế, giáo dục và hạ tầng, số tiền thuế đóng góp đã được sử dụng hiệu quả.</t>
  </si>
  <si>
    <t>Có thông tin rõ ràng về mục tiêu của việc sửa đổi chính sách thuế này từ phía cơ quan quản lý</t>
  </si>
  <si>
    <t>Tôi ủng hộ và tuân thủ chính sách mới vì nó mang lại lợi ích tài chính cho tôi và gia đình, đồng thời tăng niềm tin vào hệ thống thuế.</t>
  </si>
  <si>
    <t>Nhà nước đã có hệ thống quản lý thuế hiện đại, nhưng vẫn cần cải thiện về mặt phát hiện gian lận. Với mức thuế giảm đáng kể, khả năng bị phát hiện và xử lý nghiêm sẽ cao hơn.</t>
  </si>
  <si>
    <t>Cơ quan thuế có công nghệ hỗ trợ tốt, tuy nhiên sự phối hợp giữa các cơ quan còn hạn chế. Mức thuế giảm giúp tăng niềm tin vào hệ thống quản lý thuế.</t>
  </si>
  <si>
    <t>Quy trình khai thuế trở nên đơn giản hơn và dễ thực hiện, nhưng vẫn cần có thời gian để mọi người quen thuộc với quy định mới.</t>
  </si>
  <si>
    <t>Các bậc thuế giảm xuống chỉ còn 5 bậc, làm việc tính toán thuế trở nên dễ dàng hơn. Tuy nhiên, bản thân tôi chưa trải nghiệm trực tiếp nên điểm số vẫn ở mức trung bình.</t>
  </si>
  <si>
    <t>Tôi tin rằng Nhà nước sẽ thực thi chính sách công tâm và khách quan. Việc giảm thuế giúp tôi cảm thấy được đối xử công bằng hơn.</t>
  </si>
  <si>
    <t>Mức thuế mới vừa phải, không quá nặng so với thu nhập của tôi. Tôi cho rằng điều này là hợp lý.</t>
  </si>
  <si>
    <t>Nhà nước đã đầu tư vào các dịch vụ công như y tế và cơ sở hạ tầng, số tiền thuế đóng sẽ được sử dụng hiệu quả để cải thiện cuộc sống của tôi.</t>
  </si>
  <si>
    <t>Tôi đồng ý với mục tiêu của việc sửa đổi thuế lần này. Nhà nước đã giải thích rõ ràng về vấn đề này trong các thông báo chính sách.</t>
  </si>
  <si>
    <t>Sau khi cân nhắc, tôi ủng hộ và tuân thủ chính sách mới vì nó mang lại lợi ích tài chính và đơn giản hóa quy trình thuế.</t>
  </si>
  <si>
    <t>Dù quy định quản lý thuế hiện nay có cải thiện nhưng việc phát hiện trốn thuế vẫn còn khó khăn, nhất là đối với các hình thức phi chính thức. Tuy nhiên, mức thuế giảm đáng kể giúp tôi cảm thấy cơ quan thuế thực thi công bằng hơn.</t>
  </si>
  <si>
    <t>Cơ quan thuế đã đầu tư công nghệ tốt để phát hiện trốn thuế và xử lý nghiêm minh. Điều này tạo niềm tin cho người dân tuân thủ pháp luật.</t>
  </si>
  <si>
    <t>Quy trình khai báo thuế trở nên đơn giản hơn, đặc biệt là khi không còn nhiều bậc thuế cần tính toán. Điều này giúp thuận tiện hơn so với trước đây.</t>
  </si>
  <si>
    <t>Các bậc thuế mới rõ ràng và dễ hiểu hơn, giảm bớt sự phức tạp cho người dân như tôi, một công dân không chuyên về tài chính.</t>
  </si>
  <si>
    <t>Tôi tin rằng cơ quan thuế sẽ thực thi chính sách một cách công bằng. Việc giảm trừ gia cảnh tăng lên giúp cải thiện điều này.</t>
  </si>
  <si>
    <t>Mức thuế mới phù hợp với thu nhập của tôi và số người phụ thuộc, tạo cảm giác công bằng.</t>
  </si>
  <si>
    <t>Thuế giảm đáng kể giúp tôi tin rằng tiền đóng sẽ được sử dụng hiệu quả để cải thiện dịch vụ công.</t>
  </si>
  <si>
    <t>Tôi thấy cơ quan thuế đã giải thích rõ ràng về mục tiêu của chính sách mới, tạo sự minh bạch và tin cậy.</t>
  </si>
  <si>
    <t>Dù vẫn có nghi ngờ về việc quản lý thuế nhưng mức thuế giảm đáng kể cùng với quy trình đơn giản hơn khiến tôi ủng hộ và tuân thủ chính sách mới.</t>
  </si>
  <si>
    <t>Tôi tin rằng Nhà nước đã cải thiện đáng kể khả năng quản lý thuế nhưng không chắc chắn có đủ công nghệ để giám sát mọi người nộp thuế.</t>
  </si>
  <si>
    <t>Quy trình đơn giản hơn và dễ dàng hơn so với trước đây, tuy nhiên việc làm thủ tục vẫn cần thời gian.</t>
  </si>
  <si>
    <t>Cách tính thuế rõ ràng hơn, các bậc thuế giảm đi đã khiến tôi cảm thấy dễ hiểu và thực hiện thuận tiện hơn.</t>
  </si>
  <si>
    <t>Tôi tin rằng Nhà nước sẽ công tâm trong việc thực thi chính sách mới nhưng vẫn có lo ngại về cách đánh giá thu nhập cá nhân.</t>
  </si>
  <si>
    <t>Mức thuế giảm đáng kể, tôi thấy điều này là hợp lý đối với thu nhập của mình. Điều này tăng niềm tin vào tính công bằng của chính sách mới.</t>
  </si>
  <si>
    <t>Thuế được sử dụng cho các dịch vụ công như y tế và giao thông, tôi thấy việc đóng thuế có ích.</t>
  </si>
  <si>
    <t>Nhà nước đã giải thích rõ ràng về mục tiêu của việc sửa đổi thuế nhưng vẫn cần minh bạch hơn về cách thực hiện.</t>
  </si>
  <si>
    <t>Chính sách mới giúp tôi tiết kiệm được tiền và quy trình làm thủ tục đơn giản hơn, do đó tôi ủng hộ và tuân thủ.</t>
  </si>
  <si>
    <t>Dù công nghệ phát triển, nhưng thực tế hành vi gian lận vẫn còn tồn tại. Tuy nhiên, với mức thuế giảm đáng kể và sự đơn giản hóa quy trình khai báo, tôi cho rằng khả năng phát hiện trốn thuế sẽ tăng lên.</t>
  </si>
  <si>
    <t>Nhà nước đã có nhiều biện pháp cải tiến trong việc quản lý thuế nhưng vẫn cần thời gian để công nghệ và hệ thống làm việc hoàn thiện hơn.</t>
  </si>
  <si>
    <t>Quy trình khai báo thuế trở nên đơn giản, nhanh chóng hơn. Điều này giúp tôi tiết kiệm thời gian và công sức.</t>
  </si>
  <si>
    <t>Biểu thuế mới có ít bậc hơn, dễ hiểu hơn so với trước đây. Đây là một bước tiến đáng kể trong việc đơn giản hóa quy trình tính thuế.</t>
  </si>
  <si>
    <t>Tôi tin rằng Nhà nước sẽ công bằng và khách quan khi thực thi chính sách mới. Sự giảm trừ gia cảnh tăng lên giúp tôi cảm thấy được đối xử công bằng hơn.</t>
  </si>
  <si>
    <t>Mức thuế mới phù hợp với thu nhập của tôi, do đó tôi cho rằng nó là một mức thuế công bằng.</t>
  </si>
  <si>
    <t>Tôi tin số tiền thuế đóng sẽ được sử dụng hiệu quả để cải thiện các dịch vụ công. Việc giảm trừ gia cảnh tăng lên giúp tôi cảm thấy mình đang đóng góp vào xã hội hơn.</t>
  </si>
  <si>
    <t>Nhà nước đã giải thích rõ ràng về mục tiêu của việc sửa đổi chính sách thuế, điều này làm tăng sự tin tưởng và hiểu biết của người dân.</t>
  </si>
  <si>
    <t>Tôi ủng hộ và tuân thủ chính sách mới. Mức thuế giảm đáng kể cùng với các quyền lợi khác giúp tôi cảm thấy hài lòng hơn về hệ thống thuế hiện tại.</t>
  </si>
  <si>
    <t>Biện pháp quản lý thuế hiện đại và cải cách đã giảm khả năng gian lận, tăng cường kiểm soát.</t>
  </si>
  <si>
    <t>Cơ quan thuế có công nghệ tiên tiến để phát hiện trốn thuế hiệu quả hơn.</t>
  </si>
  <si>
    <t>Quy trình khai báo và giao tiếp với cơ quan thuế dễ dàng, tiện lợi hơn trước đây.</t>
  </si>
  <si>
    <t>Biểu thuế đơn giản hóa giúp tính toán nhanh chóng, dễ hiểu hơn so với trước đây.</t>
  </si>
  <si>
    <t>Quy định mới công bằng đối xử với mọi người nộp thuế</t>
  </si>
  <si>
    <t>Thuế giảm đáng kể, thể hiện mức đóng thuế hợp lý cho thu nhập của tôi</t>
  </si>
  <si>
    <t>Nhà nước sử dụng tiền thuế để cải thiện dịch vụ công hiệu quả</t>
  </si>
  <si>
    <t>Đã nhận được giải thích rõ ràng về mục tiêu và lý do của việc sửa đổi thuế</t>
  </si>
  <si>
    <t>Tiết kiệm đáng kể trong thuế, ủng hộ chính sách mới giúp cải thiện thu nhập thực tế.</t>
  </si>
  <si>
    <t xml:space="preserve">Dù cơ quan thuế có công nghệ để phát hiện hành vi trốn thuế, nhưng thực tế việc giám sát rộng lớn như vậy vẫn khó hoàn toàn. </t>
  </si>
  <si>
    <t>Cơ quan thuế đã và đang sử dụng công nghệ tiên tiến hơn, tăng cường khả năng giám sát, nhưng vẫn còn hạn chế về nguồn lực.</t>
  </si>
  <si>
    <t>Quy trình khai báo thuế đơn giản hơn, giảm bớt các bước phức tạp. Việc này giúp người dân dễ dàng tiếp cận và thực hiện</t>
  </si>
  <si>
    <t>Biểu thuế mới rõ ràng, dễ hiểu hơn so với trước đây, giảm bớt sự bất lợi cho người nộp thuế.</t>
  </si>
  <si>
    <t>Tăng mức giảm trừ gia cảnh và đơn giản hóa biểu thuế khiến tôi cảm thấy công bằng hơn. Cơ quan thuế thực thi một cách khách quan</t>
  </si>
  <si>
    <t>Thuế mới phù hợp với thu nhập của tôi, tăng thêm sự công bằng trong việc đóng góp cho ngân sách nhà nước.</t>
  </si>
  <si>
    <t>Đồng ý rằng thuế sẽ được sử dụng hiệu quả để cải thiện các dịch vụ công, nhưng cần nhiều thông tin hơn về cách sử dụng cụ thể</t>
  </si>
  <si>
    <t>Công bố rõ ràng về mục tiêu sửa đổi luật thuế và giải thích chi tiết về các thay đổi mang tính minh bạch.</t>
  </si>
  <si>
    <t>Chính sách mới có lợi cho tôi, giảm gánh nặng tài chính. Tôi sẽ ủng hộ và tuân thủ</t>
  </si>
  <si>
    <t>Thuế TNCN được đơn giản hóa và có các mức giảm trừ gia cảnh rõ ràng, nhưng khả năng phát hiện trốn thuế phụ thuộc nhiều vào sự kiên trì của cơ quan quản lý.</t>
  </si>
  <si>
    <t>Cơ quan thuế đã đầu tư công nghệ để theo dõi giao dịch tài chính, tuy nhiên việc này vẫn cần thời gian để phát huy hiệu quả tối đa.</t>
  </si>
  <si>
    <t>Thủ tục khai thuế dễ dàng hơn với mức giảm trừ gia cảnh rõ ràng và số bậc thuế ít đi, nhưng vẫn có thể gặp khó khăn khi áp dụng.</t>
  </si>
  <si>
    <t>Cách tính thuế mới đơn giản hóa các bậc thuế, tuy nhiên người dân cần thời gian để quen thuộc với quy định mới.</t>
  </si>
  <si>
    <t>Chính sách mới có sự công bằng khi giảm trừ gia cảnh rõ ràng và số bậc thuế ít đi, tạo cảm giác tin tưởng vào nhà nước quản lý.</t>
  </si>
  <si>
    <t>Thuế theo phương án mới phù hợp với thu nhập của bản thân, mức thuế giảm đáng kể so với trước đây, cho thấy sự công bằng.</t>
  </si>
  <si>
    <t>Nhà nước sử dụng số tiền thuế này để cải thiện các dịch vụ công như y tế và giao thông, tạo niềm tin về tính hiệu quả của thuế.</t>
  </si>
  <si>
    <t>Chính phủ đã giải thích rõ ràng mục tiêu và lý do thay đổi chính sách, tuy nhiên cần tiếp tục cải thiện việc truyền đạt thông tin.</t>
  </si>
  <si>
    <t>Sau khi xem xét tác động tài chính tích cực và sự đơn giản hóa của chính sách mới, mình ủng hộ và tuân thủ.</t>
  </si>
  <si>
    <t>Nếu cơ quan thuế có công nghệ hiện đại, khả năng phát hiện hành vi trốn thuế sẽ cao. Với mức giảm trừ gia cảnh tăng lên, việc gian lận trở nên khó khăn hơn.</t>
  </si>
  <si>
    <t>Cơ quan thuế có nhiều nguồn lực và công nghệ để giám sát hoạt động kinh tế, do đó khả năng xử lý nghiêm các hành vi trốn thuế là cao.</t>
  </si>
  <si>
    <t>Quy trình khai báo thuế đơn giản hơn so với trước đây, giảm bớt gian nan cho người dân. Việc sử dụng công nghệ cũng giúp quá trình làm việc nhanh chóng.</t>
  </si>
  <si>
    <t>Biểu thuế mới rõ ràng và dễ hiểu hơn, không còn nhiều bậc phức tạp như trước đây, do đó việc tính toán thu nhập chịu thuế trở nên dễ dàng.</t>
  </si>
  <si>
    <t>Tôi tin rằng cơ quan thuế sẽ công bằng trong việc áp dụng chính sách mới. Mức giảm trừ gia cảnh tăng lên giúp người dân có thêm lợi ích.</t>
  </si>
  <si>
    <t>Nhìn chung, mức thuế tôi phải đóng là hợp lý so với thu nhập của mình và số người phụ thuộc. Điều này thể hiện tính công bằng trong việc phân bổ gánh nặng thuế.</t>
  </si>
  <si>
    <t>Tôi tin rằng tiền thuế mà tôi đóng sẽ được sử dụng hiệu quả để cải thiện dịch vụ công, tạo ra môi trường sống tốt hơn cho người dân.</t>
  </si>
  <si>
    <t>Nhà nước đã giải thích khá rõ về mục tiêu và lý do sửa đổi chính sách thuế. Tuy nhiên, cần có thêm thông tin chi tiết để tăng độ minh bạch.</t>
  </si>
  <si>
    <t>Tác động tài chính tích cực từ việc giảm thuế và tăng mức giảm trừ gia cảnh làm tôi ủng hộ và tuân thủ chính sách mới. Đây là sự cải thiện đáng kể về mặt pháp lý và thực tế.</t>
  </si>
  <si>
    <t>Cơ quan thuế có nhiều công cụ hiện đại để phát hiện hành vi trốn thuế, tuy nhiên mức độ thực thi còn phụ thuộc vào nguồn lực và quyết tâm của cơ quan quản lý.</t>
  </si>
  <si>
    <t>Nhà nước đã đầu tư vào công nghệ thông tin cho ngành thuế, nhưng hiệu quả vẫn cần thời gian để đạt được.</t>
  </si>
  <si>
    <t>Quy trình khai báo thuế và giao tiếp với cơ quan thuế đơn giản hơn trước, dễ thực hiện hơn.</t>
  </si>
  <si>
    <t>Biểu thuế mới có ít bậc hơn, nhưng vẫn đủ phức tạp để tránh việc lợi dụng.</t>
  </si>
  <si>
    <t>Tôi tin rằng các quy định sẽ được thực thi công bằng, vì cơ quan thuế đang nỗ lực cải thiện chất lượng dịch vụ.</t>
  </si>
  <si>
    <t>Mức thuế mới dựa trên thu nhập của tôi là hợp lý và công bằng.</t>
  </si>
  <si>
    <t>Nhà nước đã giải thích rõ về mục tiêu của việc cải cách thuế, nhưng vẫn cần thêm thông tin chi tiết.</t>
  </si>
  <si>
    <t>Tôi ủng hộ chính sách mới vì nó tạo ra sự công bằng và giúp tôi tiết kiệm được tiền thuế.</t>
  </si>
  <si>
    <t>Việc tăng mức giảm trừ gia cảnh và đơn giản hóa quy trình thuế có thể làm giảm cơ hội gian lận, nhưng thực tế việc quản lý thuế vẫn còn nhiều thách thức.</t>
  </si>
  <si>
    <t>Nhà nước đã đầu tư công nghệ hiện đại hơn để theo dõi các giao dịch tài chính, tuy nhiên still có thể gặp vấn đề về nguồn lực và hiệu suất.</t>
  </si>
  <si>
    <t>Thủ tục khai báo thuế trở nên đơn giản hơn với mức giảm trừ gia cảnh cao hơn và số bậc thuế ít đi, thuận tiện cho người dân.</t>
  </si>
  <si>
    <t>Biểu thuế mới đơn giản hóa các bước tính toán, dễ hiểu và thực hiện hơn so với trước đây.</t>
  </si>
  <si>
    <t>Tôi tin rằng Nhà nước sẽ công bằng trong việc áp dụng chính sách, nhưng vẫn có thể gặp vấn đề về sự minh bạch.</t>
  </si>
  <si>
    <t>Mức thuế mới giảm đáng kể so với trước đây, tôi thấy điều này hợp lý cho thu nhập của mình.</t>
  </si>
  <si>
    <t>Tài nguyên thuế sẽ được sử dụng để cải thiện các dịch vụ công, nhưng hiệu quả của việc chi tiêu vẫn cần theo dõi.</t>
  </si>
  <si>
    <t>Nhà nước đã giải thích rõ ràng về mục đích của chính sách mới, tôi tin rằng điều này tăng độ minh bạch.</t>
  </si>
  <si>
    <t>Sau khi xem xét các quyền lợi và nghĩa vụ, tôi ủng hộ và tuân thủ chính sách mới vì nó mang lại nhiều lợi ích tài chính cho tôi.</t>
  </si>
  <si>
    <t>Điều này không phải là vấn đề đối với tôi, vì mức thuế của tôi đã giảm đáng kể.</t>
  </si>
  <si>
    <t>Cơ quan thuế có công nghệ hiện đại nhưng tôi tin rằng họ sẽ xử lý các trường hợp gian lận theo cách khách quan và công bằng.</t>
  </si>
  <si>
    <t>Thủ tục khai báo thuế trở nên đơn giản hơn, dễ thực hiện và tiện lợi hơn cho người dân.</t>
  </si>
  <si>
    <t>Các bậc thuế mới rõ ràng hơn và dễ hiểu, không còn phức tạp như trước.</t>
  </si>
  <si>
    <t>Tôi tin rằng cơ quan thuế sẽ thực thi chính sách một cách công bằng với mọi người nộp thuế.</t>
  </si>
  <si>
    <t>Như một người có thu nhập trung bình, mức thuế mới mà tôi phải đóng là hợp lý và công bằng.</t>
  </si>
  <si>
    <t>Tôi tin rằng số tiền thuế này sẽ được sử dụng hiệu quả để cải thiện các dịch vụ công cho cộng đồng.</t>
  </si>
  <si>
    <t>Chính phủ đã giải thích rõ ràng về mục tiêu và lý do của việc cải cách thuế, tôi thấy đây là một bước tiến tích cực.</t>
  </si>
  <si>
    <t>Tôi ủng hộ chính sách mới vì nó mang lại lợi ích thực tế cho người dân như giảm gánh nặng thuế và thủ tục đơn giản hơn.</t>
  </si>
  <si>
    <t>Nếu hành vi gian lận hoặc trốn thuế bị phát hiện, tôi sẽ phải đối mặt với hậu quả nghiêm trọng. Tuy nhiên, với hệ thống quản lý thuế hiện đại của Nhà nước, khả năng phát hiện các hành vi này là lớn.</t>
  </si>
  <si>
    <t>Cơ quan thuế đã đầu tư công nghệ để cải thiện khả năng giám sát và xử lý các vấn đề về trốn thuế. Điều này làm tăng độ tin cậy của hệ thống quản lý thuế.</t>
  </si>
  <si>
    <t>So với trước đây, quy trình khai báo thuế nay đã đơn giản hơn nhiều, ít bước và dễ dàng hơn để thực hiện.</t>
  </si>
  <si>
    <t>Biểu thuế mới có số bậc giảm đi từ 7 xuống còn 5, giúp việc tính toán và áp dụng thuế trở nên dễ dàng hơn.</t>
  </si>
  <si>
    <t>Tôi tin rằng Nhà nước sẽ thực thi chính sách một cách khách quan và công bằng. Việc tăng mức giảm trừ gia cảnh đã làm cho hệ thống thuế trở nên công bằng hơn đối với người dân.</t>
  </si>
  <si>
    <t>Nhờ sự đơn giản hóa bậc thuế, tôi thấy việc đóng thuế của mình hợp lý và không bị gánh nặng quá nhiều so với thu nhập hiện tại.</t>
  </si>
  <si>
    <t>Thuế mà tôi đóng sẽ được sử dụng hiệu quả để cải thiện dịch vụ công. Việc này làm tăng niềm tin vào việc Nhà nước quản lý nguồn lực của mình một cách trách nhiệm.</t>
  </si>
  <si>
    <t>Nhà nước đã giải thích rõ ràng về các thay đổi trong chính sách thuế, giúp tôi hiểu được mục tiêu và ý nghĩa của việc cải cách này.</t>
  </si>
  <si>
    <t>Sau khi xem xét tác động tài chính tích cực từ chính sách mới, tôi sẽ ủng hộ và tuân thủ nó. Điều này không chỉ giúp giảm gánh nặng thuế cho cá nhân mà còn góp phần vào sự công bằng trong hệ thống thuế.</t>
  </si>
  <si>
    <t>Với mức giảm trừ gia cảnh cao, tôi tin rằng việc phát hiện hành vi gian lận hay trốn thuế sẽ khó khăn hơn. Tuy nhiên, cơ quan thuế vẫn có khả năng giám sát.</t>
  </si>
  <si>
    <t>Cơ quan thuế đã áp dụng công nghệ tiên tiến để quản lý và xử lý các vấn đề thuế nên tôi cho rằng khả năng phát hiện và xử lý nghiêm sẽ được đảm bảo.</t>
  </si>
  <si>
    <t>So với trước đây, quy trình khai báo thuế đơn giản hơn khi giảm số bậc thuế. Tuy nhiên, vẫn cần thời gian để quen thuộc với quy trình mới.</t>
  </si>
  <si>
    <t>Biểu thuế đã được đơn giản hóa và rõ ràng hơn nên việc tính toán thuế trở nên dễ dàng hơn cho người dân như tôi.</t>
  </si>
  <si>
    <t>Tôi tin rằng Nhà nước sẽ thực hiện chính sách một cách công bằng, công tâm vì mức giảm trừ gia cảnh đã được tăng lên đáng kể và tôi không còn phải đóng thuế</t>
  </si>
  <si>
    <t>Nhìn chung, mức thuế mới là hợp lý cho thu nhập của tôi. Việc tăng giảm trừ gia cảnh giúp tôi không phải đóng thuế, điều này thể hiện tính công bằng.</t>
  </si>
  <si>
    <t>Tài nguyên thu được từ thuế sẽ được sử dụng hiệu quả để cải thiện dịch vụ công, tôi tin rằng việc đóng thuế của tôi góp phần vào mục tiêu này</t>
  </si>
  <si>
    <t>Điều chỉnh thuế lần này đã được giải thích rõ ràng và minh bạch qua nhiều kênh thông tin, giúp người dân như tôi hiểu rõ về chính sách mới.</t>
  </si>
  <si>
    <t>Tôi ủng hộ và tuân thủ chính sách mới vì nó mang lại lợi ích cho tôi cũng như cộng đồng. Mức thuế được điều chỉnh hợp lý hơn so với trước đây</t>
  </si>
  <si>
    <t>Trình tự khai báo thuế và quy trình làm việc với cơ quan thuế đơn giản hơn nhiều so với trước đây. Việc này giúp người dân dễ dàng thực hiện.</t>
  </si>
  <si>
    <t>Bậc thuế đã được rút gọn, cách tính thuế trở nên rõ ràng và dễ hiểu hơn, giảm sự phức tạp cho người nộp thuế.</t>
  </si>
  <si>
    <t>Dù mức thu nhập không cao nhưng tôi không phải đóng thuế do giảm trừ gia cảnh lớn. Điều này khiến tôi tin rằng cơ quan thuế đang công bằng trong việc thực thi chính sách.</t>
  </si>
  <si>
    <t>Nhìn chung, mức thuế mới này đối với thu nhập của tôi là phù hợp và công bằng.</t>
  </si>
  <si>
    <t>Nếu tôi đóng thuế, số tiền đó sẽ được sử dụng để cải thiện các dịch vụ công như y tế, giáo dục và hạ tầng, điều này tạo niềm tin cho tôi về việc sử dụng hiệu quả nguồn thu ngân sách.</t>
  </si>
  <si>
    <t>Nhà nước đã giải thích rõ ràng về mục tiêu và lý do của việc cải cách thuế, tăng sự minh bạch và tin tưởng của người dân.</t>
  </si>
  <si>
    <t>Tuy vẫn phải đóng thuế nhưng với mức giảm trừ gia cảnh lớn, tôi đồng ý và sẽ tuân thủ chính sách mới.</t>
  </si>
  <si>
    <t>Thuế đã được đơn giản hóa và giảm trừ gia cảnh cao hơn, nên gian lận khó xảy ra. Công nghệ hiện đại giúp phát hiện nhanh chóng.</t>
  </si>
  <si>
    <t>Cơ quan thuế có nhiều nguồn lực và công nghệ để theo dõi giao dịch tài chính cá nhân, tăng khả năng kiểm soát.</t>
  </si>
  <si>
    <t>Thủ tục đơn giản hơn trước, sử dụng phần mềm khai báo tự động làm giảm rắc rối.</t>
  </si>
  <si>
    <t>Biểu thuế ngắn gọn hơn, dễ hiểu và thực hiện nhanh chóng hơn so với trước đây.</t>
  </si>
  <si>
    <t>Nhà nước đã công khai giải thích rõ ràng về chính sách mới, tăng niềm tin vào tính minh bạch của việc thu thuế.</t>
  </si>
  <si>
    <t>Mức giảm trừ gia cảnh cao và không phải đóng thuế giúp tôi cảm thấy công bằng trong việc đóng góp thuế.</t>
  </si>
  <si>
    <t>Thuế được sử dụng cho các dịch vụ công, như y tế và đường xá, làm tăng sự tin tưởng vào đầu tư của Nhà nước.</t>
  </si>
  <si>
    <t>Nhà nước đã minh bạch về mục tiêu của chính sách mới, giúp người dân hiểu rõ về việc đóng thuế.</t>
  </si>
  <si>
    <t>Chính sách mới có lợi cho tôi và gia đình nên tôi ủng hộ và tuân thủ.</t>
  </si>
  <si>
    <t>Nhà nước đã đầu tư vào các công nghệ mới và nâng cao năng lực của cơ quan thuế, do đó tôi tin rằng họ có đủ khả năng xử lý nghiêm khắc các hành vi trốn thuế.</t>
  </si>
  <si>
    <t>Với việc đơn giản hóa quy trình khai báo và giảm số bậc thuế, quá trình làm việc với cơ quan thuế đã trở nên nhanh chóng và tiện lợi hơn nhiều so với trước đây.</t>
  </si>
  <si>
    <t>Các bước tính thuế mới rõ ràng hơn và dễ hiểu, giúp tôi không còn cảm thấy bối rối khi phải thực hiện các cuộc khai báo thuế.</t>
  </si>
  <si>
    <t>Tôi tin rằng việc áp dụng chính sách mới một cách công bằng đối với mọi người nộp thuế, đảm bảo minh bạch trong quy trình quản lý thuế.</t>
  </si>
  <si>
    <t>Nhà nước đã tăng mức giảm trừ gia cảnh và đơn giản hóa biểu thuế, điều này thể hiện sự quan tâm của họ đối với người dân có thu nhập trung bình như tôi.</t>
  </si>
  <si>
    <t>Sau khi xem xét việc sử dụng số tiền thuế đóng vào các dịch vụ công, tôi tin rằng chúng sẽ được sử dụng hiệu quả và mang lại lợi ích cho cộng đồng.</t>
  </si>
  <si>
    <t>Nhà nước đã giải thích rõ ràng về mục đích của chính sách mới, do đó tôi cảm thấy mình có thể hiểu và ủng hộ các quyết định này.</t>
  </si>
  <si>
    <t>Dựa trên việc giảm số bậc thuế, đơn giản hóa quy trình khai báo và sự công bằng trong cách áp dụng chính sách mới, tôi sẽ ủng hộ và tuân thủ chính sách hiện tại.</t>
  </si>
  <si>
    <t>Biểu thuế rõ ràng hơn, dễ hiểu và thực hiện thuận lợi hơn so với quy định cũ.</t>
  </si>
  <si>
    <t>Có sự công bằng trong việc giảm trừ gia cảnh và số bậc thuế, nhưng vẫn có nghi ngờ về cách thực thi chính sách.</t>
  </si>
  <si>
    <t>Thuế mới thấp hơn so với trước đây, cảm thấy mức thuế đóng là công bằng cho thu nhập của mình.</t>
  </si>
  <si>
    <t>Tiết kiệm được tiền thuế có thể dùng để cải thiện chất lượng cuộc sống và dịch vụ công.</t>
  </si>
  <si>
    <t>Đã giải thích rõ về mục đích của việc sửa đổi thuế, nhưng cần minh bạch hơn về cách sử dụng nguồn thu thuế.</t>
  </si>
  <si>
    <t>Tài chính được cải thiện do giảm thuế, đồng thời quy định mới đơn giản và thuận tiện hơn cho người dân.</t>
  </si>
  <si>
    <t>Quy trình khai báo thuế và làm việc với cơ quan thuế đã trở nên đơn giản hơn. Các bước cần thiết để hoàn thành hồ sơ thuế của tôi đã được tối ưu hóa, do đó thuận tiện cho người dân.</t>
  </si>
  <si>
    <t>So với trước đây, cách tính thuế và các bậc thuế trong phương án mới rõ ràng hơn. Điều này làm giảm độ phức tạp và dễ dàng hơn cho người nộp thuế hiểu và áp dụng.</t>
  </si>
  <si>
    <t>Tôi tin rằng Nhà nước sẽ thực thi chính sách một cách công bằng. Việc tăng mức giảm trừ gia cảnh giúp tôi cảm thấy được đối xử công bằng so với trước đây.</t>
  </si>
  <si>
    <t>Theo phương án mới, số tiền thuế mà tôi phải đóng là hợp lý. Tôi tin rằng mức thuế này phản ánh đúng thu nhập của mình và phù hợp với các quy định mới.</t>
  </si>
  <si>
    <t>Tôi tin tưởng rằng số tiền thuế tôi đóng sẽ được sử dụng hiệu quả để cải thiện dịch vụ công. Việc nâng cao mức giảm trừ gia cảnh giúp tôi cảm thấy số tiền đóng là đáng giá.</t>
  </si>
  <si>
    <t>Nhà nước đã giải thích rõ ràng về lý do và mục tiêu của việc sửa đổi thuế lần này. Điều này làm tăng niềm tin của tôi vào quyết định quản lý tài chính của Nhà nước.</t>
  </si>
  <si>
    <t>Với các lợi ích tài chính từ việc giảm thuế, cùng với sự đơn giản hóa quy trình và tính minh bạch cao hơn, tôi ủng hộ và sẽ tuân thủ chính sách mới này.</t>
  </si>
  <si>
    <t>Hiện nay, quy định quản lý thuế đã được cải thiện đáng kể, có nhiều biện pháp phát hiện và xử lý gian lận hoặc trốn thuế. Tuy nhiên, việc áp dụng vẫn phụ thuộc vào sự năng động của cơ quan chức năng.</t>
  </si>
  <si>
    <t>Cơ quan thuế có công nghệ tiên tiến để phát hiện và xử lý gian lận hoặc trốn thuế. Tuy nhiên, hiệu quả vẫn phụ thuộc vào nguồn lực và khả năng ứng dụng của họ.</t>
  </si>
  <si>
    <t>So với trước đây, quy trình làm việc với cơ quan thuế đã đơn giản hơn nhiều, thủ tục khai báo thuế cũng thuận tiện hơn. Điều này giúp giảm bớt gánh nặng cho người nộp thuế.</t>
  </si>
  <si>
    <t>Phương án mới đơn giản hóa biểu thuế và tăng mức giảm trừ gia cảnh, khiến việc tính toán và thực hiện thuế trở nên dễ dàng hơn. Tuy nhiên, vẫn cần thời gian để làm quen với thay đổi.</t>
  </si>
  <si>
    <t>Tôi tin rằng cơ quan thuế sẽ thực thi chính sách một cách công bằng. Việc tăng mức giảm trừ gia cảnh và đơn giản hóa biểu thuế tạo ra sự công bằng cho người nộp thuế.</t>
  </si>
  <si>
    <t>Mức thuế mới mà tôi phải đóng là hợp lý, phù hợp với thu nhập của tôi và số lượng người phụ thuộc. Điều này thể hiện tính công bằng trong việc phân bổ gánh nặng thuế.</t>
  </si>
  <si>
    <t>Tôi tin rằng tiền thuế mà tôi đóng sẽ được sử dụng hiệu quả để cải thiện các dịch vụ công, đặc biệt là y tế và hạ tầng cơ sở. Điều này tạo ra sự liên kết giữa việc nộp thuế và lợi ích của cộng đồng.</t>
  </si>
  <si>
    <t>Nhà nước đã giải thích rõ ràng về mục tiêu và lý do của việc sửa đổi luật thuế, tuy nhiên, tôi vẫn mong muốn có thêm thông tin chi tiết về cách sử dụng nguồn thu từ thuế này.</t>
  </si>
  <si>
    <t>Tôi ủng hộ chính sách mới vì nó giúp giảm bớt gánh nặng tài chính và tăng tính công bằng. Tôi sẽ tuân thủ và hợp tác với cơ quan thuế để thực hiện chính sách này.</t>
  </si>
  <si>
    <t>Hiện nay, các quy định quản lý thuế khá chặt chẽ và công nghệ hiện đại giúp việc phát hiện gian lận trở nên dễ dàng hơn.</t>
  </si>
  <si>
    <t>Nhà nước đã đầu tư vào hệ thống công nghệ thông tin của cơ quan thuế, cho thấy họ có khả năng xử lý nghiêm các hành vi trốn thuế.</t>
  </si>
  <si>
    <t>So với trước đây, quy trình khai báo thuế và làm việc với cơ quan thuế trở nên đơn giản hơn do mức giảm trừ gia cảnh tăng cao.</t>
  </si>
  <si>
    <t>Biểu thuế mới có ít bậc hơn giúp tính toán nhanh chóng, dễ dàng hơn so với trước đây.</t>
  </si>
  <si>
    <t>Việc Nhà nước tăng mức giảm trừ gia cảnh và đơn giản hóa biểu thuế cho thấy họ đang xử lý công bằng đối với mọi người nộp thuế.</t>
  </si>
  <si>
    <t>Dựa trên tác động tài chính, tôi cảm thấy mức thuế mới là hợp lý so với thu nhập của mình.</t>
  </si>
  <si>
    <t>Tiết kiệm được tiền thuế có thể được sử dụng để cải thiện chất lượng dịch vụ công như y tế và giao thông.</t>
  </si>
  <si>
    <t>Dựa trên các ưu điểm và tác động tài chính tích cực, tôi ủng hộ và tuân thủ chính sách mới.</t>
  </si>
  <si>
    <t>Công nghệ hiện đại đã giúp cơ quan thuế có thể theo dõi và xử lý các hành vi gian lận, trốn thuế một cách hiệu quả.</t>
  </si>
  <si>
    <t>Nhà nước và cơ quan thuế có đội ngũ chuyên nghiệp với công nghệ tiên tiến để phát hiện và xử lý những vấn đề về thuế.</t>
  </si>
  <si>
    <t>Quy trình khai thuế trở nên đơn giản hơn, thủ tục làm việc với cơ quan thuế nhanh chóng và thuận tiện hơn</t>
  </si>
  <si>
    <t>Biểu thuế mới có ít bậc hơn và rõ ràng hơn, dễ dàng thực hiện so với trước đây.</t>
  </si>
  <si>
    <t>Nhà nước đã công bố các quy định một cách công khai và minh bạch, tạo nên niềm tin cho người dân.</t>
  </si>
  <si>
    <t>Mức thuế mới được tính phù hợp với thu nhập của tôi, tạo cảm giác công bằng trong việc đóng góp</t>
  </si>
  <si>
    <t>Thuế mà tôi đóng sẽ được sử dụng hiệu quả để cải thiện các dịch vụ công, tạo niềm tin vào sự quản lý tài chính của nhà nước.</t>
  </si>
  <si>
    <t>Nhà nước đã giải thích rõ ràng về mục tiêu và lý do của việc sửa đổi thuế, tăng thêm tính minh bạch</t>
  </si>
  <si>
    <t>Đối với chính sách mới này, tôi ủng hộ vì nó tạo ra sự công bằng và thuận tiện hơn cho người dân.</t>
  </si>
  <si>
    <t>Dù không hoàn toàn, nhưng với việc tăng giảm trừ gia cảnh và đơn giản hóa biểu thuế, khả năng phát hiện gian lận hoặc trốn thuế có thể tốt hơn. Tuy nhiên, sự thực thi vẫn phụ thuộc vào hiệu quả quản lý của cơ quan thuế.</t>
  </si>
  <si>
    <t>Cơ quan thuế đã có nhiều cải tiến công nghệ trong thời gian qua, tăng khả năng phát hiện và xử lý các hành vi trốn thuế. Tuy nhiên, cần thêm thời gian để kiểm chứng.</t>
  </si>
  <si>
    <t>Quy trình khai báo và làm việc với cơ quan thuế trở nên đơn giản hơn do số bậc thuế giảm đi, nhưng vẫn còn một số thủ tục phức tạp.</t>
  </si>
  <si>
    <t>Cách tính thuế và các bậc thuế mới rõ ràng và dễ hiểu hơn. Tuy nhiên, việc áp dụng chính xác vào thực tế công việc vẫn cần thời gian để điều chỉnh.</t>
  </si>
  <si>
    <t>Tôi tin rằng cơ quan thuế sẽ làm việc một cách khách quan, nhưng sự công bằng phụ thuộc vào cách thực thi các quy định mới.</t>
  </si>
  <si>
    <t>Mức thuế mới giảm đi đáng kể so với trước đây, giúp tôi cảm thấy công bằng hơn. Tuy nhiên, mức thuế vẫn cao so với thu nhập hiện tại của tôi.</t>
  </si>
  <si>
    <t>Tài chính nhà nước tăng lên do các quy định mới, nhưng chi tiêu công chưa rõ ràng về hiệu quả sử dụng nguồn tài chính này.</t>
  </si>
  <si>
    <t>Cơ quan thuế đã giải thích khá rõ về mục đích và lý do của việc cải cách thuế. Tuy nhiên, cần thêm thông tin chi tiết hơn về hiệu quả sử dụng nguồn thu mới.</t>
  </si>
  <si>
    <t>Tác động tài chính tích cực từ chính sách mới làm tôi ủng hộ nó, mặc dù vẫn có một số điểm chưa hoàn hảo. Tôi sẽ tiếp tục tuân thủ và hỗ trợ</t>
  </si>
  <si>
    <t>Cơ sở hạ tầng công nghệ thông tin có thể không đủ để phát hiện toàn bộ hành vi trốn thuế.</t>
  </si>
  <si>
    <t>Quy trình khai báo trở nên đơn giản hơn, tôi thấy việc này tiện lợi và dễ thực hiện hơn.</t>
  </si>
  <si>
    <t>Bậc thuế giảm đi, cách tính thuế rõ ràng hơn, dễ hiểu và dễ thực hiện hơn so với trước đây</t>
  </si>
  <si>
    <t>Tôi tin rằng Nhà nước sẽ công tâm khi áp dụng chính sách mới, nhưng vẫn có những lo ngại về sự công bằng của việc phân bổ thuế.</t>
  </si>
  <si>
    <t>Thu nhập tôi phải đóng thuế giảm đáng kể nên tôi thấy mức thuế này là hợp lý.</t>
  </si>
  <si>
    <t>Nếu số tiền thuế được sử dụng hiệu quả cho các dịch vụ công, tôi sẽ cảm thấy việc đóng thuế có ích hơn.</t>
  </si>
  <si>
    <t>Nhà nước đã giải thích rõ ràng về lý do và mục tiêu của việc sửa đổi thuế, nhưng vẫn cần thêm thông tin để tăng độ tin tưởng.</t>
  </si>
  <si>
    <t>Tôi ủng hộ chính sách mới vì nó đơn giản hơn và giúp tôi tiết kiệm được nhiều tiền, đồng thời hy vọng nó sẽ được thực thi công bằng.</t>
  </si>
  <si>
    <t>Dù các quy định quản lý thuế hiện nay có nhiều cải tiến, nhưng với tư duy thực tế, việc phát hiện và xử lý trốn thuế vẫn phụ thuộc vào khả năng của cơ quan chức năng. Hiện tại, hệ thống công nghệ chưa hoàn thiện nên còn khó khăn trong việc phát hiện gian lận.</t>
  </si>
  <si>
    <t>Như đã nêu trên, mặc dù Nhà nước có thể đã cải thiện khả năng quản lý thuế, nhưng thực tế cho thấy, để phát hiện và xử lý trốn thuế vẫn còn khó khăn.</t>
  </si>
  <si>
    <t>So với trước đây, các quy trình khai báo thuế đơn giản hơn nhiều. Việc tính toán thuế cũng trở nên dễ dàng nhờ sự thay đổi về bậc thuế và mức giảm trừ gia cảnh.</t>
  </si>
  <si>
    <t>Sự đơn giản hóa trong cách tính thuế đã giúp tôi hiểu rõ hơn về quy trình, đồng thời thực hiện các bước cần thiết một cách nhanh chóng hơn.</t>
  </si>
  <si>
    <t>Tôi tin rằng Nhà nước sẽ thực thi chính sách mới công bằng, nhưng sự minh bạch về cách xử lý của cơ quan thuế vẫn còn hạn chế nên chưa thể đánh giá cao</t>
  </si>
  <si>
    <t>Mức thuế mới phù hợp với thu nhập của tôi. Việc giảm trừ gia cảnh tăng mạnh giúp tiết kiệm đáng kể, do đó tôi thấy mức thuế này là công bằng.</t>
  </si>
  <si>
    <t>Tôi tin rằng số tiền thuế đóng sẽ được sử dụng hiệu quả để cải thiện dịch vụ công, nhưng cần có thêm thông tin cụ thể về việc này</t>
  </si>
  <si>
    <t>Nhà nước đã giải thích rõ ràng về các thay đổi trong chính sách thuế. Tuy nhiên, tôi mong muốn có thêm thông tin về mục tiêu và kết quả của việc cải cách.</t>
  </si>
  <si>
    <t>Mặc dù vẫn còn một số lo ngại về thực thi, nhưng với sự đơn giản hóa trong quy trình khai báo thuế và mức giảm trừ gia cảnh tăng mạnh đã giúp tôi ủng hộ và tuân thủ chính sách mới</t>
  </si>
  <si>
    <t>Nhà nước đã tăng mức giảm trừ gia cảnh và đơn giản hóa biểu thuế, nhưng vẫn cần sự giám sát chặt chẽ từ phía người dân để đảm bảo không gian lận.</t>
  </si>
  <si>
    <t>Cơ quan thuế có nhiều công nghệ hiện đại để phát hiện hành vi trốn thuế, nhưng hiệu quả thực tế phụ thuộc vào cách triển khai.</t>
  </si>
  <si>
    <t>Việc giảm số bậc thuế và tăng mức giảm trừ gia cảnh làm cho quy trình đơn giản hơn, thuận tiện hơn so với trước đây.</t>
  </si>
  <si>
    <t>Biểu thuế mới rõ ràng và dễ hiểu hơn so với trước đây, giúp người dân tính toán nhanh chóng và chính xác.</t>
  </si>
  <si>
    <t>Nhà nước đã tăng mức giảm trừ gia cảnh và đơn giản hóa biểu thuế, tạo cảm giác công bằng trong việc thực thi</t>
  </si>
  <si>
    <t>Thuế mới phù hợp với thu nhập của tôi, giúp tiết kiệm chi phí và mang lại cảm giác công bằng.</t>
  </si>
  <si>
    <t>Cải cách thuế sẽ cải thiện dịch vụ công, nhưng cần thời gian để thấy kết quả cụ thể</t>
  </si>
  <si>
    <t>Nhà nước đã giải thích rõ ràng về mục tiêu của việc sửa đổi thuế, tạo niềm tin vào quyết định này.</t>
  </si>
  <si>
    <t>Dựa trên các cải tiến trong chính sách thuế và tiết kiệm được tiền thuế, tôi ủng hộ và tuân thủ chính sách mới</t>
  </si>
  <si>
    <t>Hiện nay, cơ quan thuế có nhiều công cụ và nguồn lực để phát hiện trốn thuế. Tuy nhiên, việc thực thi còn phụ thuộc vào sự phối hợp giữa các bộ ngành và khả năng giám sát của người dân.</t>
  </si>
  <si>
    <t>Cơ quan thuế đã đầu tư công nghệ tiên tiến như phần mềm điện tử để hỗ trợ quản lý thuế, giảm thiểu gian lận. Tuy nhiên, vẫn cần cải thiện về độ chính xác và sự phổ biến trong việc sử dụng.</t>
  </si>
  <si>
    <t>Quy trình khai báo và làm việc với cơ quan thuế đã đơn giản hơn so với trước đây. Việc cung cấp thông tin qua mạng internet giúp tiết kiệm thời gian và công sức.</t>
  </si>
  <si>
    <t>Biểu thuế mới có ít bậc, dễ hiểu và thực hiện thuận tiện hơn so với trước đây. Tuy nhiên, việc áp dụng các mức thuế cụ thể vẫn cần thêm thời gian để nắm bắt.</t>
  </si>
  <si>
    <t>Tôi tin rằng Nhà nước sẽ công bằng trong việc thực thi chính sách mới. Các quy định đã được cải thiện về mặt giảm trừ và đơn giản hóa, tạo điều kiện cho người dân nộp thuế thuận lợi hơn.</t>
  </si>
  <si>
    <t>Mức thuế mới phù hợp với thu nhập của tôi, giảm gánh nặng tài chính. Việc giảm trừ gia cảnh tăng lên cũng mang lại cảm giác công bằng.</t>
  </si>
  <si>
    <t>Tài nguyên thuế được sử dụng hiệu quả để cải thiện các dịch vụ công. Điều này tạo niềm tin cho người dân về việc đóng góp vào sự phát triển của đất nước.</t>
  </si>
  <si>
    <t>Nhà nước đã giải thích rõ ràng mục đích và lý do của việc sửa đổi thuế, tuy nhiên, việc truyền thông rộng rãi vẫn cần được cải thiện hơn nữa.</t>
  </si>
  <si>
    <t>Tôi ủng hộ chính sách mới vì nó mang lại lợi ích về mặt tài chính và thuận tiện cho người dân. Việc giảm trừ gia cảnh tăng lên cũng tạo cảm giác công bằng</t>
  </si>
  <si>
    <t>Quy trình khai thuế đơn giản hơn, thủ tục làm việc với cơ quan thuế thuận tiện hơn so với trước đây.</t>
  </si>
  <si>
    <t>Bậc thuế giảm từ 7 xuống 5, dễ hiểu và thực hiện nhanh chóng hơn, không còn cảm giác bị áp bức bởi mức thuế cao quá nhiều bậc.</t>
  </si>
  <si>
    <t>Tôi tin rằng Nhà nước sẽ công bằng trong việc thực thi chính sách mới vì giảm trừ gia cảnh và bậc thuế đã được cải thiện.</t>
  </si>
  <si>
    <t>Thuế tôi phải đóng thấp hơn, mức này là hợp lý cho thu nhập của tôi.</t>
  </si>
  <si>
    <t>Số tiền thuế tôi đóng sẽ được sử dụng để cải thiện các dịch vụ công</t>
  </si>
  <si>
    <t>Tôi ủng hộ vì tôi tiết kiệm được tiền và cảm thấy công bằng hơn với chính sách mới.</t>
  </si>
  <si>
    <t>Nhà nước đã đầu tư công nghệ để quản lý thuế hiệu quả hơn, nhưng việc giám sát toàn diện và chính xác vẫn cần thời gian để hoàn thiện.</t>
  </si>
  <si>
    <t>So với trước đây, quy trình khai báo thuế đơn giản hơn do có nhiều giảm trừ gia cảnh. Tuy nhiên, thủ tục vẫn chưa tối ưu hóa được hết.</t>
  </si>
  <si>
    <t>Biểu thuế mới rõ ràng và dễ hiểu hơn so với trước đây. Số bậc thuế giảm giúp việc tính toán đơn giản hơn.</t>
  </si>
  <si>
    <t>Thuế tôi phải đóng thấp hơn so với trước đây nên tôi thấy mức thuế này là công bằng. Việc giảm trừ gia cảnh cũng hợp lý cho người dân.</t>
  </si>
  <si>
    <t>Nhà nước đã giải thích rõ mục tiêu cải cách và tăng thu ngân sách, giúp sử dụng hiệu quả số tiền thuế tôi đóng vào các dịch vụ công.</t>
  </si>
  <si>
    <t>Cơ quan thuế đã minh bạch về lý do và mục đích của việc sửa đổi thuế. Tuy nhiên, cần có thêm thông tin để tăng niềm tin.</t>
  </si>
  <si>
    <t>Dù chính sách cải cách thuế mang lại lợi ích cho tôi nhưng vẫn còn nhiều thắc mắc về thực thi và giám sát. Tôi sẽ ủng hộ nếu được giải thích rõ hơn.</t>
  </si>
  <si>
    <t>Việc tăng mức giảm trừ gia cảnh và đơn giản hóa quy trình thuế có thể làm giảm cơ hội trốn thuế, nhưng vẫn cần cải thiện công nghệ để phát hiện gian lận.</t>
  </si>
  <si>
    <t>Nhuận chi từ nhà nước có đủ nguồn lực và công nghệ tiên tiến để giám sát các hành vi trốn thuế sau khi cải cách thuế, nhưng vẫn cần thời gian để hoàn thiện hệ thống.</t>
  </si>
  <si>
    <t>So với trước đây, quy trình khai báo thuế đơn giản hơn và tiện lợi hơn, giúp người nộp thuế dễ dàng thực hiện.</t>
  </si>
  <si>
    <t>Biểu thuế mới có ít bậc hơn nên dễ hiểu và thuận tiện cho việc tính toán, nhưng vẫn cần thời gian để quen với hệ thống mới.</t>
  </si>
  <si>
    <t>Tôi tin rằng cơ quan thuế sẽ thực thi chính sách một cách công bằng, nhưng vẫn cần thời gian để xem xét hiệu quả thực tế của chính sách mới.</t>
  </si>
  <si>
    <t>Đối với thu nhập như tôi, mức thuế mới là hợp lý và công bằng, giúp giảm gánh nặng tài chính.</t>
  </si>
  <si>
    <t>Tôi tin rằng số tiền thuế đóng sẽ được sử dụng hiệu quả để cải thiện dịch vụ công, nhưng cần thời gian để xem xét kết quả thực tế.</t>
  </si>
  <si>
    <t>Nhà nước đã giải thích rõ ràng về mục tiêu của việc sửa đổi chính sách thuế, giúp tôi có cái nhìn tổng thể về sự thay đổi này.</t>
  </si>
  <si>
    <t>Tôi ủng hộ và tuân thủ chính sách mới vì nó mang lại lợi ích tài chính cho tôi và gia đình, đồng thời đơn giản hóa quy trình khai thuế.</t>
  </si>
  <si>
    <t>Cơ quan thuế đã nâng cấp hệ thống để giám sát hiệu quả hơn, nhưng vấn đề về nguồn lực và nhân sự có thể còn hạn chế.</t>
  </si>
  <si>
    <t>Hệ thống khai báo đơn giản hơn với mức giảm trừ gia cảnh cao hơn, thuận tiện cho người dân.</t>
  </si>
  <si>
    <t>Bậc thuế đơn giản hơn giúp dễ dàng tính toán và nắm bắt hơn so với trước đây.</t>
  </si>
  <si>
    <t>Hiện có sự công bằng về mức giảm trừ gia cảnh, tuy nhiên việc thực thi chính sách cần đảm bảo không thiên vị.</t>
  </si>
  <si>
    <t>Nhìn chung, mức thuế mới phù hợp với thu nhập của tôi và các lợi ích tài chính mang lại.</t>
  </si>
  <si>
    <t>Thuế được sử dụng để cải thiện dịch vụ công là điều bình thường, nhưng hiệu quả cần được nâng cao hơn.</t>
  </si>
  <si>
    <t>Chính phủ đã giải thích rõ ràng về mục tiêu và lý do sửa đổi thuế, tạo niềm tin cho người dân.</t>
  </si>
  <si>
    <t>Dựa trên việc giảm chi phí thuế và các lợi ích tài chính, tôi ủng hộ chính sách mới.</t>
  </si>
  <si>
    <t>Nếu cơ quan thuế có khả năng phát hiện trốn thuế, hành vi gian lận sẽ bị xử lý nghiêm. Mặc dù không hoàn toàn tin tưởng tuyệt đối nhưng với cải cách này, việc quản lý thuế đã được nâng cao.</t>
  </si>
  <si>
    <t>Cơ quan thuế có công nghệ và nguồn lực để giám sát gian lận thuế. Tuy nhiên, vẫn cần phải có sự giám sát chặt chẽ hơn nữa để đảm bảo hiệu quả.</t>
  </si>
  <si>
    <t>Quy trình khai báo thuế và làm việc với cơ quan thuế trở nên đơn giản hơn so với trước đây. Điều này giúp người dân thuận tiện trong việc tuân thủ pháp luật thuế.</t>
  </si>
  <si>
    <t>Biểu thuế mới có ít bậc hơn, dễ hiểu và thực hiện hơn. Việc giảm trừ gia cảnh cũng được cải thiện, tạo điều kiện cho người dân tính toán đúng mức thuế phải nộp.</t>
  </si>
  <si>
    <t>Tôi tin rằng Nhà nước sẽ công tâm trong việc áp dụng chính sách mới. Với mức thuế giảm do các ưu đãi, tôi cảm thấy mình đóng góp công bằng hơn.</t>
  </si>
  <si>
    <t>Mức thuế mới là hợp lý cho thu nhập của tôi và những người cùng ngành nghề. Điều này tạo ra một môi trường cạnh tranh công bằng.</t>
  </si>
  <si>
    <t>Thuế đóng góp vào các dịch vụ công như y tế, giáo dục, hạ tầng. Tôi tin rằng số tiền thuế tôi đóng sẽ được sử dụng hiệu quả.</t>
  </si>
  <si>
    <t>Nhà nước đã giải thích rõ ràng về mục tiêu của việc cải cách thuế lần này. Tuy nhiên, vẫn cần thêm thông tin về chi tiết cụ thể hơn</t>
  </si>
  <si>
    <t>Mức thuế mới và các ưu đãi giảm trừ gia cảnh giúp tôi tiết kiệm được nhiều tiền. Tôi đồng ý với chính sách mới và sẽ tuân thủ.</t>
  </si>
  <si>
    <t>Nhà nước đã đầu tư vào hệ thống công nghệ để giám sát thuế, tăng cường khả năng phát hiện trốn thuế và gian lận, nhưng vấn đề về nguồn lực và thực thi vẫn còn tồn tại.</t>
  </si>
  <si>
    <t>Quy trình khai báo thuế đơn giản hơn với việc giảm số bậc thuế, làm cho việc nộp thuế trở nên dễ dàng và nhanh chóng hơn.</t>
  </si>
  <si>
    <t>Biểu thuế mới đơn giản hóa mức độ phức tạp, nhưng người dân cần thời gian để quen thuộc với hệ thống mới.</t>
  </si>
  <si>
    <t>Tôi tin rằng Nhà nước sẽ thực hiện chính sách một cách công bằng và khách quan, nhưng vấn đề về sự minh bạch vẫn còn khiến tôi nghi ngờ.</t>
  </si>
  <si>
    <t>Mức thuế mới phù hợp với thu nhập của tôi và giảm trừ gia cảnh tăng lên giúp tôi cảm thấy công bằng hơn.</t>
  </si>
  <si>
    <t>Tôi tin rằng số tiền thuế đóng sẽ được sử dụng hiệu quả để cải thiện các dịch vụ công, nhưng việc minh bạch trong quản lý ngân sách vẫn còn là vấn đề.</t>
  </si>
  <si>
    <t>Nhà nước đã giải thích rõ ràng về mục tiêu của chính sách mới, nhưng có thể cần thêm thông tin chi tiết để tăng sự tin tưởng.</t>
  </si>
  <si>
    <t>Chính sách mới giúp tôi tiết kiệm được nhiều tiền thuế và đơn giản hóa quy trình khai báo, do đó tôi ủng hộ và tuân thủ nó.</t>
  </si>
  <si>
    <t>Dù hiện nay có công nghệ phát triển, nhưng tôi vẫn hoài nghi về khả năng kiểm soát và xử lý nghiêm các hành vi trốn thuế.</t>
  </si>
  <si>
    <t>Việc sử dụng công nghệ để phát hiện gian lận hoặc trốn thuế có thể tốt hơn trước, nhưng tôi vẫn lo ngại về sự thực thi.</t>
  </si>
  <si>
    <t>Quy trình khai báo và làm việc với cơ quan thuế dễ dàng hơn so với trước đây, thủ tục đơn giản hóa đã giúp giảm bớt phiền toái.</t>
  </si>
  <si>
    <t>Biểu thuế mới có ít bậc hơn nên dễ hiểu và thực hiện nhanh chóng hơn, việc giảm trừ gia cảnh tăng đã làm cho quá trình tính toán đơn giản hơn.</t>
  </si>
  <si>
    <t>Tôi tin rằng cơ quan thuế sẽ cố gắng công bằng trong việc áp dụng chính sách mới, nhưng vẫn có lo ngại về sự thực thi.</t>
  </si>
  <si>
    <t>Mức thuế mới giảm đáng kể so với trước đây và tôi cảm thấy công bằng vì điều này giúp giảm gánh nặng tài chính cho người lao động.</t>
  </si>
  <si>
    <t>Tài nguyên thuế sẽ được sử dụng để cải thiện dịch vụ công, nhưng hiệu quả cụ thể còn phụ thuộc vào quản lý chi tiêu của Nhà nước.</t>
  </si>
  <si>
    <t>Tôi đồng ý với giải thích về mục đích của việc sửa đổi chính sách thuế, tuy nhiên, tôi vẫn muốn có thêm thông tin rõ ràng về cách sử dụng số tiền thuế thu được.</t>
  </si>
  <si>
    <t>Sau khi xem xét tác động tài chính tích cực và sự đơn giản hóa quy trình thuế, tôi ủng hộ và sẽ tuân thủ chính sách mới.</t>
  </si>
  <si>
    <t>Đồng ý, mặc dù không hoàn toàn tin tưởng 100%, nhưng với việc tăng cường công nghệ và quản lý thuế hiện nay, tôi cho rằng hành vi gian lận hoặc trốn thuế sẽ bị phát hiện.</t>
  </si>
  <si>
    <t>Đồng ý, cơ quan thuế có nhiều nguồn lực và kỹ thuật để giám sát và xử lý các vấn đề về thuế.</t>
  </si>
  <si>
    <t>Đồng ý, quy trình khai báo thuế trở nên đơn giản hơn so với trước đây, dễ thực hiện hơn.</t>
  </si>
  <si>
    <t>Đồng ý, việc tính thuế và các bậc thuế mới trở nên rõ ràng, dễ hiểu hơn so với luật cũ.</t>
  </si>
  <si>
    <t>Hoàn toàn đồng ý, tôi tin rằng chính phủ sẽ thực thi chính sách một cách khách quan và công bằng đối với tất cả người nộp thuế.</t>
  </si>
  <si>
    <t>Đồng ý, mức giảm trừ gia cảnh mới đã giúp tôi tiết kiệm được nhiều tiền thuế hơn so với trước đây.</t>
  </si>
  <si>
    <t>Hoàn toàn đồng ý, số tiền thuế tôi đóng sẽ được sử dụng hiệu quả để cải thiện các dịch vụ công như y tế và giao thông.</t>
  </si>
  <si>
    <t>Đồng ý, Nhà nước đã giải thích rõ ràng về mục tiêu của việc sửa đổi luật thuế lần này.</t>
  </si>
  <si>
    <t>Hoàn toàn đồng ý, tôi ủng hộ và tuân thủ chính sách mới vì nó mang lại lợi ích tài chính cho tôi và gia đình.</t>
  </si>
  <si>
    <t>Dù có công nghệ hỗ trợ, tôi vẫn nghi ngờ khả năng phát hiện trốn thuế hiệu quả vì nhiều lý do phức tạp trong việc gian lận.</t>
  </si>
  <si>
    <t>Cơ quan thuế đã cải thiện đáng kể về công nghệ và quản lý, nhưng vấn đề về sự tuân thủ vẫn còn tồn tại.</t>
  </si>
  <si>
    <t>Khi các bước tính toán đơn giản hơn, tôi thấy thuận tiện hơn trong việc khai báo thuế mà không phải lo lắng nhiều về sai sót.</t>
  </si>
  <si>
    <t>Biểu thuế mới rõ ràng và dễ hiểu hơn so với trước đây, giúp quá trình tính toán nhanh chóng và chính xác hơn.</t>
  </si>
  <si>
    <t>Tôi tin rằng cơ quan thuế sẽ cố gắng thực thi công bằng, nhưng vẫn có nghi ngờ về cách họ xử lý các trường hợp cụ thể.</t>
  </si>
  <si>
    <t>Thuế mới giảm đáng kể so với trước đây, tôi thấy mức này là công bằng và phù hợp với thu nhập của mình.</t>
  </si>
  <si>
    <t>Mặc dù không thể biết chắc chắn, nhưng tôi tin số thuế đóng sẽ được sử dụng hiệu quả cho các dịch vụ công.</t>
  </si>
  <si>
    <t>Nhà nước đã cung cấp thông tin rõ ràng về chính sách mới, nhưng vẫn cần cải thiện trong việc giải thích chi tiết hơn.</t>
  </si>
  <si>
    <t>Sau khi xem xét các quyền lợi và nghĩa vụ, tôi ủng hộ và tuân thủ chính sách mới vì nó mang lại lợi ích tài chính đáng kể.</t>
  </si>
  <si>
    <t>Ngân hàng và cơ quan thuế hiện đại đã có hệ thống quản lý tốt, nhưng vẫn còn nhiều rủi ro về việc gian lận. Tuy nhiên, với mức giảm trừ gia cảnh tăng lên, tôi tin rằng lợi ích cho người dân sẽ vượt xa nguy cơ trốn thuế.</t>
  </si>
  <si>
    <t>Cơ quan thuế đã cải thiện đáng kể về công nghệ và quy trình làm việc. Tuy nhiên, vẫn còn một số khó khăn khi tiếp cận thông tin từ các tổ chức khác</t>
  </si>
  <si>
    <t>Quy trình khai báo thuế trở nên đơn giản hơn với mức giảm trừ gia cảnh tăng và số bậc thuế được rút gọn. Tuy nhiên, vẫn cần thêm thời gian để làm quen.</t>
  </si>
  <si>
    <t>Số bậc thuế giảm đi và việc tính toán thuế trở nên dễ dàng hơn. Mức thuế mới phù hợp với thu nhập của tôi</t>
  </si>
  <si>
    <t>Tôi tin rằng cơ quan thuế sẽ thực hiện chính sách một cách công bằng, nhưng vẫn có lo ngại về việc đánh giá mức thuế cho từng cá nhân.</t>
  </si>
  <si>
    <t>Mức thuế mới hợp lý với thu nhập của tôi và người phụ thuộc. Nó phản ánh sự công bằng trong việc phân bổ thuế</t>
  </si>
  <si>
    <t>Thuế đóng góp vào các dịch vụ công quan trọng như y tế và đường xá, nhưng vẫn cần thêm minh bạch về cách sử dụng số tiền này.</t>
  </si>
  <si>
    <t>Nhà nước đã giải thích rõ ràng về mục đích của việc cải cách thuế. Tuy nhiên, chi tiết hơn về quy trình thực thi sẽ tốt hơn</t>
  </si>
  <si>
    <t>Sau khi xem xét các quyền lợi và nghĩa vụ, tôi ủng hộ chính sách mới vì nó giảm gánh nặng tài chính cho tôi.</t>
  </si>
  <si>
    <t>Thủ tục khai báo thuế trở nên đơn giản hơn, nhưng vẫn cần thời gian quen thuộc với quy trình mới của tôi.</t>
  </si>
  <si>
    <t>Biểu thuế đơn giản hơn và dễ hiểu. Việc giảm từ 7 bậc xuống còn 5 bậc đã làm cho việc tính toán thuế trở nên thuận tiện hơn.</t>
  </si>
  <si>
    <t>Tôi tin rằng cơ quan thuế sẽ thực thi chính sách công bằng. Tuy nhiên, tôi vẫn giữ một thái độ thận trọng vì còn phụ thuộc vào thực thi.</t>
  </si>
  <si>
    <t>Thuế mới đã giảm đáng kể so với trước đây. Điều này làm tăng niềm tin rằng mức thuế hiện tại là công bằng cho thu nhập của tôi.</t>
  </si>
  <si>
    <t>Tôi tin số tiền thuế đóng sẽ được sử dụng hiệu quả để cải thiện dịch vụ công, nhưng tôi cần thêm thông tin về cách sử dụng nguồn lực này.</t>
  </si>
  <si>
    <t>Nhà nước đã giải thích rõ ràng về mục tiêu của việc sửa đổi thuế. Tuy nhiên, tôi mong muốn có thêm thông tin cụ thể về kế hoạch sử dụng nguồn thu từ thuế mới.</t>
  </si>
  <si>
    <t>Dựa trên lợi ích tài chính và sự đơn giản hóa quy trình, tôi sẽ ủng hộ và tuân thủ chính sách mới. Tuy nhiên, tôi cần thêm thông tin về cách sử dụng nguồn thu từ thuế để quyết định hoàn toàn.</t>
  </si>
  <si>
    <t>Cơ quan thuế có công nghệ và nguồn lực để phát hiện hành vi gian lận hoặc trốn thuế. Tuy nhiên, hiệu quả thực thi còn phụ thuộc vào nhiều yếu tố khác như chính sách quản lý của Nhà nước.</t>
  </si>
  <si>
    <t>So với trước đây, các quy trình làm việc với cơ quan thuế đã đơn giản và tiện lợi hơn. Tuy nhiên, vẫn còn một số rắc rối trong quá trình khai báo thuế.</t>
  </si>
  <si>
    <t>Cách tính thuế và các bậc thuế mới dễ hiểu và thực hiện thuận lợi hơn so với trước đây. Điều này giúp người dân có thể tự mình hoàn thành việc khai báo thuế mà không cần sự hỗ trợ của chuyên gia.</t>
  </si>
  <si>
    <t>Tôi tin rằng Nhà nước sẽ thực thi chính sách một cách khách quan và công bằng. Tuy nhiên, do tôi có thái độ nghi ngờ về việc các cơ quan nhà nước luôn làm đúng, điểm số không quá cao.</t>
  </si>
  <si>
    <t>Nhìn chung, mức thuế mới là hợp lý với thu nhập của tôi. Tuy nhiên, do có sự phức tạp về thuế suất và ngưỡng chịu thuế nên vẫn còn nghi ngờ.</t>
  </si>
  <si>
    <t>Tôi tin rằng số tiền thuế tôi đóng sẽ được sử dụng hiệu quả để cải thiện dịch vụ công. Tuy nhiên, việc kiểm soát chi tiêu của Nhà nước không hoàn toàn trong tầm kiểm soát của tôi.</t>
  </si>
  <si>
    <t>Nhà nước đã giải thích một cách rõ ràng về mục tiêu và lý do thay đổi thuế lần này. Tuy nhiên, vẫn còn nhiều thông tin cần được cung cấp để người dân hiểu đầy đủ hơn.</t>
  </si>
  <si>
    <t>Sau khi xem xét các quyền lợi và nghĩa vụ, tôi ủng hộ chính sách mới vì nó giúp tôi tiết kiệm chi phí thuế. Tuy nhiên, do vẫn còn nghi ngờ về cách thực thi chính sách nên không hoàn toàn tin tưởng.</t>
  </si>
  <si>
    <t>Nhà nước đã tăng cường hệ thống giám sát thuế và công nghệ hiện đại nên việc phát hiện hành vi gian lận hoặc trốn thuế sẽ dễ dàng hơn.</t>
  </si>
  <si>
    <t>Cơ quan thuế có đầy đủ khả năng và công nghệ để quản lý, xử lý các vụ việc liên quan đến thuế một cách hiệu quả.</t>
  </si>
  <si>
    <t>Việc đơn giản hóa thủ tục khai báo thuế đã làm cho quá trình này trở nên dễ dàng hơn, tiết kiệm thời gian và công sức.</t>
  </si>
  <si>
    <t>Số bậc thuế giảm từ 7 xuống còn 5 đã giúp tôi hiểu rõ quy định hơn và thực hiện việc tính thuế một cách đơn giản, chính xác hơn.</t>
  </si>
  <si>
    <t>Tôi tin rằng Nhà nước sẽ công bằng trong việc áp dụng các quy định mới, đảm bảo mọi người nộp thuế đều được đối xử bình đẳng.</t>
  </si>
  <si>
    <t>Với mức thu nhập hiện tại, tôi cho rằng mình đang đóng mức thuế tương xứng với sự đóng góp của mình vào xã hội.</t>
  </si>
  <si>
    <t>Tôi tin rằng số tiền thuế mà tôi đóng sẽ được sử dụng hiệu quả để nâng cao chất lượng dịch vụ công, cải thiện cơ sở hạ tầng và y tế.</t>
  </si>
  <si>
    <t>Nhà nước đã giải thích khá rõ ràng về mục tiêu của việc sửa đổi thuế lần này, giúp tôi hiểu được lý do đằng sau các thay đổi.</t>
  </si>
  <si>
    <t>Sau khi xem xét các quyền lợi và nghĩa vụ mới, tôi ủng hộ chính sách này và sẽ tuân thủ.</t>
  </si>
  <si>
    <t>Cơ quan thuế đã đầu tư công nghệ để quản lý hiệu quả hơn, tăng khả năng phát hiện trốn thuế.</t>
  </si>
  <si>
    <t>Thủ tục khai báo và làm việc với cơ quan thuế đơn giản hơn nhiều so với trước đây.</t>
  </si>
  <si>
    <t>Biểu thuế mới đơn giản, dễ hiểu, giúp tôi dễ dàng tính toán và thực hiện.</t>
  </si>
  <si>
    <t>Đối với mức thu nhập của mình, giảm trừ gia cảnh lớn hơn đã làm tăng niềm tin vào sự công bằng trong hệ thống thuế.</t>
  </si>
  <si>
    <t>Mức thuế mới phù hợp với thu nhập và giảm trừ gia cảnh hiện tại, tôi thấy công bằng.</t>
  </si>
  <si>
    <t>Thuế đóng góp vào các dịch vụ công quan trọng như y tế và hạ tầng cơ sở, làm tăng niềm tin vào hiệu quả sử dụng nguồn lực.</t>
  </si>
  <si>
    <t>Nhà nước đã giải thích rõ ràng về mục tiêu và lý do của việc sửa đổi thuế, tôi thấy minh bạch.</t>
  </si>
  <si>
    <t>Với các lợi ích tài chính và sự đơn giản hóa thủ tục, tôi ủng hộ và tuân thủ chính sách mới.</t>
  </si>
  <si>
    <t>Công nghệ ngày càng phát triển, cơ quan thuế có nhiều công cụ phát hiện gian lận. Tuy nhiên, vẫn còn khả năng người dân khéo léo trốn tránh.</t>
  </si>
  <si>
    <t>Nhà nước đã đầu tư vào công nghệ và nguồn lực để giám sát thuế, tăng cường hiệu quả quản lý.</t>
  </si>
  <si>
    <t>Thủ tục đơn giản hơn trước, nhưng vẫn cần thời gian làm quen với thay đổi mới.</t>
  </si>
  <si>
    <t>Bậc thuế giảm và tính toán dễ dàng hơn, phù hợp với mức thu nhập trung bình.</t>
  </si>
  <si>
    <t>Tôi tin rằng cơ quan thuế sẽ công bằng trong việc đánh giá thuế, nhưng cần thêm thời gian để xem xét thực tế.</t>
  </si>
  <si>
    <t>Nhìn chung mức thuế mới là hợp lý cho thu nhập của tôi. Thuế giảm giúp tôi tiết kiệm được nhiều tiền.</t>
  </si>
  <si>
    <t>Thuê đóng góp vào việc cải thiện dịch vụ công, nhưng cần xem xét hiệu quả sử dụng ngân sách.</t>
  </si>
  <si>
    <t>Cơ quan thuế đã giải thích rõ ràng về mục tiêu và thay đổi mới, tạo niềm tin với người dân.</t>
  </si>
  <si>
    <t>Điều chỉnh thuế phù hợp hơn với thực tế, tôi sẽ tuân thủ và ủng hộ chính sách mới.</t>
  </si>
  <si>
    <t>Ngân hàng và cơ quan thuế có hệ thống theo dõi tốt, nhưng vẫn cần cải thiện để phát hiện trốn thuế hiệu quả hơn.</t>
  </si>
  <si>
    <t>Công nghệ và nhân lực của cơ quan thuế được đầu tư nâng cấp, tăng khả năng giám sát và xử lý gian lận thuế.</t>
  </si>
  <si>
    <t>Quy trình khai báo thuế trở nên đơn giản hơn, thủ tục nhanh chóng hơn nhờ ứng dụng điện tử.</t>
  </si>
  <si>
    <t>Biểu thuế mới rõ ràng và dễ hiểu hơn so với trước đây, giúp tính toán thu nhập chịu thuế thuận tiện hơn.</t>
  </si>
  <si>
    <t>Tôi tin rằng cơ quan thuế sẽ thực thi chính sách một cách công bằng, nhưng vẫn cần giám sát thêm để đảm bảo.</t>
  </si>
  <si>
    <t>Thuế mới giảm đáng kể so với trước đây, tôi cảm thấy mức thuế hiện tại là hợp lý cho thu nhập của mình.</t>
  </si>
  <si>
    <t>Công khai chi tiêu ngân sách từ thuế giúp tôi tin rằng tiền thuế đóng góp đã được sử dụng hiệu quả.</t>
  </si>
  <si>
    <t>Nhà nước đã giải thích rõ mục đích cải cách thuế, nhưng thông tin về việc thực thi vẫn còn hạn chế.</t>
  </si>
  <si>
    <t>Tác động tài chính tích cực và quy trình đơn giản hơn khiến tôi ủng hộ và tuân thủ chính sách mới.</t>
  </si>
  <si>
    <t>Công nghệ thông tin phát triển cùng với sự chuyên nghiệp của đội ngũ làm việc đã tăng khả năng phát hiện và xử lý nghiêm các hành vi không tuân thủ pháp luật về thuế.</t>
  </si>
  <si>
    <t>Quy trình khai báo thuế và làm việc với cơ quan thuế trở nên đơn giản hơn, thuận tiện qua việc sử dụng ứng dụng điện tử, dịch vụ online.</t>
  </si>
  <si>
    <t>Bậc thuế đã được đơn giản hóa từ 7 bậc thành 5 bậc, giảm thiểu thời gian và công sức tính toán cho người dân, dễ dàng áp dụng hơn.</t>
  </si>
  <si>
    <t>Tôi tin rằng chính phủ sẽ thực thi pháp luật một cách khách quan, công bằng đối với mọi người nộp thuế theo tinh thần cải cách này.</t>
  </si>
  <si>
    <t>Nhờ mức giảm trừ gia cảnh cao hơn và số bậc thuế ít hơn đã làm cho tôi cảm thấy mức thuế đóng là hợp lý và công bằng.</t>
  </si>
  <si>
    <t>Số tiền thuế đóng sẽ được sử dụng hiệu quả để nâng cấp các dịch vụ công, cải thiện chất lượng cuộc sống cho người dân.</t>
  </si>
  <si>
    <t>Nhà nước đã giải thích rõ ràng về mục tiêu và lý do của việc sửa đổi chính sách thuế lần này thông qua nhiều kênh truyền thông.</t>
  </si>
  <si>
    <t>Tôi ủng hộ và tuân thủ chính sách mới vì những lợi ích về mặt tài chính và thuận tiện trong quá trình khai báo thuế.</t>
  </si>
  <si>
    <t>Dựa trên mức giảm trừ gia cảnh cao và số bậc thuế đơn giản, tôi tin rằng việc phát hiện hành vi gian lận sẽ không dễ dàng. Tuy nhiên, với khả năng công nghệ của cơ quan thuế, họ vẫn có thể theo dõi hiệu quả.</t>
  </si>
  <si>
    <t>Nhà nước đã đầu tư vào công nghệ để phát hiện và xử lý gian lận, điều này tăng cường khả năng thực thi chính sách</t>
  </si>
  <si>
    <t>Quy trình khai thuế đơn giản hơn trước đây, đặc biệt là với mức giảm trừ gia cảnh cao, giúp thuận tiện cho người dân.</t>
  </si>
  <si>
    <t>Bậc thuế và cách tính thuế đơn giản hơn so với trước đây, dễ hiểu và thực hiện dễ dàng</t>
  </si>
  <si>
    <t>Nhà nước đã cải thiện chính sách một cách công bằng cho mọi người, giảm gánh nặng thuế cho thu nhập trung bình.</t>
  </si>
  <si>
    <t>Mức thuế mới được thiết lập phù hợp với thu nhập của tôi, đảm bảo tính công bằng trong việc phân bổ nguồn lực</t>
  </si>
  <si>
    <t>Thuế đóng góp vào các dịch vụ công quan trọng như y tế và giao thông, giúp cải thiện chất lượng cuộc sống</t>
  </si>
  <si>
    <t>Cơ quan thuế đã giải thích rõ ràng về mục tiêu của chính sách mới, khiến tôi cảm thấy tin tưởng hơn vào việc thực thi</t>
  </si>
  <si>
    <t>Chính sách mới giảm gánh nặng cho người dân như tôi và tạo ra một hệ thống thuế công bằng hơn, tôi ủng hộ nó</t>
  </si>
  <si>
    <t>Nhà nước đã đầu tư công nghệ và nhân lực cho cơ quan thuế, tăng khả năng giám sát, xử lý gian lận.</t>
  </si>
  <si>
    <t>Quy trình khai báo đơn giản hơn, giảm thiểu rào cản hành chính.</t>
  </si>
  <si>
    <t>Biểu thuế mới đơn giản hóa bậc thuế, dễ hiểu và thực hiện hơn.</t>
  </si>
  <si>
    <t>Tôi tin tưởng cơ quan thuế sẽ công bằng trong việc thực thi chính sách.</t>
  </si>
  <si>
    <t>Thuế mới được giảm, tôi thấy mức thuế này là hợp lý với thu nhập của mình.</t>
  </si>
  <si>
    <t>Nhà nước đã đầu tư vào các dịch vụ công, sử dụng tiền thuế một cách hiệu quả.</t>
  </si>
  <si>
    <t>Thay đổi chính sách được giải thích rõ ràng, tôi thấy mục tiêu là hợp lý.</t>
  </si>
  <si>
    <t>Tôi ủng hộ và tuân thủ chính sách mới vì nó đơn giản hơn và tôi tiết kiệm được tiền thuế.</t>
  </si>
  <si>
    <t>Như một người có thu nhập trung bình, mức thuế mới mà tôi phải đóng là hợp lý. Sự giảm trừ gia cảnh nhiều hơn giúp cân bằng giữa quyền lợi và nghĩa vụ của tôi đối với Nhà nước.</t>
  </si>
  <si>
    <t>Tôi tin rằng số tiền thuế mà tôi đóng sẽ được sử dụng hiệu quả để cải thiện dịch vụ công. Điều này tăng sự cam kết của tôi trong việc tuân thủ và ủng hộ chính sách mới.</t>
  </si>
  <si>
    <t>Nhà nước đã giải thích rõ ràng về mục tiêu và lý do của việc sửa đổi thuế lần này, tạo ra sự minh bạch và tin cậy. Điều này giúp tôi hiểu hơn về quyết định của họ.</t>
  </si>
  <si>
    <t>Sau khi xem xét tất cả các yếu tố trên, tôi ủng hộ và tuân thủ chính sách mới. Việc giảm thuế và đơn giản hóa quy trình khai báo thuế giúp tăng sự hài lòng và tin tưởng vào hệ thống.</t>
  </si>
  <si>
    <t>Tôi tin rằng số tiền thuế đóng sẽ được sử dụng hiệu quả để cải thiện dịch vụ công. Tuy nhiên, do thông tin cụ thể về việc sử dụng chi phí thuế còn hạn chế, nên điểm số không quá cao.</t>
  </si>
  <si>
    <t>Nhà nước đã giải thích rõ ràng về mục tiêu và lý do của việc sửa đổi thuế. Điều này tăng tính minh bạch và sự tin tưởng của tôi vào hệ thống thuế.</t>
  </si>
  <si>
    <t>Tôi ủng hộ chính sách mới vì nó giúp giảm gánh nặng tài chính và đơn giản hóa quy trình khai báo thuế, đồng thời tôi sẽ tuân thủ các nghĩa vụ thuế của mình.</t>
  </si>
  <si>
    <t>Việc tăng giảm trừ gia cảnh và đơn giản hóa biểu thuế có thể làm giảm động lực trốn thuế, nhưng vẫn cần sự giám sát chặt chẽ từ cơ quan thuế.</t>
  </si>
  <si>
    <t>Công nghệ hiện đại giúp phát hiện hành vi trốn thuế nhanh chóng và hiệu quả hơn so với trước đây.</t>
  </si>
  <si>
    <t>Thủ tục khai báo thuế trở nên đơn giản hơn, người dân dễ dàng thực hiện hơn.</t>
  </si>
  <si>
    <t>Biểu thuế mới đơn giản hóa các bậc thuế và cách tính thuế, dễ hiểu và dễ thực hiện hơn so với trước đây.</t>
  </si>
  <si>
    <t>Tôi tin rằng Nhà nước sẽ công bằng trong việc thực thi chính sách, nhưng vẫn cần sự minh bạch và công khai về quy trình quản lý thuế.</t>
  </si>
  <si>
    <t>Mức thuế mới giảm đáng kể so với trước đây, khiến tôi cảm thấy nó là một mức hợp lý cho thu nhập của mình.</t>
  </si>
  <si>
    <t>Tôi tin rằng số tiền thuế đóng sẽ được sử dụng hiệu quả để cải thiện các dịch vụ công và hạ tầng cơ sở.</t>
  </si>
  <si>
    <t>Nhà nước đã giải thích rõ ràng về mục tiêu của việc sửa đổi luật thuế, nhưng vẫn cần minh bạch hơn trong quá trình thực thi.</t>
  </si>
  <si>
    <t>Tôi ủng hộ chính sách mới vì nó giảm gánh nặng tài chính và đơn giản hóa quy trình khai báo thuế.</t>
  </si>
  <si>
    <t>Điều chỉnh thuế mới không tăng cường khả năng phát hiện trốn thuế, nên mức độ tin tưởng thấp.</t>
  </si>
  <si>
    <t>Công nghệ và nguồn lực của cơ quan thuế chưa chắc đã được cải thiện đáng kể.</t>
  </si>
  <si>
    <t>Quy trình khai thuế đơn giản hơn, nhưng vẫn có thể phức tạp đối với người không am hiểu.</t>
  </si>
  <si>
    <t>Biểu thuế mới đơn giản hóa và dễ hiểu hơn so với trước đây.</t>
  </si>
  <si>
    <t>Tăng mức giảm trừ gia cảnh và số bậc thuế, tạo cảm giác công bằng hơn cho người nộp thuế.</t>
  </si>
  <si>
    <t>Nhìn chung, mức thuế mới hợp lý so với thu nhập của tôi.</t>
  </si>
  <si>
    <t>Tăng giảm trừ gia cảnh và đơn giản hóa quy trình làm việc có thể làm tăng hiệu quả sử dụng nguồn lực.</t>
  </si>
  <si>
    <t>Dù chưa đầy đủ, cơ quan thuế đã giải thích một cách rõ ràng về mục tiêu của chính sách mới.</t>
  </si>
  <si>
    <t>Chính sách mới giảm gánh nặng tài chính, tạo điều kiện thuận lợi hơn cho người dân. Tôi ủng hộ và tuân thủ.</t>
  </si>
  <si>
    <t>Việc tăng mức giảm trừ gia cảnh và đơn giản hóa biểu thuế có thể giúp phát hiện hành vi trốn thuế khó khăn hơn, nhưng tôi vẫn lo ngại về khả năng thực thi.</t>
  </si>
  <si>
    <t>Nhà nước đã đầu tư vào công nghệ để cải thiện hiệu quả quản lý, tuy nhiên, mức độ giám sát và xử phạt cần được cải thiện hơn.</t>
  </si>
  <si>
    <t>Quy trình khai thuế trở nên dễ dàng hơn với mức giảm trừ gia cảnh tăng và số bậc thuế ít đi.</t>
  </si>
  <si>
    <t>Biểu thuế mới đơn giản và dễ hiểu hơn, giúp tôi tính toán nhanh chóng.</t>
  </si>
  <si>
    <t>Tôi tin rằng nhà nước sẽ công bằng khi thực thi chính sách mới, tuy nhiên, cần có thêm minh bạch về cách sử dụng nguồn thu thuế.</t>
  </si>
  <si>
    <t>Mức thuế tôi phải đóng giảm đáng kể và được giảm trừ gia cảnh nhiều hơn, tạo cảm giác công bằng so với trước đây.</t>
  </si>
  <si>
    <t>Tôi tin rằng số tiền thuế đóng sẽ được sử dụng hiệu quả để cải thiện dịch vụ công, nhưng cần minh bạch hơn về mục tiêu chi tiêu.</t>
  </si>
  <si>
    <t>Nhà nước đã giải thích rõ ràng lý do và mục tiêu của việc sửa đổi thuế, tuy nhiên, tôi mong muốn có thêm thông tin về cách sử dụng nguồn thu thuế.</t>
  </si>
  <si>
    <t>Việc tăng mức giảm trừ gia cảnh và đơn giản hóa biểu thuế có thể làm giảm động lực cho hành vi gian lận, nhưng việc phát hiện và xử lý trốn thuế vẫn phụ thuộc vào hiệu quả quản lý của cơ quan thuế.</t>
  </si>
  <si>
    <t>Cơ quan thuế đã ứng dụng công nghệ mới như phần mềm khai thuế điện tử, giúp tăng cường khả năng phát hiện và xử lý trốn thuế.</t>
  </si>
  <si>
    <t>Quy trình khai báo thuế trở nên đơn giản hơn với số bậc thuế giảm, nhưng vẫn cần thời gian để người dân quen thuộc với quy định mới.</t>
  </si>
  <si>
    <t>Biểu thuế mới có ít bậc và dễ hiểu hơn so với trước đây, giúp việc tính toán thuế trở nên thuận tiện hơn.</t>
  </si>
  <si>
    <t>Việc tăng giảm trừ gia cảnh và đơn giản hóa biểu thuế tạo cảm giác công bằng trong việc đóng góp ngân sách nhà nước.</t>
  </si>
  <si>
    <t>Thuế theo phương án mới phù hợp với thu nhập của tôi, do đó tôi thấy mức thuế này là công bằng.</t>
  </si>
  <si>
    <t>Việc cải cách thuế nhằm nâng cao chất lượng cuộc sống và phát triển cơ sở hạ tầng, điều này giúp tôi tin tưởng số tiền thuế đóng sẽ được sử dụng hiệu quả.</t>
  </si>
  <si>
    <t>Chính phủ đã giải thích rõ về mục tiêu của việc cải cách thuế qua các công cụ truyền thông, tuy nhiên cần thêm minh bạch trong quá trình thực thi.</t>
  </si>
  <si>
    <t>Phương án mới có nhiều ưu điểm như tăng giảm trừ gia cảnh và đơn giản hóa biểu thuế, do đó tôi ủng hộ và sẽ tuân thủ.</t>
  </si>
  <si>
    <t>Dù quy định quản lý thuế hiện nay có thể phát hiện gian lận hoặc trốn thuế, nhưng với mức độ phức tạp của hệ thống và khả năng công nghệ, tôi cho rằng việc xử lý nghiêm vẫn còn khó khăn. Tuy nhiên, cải cách đã giúp giảm nguy cơ trốn thuế nhờ tăng giảm trừ gia cảnh.</t>
  </si>
  <si>
    <t>Nhà nước có nhiều công cụ và nguồn lực để phát hiện gian lận hoặc trốn thuế, nhưng hiệu quả thực thi phụ thuộc vào khả năng tổ chức. Tôi đánh giá cao việc cải cách đã đơn giản hóa quy trình.</t>
  </si>
  <si>
    <t>Quy trình khai báo thuế và làm việc với cơ quan thuế trở nên thuận tiện hơn, giảm thời gian chờ đợi và thủ tục phức tạp. Điều này giúp tôi tiết kiệm được nhiều công sức.</t>
  </si>
  <si>
    <t>Các bậc thuế đơn giản hóa từ 7 xuống 5, làm cho việc tính thuế dễ hiểu hơn và dễ thực hiện. Việc giảm trừ gia cảnh cũng tăng khả năng tính toán chính xác thu nhập chịu thuế.</t>
  </si>
  <si>
    <t>Nhà nước đã cải cách theo hướng công bằng, tăng giảm trừ gia cảnh cho người phụ thuộc, tạo ra một hệ thống thuế đơn giản và rõ ràng. Đây là điều tôi tin tưởng sẽ được thực hiện khách quan.</t>
  </si>
  <si>
    <t>Tôi thấy mức thuế mới này hợp lý, vì nó giảm gánh nặng cho người có thu nhập như tôi mà vẫn đảm bảo công bằng với những người có thu nhập cao hơn. Điều này làm tăng niềm tin về tính công bằng của hệ thống.</t>
  </si>
  <si>
    <t>Thuế đóng góp vào sự phát triển hạ tầng và dịch vụ công, giúp cải thiện chất lượng cuộc sống. Tôi tin rằng số tiền thuế tôi đóng sẽ được sử dụng hiệu quả để phục vụ mục đích này.</t>
  </si>
  <si>
    <t>Nhà nước đã giải thích rõ về các thay đổi và mục tiêu của chính sách mới, giúp người dân hiểu và chấp nhận. Điều này tăng sự minh bạch và trách nhiệm trong quản lý thuế.</t>
  </si>
  <si>
    <t>Sau khi xem xét tác động tài chính tích cực, tôi ủng hộ và tuân thủ chính sách mới vì nó đơn giản hóa quy trình, giảm gánh nặng thuế và tăng độ công bằng. Tôi sẽ tiếp tục đóng thuế một cách tự nguyện.</t>
  </si>
  <si>
    <t>Quy trình khai báo thuế trở nên đơn giản hơn, nhưng vẫn còn một số thủ tục cần thực hiện. So với trước đây, việc làm việc với cơ quan thuế đã thuận tiện hơn.</t>
  </si>
  <si>
    <t>Các bậc thuế mới đơn giản và dễ hiểu hơn, tuy nhiên tôi chưa thấy sự thay đổi lớn trong quy trình tính thuế.</t>
  </si>
  <si>
    <t>Tôi tin rằng cơ quan thuế sẽ công tâm trong việc thực thi chính sách, nhưng vẫn còn nghi ngờ về khả năng quản lý của họ.</t>
  </si>
  <si>
    <t>Mức giảm trừ gia cảnh tăng cao khiến tôi không phải đóng thuế, điều này thể hiện sự công bằng cho người dân có thu nhập thấp như tôi.</t>
  </si>
  <si>
    <t>Thuế được sử dụng để cải thiện dịch vụ công, tuy nhiên hiệu quả cụ thể chưa rõ ràng</t>
  </si>
  <si>
    <t>Nhà nước đã giải thích về mục tiêu của chính sách mới, nhưng tôi muốn có thêm thông tin chi tiết hơn.</t>
  </si>
  <si>
    <t>Tôi ủng hộ chính sách mới vì nó đơn giản hóa quy trình và giảm gánh nặng thuế cho người dân. Tuy nhiên, tôi vẫn cần thêm thời gian để quen với các thay đổi này.</t>
  </si>
  <si>
    <t>Dù cơ quan thuế có công nghệ phát hiện trốn thuế tốt hơn, nhưng thực tế việc quản lý thuế vẫn còn nhiều khó khăn. Tôi tin rằng với các quy định quản lý hiện nay, hành vi gian lận sẽ dễ bị phát hiện.</t>
  </si>
  <si>
    <t>Nhà nước và cơ quan thuế đã đầu tư công nghệ để phát hiện trốn thuế, tuy nhiên thực tế việc này vẫn còn hạn chế do nhiều yếu tố như sự hợp tác của người dân. Tôi đánh giá khả năng phát hiện là tốt.</t>
  </si>
  <si>
    <t>So với trước đây, các thủ tục khai báo thuế và quy trình làm việc với cơ quan thuế đã đơn giản hơn nhiều. Điều này giúp tôi tiết kiệm thời gian và dễ dàng tuân thủ.</t>
  </si>
  <si>
    <t>Biểu thuế mới có ít bậc hơn, dễ hiểu và thực hiện thuận tiện hơn. Tuy nhiên, việc áp dụng các mức thuế vào thực tế vẫn cần thêm thời gian để làm quen.</t>
  </si>
  <si>
    <t>Tôi tin rằng cơ quan thuế sẽ thực thi chính sách một cách công bằng và khách quan. Tuy nhiên, việc quản lý thuế còn nhiều rủi ro nên tôi vẫn giữ thái độ thận trọng.</t>
  </si>
  <si>
    <t>Mức thuế mới phù hợp với thu nhập của tôi và có sự giảm trừ gia cảnh tốt hơn. Điều này làm tăng cảm giác công bằng trong việc đóng thuế.</t>
  </si>
  <si>
    <t>Tôi tin rằng số tiền thuế đóng sẽ được sử dụng hiệu quả để cải thiện dịch vụ công, mặc dù còn nhiều câu hỏi về cách sử dụng nguồn lực.</t>
  </si>
  <si>
    <t>Nhà nước đã giải thích rõ ràng về mục tiêu của việc sửa đổi thuế. Tuy nhiên, tôi mong muốn có thêm thông tin cụ thể hơn về quy trình thực thi chính sách mới.</t>
  </si>
  <si>
    <t>Sau khi xem xét các quyền lợi và nghĩa vụ, tôi ủng hộ và sẽ tuân thủ chính sách mới. Việc giảm thuế và đơn giản hóa thủ tục giúp tôi dễ dàng hơn trong việc nộp thuế.</t>
  </si>
  <si>
    <t>Hiện nay, với hệ thống quản lý thuế hiện đại và công nghệ cao, tôi tin rằng việc phát hiện hành vi gian lận hoặc trốn thuế sẽ không còn khó khăn. Tuy nhiên, do chưa có nhiều thông tin cụ thể về các biện pháp thực thi mới, điểm số này chỉ ở mức trung bình.</t>
  </si>
  <si>
    <t>Nhà nước và cơ quan thuế đã đầu tư mạnh vào công nghệ quản lý thuế, giúp việc theo dõi và xử lý các hành vi gian lận trở nên dễ dàng hơn. Điều này tăng độ tin cậy trong quản lý thuế.</t>
  </si>
  <si>
    <t>So với trước đây, quy trình khai báo thuế và làm việc với cơ quan thuế đã đơn giản hóa đáng kể. Tuy nhiên, do vẫn chưa thực hiện được hoàn toàn tự động hóa trong quá trình này, điểm số không thể cao hơn.</t>
  </si>
  <si>
    <t>Bảng thuế mới có ít bậc hơn và dễ hiểu hơn so với trước đây. Điều này giúp việc tính toán và tuân thủ pháp luật trở nên đơn giản và tiện lợi hơn.</t>
  </si>
  <si>
    <t>Tôi tin rằng Nhà nước sẽ thực thi chính sách một cách công bằng và khách quan, nhưng vẫn cần thêm thời gian để kiểm chứng sự thực hiện của các quy định mới.</t>
  </si>
  <si>
    <t>Nhìn chung, mức thuế mới có vẻ hợp lý cho thu nhập của tôi. Tuy nhiên, do còn nhiều yếu tố khác ảnh hưởng đến tổng chi phí, nên việc đánh giá hoàn toàn công bằng vẫn còn cần thời gian.</t>
  </si>
  <si>
    <t>Tôi tin rằng số thuế đóng sẽ được sử dụng hiệu quả để cải thiện các dịch vụ công. Tuy nhiên, do chưa có nhiều thông tin cụ thể về cách sử dụng nguồn thu, nên điểm số này chỉ ở mức trung bình.</t>
  </si>
  <si>
    <t>Nhà nước đã cung cấp thông tin chi tiết về lý do và mục tiêu của việc sửa đổi thuế. Tuy nhiên, để tăng thêm niềm tin, cần có thêm giải thích rõ ràng hơn về hiệu quả sử dụng nguồn thu.</t>
  </si>
  <si>
    <t>Sau khi xem xét các quyền lợi và nghĩa vụ, tôi ủng hộ chính sách mới. Các thay đổi giúp giảm gánh nặng thuế cho người dân, đồng thời đơn giản hóa quy trình khai báo thuế.</t>
  </si>
  <si>
    <t>Việc tăng mức giảm trừ gia cảnh và đơn giản hóa biểu thuế có thể làm giảm cơ hội trốn thuế, nhưng không loại bỏ hoàn toàn khả năng gian lận.</t>
  </si>
  <si>
    <t>Cơ quan thuế đã đầu tư công nghệ hiện đại hơn để phát hiện gian lận, tuy nhiên, vẫn cần sự phối hợp chặt chẽ giữa các cơ quan để tăng cường hiệu quả quản lý.</t>
  </si>
  <si>
    <t>So với trước đây, quy trình khai thuế trở nên đơn giản hơn, đặc biệt là việc giảm số bậc thuế và mức giảm trừ gia cảnh.</t>
  </si>
  <si>
    <t>Biểu thuế mới rõ ràng hơn về các bậc thuế suất và ngưỡng chịu thuế, giúp người dân dễ dàng tính toán và thực hiện.</t>
  </si>
  <si>
    <t>Tôi tin rằng việc Nhà nước thực thi chính sách một cách công bằng và khách quan sẽ được đảm bảo thông qua các quy định mới.</t>
  </si>
  <si>
    <t>Dựa trên tác động tài chính, mức thuế mới phù hợp với thu nhập của tôi, thể hiện tính công bằng trong việc phân chia gánh nặng thuế giữa các đối tượng có thu nhập khác nhau.</t>
  </si>
  <si>
    <t>Thuế đóng góp vào ngân sách nhà nước giúp cải thiện hạ tầng và dịch vụ công, từ đó nâng cao chất lượng cuộc sống cho người dân.</t>
  </si>
  <si>
    <t>Nhà nước đã công bố các thay đổi rõ ràng về mục tiêu và lý do của chính sách mới, giúp tôi hiểu được sự cần thiết của nó.</t>
  </si>
  <si>
    <t>Tôi ủng hộ chính sách mới vì tác động tài chính tích cực và khả năng đơn giản hóa thủ tục thuế.</t>
  </si>
  <si>
    <t>Dù quy định quản lý thuế hiện nay có thể phát hiện gian lận, nhưng mức giảm trừ gia cảnh lớn hơn và các bậc thuế đơn giản hóa có thể làm mờ ám một phần quy trình kiểm toán.</t>
  </si>
  <si>
    <t>Cơ quan thuế có công nghệ tiên tiến để phát hiện trốn thuế, nhưng việc giảm trừ gia cảnh lớn hơn và đơn giản hóa bậc thuế có thể làm phức tạp quá trình xử lý hồ sơ.</t>
  </si>
  <si>
    <t>Thủ tục khai báo thuế và quy trình làm việc với cơ quan thuế đã trở nên thuận tiện hơn nhiều so với trước đây, giảm thời gian chờ đợi và thủ tục rườm rà.</t>
  </si>
  <si>
    <t>Bậc thuế đơn giản hóa và mức giảm trừ gia cảnh cao hơn làm cho quá trình tính thuế trở nên dễ hiểu hơn, nhưng vẫn cần sự kiên nhẫn để nắm bắt đầy đủ.</t>
  </si>
  <si>
    <t>Tôi tin rằng cơ quan thuế sẽ thực thi chính sách một cách công bằng, dù mức giảm trừ gia cảnh và bậc thuế mới có thể gây nghi ngờ về sự khách quan trong một số trường hợp.</t>
  </si>
  <si>
    <t>Mức thuế mới là hợp lý cho thu nhập của tôi, mặc dù việc thay đổi từ nhiều bậc thuế sang ít hơn có thể làm giảm niềm tin vào tính công bằng.</t>
  </si>
  <si>
    <t>Tôi tin rằng số tiền thuế đóng sẽ được sử dụng hiệu quả để cải thiện dịch vụ công, nhưng cần thêm thông tin về cách sử dụng nguồn thu thuế mới này.</t>
  </si>
  <si>
    <t>Nhà nước đã giải thích rõ ràng về mục tiêu của việc sửa đổi thuế, mặc dù việc thay đổi từ nhiều bậc thuế sang ít hơn có thể làm giảm niềm tin vào sự minh bạch.</t>
  </si>
  <si>
    <t>Tôi ủng hộ chính sách mới vì nó mang lại lợi ích tài chính và thuận tiện cho tôi, đồng thời cải thiện hệ thống thuế chung.</t>
  </si>
  <si>
    <t>Với việc tăng cường quản lý thuế và công nghệ hiện đại, tôi tin rằng hành vi gian lận hoặc trốn thuế sẽ được phát hiện dễ dàng. Tuy nhiên, do sự phức tạp của hệ thống thuế cũ vẫn còn vẹn nguyên, nên khả năng xử lý nghiêm không cao.</t>
  </si>
  <si>
    <t>Nhà nước và cơ quan thuế có đủ công nghệ để phát hiện trốn thuế. Tuy nhiên, hiệu quả thực tế phụ thuộc vào việc triển khai và giám sát.</t>
  </si>
  <si>
    <t>So với trước đây, thủ tục khai báo thuế đơn giản hơn do giảm bớt các bước cần đi. Quy trình làm việc cũng thuận tiện hơn</t>
  </si>
  <si>
    <t>Biểu thuế được đơn giản hóa từ 7 bậc xuống còn 5 bậc, giúp tính toán và thực hiện dễ dàng hơn.</t>
  </si>
  <si>
    <t>Tôi tin rằng Nhà nước sẽ công bằng trong việc thực thi chính sách mới. Tuy nhiên, do sự phức tạp của hệ thống cũ vẫn còn tồn tại, nên độ tin cậy chưa hoàn toàn cao.</t>
  </si>
  <si>
    <t>Thuế mới được giảm bớt so với trước đây nhờ mức giảm trừ gia cảnh tăng lên. Điều này khiến tôi thấy mức thuế hiện nay là công bằng</t>
  </si>
  <si>
    <t>Tôi tin rằng số tiền thuế đóng sẽ được sử dụng hiệu quả cho các dịch vụ công, nhưng chi tiết cụ thể về việc sử dụng còn hạn chế.</t>
  </si>
  <si>
    <t>Nhà nước đã giải thích rõ ràng về mục tiêu và lý do của việc sửa đổi thuế. Tuy nhiên, thông tin chi tiết hơn về cách sử dụng số tiền thuế sẽ tăng thêm niềm tin</t>
  </si>
  <si>
    <t>Tác động tài chính tích cực đã khiến tôi ủng hộ và tuân thủ chính sách mới. Tuy nhiên, sự phức tạp của hệ thống cũ vẫn còn tồn tại nên mức độ ủng hộ không hoàn toàn cao.</t>
  </si>
  <si>
    <t>Cơ quan thuế có nhiều công cụ và hệ thống để theo dõi tình hình tài chính của doanh nghiệp và cá nhân, giảm thiểu khả năng gian lận.</t>
  </si>
  <si>
    <t>Hệ thống khai báo trực tuyến đơn giản hơn trước, tuy nhiên vẫn còn một số thủ tục cần cải tiến để thuận tiện hơn cho người dân.</t>
  </si>
  <si>
    <t>Biểu thuế mới giảm bớt sự phức tạp, dễ hiểu và thực hiện hơn so với trước đây.</t>
  </si>
  <si>
    <t>Tôi tin Nhà nước sẽ công tâm trong việc áp dụng chính sách, nhưng vẫn cần thêm minh bạch về cách thức quản lý thuế.</t>
  </si>
  <si>
    <t>Thuế mới giảm đi đáng kể so với trước đây, tôi thấy mức đóng là hợp lý cho thu nhập của mình.</t>
  </si>
  <si>
    <t>Đóng thuế giúp cải thiện hạ tầng và dịch vụ công, tôi tin tiền đã đóng sẽ được sử dụng hiệu quả.</t>
  </si>
  <si>
    <t>Nhà nước đã giải thích chi tiết về mục tiêu và quy định mới của luật thuế, tuy nhiên vẫn cần thêm thông tin về việc quản lý thu chi.</t>
  </si>
  <si>
    <t>Tôi ủng hộ chính sách mới vì giảm được gánh nặng tài chính do thuế và có sự công bằng hơn trong việc đóng góp cho Nhà nước.</t>
  </si>
  <si>
    <t>Dù thuế có giảm, tôi vẫn thấy việc quản lý thuế rất phức tạp và không chắc chắn rằng mọi người sẽ bị phát hiện nếu trốn thuế. Tuy nhiên, với sự cải tiến của công nghệ, khả năng phát hiện gian lận có thể tăng lên.</t>
  </si>
  <si>
    <t>Công nghệ ngày càng phát triển, nên tôi tin rằng cơ quan thuế sẽ có nhiều phương pháp hơn để kiểm soát và xử lý hành vi trốn thuế. Tuy nhiên, vẫn còn nhiều rủi ro và gian lận có thể xảy ra.</t>
  </si>
  <si>
    <t>So với trước đây, quy trình làm việc với cơ quan thuế đã đơn giản hơn nhưng vẫn còn một số thủ tục phức tạp. Việc giảm trừ gia cảnh tăng lên giúp thuận tiện hơn cho người dân.</t>
  </si>
  <si>
    <t>Biểu thuế mới đơn giản hóa từ 7 bậc xuống 5, dễ hiểu và thực hiện hơn so với trước đây. Tuy nhiên, vẫn còn một số điểm cần cải tiến để thuận tiện hơn nữa cho người nộp thuế.</t>
  </si>
  <si>
    <t>Tôi tin rằng Nhà nước sẽ thực thi chính sách công bằng và khách quan đối với mọi người nộp thuế. Tuy nhiên, việc giảm trừ gia cảnh tăng lên đã giúp tôi cảm thấy hài lòng hơn về sự công bằng.</t>
  </si>
  <si>
    <t>Theo phương án mới, mức thuế tôi phải đóng là hợp lý và công bằng so với thu nhập của mình. Tuy nhiên, việc giảm trừ gia cảnh tăng lên đã giúp tôi cảm thấy hài lòng hơn về sự công bằng.</t>
  </si>
  <si>
    <t>Tôi tin rằng số tiền thuế tôi đóng sẽ được sử dụng hiệu quả để cải thiện dịch vụ công. Tuy nhiên, vẫn cần nhiều thông tin cụ thể hơn về cách sử dụng nguồn thu thuế này.</t>
  </si>
  <si>
    <t>Nhà nước đã giải thích rõ ràng về lý do và mục tiêu của việc sửa đổi thuế lần này. Điều này giúp tôi hiểu được mục đích chính sách mới, nhưng vẫn cần thêm thông tin để minh bạch hơn.</t>
  </si>
  <si>
    <t>Sau khi xem xét các quyền lợi và nghĩa vụ, tôi ủng hộ và tuân thủ chính sách mới hiện nay. Tuy nhiên, tôi hy vọng rằng trong tương lai sẽ có nhiều cải tiến hơn nữa để thuận tiện cho người dân.</t>
  </si>
  <si>
    <t>Với việc tăng mức giảm trừ gia cảnh và đơn giản hóa quy trình, khả năng phát hiện hành vi gian lận hoặc trốn thuế được cải thiện. Tuy nhiên, vẫn có thể còn khó khăn trong quản lý.</t>
  </si>
  <si>
    <t>Nhà nước đã đầu tư vào công nghệ để hỗ trợ việc kiểm soát và xử lý thuế một cách hiệu quả hơn. Đây là một yếu tố quan trọng để tăng cường thực thi pháp luật.</t>
  </si>
  <si>
    <t>Quy trình khai báo thuế trở nên đơn giản hơn với việc giảm bậc thuế, điều này giúp thuận tiện cho người dân trong quá trình nộp thuế.</t>
  </si>
  <si>
    <t>Các bậc thuế mới rõ ràng và dễ hiểu hơn so với trước đây. Điều này làm giảm sự phức tạp và giúp tôi dễ dàng tuân thủ.</t>
  </si>
  <si>
    <t xml:space="preserve">Tôi tin rằng Nhà nước sẽ thực thi chính sách một cách công bằng, đặc biệt là khi mức thuế mới được điều chỉnh phù hợp với thu nhập của tôi. </t>
  </si>
  <si>
    <t>Mức thuế mới giảm so với trước đây, thể hiện tính công bằng trong việc phân bổ gánh nặng thuế cho người dân.</t>
  </si>
  <si>
    <t>Tiết kiệm được một khoản tiền đáng kể từ thuế, tôi tin rằng Nhà nước sẽ sử dụng số tiền này để đầu tư vào các dịch vụ công ích quan trọng.</t>
  </si>
  <si>
    <t>Nhà nước đã giải thích rõ ràng về mục đích của việc cải cách và cung cấp thông tin minh bạch. Điều này làm tăng sự hiểu biết và niềm tin vào chính sách mới.</t>
  </si>
  <si>
    <t>Chính sách mới có lợi cho tôi và gia đình, đồng thời cũng công bằng hơn. Tôi sẽ ủng hộ và tuân thủ các quy định mới.</t>
  </si>
  <si>
    <t>Hiện tại, các quy định quản lý thuế đã được nâng cao đáng kể, với việc tăng mức giảm trừ gia cảnh và đơn giản hóa biểu thuế. Điều này làm tăng khả năng phát hiện hành vi gian lận hoặc trốn thuế.</t>
  </si>
  <si>
    <t>Nhà nước đã đầu tư công nghệ và nhân lực vào việc quản lý thuế, đồng thời có các quy định rõ ràng về xử phạt. Tuy nhiên, vẫn cần thêm thời gian để kiểm chứng hiệu quả.</t>
  </si>
  <si>
    <t>So với trước đây, quy trình khai báo và làm việc với cơ quan thuế đã đơn giản hơn nhiều. Người dân có thể sử dụng các công cụ trực tuyến tiện lợi hơn.</t>
  </si>
  <si>
    <t>Biểu thuế mới đơn giản hóa bậc thuế từ 7 xuống 5, dễ hiểu và thực hiện hơn. Điều này giúp người dân dễ dàng tính toán và nộp thuế.</t>
  </si>
  <si>
    <t>Nhà nước đã công bố chính sách rõ ràng về việc tăng giảm trừ gia cảnh và đơn giản hóa biểu thuế. Việc thực thi cũng được cải thiện, tạo niềm tin cho người dân.</t>
  </si>
  <si>
    <t>Thuế mới phù hợp với thu nhập của tôi, giảm gánh nặng tài chính. Đây là mức thuế công bằng và phù hợp với điều kiện kinh tế hiện tại.</t>
  </si>
  <si>
    <t>Tài nguyên thuế sẽ được sử dụng hiệu quả để cải thiện các dịch vụ công như y tế, giao thông... Điều này tạo niềm tin cho tôi về việc sử dụng tiền thuế một cách đúng đắn.</t>
  </si>
  <si>
    <t>Nhà nước đã có những giải thích rõ ràng về mục tiêu và lý do sửa đổi thuế. Tuy nhiên, vẫn cần thêm thông tin để hiểu sâu hơn về hiệu quả thực tế của chính sách mới.</t>
  </si>
  <si>
    <t>Dựa trên các ưu điểm nêu trên, tôi ủng hộ và tuân thủ chính sách mới. Mặc dù có một số lo ngại về việc sử dụng hiệu quả của thuế, nhưng tổng thể vẫn là hướng đi tốt.</t>
  </si>
  <si>
    <t>Nhà nước đã tăng cường quản lý thuế và công nghệ hiện đại, khả năng phát hiện hành vi gian lận hay trốn thuế sẽ cao hơn.</t>
  </si>
  <si>
    <t>Cơ quan thuế có đủ nguồn lực và công nghệ để giám sát và xử lý các trường hợp gian lận, trốn thuế hiệu quả.</t>
  </si>
  <si>
    <t>Quy trình khai báo thuế trở nên đơn giản hơn với mức giảm trừ gia cảnh cao hơn, thủ tục làm việc thuận tiện hơn cho người dân.</t>
  </si>
  <si>
    <t>Biểu thuế được đơn giản hóa từ 7 bậc xuống còn 5 bậc, giúp việc tính thuế và nộp thuế dễ dàng hơn.</t>
  </si>
  <si>
    <t>Tôi tin rằng Nhà nước sẽ công bằng khi áp dụng chính sách mới cho mọi người dân, không phân biệt ai đóng bao nhiêu.</t>
  </si>
  <si>
    <t>Mức thuế mới được giảm đáng kể so với trước đây, tôi thấy điều này là hợp lý vì thu nhập của tôi đã giảm do tuổi tác và số lượng người phụ thuộc tăng lên.</t>
  </si>
  <si>
    <t>Thuế đóng góp vào việc cải thiện dịch vụ công như y tế, giáo dục, hạ tầng giao thông...</t>
  </si>
  <si>
    <t>Nhà nước đã giải thích khá rõ về mục đích và lý do của việc thay đổi thuế lần này.</t>
  </si>
  <si>
    <t>Tôi ủng hộ và sẵn lòng tuân thủ chính sách mới vì lợi ích tài chính và sự đơn giản hóa quy trình khai báo thuế.</t>
  </si>
  <si>
    <t>Nhà nước đã giải thích rõ ràng lý do và mục tiêu của việc thay đổi thuế, nhưng thêm thông tin sẽ giúp tăng thêm sự hiểu biết.</t>
  </si>
  <si>
    <t>Sau khi xem xét cả mặt tích cực lẫn hạn chế, tôi vẫn ủng hộ chính sách mới. Thu nhập của tôi đã giảm đáng kể do thuế, và điều này khiến tôi cảm thấy công bằng hơn.</t>
  </si>
  <si>
    <t>Việc tăng mức giảm trừ gia cảnh và đơn giản hóa biểu thuế có thể làm giảm khả năng phát hiện hành vi gian lận hoặc trốn thuế, nhưng vẫn tin tưởng cơ quan thuế sẽ có biện pháp quản lý hiệu quả.</t>
  </si>
  <si>
    <t>Cơ quan thuế đã cải tiến công nghệ để theo dõi và xử lý các hành vi gian lận thuế, tuy nhiên, cần thêm thời gian để đánh giá khả năng thực thi.</t>
  </si>
  <si>
    <t>Thủ tục khai báo thuế trở nên đơn giản hơn với mức giảm trừ gia cảnh cao hơn và số bậc thuế ít đi, tạo thuận lợi cho người dân.</t>
  </si>
  <si>
    <t>Cách tính thuế mới dễ hiểu và thực hiện nhanh chóng hơn so với trước đây nhờ việc đơn giản hóa biểu thuế.</t>
  </si>
  <si>
    <t>Tin tưởng rằng cơ quan thuế sẽ thực thi chính sách một cách khách quan, công bằng, dù còn nghi ngại về khả năng quản lý của họ.</t>
  </si>
  <si>
    <t>Mức thuế mới được giảm đáng kể so với trước đây, tạo cảm giác rằng mức thuế là hợp lý cho thu nhập hiện tại và số người phụ thuộc của tôi.</t>
  </si>
  <si>
    <t>Tin tưởng rằng số tiền thuế đóng sẽ được sử dụng hiệu quả để cải thiện dịch vụ công, mặc dù còn nghi ngại về mức độ minh bạch cụ thể.</t>
  </si>
  <si>
    <t>Đã nhận được giải thích rõ ràng về mục tiêu của việc sửa đổi thuế này, tạo cảm giác rằng mục tiêu là chính đáng và công bằng.</t>
  </si>
  <si>
    <t>Hoàn toàn đồng ý với chính sách mới vì mức thuế giảm đáng kể và thủ tục đơn giản hơn, đồng thời tin tưởng vào mục tiêu cải thiện dịch vụ công.</t>
  </si>
  <si>
    <t>Nhà nước đã tăng cường các biện pháp quản lý thuế, nhưng việc thực thi vẫn cần thời gian để điều chỉnh và hoàn thiện.</t>
  </si>
  <si>
    <t>Cơ quan thuế có công nghệ hiện đại giúp phát hiện trốn thuế nhanh chóng hơn, tuy nhiên still need improvements in enforcement and transparency.</t>
  </si>
  <si>
    <t>So với trước đây, quy trình khai thuế và giao tiếp với cơ quan thuế đã đơn giản hóa đáng kể, thuận tiện cho người dân.</t>
  </si>
  <si>
    <t>Biểu thuế mới có ít bậc hơn và ngưỡng chịu thuế hợp lý hơn so với trước đây, dễ hiểu và thực hiện dễ dàng hơn.</t>
  </si>
  <si>
    <t>Tôi tin rằng Nhà nước sẽ thực thi chính sách một cách công bằng, nhưng vẫn cần thêm thời gian để chứng minh.</t>
  </si>
  <si>
    <t>Với mức thuế mới, tôi thấy mình đóng góp phù hợp với thu nhập của bản thân, cảm thấy công bằng hơn.</t>
  </si>
  <si>
    <t>Thuế tôi đóng sẽ được sử dụng hiệu quả cho các dịch vụ công, nhưng cần thêm thông tin cụ thể về cách sử dụng.</t>
  </si>
  <si>
    <t>Nhà nước đã giải thích rõ ràng về mục tiêu của chính sách mới, tuy nhiên vẫn có chỗ chưa đầy đủ trong việc minh bạch</t>
  </si>
  <si>
    <t>Chính sách mới mang lại lợi ích tài chính và thuận tiện cho người dân, tôi sẽ ủng hộ và tuân thủ.</t>
  </si>
  <si>
    <t>Việc Nhà nước và cơ quan thuế cải thiện công nghệ và năng lực để phát hiện trốn thuế là một lợi ích</t>
  </si>
  <si>
    <t>Quy trình làm việc với cơ quan thuế đã đơn giản hơn, thủ tục khai báo thuế thuận tiện hơn.</t>
  </si>
  <si>
    <t>Biểu thuế mới đơn giản và dễ hiểu hơn so với trước đây</t>
  </si>
  <si>
    <t>Tôi tin rằng Nhà nước sẽ thực thi chính sách một cách công bằng, nhưng vẫn có sự nghi ngờ nhất định.</t>
  </si>
  <si>
    <t>Thuế mới được giảm đi đáng kể, tôi thấy đây là mức thuế hợp lý cho thu nhập của mình</t>
  </si>
  <si>
    <t>Đồng ý với việc sử dụng số tiền thuế đóng vào cải thiện dịch vụ công</t>
  </si>
  <si>
    <t>Tôi ủng hộ và tuân thủ chính sách mới vì nó có lợi cho tôi và gia đình</t>
  </si>
  <si>
    <t>Nhà nước và cơ quan thuế có nhiều biện pháp quản lý, công nghệ tiên tiến để phát hiện hành vi trốn thuế. Mặc dù vậy, vẫn còn một số rủi ro khi các phương án gian lận tinh vi hơn.</t>
  </si>
  <si>
    <t>Cơ quan thuế có đủ khả năng và công nghệ để phát hiện hành vi trốn thuế, đồng thời có hệ thống xử lý nghiêm minh. Tuy nhiên, vẫn cần cải thiện nữa để giảm rủi ro</t>
  </si>
  <si>
    <t>Khai báo thuế và quy trình làm việc với cơ quan thuế đơn giản hơn so với trước đây, thủ tục trở nên tiện lợi và nhanh chóng hơn.</t>
  </si>
  <si>
    <t>Cách tính thuế và các bậc thuế trong phương án mới đơn giản hơn nhiều. Người dân dễ dàng hiểu và áp dụng quy định thuế mới</t>
  </si>
  <si>
    <t>Tôi tin rằng Nhà nước sẽ thực thi chính sách một cách công bằng, khách quan nhưng vẫn có thể gặp rủi ro về mặt quản lý.</t>
  </si>
  <si>
    <t>Mức thuế mới hợp lý với thu nhập của tôi. Tuy nhiên, mức giảm trừ gia cảnh cao hơn so với trước đây làm giảm áp lực tài chính</t>
  </si>
  <si>
    <t>Số tiền thuế đóng vào ngân sách sẽ được sử dụng để cải thiện dịch vụ công, nhưng còn phụ thuộc vào hiệu quả quản lý của Nhà nước.</t>
  </si>
  <si>
    <t>Nhà nước đã giải thích rõ ràng về việc sửa đổi thuế này. Tuy nhiên, vẫn cần có thêm thông tin chi tiết hơn để người dân hiểu đầy đủ.</t>
  </si>
  <si>
    <t>Phương án mới giúp tôi tiết kiệm được một khoản tiền đáng kể từ việc giảm trừ gia cảnh và đơn giản hóa quy định thuế. Tôi sẽ tuân thủ chính sách mới.</t>
  </si>
  <si>
    <t>Những quy định quản lý thuế hiện nay đã được cải thiện, công nghệ theo dõi thuế cũng tiên tiến hơn nên việc phát hiện hành vi gian lận hoặc trốn thuế sẽ dễ dàng hơn.</t>
  </si>
  <si>
    <t>Cơ quan thuế có nhiều nguồn lực và công nghệ hỗ trợ để quản lý hiệu quả, giảm thiểu tình trạng trốn thuế.</t>
  </si>
  <si>
    <t>So với trước đây, quy trình khai báo thuế đơn giản hơn và nhanh chóng hơn, thuận tiện cho người dân.</t>
  </si>
  <si>
    <t>Biểu thuế mới đơn giản hơn với ít bậc thuế, dễ hiểu và thực hiện đơn giản hơn so với trước đây.</t>
  </si>
  <si>
    <t>Tôi tin rằng Nhà nước sẽ công bằng khi thực thi chính sách mới, nhưng vẫn có phần nghi ngờ về việc áp dụng thực tế.</t>
  </si>
  <si>
    <t>Với mức thuế giảm và sự cải tiến trong hệ thống, tôi thấy mức thuế mình đóng là hợp lý.</t>
  </si>
  <si>
    <t>Tôi tin rằng số tiền thuế đóng sẽ được sử dụng hiệu quả để cải thiện dịch vụ công, nhưng vẫn có một chút lo ngại về việc quản lý chi tiêu của Nhà nước.</t>
  </si>
  <si>
    <t>Nhà nước đã giải thích rõ ràng mục đích và lý do của việc sửa đổi thuế, tuy nhiên cần thêm thông tin minh bạch hơn.</t>
  </si>
  <si>
    <t>Tôi ủng hộ chính sách mới vì nó giúp tôi tiết kiệm được tiền thuế, nhưng vẫn có một số lo ngại về thực thi và quản lý chi tiêu của Nhà nước.</t>
  </si>
  <si>
    <t>Thuế hiện nay có nhiều quy định và thủ tục phức tạp, mặc dù Nhà nước đã tăng cường quản lý nhưng khả năng phát hiện hành vi gian lận vẫn còn hạn chế.</t>
  </si>
  <si>
    <t>Công nghệ ngày càng phát triển giúp nhà nước có thể theo dõi và xử lý các hành vi trốn thuế hiệu quả hơn, tuy nhiên cần tăng cường hơn nữa.</t>
  </si>
  <si>
    <t>So với trước đây, quy trình làm việc với cơ quan thuế đã đơn giản hơn nhưng vẫn còn một số thủ tục phức tạp cần cải thiện.</t>
  </si>
  <si>
    <t>Biểu thuế mới có ít bậc hơn và mức thuế giảm trừ gia cảnh cao hơn, dễ dàng hiểu và thực hiện hơn so với trước đây</t>
  </si>
  <si>
    <t>Tôi tin rằng Nhà nước sẽ công tâm trong việc thực thi chính sách nhưng cần nhiều biện pháp mạnh mẽ hơn để ngăn chặn hành vi gian lận.</t>
  </si>
  <si>
    <t>Thuế tôi phải đóng theo phương án mới giảm đáng kể, hợp lý với thu nhập hiện tại của tôi và người cùng ngành nghề</t>
  </si>
  <si>
    <t>Tài chính nhà nước sẽ được sử dụng hiệu quả hơn để cải thiện các dịch vụ công, tuy nhiên cần có nhiều minh bạch hơn về cách sử dụng.</t>
  </si>
  <si>
    <t>Nhà nước đã giải thích một số lý do cơ bản về việc sửa đổi thuế nhưng cần cung cấp thêm thông tin chi tiết để người dân hiểu rõ hơn</t>
  </si>
  <si>
    <t>Tôi ủng hộ và tuân thủ chính sách mới vì lợi ích tài chính của tôi tăng lên đáng kể, đồng thời hy vọng Nhà nước sẽ cải thiện quản lý thuế.</t>
  </si>
  <si>
    <t>Hiện nay, cơ quan thuế đã tăng cường công nghệ và quản lý, tuy nhiên vẫn còn nhiều khó khăn trong việc phát hiện các hành vi trốn thuế.</t>
  </si>
  <si>
    <t>Nhà nước đã đầu tư vào công nghệ để theo dõi và xử lý gian lận, nhưng hiệu quả thực tế có thể chưa cao.</t>
  </si>
  <si>
    <t>Quy trình khai thuế đơn giản hơn trước đây, việc sử dụng ứng dụng điện tử giúp tiết kiệm thời gian.</t>
  </si>
  <si>
    <t>Biểu thuế mới rõ ràng và dễ hiểu hơn so với biểu cũ phức tạp nhiều bậc.</t>
  </si>
  <si>
    <t>Tôi tin rằng Nhà nước sẽ công bằng trong việc thực thi chính sách, nhưng vẫn có lo ngại về sự nhất quán.</t>
  </si>
  <si>
    <t>Mức thuế mới phù hợp với thu nhập của tôi và người dân cùng ngành nghề</t>
  </si>
  <si>
    <t>Thuế đóng góp vào việc cải thiện hạ tầng công cộng, nhưng không rõ số tiền cụ thể sử dụng như thế nào.</t>
  </si>
  <si>
    <t>Có thông tin đầy đủ về mục tiêu và lý do của chính sách mới, tuy nhiên tôi mong muốn có thêm giải thích.</t>
  </si>
  <si>
    <t>Dựa trên tác động tài chính tích cực và sự đơn giản hóa quy trình khai thuế, tôi ủng hộ và tuân thủ chính sách mới.</t>
  </si>
  <si>
    <t>Hiện tại, các quy định quản lý thuế chưa đủ mạnh để phát hiện hành vi gian lận hoặc trốn thuế.</t>
  </si>
  <si>
    <t>Nhà nước và cơ quan thuế đã đầu tư công nghệ mới nhưng vẫn cần cải thiện về mặt kỹ năng của nhân viên.</t>
  </si>
  <si>
    <t>Quy trình khai báo thuế trở nên đơn giản hơn, nhưng việc tính toán thuế vẫn có thể gây khó khăn cho người dân không am hiểu.</t>
  </si>
  <si>
    <t>Số bậc thuế giảm đi và mức giảm trừ gia cảnh tăng giúp việc tính thuế dễ dàng hơn, đặc biệt là với những người như tôi có thu nhập ổn định.</t>
  </si>
  <si>
    <t>Tôi tin rằng Nhà nước sẽ thực thi chính sách một cách công bằng nhưng vẫn cần cải thiện về mặt minh bạch.</t>
  </si>
  <si>
    <t>Mức thuế mới được xem là hợp lý, giảm gánh nặng cho người dân như tôi.</t>
  </si>
  <si>
    <t>Những khoản tiền đóng thuế sẽ được sử dụng hiệu quả để cải thiện dịch vụ công, nhưng vẫn cần có thông tin rõ ràng hơn về cách sử dụng.</t>
  </si>
  <si>
    <t>Tôi đồng ý với việc cải cách thuế và thấy rằng lý do và mục tiêu đã được giải thích một cách hợp lý.</t>
  </si>
  <si>
    <t>Sau khi xem xét các quyền lợi, tôi ủng hộ chính sách mới. Mặc dù còn một số điểm cần hoàn thiện, nhưng nó mang lại nhiều lợi ích hơn so với trước đây.</t>
  </si>
  <si>
    <t>Thuế TNCN mới có nhiều cải tiến, tuy nhiên vẫn cần sự giám sát chặt chẽ từ các cơ quan chức năng để phát hiện và xử lý nghiêm minh hành vi gian lận hoặc trốn thuế.</t>
  </si>
  <si>
    <t>Nhà nước có khả năng cao trong việc áp dụng công nghệ mới vào quản lý thuế, nhưng vẫn cần cải tiến hơn nữa để nâng cao hiệu quả phát hiện và xử lý các hành vi trốn thuế.</t>
  </si>
  <si>
    <t>So với trước đây, quy trình khai báo thuế và làm việc với cơ quan thuế đơn giản hơn, thuận tiện và nhanh chóng hơn nhiều</t>
  </si>
  <si>
    <t>Biểu thuế mới có ít bậc hơn nhưng vẫn đảm bảo tính công bằng cho người dân, dễ dàng áp dụng hơn so với trước đây.</t>
  </si>
  <si>
    <t>Tôi tin rằng Nhà nước sẽ thực thi chính sách một cách khách quan và công bằng, dù còn nhiều nghi ngờ từ phía người dân</t>
  </si>
  <si>
    <t>Thuế mới theo tôi là hợp lý, mức giảm trừ gia cảnh lớn hơn giúp tiết kiệm chi phí đáng kể cho cá nhân.</t>
  </si>
  <si>
    <t>Hiệu quả sử dụng số tiền thuế đóng vào các dịch vụ công còn hạn chế nhưng vẫn có thể thấy sự cải thiện</t>
  </si>
  <si>
    <t>Nhà nước đã giải thích rõ ràng về mục tiêu của chính sách mới, tuy nhiên cần làm rõ hơn nữa để tăng niềm tin từ người dân.</t>
  </si>
  <si>
    <t>Sau khi xem xét, tôi cho rằng chính sách mới là hướng đi đúng và sẽ tuân thủ theo</t>
  </si>
  <si>
    <t>Cơ quan thuế có nhiều nguồn lực hơn để giám sát và xử lý vi phạm, nhưng vẫn cần cải thiện.</t>
  </si>
  <si>
    <t>Quy trình khai báo thuế đơn giản hơn, giảm bớt thủ tục rườm rà trước đây.</t>
  </si>
  <si>
    <t>Biểu thuế rõ ràng và dễ hiểu hơn so với trước, giúp tính toán nhanh chóng.</t>
  </si>
  <si>
    <t>Niềm tin vào sự công bằng trong việc thực thi chính sách mới còn hạn chế do nghi ngờ về khả năng quản lý của cơ quan thuế.</t>
  </si>
  <si>
    <t>Thuế giảm đi đáng kể, cảm thấy mức thuế hiện tại hợp lý đối với thu nhập và trách nhiệm của mình.</t>
  </si>
  <si>
    <t>Niềm tin vào việc sử dụng số tiền thuế đóng vào lợi ích cộng đồng còn thấp do thiếu minh bạch về chi tiêu.</t>
  </si>
  <si>
    <t>Dù đã giải thích rõ ràng, nhưng vẫn có những lo ngại về cách thực hiện chính sách mới.</t>
  </si>
  <si>
    <t>Tuy nhiên, do giảm trừ gia cảnh tăng và mức thuế giảm đi đáng kể, tôi sẽ ủng hộ và tuân thủ chính sách mới.</t>
  </si>
  <si>
    <t>Dù quy định quản lý thuế hiện tại có thể phát hiện hành vi gian lận, nhưng với lượng công việc lớn và số thuế nhân viên làm thủ tục, khả năng phát hiện vẫn hạn chế.</t>
  </si>
  <si>
    <t>Cơ quan thuế đã đầu tư công nghệ, tuy nhiên nguồn lực và kỹ thuật chưa chắc chắn đủ để giám sát toàn bộ hoạt động kinh doanh.</t>
  </si>
  <si>
    <t>Quy trình khai báo thuế đơn giản hơn so với trước đây, nhưng vẫn cần thời gian làm quen với các thay đổi.</t>
  </si>
  <si>
    <t>Biểu thuế mới rõ ràng và dễ hiểu hơn, giảm bớt rào cản cho người nộp thuế, giúp tính toán nhanh chóng.</t>
  </si>
  <si>
    <t>Tôi tin rằng cơ quan thuế sẽ thực thi chính sách công bằng, nhưng vẫn có nghi ngờ về sự công bằng trong việc áp dụng luật pháp cho các đối tượng khác nhau.</t>
  </si>
  <si>
    <t>Nhờ mức giảm trừ gia cảnh và số bậc thuế đơn giản hơn, tôi thấy mình đóng mức thuế hợp lý với thu nhập hiện tại.</t>
  </si>
  <si>
    <t>Việc sử dụng số tiền thuế đóng vào các dịch vụ công có thể giúp cải thiện chất lượng cuộc sống, nhưng vẫn cần giám sát để đảm bảo hiệu quả.</t>
  </si>
  <si>
    <t>Nhà nước đã giải thích một cách rõ ràng về mục tiêu của việc sửa đổi thuế, tôi thấy các thông tin minh bạch.</t>
  </si>
  <si>
    <t>Dù vẫn có nghi ngờ nhỏ, nhưng tôi ủng hộ và tuân thủ chính sách mới do lợi ích tài chính và sự đơn giản hóa quy trình.</t>
  </si>
  <si>
    <t>Cơ quan thuế có nhiều công cụ để phát hiện hành vi gian lận, nhưng vẫn cần cải thiện hơn. Với mức thu nhập của tôi và số người phụ thuộc, khả năng bị phát hiện là thấp.</t>
  </si>
  <si>
    <t>Nhà nước đã đầu tư công nghệ để cải thiện quản lý thuế, tuy nhiên, còn nhiều vấn đề phức tạp cần giải quyết.</t>
  </si>
  <si>
    <t>Quy trình khai báo thuế và làm việc với cơ quan thuế dễ dàng hơn so với trước đây. Số bước đơn giản hóa rất có lợi cho người dân.</t>
  </si>
  <si>
    <t>Biểu thuế mới rõ ràng, giảm số bậc từ 7 xuống 5, dễ dàng nắm bắt và thực hiện</t>
  </si>
  <si>
    <t>Tôi tin rằng cơ quan thuế sẽ thực thi chính sách một cách công bằng, nhưng cần thêm minh bạch hơn về quy trình.</t>
  </si>
  <si>
    <t>Mức thuế mới phù hợp với thu nhập của tôi và người dân ở cùng mức độ. Mức giảm trừ gia cảnh tăng là điều đáng mừng.</t>
  </si>
  <si>
    <t>Thuế đóng góp vào dịch vụ công, nhưng cần cải thiện thêm về hiệu quả sử dụng nguồn lực</t>
  </si>
  <si>
    <t>Nhà nước đã giải thích rõ ràng về mục tiêu của chính sách mới. Tuy nhiên, cần minh bạch hơn về cách sử dụng tiền thuế.</t>
  </si>
  <si>
    <t>Tôi ủng hộ và tuân thủ chính sách mới vì nó giảm gánh nặng tài chính và đơn giản hóa quy trình khai báo thuế.</t>
  </si>
  <si>
    <t>Việc Nhà nước và cơ quan thuế có khả năng và công nghệ để phát hiện, xử lý nghiêm các hành vi trốn thuế cần thời gian để triển khai.</t>
  </si>
  <si>
    <t>So với trước đây, quy trình làm việc với cơ quan thuế đơn giản hơn nhưng vẫn còn phức tạp do nhiều bước thủ tục.</t>
  </si>
  <si>
    <t>Cách tính thuế và các bậc thuế trong phương án mới dễ hiểu và thực hiện hơn so với trước đây, giảm độ phức tạp đáng kể.</t>
  </si>
  <si>
    <t>Tôi tin rằng Nhà nước sẽ thực thi chính sách một cách khách quan nhưng vẫn cần thêm thời gian để chứng minh.</t>
  </si>
  <si>
    <t>Mức thuế mới là công bằng, phù hợp với thu nhập của tôi và số người phụ thuộc.</t>
  </si>
  <si>
    <t>Tôi tin tưởng rằng số tiền thuế đóng sẽ được sử dụng hiệu quả để cải thiện dịch vụ công, nhưng cần thêm thông tin chi tiết về cách sử dụng.</t>
  </si>
  <si>
    <t>Nhà nước đã giải thích rõ ràng về lý do và mục tiêu của việc sửa đổi thuế lần này, tăng sự minh bạch.</t>
  </si>
  <si>
    <t>Sau khi xem xét các quyền lợi và nghĩa vụ, tôi ủng hộ và tuân thủ chính sách mới vì nó cải thiện đáng kể về độ đơn giản và công bằng.</t>
  </si>
  <si>
    <t>Quy trình khai thuế trở nên đơn giản hơn với việc giảm số bậc thuế, nhưng vẫn có một số thủ tục cần cải thiện để tăng độ thuận tiện.</t>
  </si>
  <si>
    <t>Tôi tin rằng cơ quan thuế sẽ thực hiện công bằng và công tâm trong việc áp dụng các quy định mới.</t>
  </si>
  <si>
    <t>Thuế mới được giảm đáng kể, giúp tôi cảm thấy mức đóng là hợp lý cho thu nhập của mình.</t>
  </si>
  <si>
    <t>Tài nguyên thuế sẽ được sử dụng để cải thiện các dịch vụ công, tăng chất lượng cuộc sống.</t>
  </si>
  <si>
    <t>Nhà nước đã giải thích rõ ràng về mục tiêu và lý do của việc sửa đổi luật thuế.</t>
  </si>
  <si>
    <t>Tôi ủng hộ chính sách mới vì nó mang lại lợi ích tài chính đáng kể và đơn giản hóa quy trình thuế.</t>
  </si>
  <si>
    <t>Việc tăng mức giảm trừ gia cảnh và đơn giản hóa biểu thuế có thể giúp giảm cơ hội trốn thuế, nhưng tôi vẫn lo ngại về khả năng thực thi của hệ thống thuế mới.</t>
  </si>
  <si>
    <t>Như đã nêu, mặc dù cải cách có thể giúp phát hiện hành vi gian lận tốt hơn, nhưng tôi chưa hoàn toàn tin tưởng vào hiệu quả thực tế của nó.</t>
  </si>
  <si>
    <t>Các quy định về thuế mới đơn giản hóa và thuận tiện hơn so với trước đây, do đó giảm bớt rắc rối cho người nộp thuế.</t>
  </si>
  <si>
    <t>Số bậc thuế từ 7 xuống còn 5 tạo cảm giác thuận lợi hơn. Việc này giúp tôi dễ dàng tính toán và tuân thủ.</t>
  </si>
  <si>
    <t>Tôi tin rằng việc cải cách thuế mới sẽ được thực thi công bằng, nhưng cần thêm thời gian để chứng minh sự khách quan trong quá trình quản lý thuế.</t>
  </si>
  <si>
    <t>Với mức thuế giảm đi đáng kể, tôi thấy mình đóng góp công bằng hơn. Tuy nhiên, việc tăng giảm trừ gia cảnh cũng khiến tổng thu nhập thực tế không rõ ràng.</t>
  </si>
  <si>
    <t>Tôi tin rằng số tiền thuế đóng sẽ được sử dụng hiệu quả để cải thiện các dịch vụ công, nhưng cần thêm minh bạch về cách sử dụng nguồn tài chính này.</t>
  </si>
  <si>
    <t>Nhà nước đã giải thích khá rõ ràng về mục tiêu của việc sửa đổi thuế, và tôi ủng hộ những thay đổi nhằm đơn giản hóa quy trình quản lý thuế.</t>
  </si>
  <si>
    <t>Tôi ủng hộ chính sách mới vì nó giúp giảm gánh nặng tài chính cho cá nhân và doanh nghiệp. Tuy nhiên, việc tăng mức giảm trừ gia cảnh cần thêm minh bạch để tránh lợi ích không công bằng.</t>
  </si>
  <si>
    <t>Nếu cơ quan thuế có công nghệ hiện đại, khả năng phát hiện hành vi gian lận sẽ cao hơn, nhưng tôi vẫn nghi ngờ về việc xử lý nghiêm túc.</t>
  </si>
  <si>
    <t>Cơ quan thuế có thể nâng cao khả năng giám sát và phát hiện, nhưng còn phụ thuộc vào nguồn lực và quyết tâm của họ.</t>
  </si>
  <si>
    <t>Quy trình khai báo thuế đơn giản hơn, giảm bớt rườm rà và thủ tục phức tạp trước đây.</t>
  </si>
  <si>
    <t>Các bậc thuế mới dễ hiểu và thực hiện đơn giản hơn so với quy định cũ.</t>
  </si>
  <si>
    <t>Tôi tin rằng Nhà nước sẽ công bằng trong việc quản lý và thực thi luật thuế, nhưng còn phụ thuộc vào thực tế.</t>
  </si>
  <si>
    <t>Mức thuế mới phù hợp với thu nhập của tôi, thể hiện tính công bằng trong việc phân chia gánh nặng tài chính giữa người dân.</t>
  </si>
  <si>
    <t>Thuế đóng góp vào việc cải thiện chất lượng dịch vụ công và phát triển hạ tầng cơ sở, nhưng còn phụ thuộc vào hiệu quả sử dụng nguồn lực.</t>
  </si>
  <si>
    <t>Nhà nước đã giải thích rõ mục tiêu của chính sách mới, giúp người dân hiểu được lý do thay đổi.</t>
  </si>
  <si>
    <t>Tôi ủng hộ và tuân thủ chính sách mới vì lợi ích thực tế mang lại cho tôi.</t>
  </si>
  <si>
    <t>Tôi tin rằng cơ quan thuế sẽ công bằng trong việc thực thi chính sách. Các quy định mới đều hướng đến lợi ích chung của xã hội.</t>
  </si>
  <si>
    <t>Dựa trên mức giảm trừ gia cảnh và bậc thuế, tôi cảm thấy mức thuế hiện tại là hợp lý đối với thu nhập của mình.</t>
  </si>
  <si>
    <t>Tôi tin rằng số tiền thuế đóng sẽ được sử dụng hiệu quả để cải thiện các dịch vụ công quan trọng như y tế và giao thông.</t>
  </si>
  <si>
    <t>Nhà nước đã giải thích rõ ràng về mục tiêu của chính sách mới, tăng sự minh bạch trong quản lý thuế.</t>
  </si>
  <si>
    <t>Tính công bằng và hiệu quả trong việc thu thuế cùng với sự đơn giản hóa quy trình làm cho tôi sẵn lòng ủng hộ và tuân thủ chính sách mới.</t>
  </si>
  <si>
    <t>Nhà nước đã đầu tư vào công nghệ và nhân lực để cải thiện khả năng phát hiện và xử lý các hành vi trốn thuế. Điều này cho thấy họ có đủ khả năng thực thi chính sách mới.</t>
  </si>
  <si>
    <t>Các quy trình khai báo thuế và làm việc với cơ quan thuế đã trở nên đơn giản hơn, tiết kiệm thời gian và công sức của người dân.</t>
  </si>
  <si>
    <t>Biểu thuế mới có ít bậc hơn nhưng vẫn đảm bảo tính công bằng. Điều này giúp tôi dễ dàng tính toán và thực hiện các bước nộp thuế.</t>
  </si>
  <si>
    <t>Tôi tin rằng Nhà nước sẽ thực thi chính sách một cách khách quan, công bằng với mọi người nộp thuế. Mức thuế mới phù hợp với thu nhập của tôi.</t>
  </si>
  <si>
    <t>Mức thuế tôi phải đóng thấp hơn so với trước đây nhưng vẫn đảm bảo tính công bằng. Điều này cho thấy mức thuế mới là công bằng đối với người có thu nhập như tôi.</t>
  </si>
  <si>
    <t>Tôi tin rằng số tiền thuế tôi đóng sẽ được sử dụng hiệu quả để cải thiện dịch vụ công, đặc biệt là y tế và giao thông. Điều này làm tăng niềm tin của tôi vào Nhà nước.</t>
  </si>
  <si>
    <t>Nhà nước đã giải thích rõ ràng về mục tiêu và lý do sửa đổi thuế lần này. Điều này làm tăng sự minh bạch và công khai, giúp tôi hiểu rõ hơn về chính sách mới.</t>
  </si>
  <si>
    <t>Chính sách mới mang lại lợi ích tài chính cho tôi thông qua việc giảm thuế. Tôi sẽ ủng hộ và tuân thủ chính sách này vì nó công bằng và hiệu quả.</t>
  </si>
  <si>
    <t>Thuế mới đơn giản hơn nên việc phát hiện và xử lý trốn thuế sẽ khó khăn hơn.</t>
  </si>
  <si>
    <t>Cơ quan thuế có công nghệ hiện đại nhưng thực tế quản lý vẫn còn nhiều lỗ hổng.</t>
  </si>
  <si>
    <t>Quy trình khai báo và làm việc với cơ quan thuế trở nên đơn giản hơn so với trước đây.</t>
  </si>
  <si>
    <t>Biểu thuế mới có ít bậc hơn, dễ hiểu hơn nhưng vẫn giữ được tính công bằng.</t>
  </si>
  <si>
    <t>Niềm tin vào sự công bằng của Nhà nước tăng cao khi mức thuế giảm đáng kể và công thức rõ ràng.</t>
  </si>
  <si>
    <t>Thuế mới phù hợp với thu nhập hiện tại, thấy rằng mình đóng đúng mức nên cảm thấy công bằng.</t>
  </si>
  <si>
    <t>Số tiền thuế giảm đáng kể và được sử dụng hiệu quả cho các dịch vụ công, tăng niềm tin vào Nhà nước.</t>
  </si>
  <si>
    <t>Nhà nước đã giải thích rõ về mục tiêu của việc sửa đổi thuế nhưng cần thêm minh bạch hơn trong thực thi.</t>
  </si>
  <si>
    <t>Chấp nhận và ủng hộ chính sách mới vì giảm gánh nặng tài chính và cảm thấy công bằng.</t>
  </si>
  <si>
    <t>Hiện nay, cơ quan thuế có hệ thống công nghệ thông tin hiện đại, khả năng phát hiện hành vi gian lận hay trốn thuế đã được cải thiện đáng kể. Với mức giảm trừ gia cảnh tăng lên, việc phát hiện các hành vi trốn thuế trở nên khó khăn hơn nhưng vẫn còn đủ khả năng để xử lý nghiêm.</t>
  </si>
  <si>
    <t>Nhà nước và cơ quan thuế đã đầu tư nhiều vào công nghệ thông tin cũng như nhân lực, giúp việc phát hiện trốn thuế trở nên dễ dàng hơn. Tuy nhiên, vẫn cần sự giám sát chặt chẽ từ người dân để đảm bảo tính minh bạch.</t>
  </si>
  <si>
    <t>Quy trình khai báo thuế và làm việc với cơ quan thuế trở nên đơn giản hơn so với trước đây. Việc giảm số bậc thuế cũng giúp việc tính toán dễ dàng hơn, tiết kiệm thời gian cho người dân.</t>
  </si>
  <si>
    <t>Biểu thuế mới có ít bậc và mức thuế suất hợp lý hơn so với trước. Điều này làm giảm sự phức tạp trong quá trình tính thuế, giúp mọi người dễ dàng hiểu và thực hiện.</t>
  </si>
  <si>
    <t>Tôi tin rằng Nhà nước sẽ công tâm khi thực thi chính sách mới, bởi mức giảm trừ gia cảnh tăng lên cùng với việc đơn giản hóa biểu thuế. Điều này khiến tôi cảm thấy công bằng hơn về việc đóng góp cho ngân sách nhà nước.</t>
  </si>
  <si>
    <t>Nhìn chung, mức thuế mới mà tôi phải đóng là hợp lý so với thu nhập của mình. Với việc giảm trừ gia cảnh tăng lên và số bậc thuế ít hơn, tôi thấy công bằng trong việc đóng thuế.</t>
  </si>
  <si>
    <t>Tiền thuế mà tôi đóng sẽ được sử dụng hiệu quả để cải thiện các dịch vụ công như y tế, giáo dục và hạ tầng. Điều này làm tăng niềm tin vào việc quản lý tài chính của Nhà nước.</t>
  </si>
  <si>
    <t>Nhà nước đã giải thích rõ ràng về mục tiêu và nguyên nhân của việc sửa đổi thuế lần này thông qua các kênh thông tin như báo chí. Điều này làm tăng sự minh bạch và niềm tin vào quyết định quản lý tài chính của Nhà nước.</t>
  </si>
  <si>
    <t>Sau khi xem xét, tôi ủng hộ và tuân thủ chính sách mới vì nó giúp giảm gánh nặng về thuế cho người dân. Ngoài ra, mức giảm trừ gia cảnh tăng lên cũng giúp tôi tiết kiệm được một khoản tiền đáng kể.</t>
  </si>
  <si>
    <t>Dù có công nghệ hỗ trợ, nhưng tôi vẫn lo ngại về khả năng phát hiện hành vi gian lận hoặc trốn thuế bởi hệ thống quản lý thuế chưa hoàn thiện.</t>
  </si>
  <si>
    <t>Tôi đồng ý rằng Nhà nước và cơ quan thuế có thể phát hiện các hành vi sai phạm thông qua công nghệ, nhưng thực tế vẫn cần thời gian để cải tiến.</t>
  </si>
  <si>
    <t>Quy trình khai báo thuế đã đơn giản hơn so với trước đây, thủ tục cũng nhanh chóng hơn nhiều. Việc này giúp tôi tiết kiệm thời gian và công sức.</t>
  </si>
  <si>
    <t>Biểu thuế mới đơn giản hóa các bậc thuế suất và ngưỡng chịu thuế, dễ dàng hiểu và thực hiện hơn so với trước đây.</t>
  </si>
  <si>
    <t>Tôi tin rằng Nhà nước sẽ thực thi chính sách một cách công tâm, nhưng vẫn lo ngại về khả năng giám sát đầy đủ của các cơ quan thuế.</t>
  </si>
  <si>
    <t>Như tôi đã tiết kiệm được nhiều tiền từ thuế, điều này thể hiện mức thuế mới là hợp lý cho thu nhập của tôi.</t>
  </si>
  <si>
    <t>Tiền thuế tôi đóng sẽ được sử dụng để cải thiện dịch vụ công, điều này làm tăng niềm tin vào hệ thống quản lý tài chính của Nhà nước.</t>
  </si>
  <si>
    <t>Nhà nước đã giải thích rõ ràng về mục tiêu và lý do của việc sửa đổi thuế, tuy nhiên, tôi vẫn mong muốn có thêm nhiều thông tin chi tiết từ các bên liên quan.</t>
  </si>
  <si>
    <t>Dù có một số lo ngại, nhưng với lợi ích tài chính rõ ràng và sự đơn giản hóa quy trình khai báo thuế, tôi ủng hộ và tuân thủ chính sách mới.</t>
  </si>
  <si>
    <t>Nhà nước đã tăng cường giám sát và công nghệ, nên tôi tin rằng hành vi gian lận sẽ bị phát hiện.</t>
  </si>
  <si>
    <t>Cơ quan thuế có đủ nguồn lực để quản lý thuế hiệu quả hơn với hệ thống mới.</t>
  </si>
  <si>
    <t>Thủ tục khai báo và làm việc với cơ quan thuế đơn giản hơn, tiện lợi hơn so với trước đây.</t>
  </si>
  <si>
    <t>Cách tính thuế rõ ràng, dễ hiểu hơn nhiều so với trước đây.</t>
  </si>
  <si>
    <t>Nhà nước và cơ quan thuế sẽ thực thi chính sách một cách công bằng, không phân biệt ai đóng bao nhiêu thuế.</t>
  </si>
  <si>
    <t>Mức thuế hiện tại là hợp lý cho thu nhập của tôi, phù hợp với quy định mới.</t>
  </si>
  <si>
    <t>Thuế đóng góp vào việc cải thiện dịch vụ công và phát triển cơ sở hạ tầng quốc gia.</t>
  </si>
  <si>
    <t>Nhà nước đã giải thích rõ ràng mục tiêu của chính sách mới, tạo niềm tin trong người dân.</t>
  </si>
  <si>
    <t>Tôi ủng hộ và tuân thủ chính sách mới vì lợi ích tài chính và sự công bằng mà nó mang lại.</t>
  </si>
  <si>
    <t>Nhà nước đã tăng cường các biện pháp chống gian lận và trốn thuế, đồng thời ứng dụng công nghệ hiện đại để phát hiện hành vi bất thường.</t>
  </si>
  <si>
    <t>Cơ quan thuế có đủ nguồn lực và công nghệ tiên tiến để quản lý hiệu quả hơn, giảm thiểu khả năng trốn tránh thuế.</t>
  </si>
  <si>
    <t>Việc đơn giản hóa quy trình khai thuế giúp người dân dễ dàng thực hiện hơn so với trước đây.</t>
  </si>
  <si>
    <t>Biểu thuế mới rõ ràng, dễ hiểu và giảm bớt sự phức tạp, thuận lợi cho việc tính toán thuế của người dân.</t>
  </si>
  <si>
    <t>Tôi tin rằng cơ quan thuế sẽ thực hiện chính sách một cách công bằng và khách quan đối với mọi cá nhân nộp thuế.</t>
  </si>
  <si>
    <t>Lượng thuế tôi phải đóng theo phương án mới là hợp lý, do mức giảm trừ gia cảnh cao hơn và số bậc thuế ít hơn.</t>
  </si>
  <si>
    <t>Tôi tin tưởng rằng số tiền thuế đóng sẽ được sử dụng hiệu quả để cải thiện các dịch vụ công như y tế và giao thông.</t>
  </si>
  <si>
    <t>Nhà nước đã giải thích rõ ràng về mục tiêu và lý do của việc sửa đổi chính sách thuế, tạo sự minh bạch cho người dân.</t>
  </si>
  <si>
    <t>Sau khi xem xét các quyền lợi và nghĩa vụ, tôi ủng hộ và tuân thủ chính sách mới vì nó mang lại nhiều lợi ích tài chính và thuận tiện hơn.</t>
  </si>
  <si>
    <t xml:space="preserve">Doanh nghiệp và cơ quan thuế đã thực hiện giám sát chặt chẽ hơn, việc phát hiện trốn thuế trở nên dễ dàng. </t>
  </si>
  <si>
    <t xml:space="preserve">Cơ quan thuế có công nghệ tiên tiến giúp họ xử lý hiệu quả các vấn đề về thuế. </t>
  </si>
  <si>
    <t xml:space="preserve">Quy trình khai báo và làm việc với cơ quan thuế trở nên đơn giản hơn, tiết kiệm thời gian. </t>
  </si>
  <si>
    <t xml:space="preserve">Biểu thuế mới rõ ràng hơn, dễ dàng tính toán thu nhập chịu thuế. </t>
  </si>
  <si>
    <t xml:space="preserve">Tôi tin rằng cơ quan thuế sẽ thực thi công bằng và khách quan, nhưng vẫn có sự nghi ngờ về một số trường hợp cụ thể. </t>
  </si>
  <si>
    <t xml:space="preserve">Thu nhập tôi phải đóng thuế giảm đáng kể, tạo cảm giác thuế hiện tại là công bằng. </t>
  </si>
  <si>
    <t xml:space="preserve">Tài chính quốc gia được cải thiện và dịch vụ công có thể tốt hơn nhờ nguồn thu từ thuế. </t>
  </si>
  <si>
    <t xml:space="preserve">Nhà nước đã giải thích rõ ràng về mục tiêu của việc thay đổi thuế, tôi ủng hộ quyết định này. </t>
  </si>
  <si>
    <t xml:space="preserve">Có nhiều lợi ích từ chính sách mới, tôi sẽ tuân thủ và ủng hộ nó. </t>
  </si>
  <si>
    <t>Hiện nay, cơ quan thuế đã tăng cường công nghệ để phát hiện hành vi trốn thuế. Tuy nhiên, vẫn còn nhiều rủi ro do thiếu thông tin của người nộp thuế.</t>
  </si>
  <si>
    <t>Cơ quan thuế có đủ khả năng và công nghệ để phát hiện gian lận hoặc trốn thuế nhờ sự hỗ trợ từ công nghệ thông tin.</t>
  </si>
  <si>
    <t>So với trước đây, quy trình khai báo thuế đã đơn giản hơn. Tuy nhiên, vẫn còn một số thủ tục phức tạp cần cải thiện.</t>
  </si>
  <si>
    <t>Biểu thuế mới đơn giản hóa bậc thuế và cách tính thuế, dễ hiểu và thực hiện hơn. Điều này làm tăng sự thuận tiện cho người nộp thuế.</t>
  </si>
  <si>
    <t>Tôi tin rằng Nhà nước sẽ thực thi chính sách một cách công bằng và công tâm. Tuy nhiên, việc minh bạch thông tin còn hạn chế.</t>
  </si>
  <si>
    <t>Theo phương án mới, tôi được giảm trừ gia cảnh nhiều hơn. Điều này làm tăng cảm giác công bằng cho tôi khi đóng thuế.</t>
  </si>
  <si>
    <t>Thuế tôi phải đóng sẽ được sử dụng hiệu quả để cải thiện dịch vụ công. Tuy nhiên, thông tin về việc sử dụng số tiền còn hạn chế.</t>
  </si>
  <si>
    <t>Nhà nước đã giải thích rõ mục tiêu của việc sửa đổi thuế lần này. Điều này làm tăng niềm tin của tôi vào sự minh bạch và công bằng.</t>
  </si>
  <si>
    <t>Sau khi xem xét các quyền lợi và nghĩa vụ, tôi ủng hộ và tuân thủ chính sách mới hiện nay do nó mang lại nhiều ưu điểm như giảm trừ gia cảnh và đơn giản hóa biểu thuế.</t>
  </si>
  <si>
    <t>Tăng mức giảm trừ gia cảnh và đơn giản hóa biểu thuế có thể làm tăng khả năng phát hiện trốn thuế, nhưng không phải lúc nào cũng hiệu quả.</t>
  </si>
  <si>
    <t>Nếu công nghệ và nguồn lực được đầu tư đúng cách, việc kiểm soát thuế sẽ cải thiện đáng kể.</t>
  </si>
  <si>
    <t>Quy trình làm việc với cơ quan thuế đơn giản hơn trước, nhưng vẫn có thể gặp khó khăn trong quá trình khai báo.</t>
  </si>
  <si>
    <t>Tôi tin rằng Nhà nước sẽ công bằng trong việc áp dụng chính sách, nhưng vẫn có sự đa dạng về quan điểm.</t>
  </si>
  <si>
    <t>Mức thuế mới cho phép tôi tiết kiệm tiền và tôi thấy điều này là hợp lý dựa trên thu nhập của mình.</t>
  </si>
  <si>
    <t>Thuế đóng góp vào sự phát triển cơ sở hạ tầng công cộng, tôi tin rằng số tiền thuế sẽ được sử dụng hiệu quả.</t>
  </si>
  <si>
    <t>Nhà nước đã giải thích rõ ràng về mục tiêu và lý do của việc cải cách thuế, nhưng thông tin vẫn có thể không đầy đủ cho mọi người.</t>
  </si>
  <si>
    <t>Tôi ủng hộ chính sách mới vì nó giúp tiết kiệm chi phí thuế và đơn giản hóa quy trình, đồng thời tôi tin rằng sẽ được áp dụng công bằng.</t>
  </si>
  <si>
    <t>Đơn giản hóa quy trình khai thuế có thể giảm bớt gánh nặng cho người dân, tạo điều kiện thuận lợi hơn trong việc tuân thủ pháp luật về thuế.</t>
  </si>
  <si>
    <t>Số bậc thuế được rút gọn giúp quá trình tính thuế trở nên dễ dàng và minh bạch hơn, giảm độ phức tạp cho người nộp thuế.</t>
  </si>
  <si>
    <t>Nhà nước đã cải cách hệ thống thuế một cách công khai, tôi tin rằng việc này sẽ được thực thi một cách khách quan và công bằng.</t>
  </si>
  <si>
    <t>Mức giảm trừ gia cảnh tăng lên cùng với số bậc thuế ít hơn giúp tôi cảm thấy mức thuế hiện tại là hợp lý.</t>
  </si>
  <si>
    <t>Các khoản thu từ thuế sẽ được sử dụng hiệu quả cho các dịch vụ công, đặc biệt là y tế và giao thông vận tải.</t>
  </si>
  <si>
    <t>Nhà nước đã giải thích rõ ràng về mục tiêu của việc cải cách thuế, tôi tin rằng họ sẽ thực hiện chính sách một cách minh bạch.</t>
  </si>
  <si>
    <t>Dựa trên tác động tài chính tích cực và sự đơn giản hóa quy trình làm việc với cơ quan thuế, tôi ủng hộ và tuân thủ chính sách mới.</t>
  </si>
  <si>
    <t>Nhà nước đã đầu tư công nghệ để hỗ trợ quản lý thuế hiệu quả hơn, do đó tôi tin rằng khả năng phát hiện và xử lý trốn thuế sẽ tăng lên. Tuy nhiên, có thể cần thêm thời gian để hoàn thiện.</t>
  </si>
  <si>
    <t>So với trước đây, các thủ tục khai báo thuế đã đơn giản hơn nhiều, không còn nhiều giấy tờ rườm rà như trước. Điều này giúp tôi tiết kiệm được thời gian và công sức.</t>
  </si>
  <si>
    <t>Cách tính thuế mới rõ ràng hơn, số bậc thuế giảm nên việc tính toán cũng dễ dàng hơn. Tuy nhiên, có thể một số người chưa quen với cách tính mới này.</t>
  </si>
  <si>
    <t>Tôi tin rằng cơ quan thuế sẽ thực thi chính sách một cách khách quan và công bằng. Việc tăng mức giảm trừ gia cảnh giúp tôi cảm thấy hài lòng hơn về cách áp dụng luật thuế.</t>
  </si>
  <si>
    <t>Mức thuế mới là hợp lý, nhất là khi so với thu nhập của tôi. Tăng mức giảm trừ gia cảnh giúp giảm gánh nặng tài chính cho gia đình tôi.</t>
  </si>
  <si>
    <t>Việc tăng mức giảm trừ gia cảnh và đơn giản hóa quy trình thuế sẽ giúp cải thiện dịch vụ công, tuy nhiên, vẫn cần thời gian để thấy kết quả rõ rệt từ việc sử dụng số tiền thuế này.</t>
  </si>
  <si>
    <t>Nhà nước đã giải thích rõ ràng về mục đích của việc sửa đổi thuế lần này. Tuy nhiên, tôi hy vọng họ sẽ tiếp tục cung cấp thông tin minh bạch và cập nhật thường xuyên.</t>
  </si>
  <si>
    <t>Dựa trên lợi ích tài chính rõ ràng từ chính sách mới và sự đơn giản hóa quy trình thuế, tôi ủng hộ và tuân thủ chính sách này. Tuy nhiên, vẫn cần thời gian để thấy kết quả thực tế.</t>
  </si>
  <si>
    <t>Dù chưa rõ ràng nhưng với việc tăng giảm trừ gia cảnh và đơn giản hóa biểu thuế, hành vi gian lận có thể bị phát hiện sớm hơn.</t>
  </si>
  <si>
    <t>Cơ quan thuế đã đầu tư công nghệ để cải thiện quản lý thuế nhưng không biết cụ thể về khả năng thực tế của họ.</t>
  </si>
  <si>
    <t>Quy trình làm việc với cơ quan thuế trở nên đơn giản hơn, dễ dàng khai báo hơn so với trước đây.</t>
  </si>
  <si>
    <t>Biểu thuế mới rõ ràng và dễ hiểu hơn, tạo thuận lợi cho người dân tính toán.</t>
  </si>
  <si>
    <t>Tăng giảm trừ gia cảnh và đơn giản hóa biểu thuế thể hiện sự công bằng trong việc phân bổ gánh nặng thuế</t>
  </si>
  <si>
    <t>Thuế mới phù hợp với thu nhập của tôi, không quá cao hoặc thấp so với những người cùng ngành nghề.</t>
  </si>
  <si>
    <t>Việc cải cách thuế nhằm nâng cao chất lượng cuộc sống thông qua các dịch vụ công</t>
  </si>
  <si>
    <t>Nội dung chính sách đã được giải thích rõ ràng và minh bạch hơn so với trước đây.</t>
  </si>
  <si>
    <t>Sau khi xem xét, tôi thấy chính sách mới có lợi cho người dân như tôi nên ủng hộ</t>
  </si>
  <si>
    <t>Điều kiện thực thi thuế hiện nay có thể phát hiện và xử lý gian lận, trốn thuế một cách hiệu quả.</t>
  </si>
  <si>
    <t>Cơ quan thuế với công nghệ hiện đại có khả năng giám sát và xử lý các hành vi không tuân thủ luật thuế.</t>
  </si>
  <si>
    <t>Quy trình khai báo và làm việc với cơ quan thuế trở nên đơn giản hơn, tiện lợi hơn so với trước đây.</t>
  </si>
  <si>
    <t>Biểu thuế mới có ít bậc hơn và dễ hiểu hơn, giúp tính toán thuế nhanh chóng và chính xác hơn.</t>
  </si>
  <si>
    <t>Mức thuế mới giảm so với trước đây, thể hiện sự công bằng và phù hợp với thu nhập của tôi.</t>
  </si>
  <si>
    <t>Thuê đóng góp vào việc cải thiện các dịch vụ công, giúp ích cho cộng đồng và quốc gia.</t>
  </si>
  <si>
    <t>Sau khi xem xét các ưu điểm và quyền lợi, tôi ủng hộ và sẽ tuân thủ chính sách mới.</t>
  </si>
  <si>
    <t>Nước ta có hệ thống quản lý thuế ngày càng phát triển, tôi tin rằng hành vi gian lận hoặc trốn thuế sẽ dễ bị phát hiện và xử lý nghiêm.</t>
  </si>
  <si>
    <t>Cơ quan thuế đã áp dụng công nghệ số để giám sát các hoạt động kinh tế, tăng cường khả năng phát hiện hành vi trốn thuế.</t>
  </si>
  <si>
    <t>Đơn giản hóa quy trình khai thuế và quy định mới giúp tôi dễ dàng hơn trong việc làm việc với cơ quan thuế.</t>
  </si>
  <si>
    <t>Biểu thuế đơn giản hơn, bậc thuế ít đi nhưng vẫn đảm bảo tính công bằng cho người nộp thuế theo thu nhập.</t>
  </si>
  <si>
    <t>Nhà nước đã thể hiện sự công bằng trong việc điều chỉnh giảm trừ gia cảnh và số bậc thuế, tôi tin rằng chính sách mới sẽ được thực thi một cách khách quan.</t>
  </si>
  <si>
    <t>Thuế của tôi giảm đáng kể, mức này là hợp lý cho thu nhập của tôi. Điều này thể hiện tính công bằng trong việc phân chia gánh nặng thuế giữa các đối tượng nộp thuế.</t>
  </si>
  <si>
    <t>Tôi tin rằng số tiền thuế đóng sẽ được sử dụng hiệu quả để cải thiện chất lượng dịch vụ công, nâng cao đời sống người dân.</t>
  </si>
  <si>
    <t>Nhà nước đã giải thích rõ ràng về mục tiêu và lý do của việc sửa đổi chính sách thuế lần này. Tôi cảm thấy mình được tham gia vào quy trình này thông qua các phương tiện truyền thông và kênh giao tiếp.</t>
  </si>
  <si>
    <t>Tôi ủng hộ và tuân thủ chính sách mới vì nó đã cải thiện đáng kể về mặt thuận tiện, công bằng và giảm gánh nặng thuế cho người dân như tôi.</t>
  </si>
  <si>
    <t>Nước ta đang ngày càng tập trung vào quản lý thuế, do đó tôi tin rằng hành vi gian lận hoặc trốn thuế sẽ dễ dàng bị phát hiện và xử lý nghiêm.</t>
  </si>
  <si>
    <t>Nhà nước đã đầu tư công nghệ để cải thiện khả năng phát hiện và xử lý các vấn đề liên quan đến thuế, tôi tin rằng cơ quan thuế có đủ khả năng quản lý hiệu quả hơn.</t>
  </si>
  <si>
    <t>So với trước đây, quy trình khai báo thuế trở nên đơn giản hơn và nhanh chóng hơn, tôi không gặp nhiều rắc rối khi làm việc với cơ quan thuế.</t>
  </si>
  <si>
    <t>Biểu thuế mới rõ ràng hơn, dễ hiểu và thực hiện thuận tiện hơn so với trước đây, giúp giảm bớt cảm giác phức tạp đối với người dân như tôi.</t>
  </si>
  <si>
    <t>Tôi tin rằng cơ quan thuế sẽ thực thi chính sách một cách công bằng và khách quan cho mọi người nộp thuế.</t>
  </si>
  <si>
    <t>Với mức giảm trừ gia cảnh tăng lên, tôi thấy mình đóng mức thuế tương đối công bằng so với thu nhập của mình.</t>
  </si>
  <si>
    <t>Thuế mà tôi đóng sẽ được sử dụng hiệu quả để cải thiện các dịch vụ công, do đó tôi tin rằng số tiền đóng có ý nghĩa và hữu ích cho xã hội.</t>
  </si>
  <si>
    <t>Nhà nước đã giải thích rõ ràng về mục tiêu của việc sửa đổi thuế, tôi cảm thấy thông tin được cung cấp đầy đủ và minh bạch.</t>
  </si>
  <si>
    <t>Sau khi xem xét các quyền lợi và nghĩa vụ, tôi ủng hộ và tuân thủ chính sách mới vì nó mang lại nhiều lợi ích cho bản thân và cộng đồng.</t>
  </si>
  <si>
    <t>Cơ quan thuế đã có nhiều cải tiến về công nghệ trong thời gian qua nên khả năng phát hiện và xử lý trốn thuế sẽ tốt hơn trước đây.</t>
  </si>
  <si>
    <t>So với quy trình khai thuế phức tạp trước đây, việc đơn giản hóa biểu thuế đã cải thiện đáng kể sự thuận tiện trong thủ tục khai báo thuế.</t>
  </si>
  <si>
    <t>Bậc thuế giảm từ 7 xuống còn 5 và mức giảm trừ gia cảnh tăng lên giúp cách tính thuế trở nên dễ hiểu hơn, dễ thực hiện.</t>
  </si>
  <si>
    <t>Nguy cơ trốn thuế được hạn chế do mức giảm trừ gia cảnh cao hơn, công nghệ phát hiện gian lận tốt hơn và việc giải thích rõ ràng về mục tiêu cải cách thuế</t>
  </si>
  <si>
    <t>Mức thuế mới phù hợp với thu nhập của tôi sau khi tính toán giảm trừ gia cảnh, do đó cảm thấy công bằng.</t>
  </si>
  <si>
    <t>Sau khi xem xét tác động tài chính tích cực từ việc cải cách thuế, tôi tin rằng số tiền thuế đóng sẽ được sử dụng hiệu quả để cải thiện dịch vụ công</t>
  </si>
  <si>
    <t>Các thông tin về mục tiêu và lý do của việc sửa đổi thuế lần này được giải thích rõ ràng, giúp tăng niềm tin vào quyết định của Nhà nước.</t>
  </si>
  <si>
    <t>Tôi ủng hộ và tuân thủ chính sách mới vì nó mang lại lợi ích tài chính cho tôi và gia đình, đồng thời nâng cao hiệu quả sử dụng nguồn lực thuế</t>
  </si>
  <si>
    <t>Tôi tin rằng nhà nước sẽ công bằng trong việc áp dụng chính sách mới. Tuy nhiên, việc minh bạch hơn trong quản lý thuế cần được cải thiện để tăng thêm niềm tin.</t>
  </si>
  <si>
    <t>Thuế tôi phải đóng theo phương án mới hợp lý, giảm gánh nặng so với trước đây. Điều này thể hiện tính công bằng trong việc phân bổ thuế giữa các tầng lớp thu nhập.</t>
  </si>
  <si>
    <t>Dù không hoàn toàn tin rằng tiền thuế đóng sẽ được sử dụng hiệu quả, nhưng tôi hy vọng việc cải cách thuế sẽ góp phần cải thiện dịch vụ công.</t>
  </si>
  <si>
    <t>Nhà nước đã giải thích rõ ràng về mục tiêu của chính sách mới. Tuy nhiên, có thể cần thêm thông tin và minh bạch hơn để tôi hoàn toàn tin tưởng.</t>
  </si>
  <si>
    <t>Tôi ủng hộ chính sách mới vì nó giảm gánh nặng thuế cho tôi và người dân, đồng thời đơn giản hóa quy trình. Tôi sẽ tuân thủ các quyền lợi và nghĩa vụ theo chính sách này.</t>
  </si>
  <si>
    <t>Hiện tại, cơ quan thuế có hệ thống quản lý hiện đại và quy định rõ ràng về xử lý các hành vi gian lận, trốn thuế.</t>
  </si>
  <si>
    <t>Cơ quan thuế có đủ năng lực và công nghệ để theo dõi và phát hiện các hành vi trốn thuế hiệu quả.</t>
  </si>
  <si>
    <t>Quy trình khai báo thuế đơn giản hơn, thuận tiện hơn so với trước đây nhờ việc giảm bớt thủ tục rườm rà.</t>
  </si>
  <si>
    <t>Biểu thuế mới có ít bậc và dễ hiểu hơn, giúp tôi dễ dàng tính toán và nộp đúng mức thuế mà không gặp khó khăn.</t>
  </si>
  <si>
    <t>Tôi tin rằng cơ quan thuế sẽ thực thi chính sách một cách công bằng và khách quan đối với mọi người dân.</t>
  </si>
  <si>
    <t>Mức thuế mới phù hợp với thu nhập của tôi, do đó tôi cảm thấy đây là mức thuế công bằng mà mình phải đóng.</t>
  </si>
  <si>
    <t>Tính toán tài chính cho thấy tôi tiết kiệm được một số tiền đáng kể, do vậy tôi tin rằng thuế sẽ được sử dụng hiệu quả để cải thiện các dịch vụ công.</t>
  </si>
  <si>
    <t>Dựa trên các lợi ích tài chính và cải tiến thủ tục, tôi ủng hộ và sẽ tuân thủ chính sách mới.</t>
  </si>
  <si>
    <t>Các bậc thuế mới đơn giản hóa quy trình tính toán, giúp người dân hiểu rõ hơn về chính sách thuế.</t>
  </si>
  <si>
    <t>Việc Nhà nước cải thiện công nghệ và quy định quản lý thuế cho thấy họ đang cố gắng đảm bảo một cách khách quan trong việc thực thi</t>
  </si>
  <si>
    <t>Mức giảm trừ gia cảnh và bậc thuế mới làm giảm số tiền tôi phải đóng, do đó tôi cảm thấy công bằng hơn khi so sánh với trước đây.</t>
  </si>
  <si>
    <t>Việc sử dụng số tiền thuế để cải thiện dịch vụ công như y tế, giáo dục và hạ tầng cơ sở là mục tiêu rõ ràng của Nhà nước.</t>
  </si>
  <si>
    <t>Nhà nước đã giải thích rõ về việc sửa đổi luật thuế, tuy nhiên, tôi mong rằng sẽ có thêm thông tin về cách sử dụng số tiền thuế này.</t>
  </si>
  <si>
    <t>Sau khi xem xét tất cả các yếu tố, tôi ủng hộ và tuân thủ chính sách mới vì nó giúp giảm gánh nặng tài chính cho người dân.</t>
  </si>
  <si>
    <t>Dù không hoàn toàn tin tưởng, nhưng với mức giảm trừ gia cảnh tăng lên và đơn giản hóa quy trình, hành vi gian lận hoặc trốn thuế sẽ khó xảy ra. Việc áp dụng công nghệ hiện đại cũng giúp phát hiện nhanh chóng hơn.</t>
  </si>
  <si>
    <t>Nhà nước đã đầu tư vào công nghệ để quản lý, giám sát hiệu quả các hoạt động nộp thuế. Tuy nhiên, vẫn cần sự cải tiến trong việc xử lý và phát hiện gian lận.</t>
  </si>
  <si>
    <t>Quy trình khai báo thuế và làm việc với cơ quan thuế trở nên đơn giản hơn nhiều so với trước đây. Thuê bao gồm các bước rõ ràng, dễ thực hiện.</t>
  </si>
  <si>
    <t>Biểu thuế mới có ít bậc hơn, giúp tính toán và hiểu rõ về mức thu nhập chịu thuế. Mức thuế suất cũng hợp lý với thu nhập của tôi.</t>
  </si>
  <si>
    <t>Công bằng vì mức giảm trừ gia cảnh tăng lên cho cả bản thân và người phụ thuộc, đồng thời số bậc thuế ít hơn cũng giúp việc tính toán đơn giản hơn.</t>
  </si>
  <si>
    <t>Thuế mới mà tôi phải đóng là hợp lý với thu nhập hiện tại. Mức giảm trừ gia cảnh tăng lên giúp tiết kiệm chi phí.</t>
  </si>
  <si>
    <t>Tiền thuế đóng vào sẽ được sử dụng cho các dịch vụ công quan trọng như y tế, giáo dục và cơ sở hạ tầng, điều này mang lại lợi ích thiết thực cho cộng đồng.</t>
  </si>
  <si>
    <t>Nhà nước đã giải thích rõ ràng về lý do và mục tiêu của việc sửa đổi thuế. Thông tin minh bạch giúp người dân hiểu rõ hơn về chính sách mới.</t>
  </si>
  <si>
    <t>Sau khi xem xét các quyền lợi và nghĩa vụ, tôi ủng hộ và tuân thủ chính sách mới vì nó mang lại nhiều lợi ích cho cá nhân lẫn cộng đồng.</t>
  </si>
  <si>
    <t>Biểu thuế mới có ít bậc hơn và mức thuế suất rõ ràng hơn, dễ hiểu và thực hiện đơn giản hơn so với trước đây.</t>
  </si>
  <si>
    <t>Tôi tin rằng Nhà nước sẽ thực thi chính sách một cách công bằng và khách quan. Tuy nhiên, việc minh bạch thông tin về cách quản lý số tiền thuế đóng còn cần cải thiện.</t>
  </si>
  <si>
    <t>Với mức thuế giảm đáng kể so với trước đây, tôi thấy rằng chính sách mới này là công bằng và hợp lý cho người dân như tôi.</t>
  </si>
  <si>
    <t>Tôi tin tưởng rằng số tiền thuế đóng sẽ được sử dụng hiệu quả để cải thiện dịch vụ công. Tuy nhiên, cần có thêm thông tin về cách sử dụng nguồn thu ngân sách từ thuế.</t>
  </si>
  <si>
    <t>Nhà nước đã giải thích rõ ràng về mục tiêu của việc sửa đổi chính sách thuế này. Tôi cảm thấy mình tham gia vào quá trình cải thiện hệ thống thuế.</t>
  </si>
  <si>
    <t>Sau khi xem xét các quyền lợi và nghĩa vụ, tôi ủng hộ và tuân thủ chính sách mới vì nó mang lại nhiều lợi ích cho người dân như tôi.</t>
  </si>
  <si>
    <t>Dù quy định quản lý thuế hiện nay có phần phức tạp, tôi tin rằng với sự phát triển của công nghệ và khả năng xử lý dữ liệu cao hơn, hành vi gian lận sẽ dễ dàng bị phát hiện.</t>
  </si>
  <si>
    <t>Nhà nước đã đầu tư vào hệ thống thông tin thuế hiện đại nên tôi tin rằng họ có đủ công nghệ để xử lý và giám sát các hoạt động trốn thuế hiệu quả.</t>
  </si>
  <si>
    <t>So với trước đây, việc khai báo thuế trở nên đơn giản hơn do số bậc thuế giảm và mức giảm trừ gia cảnh tăng. Điều này giúp quá trình làm việc với cơ quan thuế thuận tiện hơn.</t>
  </si>
  <si>
    <t>Biểu thuế mới đã đơn giản hóa, dễ hiểu và thực hiện nhanh chóng hơn so với trước đây, giảm bớt sự phức tạp cho người nộp thuế.</t>
  </si>
  <si>
    <t>Tôi tin rằng Nhà nước sẽ thực thi chính sách một cách khách quan, công bằng đối với mọi người dân, nhưng vẫn có thể nghi ngờ về việc xử lý cụ thể của các cơ quan thuế.</t>
  </si>
  <si>
    <t>Thuế mới đã giảm bớt gánh nặng cho tôi và người dân trong độ tuổi lao động. Tôi thấy mức thuế này là công bằng, phù hợp với thu nhập hiện tại của mình.</t>
  </si>
  <si>
    <t>Tôi tin rằng số tiền thuế đóng sẽ được sử dụng hiệu quả để cải thiện dịch vụ công và phát triển cơ sở hạ tầng, nhưng cần thêm minh bạch về cách sử dụng nguồn thu.</t>
  </si>
  <si>
    <t>Nhà nước đã giải thích rõ ràng về mục tiêu của việc sửa đổi thuế. Tuy nhiên, tôi hy vọng có thêm thông tin chi tiết về cách thực hiện và hiệu quả trong tương lai.</t>
  </si>
  <si>
    <t>Dù vẫn còn nghi ngờ về một số điểm, nhưng tôi ủng hộ chính sách mới vì nó đã giảm bớt gánh nặng thuế cho người dân và đơn giản hóa quy trình khai báo.</t>
  </si>
  <si>
    <t>Dù luật thuế mới đơn giản hơn, nhưng tôi vẫn lo ngại về khả năng phát hiện hành vi gian lận hoặc trốn thuế.</t>
  </si>
  <si>
    <t>Tôi tin rằng cơ quan thuế có đủ khả năng và công nghệ để giám sát các hoạt động tài chính cá nhân, nhưng cần thời gian để thực thi hiệu quả.</t>
  </si>
  <si>
    <t>Quy trình khai báo và làm việc với cơ quan thuế trở nên đơn giản hơn, tiết kiệm thời gian hơn so với trước đây</t>
  </si>
  <si>
    <t>Biểu thuế mới có ít bậc và dễ hiểu hơn, giúp người dân tính toán nhanh chóng.</t>
  </si>
  <si>
    <t>Tôi tin rằng Nhà nước sẽ thực thi chính sách một cách công bằng cho mọi đối tượng nộp thuế</t>
  </si>
  <si>
    <t>Thuế mới giảm đi, tôi cảm thấy mức thuế này là công bằng và phù hợp với thu nhập của mình</t>
  </si>
  <si>
    <t>Tôi tin rằng số tiền thuế đóng sẽ được sử dụng hiệu quả để cải thiện dịch vụ công.</t>
  </si>
  <si>
    <t>Nhà nước đã giải thích rõ ràng về mục tiêu và lý do của việc sửa đổi Luật Thuế TNCN, tôi cảm thấy tin tưởng hơn</t>
  </si>
  <si>
    <t>Tôi ủng hộ và tuân thủ chính sách mới vì nó đơn giản hóa quy trình thuế và giảm gánh nặng về mặt tài chính.</t>
  </si>
  <si>
    <t>Dù các quy định quản lý thuế hiện nay đã được cải thiện, nhưng với mức thuế giảm đáng kể, tôi tin rằng hành vi gian lận sẽ ít hơn. Việc tăng giảm trừ gia cảnh và đơn giản hóa biểu thuế giúp giảm khả năng trốn thuế.</t>
  </si>
  <si>
    <t>Nhà nước đã có công nghệ tiên tiến để theo dõi các giao dịch tài chính, do đó việc phát hiện và xử lý nghiêm các hành vi trốn thuế là khả thi. Tuy nhiên, hiệu quả cụ thể phụ thuộc vào thực tế hoạt động quản lý của cơ quan thuế.</t>
  </si>
  <si>
    <t>Việc đơn giản hóa quy trình khai báo thuế và các bước làm việc với cơ quan thuế tạo ra sự thuận tiện cho người dân. Điều này giúp giảm thời gian và công sức cần thiết để tuân thủ luật thuế.</t>
  </si>
  <si>
    <t>Biểu thuế đơn giản hơn, rõ ràng hơn so với trước đây. Việc phân chia thành các bậc thuế cụ thể giúp tính toán và thực hiện đơn giản hơn.</t>
  </si>
  <si>
    <t>Tôi tin rằng Nhà nước sẽ thực thi chính sách một cách công bằng. Sự tăng giảm trừ gia cảnh và đơn giản hóa biểu thuế tạo ra sự công bằng trong việc phân bổ thuế cho người nộp thuế.</t>
  </si>
  <si>
    <t>Theo phương án mới, mức thuế tôi phải đóng là hợp lý so với thu nhập của mình. Việc tăng giảm trừ gia cảnh giúp giảm gánh nặng tài chính.</t>
  </si>
  <si>
    <t>Tôi tin rằng số tiền thuế tôi đóng sẽ được sử dụng hiệu quả để cải thiện các dịch vụ công, từ đó tạo ra lợi ích cho cộng đồng và cá nhân tôi.</t>
  </si>
  <si>
    <t>Nhà nước đã giải thích rõ ràng về mục tiêu và lý do của việc sửa đổi thuế, mặc dù có thể cần thêm thông tin chi tiết để tăng niềm tin</t>
  </si>
  <si>
    <t>Do tác động tài chính tích cực từ chính sách mới, tôi ủng hộ và sẽ tuân thủ chính sách thuế hiện tại. Các thay đổi tạo ra sự công bằng hơn và thuận tiện hơn cho người nộp thuế.</t>
  </si>
  <si>
    <t>Thuế hiện nay có nhiều quy định và cần thêm thời gian để quen thuộc. Tuy nhiên, với sự phát triển công nghệ của cơ quan thuế, khả năng phát hiện trốn thuế cao hơn.</t>
  </si>
  <si>
    <t>Cơ quan thuế đã đầu tư vào công nghệ và nhân lực để cải thiện quản lý thuế. Tuy nhiên, vẫn còn nhiều thách thức trong việc kiểm soát gian lận.</t>
  </si>
  <si>
    <t>Quy trình khai báo thuế trở nên đơn giản hơn với mức giảm trừ gia cảnh tăng lên. Việc này làm cho thủ tục thuận tiện và nhanh chóng hơn.</t>
  </si>
  <si>
    <t>Các bậc thuế mới rõ ràng hơn, dễ hiểu và dễ thực hiện. Điều này giúp người dân nắm bắt dễ dàng hơn về cách tính thuế.</t>
  </si>
  <si>
    <t>Tôi tin rằng cơ quan thuế sẽ công bằng trong việc áp dụng chính sách mới. Tuy nhiên, cần thêm thời gian để kiểm chứng</t>
  </si>
  <si>
    <t>Thuế tôi phải đóng theo phương án mới là hợp lý so với thu nhập và điều kiện của mình.</t>
  </si>
  <si>
    <t>Tôi tin rằng số tiền thuế đóng sẽ được sử dụng hiệu quả để cải thiện dịch vụ công. Tuy nhiên, việc minh bạch về cách sử dụng còn cần cải thiện</t>
  </si>
  <si>
    <t>Nhà nước đã giải thích rõ ràng về mục tiêu của việc sửa đổi thuế, tuy nhiên, vẫn có những điểm chưa đầy đủ trong thông tin.</t>
  </si>
  <si>
    <t>Tác động tài chính tích cực và sự đơn giản hóa quy trình khai báo thuế khiến tôi ủng hộ chính sách mới. Tuy nhiên, tôi cần thêm thời gian để quen với các thay đổi</t>
  </si>
  <si>
    <t>Mặc dù tôi tin rằng Nhà nước có thể cải thiện trong việc phát hiện hành vi gian lận, nhưng với quy định quản lý thuế hiện tại, vẫn còn nhiều khó khăn để phát hiện trốn thuế. Sự phức tạp của hệ thống thuế trước đây cũng làm giảm hiệu quả này.</t>
  </si>
  <si>
    <t>Nhà nước đã đầu tư vào công nghệ và nhân lực cho việc quản lý thuế, nhưng vẫn cần nhiều cải tiến để đảm bảo đủ năng lực phát hiện trốn thuế một cách nhanh chóng và chính xác.</t>
  </si>
  <si>
    <t>So với trước đây, quy trình khai báo thuế đã đơn giản hơn. Tuy nhiên, vẫn còn nhiều thủ tục phức tạp cần cải thiện để làm việc với cơ quan thuế trở nên thuận tiện hơn.</t>
  </si>
  <si>
    <t>Biểu thuế mới đã đơn giản hóa các bậc thuế và ngưỡng chịu thuế, giúp dễ hiểu và thực hiện hơn. Tuy nhiên, sự thay đổi này chưa hoàn toàn giải quyết được vấn đề về độ phức tạp của hệ thống thuế.</t>
  </si>
  <si>
    <t>Tôi tin rằng Nhà nước sẽ thực thi chính sách một cách khách quan và công bằng. Sự tăng cường giảm trừ gia cảnh cũng làm tăng niềm tin trong việc đối xử bình đẳng với mọi người nộp thuế.</t>
  </si>
  <si>
    <t>Mức thuế mới phù hợp với thu nhập của tôi, giúp tiết kiệm được một khoản tiền đáng kể. Tuy nhiên, vẫn cần thêm thời gian để kiểm chứng hiệu quả thực tế của chính sách này.</t>
  </si>
  <si>
    <t>Nhà nước đã sử dụng số tiền thuế thu được vào việc cải thiện dịch vụ công, như y tế và hạ tầng. Điều này làm tăng niềm tin rằng số tiền tôi đóng sẽ được sử dụng hiệu quả.</t>
  </si>
  <si>
    <t>Tôi đồng ý với mục tiêu của Nhà nước trong việc sửa đổi thuế để tạo ra một hệ thống thuế công bằng hơn, nhưng cần thêm thông tin chi tiết về chi phí cụ thể và lợi ích cho người dân.</t>
  </si>
  <si>
    <t>Dù còn nhiều điểm cần cải thiện, tôi vẫn ủng hộ chính sách mới vì nó mang lại lợi ích đáng kể cho thu nhập cá nhân. Tôi sẽ tuân thủ chính sách này.</t>
  </si>
  <si>
    <t>Hiện nay, cơ quan thuế có nhiều công cụ để phát hiện hành vi gian lận, trốn thuế. Tuy nhiên, do chưa biết chi tiết về khả năng quản lý thực tế, tôi không hoàn toàn tin tưởng.</t>
  </si>
  <si>
    <t>Nhà nước đã đầu tư công nghệ và nguồn lực vào việc phát hiện trốn thuế, nên khả năng này cao. Tuy nhiên, do chưa biết chi tiết về thực thi, tôi không hoàn toàn tin tưởng.</t>
  </si>
  <si>
    <t>Các quy trình khai báo thuế và giao tiếp với cơ quan thuế đã đơn giản hơn trước đây, thuận tiện cho người dân. Việc tăng giảm trừ gia cảnh cũng giúp việc làm thủ tục dễ dàng hơn.</t>
  </si>
  <si>
    <t>Số bậc thuế ít đi, quy định rõ ràng, dễ hiểu hơn so với trước đây. Điều này giúp tôi có thể tính toán và thực hiện nhanh chóng.</t>
  </si>
  <si>
    <t>Việc sửa đổi thuế lần này được xem xét kỹ lưỡng để công bằng cho người dân, nhưng do chưa rõ ràng về cách thực thi, tôi vẫn giữ một phần nghi ngờ.</t>
  </si>
  <si>
    <t>Mức giảm trừ gia cảnh và mức thuế mới phù hợp với thu nhập của tôi. Tôi thấy việc đóng thuế này là công bằng.</t>
  </si>
  <si>
    <t>Với số tiền thuế tôi đóng, tôi tin rằng sẽ được sử dụng hiệu quả để cải thiện dịch vụ công và chất lượng cuộc sống.</t>
  </si>
  <si>
    <t>Nhà nước đã giải thích rõ ràng về mục đích sửa đổi, nhưng do chưa biết chi tiết về cách thực thi, tôi vẫn giữ một phần nghi ngờ.</t>
  </si>
  <si>
    <t>Tác động tài chính tích cực khiến tôi có thêm niềm tin vào sự công bằng của thuế mới. Tuy nhiên, do còn nhiều yếu tố chưa rõ ràng, tôi cần thời gian để tiếp tục theo dõi.</t>
  </si>
  <si>
    <t>Hiện tại, các quy định quản lý thuế vẫn còn phức tạp và khó kiểm soát hành vi gian lận. Tuy nhiên, với việc đơn giản hóa biểu thuế mới có thể giúp tăng cường giám sát.</t>
  </si>
  <si>
    <t>Cơ quan thuế đã đầu tư công nghệ hiện đại hơn để phát hiện trốn thuế, tuy nhiên, hiệu quả của nó còn phụ thuộc vào sự tuân thủ của người nộp thuế.</t>
  </si>
  <si>
    <t>So với trước đây, quy trình khai thuế trở nên đơn giản hơn nhưng vẫn cần cải thiện. Việc tăng mức giảm trừ gia cảnh giúp thuận tiện cho việc khai báo.</t>
  </si>
  <si>
    <t>Biểu thuế mới đơn giản hóa bậc thuế và cách tính, dễ dàng hiểu và thực hiện hơn so với trước đây.</t>
  </si>
  <si>
    <t>Tôi tin rằng Nhà nước sẽ thực thi chính sách công bằng đối với mọi người nộp thuế. Sự đơn giản hóa quy trình khai báo thuế cũng giúp tăng niềm tin.</t>
  </si>
  <si>
    <t>Nhìn chung, mức thuế mới được tính là phù hợp với thu nhập của tôi và có sự giảm trừ gia cảnh lớn hơn, tạo cảm giác công bằng.</t>
  </si>
  <si>
    <t>Tôi tin rằng số tiền thuế đóng sẽ được sử dụng hiệu quả để cải thiện dịch vụ công. Tuy nhiên, cần có thêm thông tin về chi tiêu ngân sách để tăng niềm tin.</t>
  </si>
  <si>
    <t>Nhà nước đã giải thích rõ ràng về mục đích của việc sửa đổi thuế nhưng cần cung cấp thêm thông tin cụ thể hơn về cách sử dụng số tiền thu được từ thuế.</t>
  </si>
  <si>
    <t>Tôi ủng hộ chính sách mới, vì nó đơn giản hóa quy trình khai báo thuế và giảm gánh nặng tài chính cho tôi. Tuy nhiên, cần cải thiện minh bạch trong việc sử dụng số tiền thuế.</t>
  </si>
  <si>
    <t>Dựa trên quy định quản lý thuế hiện nay, tôi nghĩ khả năng phát hiện hành vi gian lận hoặc trốn thuế là hợp lý. Tuy nhiên, việc thực thi cần dựa vào sự kiên trì và chuyên nghiệp của cơ quan thuế.</t>
  </si>
  <si>
    <t>Ngoài công nghệ, tôi tin rằng khả năng phát hiện gian lận còn phụ thuộc vào nguồn lực của cơ quan thuế. Tuy nhiên, với số lượng người nộp thuế tăng lên, việc này có thể gặp khó khăn.</t>
  </si>
  <si>
    <t>Quy trình khai báo thuế và giao dịch với cơ quan thuế đã đơn giản hơn so với trước đây. Điều này giúp tôi tiết kiệm thời gian và công sức.</t>
  </si>
  <si>
    <t>Biểu thuế mới đơn giản, dễ hiểu và dễ thực hiện hơn. Mức thuế giảm cũng làm cho quá trình tính toán thuận lợi hơn.</t>
  </si>
  <si>
    <t>Tôi tin rằng Nhà nước sẽ công bằng trong việc quản lý thuế với mục tiêu hỗ trợ người dân và doanh nghiệp phát triển.</t>
  </si>
  <si>
    <t>Mức thuế mới giảm đi, tôi cảm thấy hợp lý. Điều này giúp cải thiện điều kiện sống cho gia đình tôi.</t>
  </si>
  <si>
    <t>Thuế đóng góp vào sự phát triển hạ tầng và dịch vụ công như y tế, giáo dục, giao thông...là một trách nhiệm của người dân. Tôi tin rằng số tiền đóng thuế sẽ được sử dụng hiệu quả.</t>
  </si>
  <si>
    <t>Nhà nước đã giải thích rõ ràng về mục tiêu và lý do thay đổi chính sách thuế, tạo sự minh bạch cho người dân.</t>
  </si>
  <si>
    <t>Tôi ủng hộ và tuân thủ chính sách mới vì nó giúp giảm gánh nặng tài chính cho gia đình tôi đồng thời hỗ trợ sự phát triển bền vững của đất nước.</t>
  </si>
  <si>
    <t>Nhà nước đã tăng cường quản lý thuế thông qua công nghệ và hệ thống giám sát, nhưng vẫn cần sự hợp tác của người dân để phát hiện hành vi trốn thuế.</t>
  </si>
  <si>
    <t>Cơ quan thuế có khả năng sử dụng công nghệ cao hơn để phát hiện trốn thuế, tuy nhiên, vẫn cần thời gian và nguồn lực cho việc triển khai hiệu quả.</t>
  </si>
  <si>
    <t>Thủ tục khai báo thuế trở nên đơn giản và tiện lợi hơn, nhưng vẫn còn một số bước phức tạp cần cải thiện.</t>
  </si>
  <si>
    <t>Biểu thuế mới có ít bậc hơn và dễ hiểu hơn so với trước đây, tạo thuận lợi cho việc tính toán và thực hiện.</t>
  </si>
  <si>
    <t>Tôi tin rằng cơ quan thuế sẽ thực thi chính sách công bằng đối với mọi người nộp thuế, dù mức giảm trừ gia cảnh tăng lên.</t>
  </si>
  <si>
    <t>Mức thuế mới giảm đáng kể so với trước đây, phù hợp với thu nhập của tôi và tạo cảm giác công bằng hơn.</t>
  </si>
  <si>
    <t>Việc tăng mức giảm trừ gia cảnh giúp số tiền thuế đóng vào ngân sách được sử dụng hiệu quả cho các dịch vụ công</t>
  </si>
  <si>
    <t>Nhà nước đã giải thích rõ về mục tiêu của việc sửa đổi luật thuế, nhưng cần cải thiện thêm trong việc truyền đạt thông tin.</t>
  </si>
  <si>
    <t>Sau khi xem xét tác động tài chính và sự đơn giản hóa quy định, tôi đồng ý ủng hộ và tuân thủ chính sách mới.</t>
  </si>
  <si>
    <t>Việc tăng mức giảm trừ gia cảnh và đơn giản hóa biểu thuế có thể làm giảm khả năng phát hiện hành vi trốn thuế, nhưng cơ quan thuế vẫn có đủ nguồn lực để kiểm soát.</t>
  </si>
  <si>
    <t>Cơ sở hạ tầng công nghệ thông tin của Việt Nam ngày càng phát triển, nên việc phát hiện và xử lý gian lận trốn thuế sẽ trở nên dễ dàng hơn.</t>
  </si>
  <si>
    <t>Hệ thống thuế mới đơn giản hơn so với trước đây, thủ tục khai báo thuế cũng được cải tiến, giúp người dân thuận tiện hơn trong việc làm việc với cơ quan thuế.</t>
  </si>
  <si>
    <t>So với trước đây, cách tính thuế và các bậc thuế mới dễ hiểu và thực hiện đơn giản hơn nhiều, không còn quá phức tạp như trước.</t>
  </si>
  <si>
    <t>Tôi tin rằng cơ quan thuế sẽ thực thi chính sách một cách công bằng, nhưng việc tăng giảm trừ gia cảnh có thể gây ra sự nghi ngờ về khả năng minh bạch.</t>
  </si>
  <si>
    <t>Đối với thu nhập của tôi, mức thuế mới là hợp lý và công bằng. Thu nhập của tôi nằm trong bậc thuế thấp nên giảm trừ gia cảnh tăng lên giúp tiết kiệm chi phí.</t>
  </si>
  <si>
    <t>Tiết kiệm được tiền thuế có thể giúp cải thiện các dịch vụ công như y tế, giáo dục và cơ sở hạ tầng, nhưng tôi mong muốn biết rõ hơn về cách sử dụng khoản thu này.</t>
  </si>
  <si>
    <t>Nhà nước đã giải thích rõ ràng về mục tiêu của việc cải cách thuế, tuy nhiên, cần có thêm thông tin chi tiết về cách thực hiện các quy định mới.</t>
  </si>
  <si>
    <t>Tôi ủng hộ chính sách mới vì nó đơn giản hóa quy trình và giảm bớt gánh nặng thuế cho người dân. Tuy nhiên, tôi mong muốn có thêm thông tin về việc sử dụng khoản thu từ thuế để cải thiện dịch vụ công.</t>
  </si>
  <si>
    <t>Với mức thuế giảm đáng kể, tôi tin rằng cơ quan thuế sẽ tập trung vào việc phát hiện và xử lý nghiêm các trường hợp gian lận hoặc trốn thuế.</t>
  </si>
  <si>
    <t>Cơ quan thuế có thể đã cải thiện công nghệ để theo dõi thu nhập và khai báo, nâng cao khả năng phát hiện hành vi gian lận.</t>
  </si>
  <si>
    <t>Quy trình khai báo thuế trở nên đơn giản hơn, giảm bớt các bước rườm rà trước đây, giúp việc làm việc với cơ quan thuế thuận tiện hơn.</t>
  </si>
  <si>
    <t>So với trước đây, tôi thấy cách tính thuế và các bậc thuế mới dễ hiểu và đơn giản hơn, giảm bớt sự phức tạp trong quá trình khai báo.</t>
  </si>
  <si>
    <t>Nhà nước đã công bố rõ ràng về chính sách mới, tạo niềm tin rằng họ sẽ thực hiện một cách khách quan và công bằng.</t>
  </si>
  <si>
    <t>Mức thuế mới giảm đáng kể so với trước đây, khiến tôi cảm thấy việc đóng thuế là công bằng hơn đối với thu nhập của mình.</t>
  </si>
  <si>
    <t>Thuế tôi đóng sẽ được sử dụng để cải thiện dịch vụ công, nâng cao chất lượng cuộc sống cho người dân như y tế và giao thông.</t>
  </si>
  <si>
    <t>Nhà nước đã giải thích rõ ràng về mục tiêu của việc sửa đổi thuế, tạo cảm giác rằng họ là trách nhiệm với quyết định này.</t>
  </si>
  <si>
    <t>Dựa trên các quyền lợi và nghĩa vụ mới, tôi ủng hộ và sẽ tuân thủ chính sách mới vì nó mang lại lợi ích cho tôi.</t>
  </si>
  <si>
    <t>Nhà nước đã thực hiện các biện pháp quản lý thuế hiệu quả, nhưng vẫn cần cải thiện trong việc phát hiện trốn thuế.</t>
  </si>
  <si>
    <t>Cơ quan thuế có công nghệ và nguồn lực tốt để phát hiện hành vi gian lận, nhưng chưa hoàn toàn đáng tin cậy.</t>
  </si>
  <si>
    <t>Quy trình khai báo thuế đơn giản hơn trước, thủ tục dễ dàng thực hiện hơn, giảm thời gian chờ đợi với cơ quan thuế.</t>
  </si>
  <si>
    <t>Biểu thuế mới đơn giản hóa bậc thuế, giúp người dân dễ hiểu và tính toán, nhưng vẫn cần thêm hướng dẫn để tránh nhầm lẫn.</t>
  </si>
  <si>
    <t>Tôi tin Nhà nước sẽ thực thi chính sách công bằng, nhưng còn lo ngại về việc thực hiện cụ thể.</t>
  </si>
  <si>
    <t>Mức thuế mới phù hợp với thu nhập của tôi, giảm gánh nặng tài chính, tạo cảm giác công bằng.</t>
  </si>
  <si>
    <t>Thuế đóng góp vào dịch vụ công và phát triển xã hội, nhưng còn nhiều thắc mắc về việc sử dụng hiệu quả.</t>
  </si>
  <si>
    <t>Nhà nước đã giải thích rõ ràng mục tiêu của chính sách mới, tuy nhiên vẫn cần thêm minh bạch trong quy trình thực thi.</t>
  </si>
  <si>
    <t>Có các quy định quản lý thuế hiện tại, nhưng do chưa biết chi tiết về khả năng phát hiện và xử lý cụ thể, nên chỉ ở mức trung bình.</t>
  </si>
  <si>
    <t>Khả năng của Nhà nước trong việc sử dụng công nghệ để phát hiện hành vi gian lận là cao, nhưng vẫn có nguy cơ bị bỏ sót.</t>
  </si>
  <si>
    <t>Quy trình khai báo thuế đã đơn giản hơn so với trước đây, tạo thuận lợi cho người dân nộp thuế.</t>
  </si>
  <si>
    <t>Cách tính và các bậc thuế mới rõ ràng hơn, dễ dàng áp dụng hơn so với hệ thống cũ.</t>
  </si>
  <si>
    <t>Đối xử bình đẳng giữa mọi người nộp thuế là quan trọng. Việc tăng mức giảm trừ gia cảnh giúp phần lớn công dân có lợi.</t>
  </si>
  <si>
    <t>Mức thuế mới được xem xét kỹ lưỡng và phù hợp với thu nhập của tôi, do đó tôi thấy nó là công bằng.</t>
  </si>
  <si>
    <t>Thuế đóng góp vào sự phát triển hạ tầng và dịch vụ công, nhưng cần có minh bạch về việc sử dụng tiền thuế.</t>
  </si>
  <si>
    <t>Lý do và mục tiêu của chính sách mới được giải thích rõ ràng, tạo niềm tin cho người dân.</t>
  </si>
  <si>
    <t>Sau khi tính toán tác động tài chính tích cực và các cải tiến về thuận lợi trong khai thuế, tôi ủng hộ và tuân thủ chính sách mới.</t>
  </si>
  <si>
    <t>Hiện nay, cơ quan thuế đã ứng dụng công nghệ cao trong quản lý thuế, như hệ thống điện tử, phần mềm khai thuế, giúp việc phát hiện hành vi gian lận trở nên dễ dàng hơn. Điều này làm tăng niềm tin của người dân về khả năng quản lý thuế.</t>
  </si>
  <si>
    <t>Nhà nước và cơ quan thuế đã đầu tư vào công nghệ, nâng cao hệ thống quản lý thuế, giúp phát hiện và xử lý nghiêm các hành vi trốn thuế. Điều này thể hiện sự cam kết trong việc chống gian lận.</t>
  </si>
  <si>
    <t>Quy trình khai báo thuế trở nên đơn giản hơn với mức giảm trừ gia cảnh cao hơn và số bậc thuế giảm, giúp người dân dễ dàng thực hiện. Tuy nhiên, vẫn cần cải thiện về sự minh bạch trong quy trình.</t>
  </si>
  <si>
    <t>Biểu thuế mới đơn giản hóa các bậc thuế, làm việc tính toán và khai báo thuế trở nên dễ dàng hơn so với trước đây. Điều này giúp người dân hiểu và thực hiện chính sách một cách thuận tiện.</t>
  </si>
  <si>
    <t>Nhà nước đã cải thiện khả năng quản lý thuế thông qua công nghệ, đồng thời đơn giản hóa quy trình khai báo thuế, tạo ra sự minh bạch và công bằng trong việc thực thi chính sách.</t>
  </si>
  <si>
    <t>Thuế mới giảm gánh nặng cho người dân như tôi, với mức giảm trừ gia cảnh cao hơn. Điều này thể hiện tính công bằng trong việc phân phối nghĩa vụ thuế giữa các đối tượng nộp thuế khác nhau.</t>
  </si>
  <si>
    <t>Thuế được sử dụng hiệu quả để cải thiện dịch vụ công, như y tế và giao thông. Điều này tạo ra niềm tin rằng khoản thuế đóng góp của tôi sẽ mang lại lợi ích cho cộng đồng.</t>
  </si>
  <si>
    <t>Nhà nước đã giải thích rõ ràng về mục tiêu cải cách thuế, cũng như việc nâng cao mức giảm trừ gia cảnh và đơn giản hóa biểu thuế. Điều này làm tăng tính minh bạch của chính sách.</t>
  </si>
  <si>
    <t>Sau khi xem xét các quyền lợi và nghĩa vụ, tôi ủng hộ và tuân thủ chính sách mới vì nó giảm gánh nặng thuế cho người dân như tôi. Điều này đồng thời tạo ra một môi trường kinh doanh công bằng hơn.</t>
  </si>
  <si>
    <t>Dựa trên mức giảm trừ gia cảnh cao và các thay đổi đơn giản trong biểu thuế, tôi ủng hộ và tuân thủ chính sách mới hiện nay. Nó giúp cải thiện tình hình tài chính cá nhân của tôi.</t>
  </si>
  <si>
    <t>Hiện nay, các quy định quản lý thuế đã được cải thiện đáng kể, với việc sử dụng công nghệ tiên tiến để phát hiện gian lận và trốn thuế. Điều này làm tăng độ tin cậy trong việc thực thi pháp luật.</t>
  </si>
  <si>
    <t>Nhà nước đã đầu tư vào hệ thống quản lý thuế, bao gồm công nghệ thông tin tiên tiến giúp phát hiện và xử lý nhanh chóng các hành vi trốn thuế. Đây là một bước tiến quan trọng.</t>
  </si>
  <si>
    <t>Thủ tục khai báo thuế giờ đây dễ dàng hơn, với việc giảm số bậc thuế từ 7 xuống còn 5, làm đơn giản hóa quy trình và tăng độ thuận tiện cho người nộp thuế.</t>
  </si>
  <si>
    <t>Phương án mới đơn giản hóa cách tính thuế và các bậc thuế, giúp tôi dễ dàng hơn trong việc tính toán và thực hiện. Điều này làm giảm cảm giác phức tạp về thuế.</t>
  </si>
  <si>
    <t>Nhà nước đã sửa đổi các quy định một cách công bằng và khách quan, với mức giảm trừ gia cảnh tăng lên đáng kể, tạo ra sự cân đối giữa người nộp thuế.</t>
  </si>
  <si>
    <t>Mức thuế mới được thiết lập phù hợp với thu nhập của tôi. Mặc dù phải đóng ít hơn trước đây, nhưng tôi thấy điều này là công bằng và phản ánh đúng mức thu nhập của mình.</t>
  </si>
  <si>
    <t>Đồng ý rằng số tiền thuế mà tôi đóng sẽ được sử dụng hiệu quả để cải thiện các dịch vụ công. Điều này tạo ra sự tin tưởng rằng chính sách mới có mục tiêu đúng đắn.</t>
  </si>
  <si>
    <t>Nhà nước đã giải thích rõ ràng về lý do và mục tiêu của việc sửa đổi thuế, giúp tôi hiểu được tầm quan trọng của các thay đổi này. Điều này làm tăng sự tin tưởng vào quyết định của họ.</t>
  </si>
  <si>
    <t>Sau khi xem xét tất cả các yếu tố trên, tôi hoàn toàn ủng hộ và tuân thủ chính sách mới vì nó đơn giản hóa quy trình thuế, công bằng hơn cho người nộp thuế và có mục tiêu cải thiện chất lượng dịch vụ công.</t>
  </si>
  <si>
    <t>Ngoài việc tăng giảm trừ gia cảnh, cải cách thuế còn đơn giản hóa quy trình khai báo và giảm số bậc thuế, điều này làm cho hành vi gian lận trở nên khó khăn hơn. Tuy nhiên, vẫn cần sự giám sát chặt chẽ của cơ quan thuế.</t>
  </si>
  <si>
    <t>Việc áp dụng công nghệ trong quản lý thuế và việc tăng cường năng lực của cơ quan thuế cho thấy khả năng phát hiện và xử lý nghiêm các hành vi trốn thuế là cao. Tuy nhiên, hiệu quả này còn phụ thuộc vào sự triển khai thực tế.</t>
  </si>
  <si>
    <t>So với trước đây, quy trình làm việc và khai báo thuế trở nên đơn giản hơn, giảm thời gian chuẩn bị hồ sơ. Điều này giúp thuận tiện cho người dân nộp thuế.</t>
  </si>
  <si>
    <t>Biểu thuế mới có ít bậc hơn và mức thuế suất rõ ràng hơn, khiến việc tính toán thuế trở nên dễ dàng hơn so với trước đây</t>
  </si>
  <si>
    <t>Nhà nước đã tăng giảm trừ gia cảnh, giúp tôi tiết kiệm được một khoản tiền đáng kể. Điều này thể hiện sự công bằng trong cách áp dụng chính sách.</t>
  </si>
  <si>
    <t>Mức thuế tôi phải đóng theo phương án mới là hợp lý, đặc biệt khi so với thu nhập của tôi và người khác có cùng mức độ phụ thuộc</t>
  </si>
  <si>
    <t>Tôi tin rằng số tiền thuế tôi đóng sẽ được sử dụng hiệu quả để cải thiện các dịch vụ công, như y tế và giao thông.</t>
  </si>
  <si>
    <t>Nhà nước đã giải thích rõ ràng về lý do và mục tiêu của việc sửa đổi thuế lần này. Tuy nhiên, tôi vẫn hy vọng có thêm nhiều thông tin chi tiết hơn</t>
  </si>
  <si>
    <t>Sau khi xem xét các quyền lợi và nghĩa vụ, tôi ủng hộ và tuân thủ chính sách mới. Điều này không chỉ giúp tôi tiết kiệm tiền mà còn góp phần vào sự công bằng trong việc phân phối thuế.</t>
  </si>
  <si>
    <t>Nhà nước đã đầu tư công nghệ để hỗ trợ việc quản lý thuế, nhưng không biết hiệu quả cụ thể ra sao. Tuy nhiên, tôi tin rằng họ sẽ cố gắng xử lý nghiêm các hành vi bất hợp pháp.</t>
  </si>
  <si>
    <t>So với trước đây, quy trình khai báo và làm việc với cơ quan thuế đã đơn giản hơn nhiều. Việc sử dụng công nghệ giúp quá trình trở nên nhanh chóng và tiện lợi hơn rất nhiều.</t>
  </si>
  <si>
    <t>Các bậc thuế mới ít hơn và rõ ràng hơn, dễ dàng áp dụng hơn so với trước đây. Điều này làm cho việc tính toán thuế trở nên đơn giản hơn rất nhiều.</t>
  </si>
  <si>
    <t>Việc Nhà nước thực thi chính sách công bằng đối với mọi người nộp thuế là điều quan trọng. Tuy nhiên, cần thêm thời gian để xem xét thực tế.</t>
  </si>
  <si>
    <t>Nhìn chung, mức thuế mới của tôi phù hợp và công bằng. Mức giảm trừ gia cảnh cao hơn cũng giúp làm giảm gánh nặng tài chính cho người lao động.</t>
  </si>
  <si>
    <t>Tôi tin tưởng rằng số tiền thuế đóng sẽ được sử dụng hiệu quả để cải thiện dịch vụ công. Tuy nhiên, cần thêm thông tin chi tiết về cách sử dụng nguồn thu thuế này.</t>
  </si>
  <si>
    <t>Nhà nước đã giải thích khá rõ ràng về mục tiêu và lý do của việc sửa đổi chính sách thuế, nhưng tôi vẫn mong muốn có thêm thông tin cụ thể hơn từ các cơ quan quản lý.</t>
  </si>
  <si>
    <t>Trong tổng thể, tôi ủng hộ và tuân thủ chính sách mới. Nó giúp giảm gánh nặng tài chính cho người dân và cải thiện thuận tiện trong việc khai báo thuế.</t>
  </si>
  <si>
    <t>Chính phủ và cơ quan thuế đã có nhiều nỗ lực trong việc tăng cường quản lý, phát hiện và xử lý các hành vi gian lận hoặc trốn thuế. Tuy nhiên, vẫn còn một số rủi ro về khả năng thực thi.</t>
  </si>
  <si>
    <t>Nhà nước đã đầu tư vào công nghệ để cải thiện khả năng phát hiện và xử lý gian lận, nhưng hiệu quả thực tế có thể phụ thuộc vào nguồn lực và sự triển khai.</t>
  </si>
  <si>
    <t>Thủ tục khai báo thuế trở nên đơn giản hơn với việc giảm số bậc thuế. Việc này giúp người nộp thuế dễ dàng thực hiện hơn.</t>
  </si>
  <si>
    <t>Cách tính và các bậc thuế mới rõ ràng, dễ hiểu hơn so với trước đây. Điều này góp phần nâng cao sự thuận tiện cho người nộp thuế.</t>
  </si>
  <si>
    <t>Tôi tin rằng cơ quan thuế sẽ thực thi chính sách công bằng và khách quan đối với mọi người nộp thuế, nhưng vẫn cần thêm minh bạch hơn về cách thực hiện.</t>
  </si>
  <si>
    <t>Thuế mới giảm đáng kể so với trước đây. Điều này tạo cảm giác rằng mức thuế tôi phải đóng là công bằng và phù hợp với thu nhập của mình.</t>
  </si>
  <si>
    <t>Với việc cải cách thuế, số tiền thuế tôi đóng sẽ được sử dụng hiệu quả để cải thiện dịch vụ công, từ đó tăng niềm tin vào Nhà nước.</t>
  </si>
  <si>
    <t>Nhà nước đã giải thích rõ ràng về mục tiêu của việc sửa đổi luật thuế. Tuy nhiên, cần thêm thông tin và minh bạch hơn để người dân hiểu thấu đáo.</t>
  </si>
  <si>
    <t>Tác động tài chính tích cực từ cải cách thuế đã tạo ra sự ủng hộ đối với chính sách mới. Tôi sẽ tuân thủ các quy định của Nhà nước.</t>
  </si>
  <si>
    <t>Quy định quản lý thuế hiện tại đã được cải thiện đáng kể, nhưng vẫn có thể gặp khó khăn trong quá trình phát hiện hành vi gian lận hoặc trốn thuế.</t>
  </si>
  <si>
    <t>Cơ quan thuế có công nghệ và khả năng để phát hiện hành vi trốn thuế, nhưng hiệu quả thực tế phụ thuộc vào nhiều yếu tố như nguồn lực và quyết tâm.</t>
  </si>
  <si>
    <t>So với trước đây, quy trình khai báo thuế đã đơn giản hơn, nhưng vẫn còn một số thủ tục cần cải thiện.</t>
  </si>
  <si>
    <t>Biểu thuế mới có ít bậc và dễ hiểu hơn, nhưng việc áp dụng các mức thuế cụ thể vào thực tế công việc đôi khi gây khó khăn.</t>
  </si>
  <si>
    <t>Tôi tin rằng cơ quan thuế sẽ thực thi chính sách một cách khách quan, mặc dù vẫn có những lo ngại về khả năng thực hiện.</t>
  </si>
  <si>
    <t>Thuế mới được giảm đáng kể so với trước đây, tăng niềm tin vào sự công bằng của hệ thống thuế.</t>
  </si>
  <si>
    <t>Tôi tin rằng số tiền thuế đóng sẽ được sử dụng hiệu quả để cải thiện dịch vụ công, nhưng vẫn cần thêm thông tin cụ thể về chi tiêu ngân sách</t>
  </si>
  <si>
    <t>Nhà nước đã giải thích rõ ràng về mục tiêu của chính sách mới, tuy nhiên, tôi mong muốn có thêm thông tin về quy trình thực hiện.</t>
  </si>
  <si>
    <t>Tôi ủng hộ và tuân thủ chính sách mới vì nó mang lại lợi ích tài chính đáng kể cho tôi</t>
  </si>
  <si>
    <t>Thuế TNCN mới có nhiều cải tiến về quy định giảm trừ gia cảnh, đơn giản hóa biểu thuế và cung cấp thông tin rõ ràng. Điều này giúp tăng khả năng phát hiện hành vi gian lận hoặc trốn thuế.</t>
  </si>
  <si>
    <t>Cơ quan thuế đã áp dụng công nghệ tiên tiến để quản lý, theo dõi và xử lý các trường hợp gian lận, trốn thuế. Điều này làm tăng khả năng phát hiện và xử lý nghiêm minh.</t>
  </si>
  <si>
    <t>Việc giảm số bậc thuế từ 7 xuống còn 5 đã đơn giản hóa quy trình khai báo thuế, nâng cao thuận tiện cho người dân. Các bước thực hiện cũng được cải thiện đáng kể so với trước đây.</t>
  </si>
  <si>
    <t>Biểu thuế mới có ít bậc hơn và dễ hiểu hơn, giảm bớt rào cản về mặt kỹ thuật trong quá trình tính toán. Điều này làm cho việc thực hiện thuế trở nên đơn giản và dễ dàng hơn.</t>
  </si>
  <si>
    <t>Nhà nước đã công bố rõ ràng về các quy định mới, đảm bảo sự khách quan, công bằng trong quá trình thực thi. Điều này tăng niềm tin của tôi vào khả năng công tâm và minh bạch của cơ quan thuế.</t>
  </si>
  <si>
    <t>Mức thuế mới mà tôi phải đóng là hợp lý cho thu nhập của mình, do đó tôi thấy nó công bằng. Việc giảm trừ gia cảnh tăng thêm cũng làm giảm gánh nặng thuế đối với cá nhân như tôi.</t>
  </si>
  <si>
    <t>Thực hiện đúng nghĩa vụ nộp thuế sẽ giúp tôi đóng góp vào sự phát triển chung của đất nước, qua đó số tiền thuế tôi đóng sẽ được sử dụng hiệu quả để cải thiện các dịch vụ công như y tế và giao thông.</t>
  </si>
  <si>
    <t>Nhà nước đã giải thích rõ ràng mục tiêu và lý do của việc sửa đổi thuế, làm tăng sự minh bạch và trách nhiệm. Điều này giúp tôi cảm thấy tự tin hơn về quyết định thay đổi chính sách.</t>
  </si>
  <si>
    <t>Điều chỉnh về thuế TNCN mới tạo ra một hệ thống công bằng hơn và đơn giản hơn, do đó tôi ủng hộ và sẽ tuân thủ chính sách mới.</t>
  </si>
  <si>
    <t>Nhà nước và cơ quan thuế đã cải thiện đáng kể trong việc sử dụng công nghệ, nhưng vẫn còn cần thêm thời gian để chứng minh hiệu quả.</t>
  </si>
  <si>
    <t>Quy trình khai thuế trở nên đơn giản hơn với mức giảm trừ gia cảnh tăng và số bậc thuế giảm, dễ thực hiện hơn so với trước đây.</t>
  </si>
  <si>
    <t>Cách tính thuế mới rõ ràng hơn, đặc biệt là khi không còn nhiều bậc thuế, giúp việc hiểu và áp dụng quy định trở nên dễ dàng hơn.</t>
  </si>
  <si>
    <t>Thuế tôi phải đóng thấp hơn so với trước đây, điều này thể hiện sự công bằng cho thu nhập như tôi.</t>
  </si>
  <si>
    <t>Tiền thuế mà tôi đóng sẽ được sử dụng hiệu quả để cải thiện các dịch vụ công, từ đó lợi ích trực tiếp cho người dân.</t>
  </si>
  <si>
    <t>Nhà nước đã giải thích rõ ràng về việc giảm thuế và mức độ hỗ trợ tài chính mà tôi sẽ được hưởng.</t>
  </si>
  <si>
    <t>Tôi ủng hộ chính sách mới vì nó giúp tôi tiết kiệm tiền thuế, đồng thời tăng cường niềm tin vào sự công bằng của hệ thống thuế.</t>
  </si>
  <si>
    <t>Nhà nước đã có nhiều biện pháp quản lý thuế và xử lý gian lận, tuy nhiên vẫn còn một số khó khăn trong việc phát hiện trốn thuế.</t>
  </si>
  <si>
    <t>Cơ quan thuế có khả năng công nghệ tốt để giám sát, nhưng cần cải thiện thêm về mặt quản lý và kiểm soát</t>
  </si>
  <si>
    <t>Quy trình khai báo thuế đã đơn giản hơn so với trước đây, tuy nhiên vẫn còn một số thủ tục phức tạp.</t>
  </si>
  <si>
    <t>Cách tính thuế mới đơn giản và dễ hiểu, giảm bớt sự phức tạp đối với người dân</t>
  </si>
  <si>
    <t>Mức thuế mới giảm so với trước đây, tôi thấy là hợp lý đối với thu nhập của mình</t>
  </si>
  <si>
    <t>Thuế đóng góp vào việc cải thiện dịch vụ công, nhưng cần thêm thông tin về cách sử dụng để tăng niềm tin.</t>
  </si>
  <si>
    <t>Chính phủ đã giải thích rõ ràng về mục tiêu và lý do của việc sửa đổi thuế</t>
  </si>
  <si>
    <t>Tôi ủng hộ chính sách mới vì nó đơn giản hơn, giảm gánh nặng tài chính cho tôi.</t>
  </si>
  <si>
    <t>Thuế mới có nhiều thay đổi nhưng thông tin về việc phát hiện và xử lý gian lận chưa rõ ràng. Công nghệ của cơ quan thuế được cải thiện nhưng không biết hiệu quả thực tế.</t>
  </si>
  <si>
    <t>Cơ quan thuế có nhiều nguồn lực hơn để giám sát nhưng việc phát hiện trốn thuế vẫn còn khó khăn do mức độ phức tạp của tình hình kinh tế và sự đa dạng về thu nhập.</t>
  </si>
  <si>
    <t>Quy trình khai báo trở nên đơn giản, thủ tục làm việc với cơ quan thuế dễ dàng hơn. Số lượng bước giảm từ 7 xuống 5 khiến quá trình rõ ràng và nhanh chóng hơn.</t>
  </si>
  <si>
    <t>Bậc thuế mới đơn giản hóa quy trình tính thuế, dễ hiểu và thực hiện thuận tiện hơn so với trước đây. Việc tăng giảm trừ gia cảnh cũng giúp quá trình rõ ràng hơn.</t>
  </si>
  <si>
    <t>Nhà nước đã cải thiện công bằng trong việc phân bổ thuế nhưng vẫn có sự nghi ngờ về cách thực thi chính sách mới</t>
  </si>
  <si>
    <t>Thuế giảm đáng kể giúp tôi cảm thấy công bằng hơn. Tuy nhiên, mức thuế thấp này có thể gây nghi ngại cho những người có thu nhập cao hơn.</t>
  </si>
  <si>
    <t>Tiết kiệm được tiền thuế sẽ mang lại lợi ích trực tiếp cho chất lượng cuộc sống và dịch vụ công. Tuy nhiên, cần xem xét hiệu quả sử dụng nguồn lực của Nhà nước</t>
  </si>
  <si>
    <t>Đã có sự giải thích rõ ràng về mục tiêu cải cách nhưng vẫn còn lo ngại về việc thực thi chính sách mới</t>
  </si>
  <si>
    <t>Mặc dù thuế giảm và quy trình đơn giản hơn, tôi sẽ tiếp tục tuân thủ vì lợi ích dài hạn của chính sách này. Tuy nhiên, cần có thêm biện pháp để ngăn chặn trốn thuế.</t>
  </si>
  <si>
    <t>Hiện nay, cơ quan thuế có hệ thống quản lý và công nghệ tiên tiến giúp phát hiện hành vi gian lận hoặc trốn thuế.</t>
  </si>
  <si>
    <t>Nhà nước đã đầu tư vào công nghệ và nguồn lực để đảm bảo các quy định thuế được thực thi một cách hiệu quả.</t>
  </si>
  <si>
    <t>Quy trình khai báo thuế trở nên đơn giản hơn, giảm bớt rườm rà cho người nộp thuế.</t>
  </si>
  <si>
    <t>Biểu thuế mới có ít bậc và dễ hiểu hơn so với trước đây, giúp tính toán nhanh chóng hơn.</t>
  </si>
  <si>
    <t>Lãnh đạo Nhà nước đã cam kết thực thi chính sách một cách công bằng và khách quan đối với mọi người nộp thuế.</t>
  </si>
  <si>
    <t>Mức thuế mới thấp hơn so với trước đây, thể hiện tính công bằng trong việc đánh giá mức thu nhập.</t>
  </si>
  <si>
    <t>Thuế tôi đóng sẽ được sử dụng hiệu quả để cải thiện các dịch vụ công, tạo niềm tin vào hệ thống thuế mới.</t>
  </si>
  <si>
    <t>Nhà nước đã giải thích rõ ràng về mục tiêu và lý do của việc sửa đổi chính sách thuế lần này.</t>
  </si>
  <si>
    <t>Tôi ủng hộ và sẽ tuân thủ chính sách mới vì nó mang lại lợi ích tài chính và thuận tiện cho người nộp thuế.</t>
  </si>
  <si>
    <t>Hiện nay, cơ quan thuế có nhiều công cụ để phát hiện gian lận và trốn thuế, do đó tôi tin rằng hành vi này sẽ khó thoát khỏi sự kiểm soát.</t>
  </si>
  <si>
    <t>Nhà nước đã đầu tư vào hệ thống công nghệ thông tin để cải thiện quản lý thuế, từ đó tăng khả năng phát hiện và xử lý các hành vi bất hợp pháp.</t>
  </si>
  <si>
    <t>So với trước đây, quy trình khai báo và giao tiếp với cơ quan thuế trở nên đơn giản hơn, tiết kiệm thời gian và công sức của tôi.</t>
  </si>
  <si>
    <t>Biểu thuế mới có ít bậc hơn, giúp tính toán nhanh chóng và dễ dàng hơn, giảm bớt sự phức tạp trong quá trình kê khai</t>
  </si>
  <si>
    <t>Tôi tin rằng cơ quan thuế sẽ thực thi chính sách một cách công bằng đối với mọi người dân, không phân biệt ai phải đóng mức thuế nào.</t>
  </si>
  <si>
    <t>Mức thuế mới phù hợp với thu nhập của tôi và những người cùng ngành nghề. Việc tăng giảm trừ gia cảnh cũng làm cho hệ thống công bằng hơn.</t>
  </si>
  <si>
    <t>Tiền thuế mà tôi đóng sẽ được sử dụng để cải thiện các dịch vụ công, từ đó tạo ra một môi trường sống tốt đẹp hơn cho người dân.</t>
  </si>
  <si>
    <t>Nhà nước đã giải thích rõ ràng về mục tiêu và lý do của việc sửa đổi thuế, giúp tôi hiểu được động cơ đằng sau chính sách mới.</t>
  </si>
  <si>
    <t>Sau khi xem xét các lợi ích và nghĩa vụ, tôi ủng hộ và sẽ tuân thủ chính sách mới. Nó mang lại nhiều thuận tiện hơn cho người dân và công bằng hơn trong việc thu thuế.</t>
  </si>
  <si>
    <t>Nhà nước đã tăng cường các biện pháp kiểm soát thuế, tuy nhiên vẫn cần thêm công nghệ và nhân lực để phát hiện trốn thuế.</t>
  </si>
  <si>
    <t>Cơ quan thuế có thể cải thiện khả năng phát hiện thông qua công nghệ số nhưng thực tế còn nhiều khó khăn.</t>
  </si>
  <si>
    <t>Thủ tục khai báo thuế đơn giản hơn, dễ thực hiện và không tốn thời gian như trước đây.</t>
  </si>
  <si>
    <t>Phương án mới có ít bậc thuế, dễ hiểu và áp dụng thuận tiện cho người dân.</t>
  </si>
  <si>
    <t>Tôi tin rằng cơ quan thuế sẽ công bằng trong việc thực thi chính sách, tuy nhiên vẫn cần giám sát chặt chẽ.</t>
  </si>
  <si>
    <t>Lệ phí mới giảm đáng kể so với trước đây, tôi thấy mức này là hợp lý cho thu nhập của mình.</t>
  </si>
  <si>
    <t>Thuế đóng góp vào việc cải thiện dịch vụ công, tuy nhiên hiệu quả sử dụng còn cần kiểm chứng thường xuyên.</t>
  </si>
  <si>
    <t>Nhà nước đã giải thích rõ ràng về mục tiêu và lý do của việc sửa đổi thuế, tôi thấy đây là một quyết định tích cực.</t>
  </si>
  <si>
    <t>Sau khi xem xét các quyền lợi và nghĩa vụ mới, tôi ủng hộ và tuân thủ chính sách này vì nó đơn giản hơn và phù hợp với thu nhập của tôi.</t>
  </si>
  <si>
    <t>Việc tăng mức giảm trừ gia cảnh và đơn giản hóa biểu thuế có thể làm giảm khả năng phát hiện hành vi gian lận hoặc trốn thuế, do đó mức độ thực thi có thể bị suy yếu.</t>
  </si>
  <si>
    <t>Dù công nghệ và cơ sở vật chất của nhà nước đã được cải thiện đáng kể, nhưng vẫn còn khả năng phát hiện hành vi trốn thuế khó khăn nếu không áp dụng đúng quy trình quản lý.</t>
  </si>
  <si>
    <t>Quy trình khai báo thuế và làm việc với cơ quan thuế trở nên đơn giản hơn so với trước đây, đặc biệt là khi giảm số bậc thuế, giúp người dân dễ dàng hơn trong việc tính toán.</t>
  </si>
  <si>
    <t>Biểu thuế mới đơn giản hóa quy trình tính thuế, làm cho nó dễ hiểu và thực hiện nhanh chóng hơn so với trước đây.</t>
  </si>
  <si>
    <t>Tôi tin rằng Nhà nước sẽ thực thi chính sách một cách khách quan và công bằng, mặc dù mức độ này còn phụ thuộc vào hiệu quả quản lý của cơ quan thuế.</t>
  </si>
  <si>
    <t>Theo phương án mới, tôi chỉ đóng thuế ít hơn so với trước đây, do đó cảm thấy rằng mức thuế này là công bằng và hợp lý.</t>
  </si>
  <si>
    <t>Việc giảm trừ gia cảnh tăng lên giúp số tiền thuế của tôi giảm đáng kể, cho thấy Nhà nước sử dụng tiền thuế một cách hiệu quả để cải thiện dịch vụ công.</t>
  </si>
  <si>
    <t>Chính phủ đã giải thích rõ ràng về lý do và mục tiêu của việc sửa đổi chính sách thuế lần này, giúp tôi hiểu rõ hơn về quy định mới.</t>
  </si>
  <si>
    <t>Đánh giá chung, tôi ủng hộ và tuân thủ chính sách mới vì nó mang lại lợi ích tài chính cho tôi và cảm giác rằng mình đóng góp một cách công bằng vào dịch vụ công.</t>
  </si>
  <si>
    <t>Biểu thuế mới có ít bậc hơn và đơn giản hóa cách tính thuế, làm cho việc thực hiện dễ dàng hơn. Điều này giúp người dân hiểu rõ hơn về quy định thuế của mình.</t>
  </si>
  <si>
    <t>Tôi tin rằng nhà nước sẽ công bằng trong việc áp dụng chính sách mới, nhưng cần thêm thời gian để chứng minh điều đó. Việc giảm trừ gia cảnh tăng lên làm cho hệ thống thuế trở nên công bằng hơn đối với tôi.</t>
  </si>
  <si>
    <t>Dựa trên mức thu nhập của mình, mức thuế mới là hợp lý và công bằng. Với việc giảm trừ gia cảnh tăng lên, tôi thấy chính sách này mang lại lợi ích cho người dân như tôi.</t>
  </si>
  <si>
    <t>Đối với một người trẻ tuổi làm việc trong ngành công nghiệp hiện đại, số tiền thuế đóng vào ngân sách quốc gia sẽ được sử dụng hiệu quả để cải thiện các dịch vụ công</t>
  </si>
  <si>
    <t>Nhà nước đã giải thích rõ ràng về mục tiêu và lý do của việc sửa đổi thuế, nhưng cần thêm thông tin chi tiết hơn về cách sử dụng số tiền thuế này.</t>
  </si>
  <si>
    <t>Tôi ủng hộ chính sách mới vì nó đơn giản hóa quy trình khai báo thuế và giảm trừ gia cảnh tăng lên. Việc tôi không phải đóng thuế nhiều hơn trước đây cũng làm tăng sự đồng ý với chính sách này.</t>
  </si>
  <si>
    <t>Hiện nay, cơ quan thuế có nhiều công cụ và nguồn lực để phát hiện trốn thuế. Tuy nhiên, việc thực thi vẫn phụ thuộc vào hiệu quả quản lý của cơ quan chức năng.</t>
  </si>
  <si>
    <t>Nhà nước đã đầu tư mạnh mẽ vào công nghệ giám sát và xử lý vi phạm thuế, làm giảm khả năng trốn thuế. Tuy nhiên, vẫn còn một số vấn đề về hiệu quả thực thi.</t>
  </si>
  <si>
    <t>Các quy trình khai báo thuế đã trở nên đơn giản hơn so với trước đây, đặc biệt là việc giảm bớt các bước phức tạp. Tuy nhiên, vẫn còn một số thủ tục cần cải thiện.</t>
  </si>
  <si>
    <t>Bảng thuế mới có ít bậc và dễ hiểu hơn, giúp người dân tính toán nhanh chóng. Điều này làm cho quá trình nộp thuế trở nên thuận tiện hơn.</t>
  </si>
  <si>
    <t>Tôi tin rằng Nhà nước sẽ thực thi chính sách một cách công bằng đối với tất cả các bên liên quan, bao gồm cả tôi. Việc giảm trừ gia cảnh và bậc thuế mới đều mang tính công bằng.</t>
  </si>
  <si>
    <t>Dựa trên mức thu nhập của tôi, việc đóng thuế theo phương án mới là hợp lý. Mức giảm trừ gia cảnh và thuế suất được điều chỉnh phù hợp với thực tế kinh tế hiện nay.</t>
  </si>
  <si>
    <t>Số tiền thuế mà tôi phải đóng sẽ được sử dụng hiệu quả để cải thiện dịch vụ công, như y tế và đường xá. Điều này tạo niềm tin cho người dân về mục tiêu của chính sách mới.</t>
  </si>
  <si>
    <t>Nhà nước đã giải thích rõ ràng về lý do và mục tiêu của việc sửa đổi thuế lần này, mặc dù vẫn còn một số thông tin chưa đủ chi tiết cho mọi người hiểu đầy đủ.</t>
  </si>
  <si>
    <t>Tôi ủng hộ và tuân thủ chính sách mới vì nó mang lại lợi ích về mặt tài chính và thuận tiện hơn so với trước đây. Tôi sẽ tiếp tục đóng thuế một cách đúng lúc và đúng quy định.</t>
  </si>
  <si>
    <t>Tôi tin Nhà nước sẽ thực thi chính sách công bằng nhưng vẫn có nguy cơ chưa công bằng với những người lợi dụng hệ thống.</t>
  </si>
  <si>
    <t>Thuế mới được giảm đáng kể, tôi cảm thấy công bằng và hợp lý.</t>
  </si>
  <si>
    <t>Tài nguyên thuế sẽ được sử dụng hiệu quả để cải thiện dịch vụ công</t>
  </si>
  <si>
    <t>Tôi ủng hộ chính sách mới vì nó đơn giản, công bằng và có lợi cho người nộp thuế.</t>
  </si>
  <si>
    <t>Các quy định quản lý thuế hiện nay có nhiều cải tiến, nhưng vẫn còn những lỗ hổng dễ bị lợi dụng. Tăng mức giảm trừ gia cảnh và đơn giản hóa biểu thuế sẽ làm giảm cơ hội trốn thuế.</t>
  </si>
  <si>
    <t>Nhà nước đã đầu tư vào công nghệ để phát hiện, xử lý các hành vi trốn thuế, nhưng vẫn cần thời gian để hoàn thiện hệ thống.</t>
  </si>
  <si>
    <t>Quy trình khai báo và làm việc với cơ quan thuế trở nên đơn giản hơn nhiều so với trước đây. Điều này giúp người dân dễ dàng thực hiện các thủ tục thuế.</t>
  </si>
  <si>
    <t>Biểu thuế mới có ít bậc hơn và mức thuế suất rõ ràng, dễ hiểu hơn. Việc áp dụng mức thuế phù hợp với thu nhập của mình khiến quá trình tính thuế trở nên đơn giản hơn.</t>
  </si>
  <si>
    <t>Nhà nước đã thực hiện việc cải cách thuế một cách khách quan và công bằng, đảm bảo mọi người nộp thuế đều được đối xử bình đẳng.</t>
  </si>
  <si>
    <t>Thuế mới phù hợp với thu nhập của mình. Việc tăng mức giảm trừ gia cảnh giúp tôi tiết kiệm hơn, thể hiện tính công bằng trong việc đánh thuế.</t>
  </si>
  <si>
    <t>Ngoài ra, việc sử dụng số tiền thuế đóng vào các dịch vụ công như y tế và đường xá cũng tạo niềm tin cho tôi về sự hiệu quả của chính sách mới.</t>
  </si>
  <si>
    <t>Nhà nước đã giải thích rõ ràng về mục đích và lý do cải cách thuế, tăng cường niềm tin của người dân đối với chính sách này.</t>
  </si>
  <si>
    <t>Sau khi xem xét các quyền lợi và nghĩa vụ, tôi ủng hộ và tuân thủ chính sách mới. Việc tiết kiệm được tiền thuế giúp cải thiện cuộc sống hàng ngày của gia đình.</t>
  </si>
  <si>
    <t>Dù không hoàn toàn tin tưởng, nhưng với sự cải cách về giảm trừ gia cảnh và đơn giản hóa biểu thuế, khả năng phát hiện hành vi gian lận hoặc trốn thuế có thể tăng lên.</t>
  </si>
  <si>
    <t>Nhìn chung, tôi tin rằng cơ quan thuế sẽ có đủ công nghệ và nguồn lực để xử lý các vấn đề về thuế, nhưng vẫn cần cải thiện trong thực tế.</t>
  </si>
  <si>
    <t>Việc giảm số bậc thuế từ 7 xuống 5 đã làm cho quy trình đơn giản hơn, nhưng thủ tục khai báo thuế vẫn còn phức tạp đối với người dân không chuyên về thuế.</t>
  </si>
  <si>
    <t>Số bậc thuế và mức giảm trừ gia cảnh mới có thể giúp tính toán dễ dàng hơn so với trước đây. Tuy nhiên, tôi vẫn thấy quy trình làm việc với cơ quan thuế còn cần cải thiện.</t>
  </si>
  <si>
    <t>Tôi tin rằng Nhà nước sẽ thực thi chính sách một cách công bằng đối với mọi người nộp thuế, nhưng vẫn có sự nghi ngờ về việc liệu giảm thuế có chỉ lợi cho một số người nhất định hay không.</t>
  </si>
  <si>
    <t>Thuế mới phù hợp hơn với thu nhập của tôi và gia đình. Tuy nhiên, mức thuế này có thể còn cao đối với những người có thu nhập thấp hơn.</t>
  </si>
  <si>
    <t>Tôi tin rằng số tiền thuế đóng sẽ được sử dụng hiệu quả để cải thiện dịch vụ công, nhưng vẫn cần giám sát kỹ lưỡng hơn về cách sử dụng nguồn lực này.</t>
  </si>
  <si>
    <t>Nhà nước đã giải thích rõ ràng về mục tiêu của việc sửa đổi thuế, nhưng tôi hy vọng sẽ có thêm thông tin chi tiết về hiệu quả cụ thể từ chính sách mới.</t>
  </si>
  <si>
    <t>Dù thấy lợi ích từ các cải cách, nhưng vẫn cần thời gian để quen với quy định mới và đánh giá hiệu quả thực tế của nó.</t>
  </si>
  <si>
    <t>Việc cải cách thuế TNCN có thể giảm động cơ gian lận nhưng không hoàn toàn đảm bảo phát hiện và xử lý hiệu quả.</t>
  </si>
  <si>
    <t>Cơ quan thuế với công nghệ hiện đại hơn nên có khả năng phát hiện gian lận tốt hơn, song vẫn cần cải thiện.</t>
  </si>
  <si>
    <t>Quy trình khai báo thuế và làm việc với cơ quan thuế đơn giản hơn nhưng vẫn chưa tối ưu.</t>
  </si>
  <si>
    <t>Phương án mới đơn giản hóa tính thuế, giảm số bậc nhưng cần thêm thời gian để mọi người hiểu và áp dụng.</t>
  </si>
  <si>
    <t>Tôi tin Nhà nước sẽ thực thi chính sách công tâm, song vẫn có nghi ngờ về mức độ thực hiện.</t>
  </si>
  <si>
    <t>Thuế mới giảm gánh nặng cho tôi, tôi thấy mức thuế này là hợp lý với thu nhập của mình.</t>
  </si>
  <si>
    <t>Tôi tin số tiền thuế đóng sẽ được sử dụng hiệu quả để cải thiện dịch vụ công</t>
  </si>
  <si>
    <t>Nhà nước đã giải thích rõ về mục tiêu của việc cải cách thuế, nhưng cần thêm thông tin chi tiết.</t>
  </si>
  <si>
    <t>Chính sách mới có lợi cho tôi về mặt tài chính và giảm gánh nặng, do đó tôi ủng hộ.</t>
  </si>
  <si>
    <t>Dựa trên thông tin, cơ quan thuế có quy định quản lý nghiêm minh và công nghệ hiện đại giúp phát hiện trốn thuế.</t>
  </si>
  <si>
    <t>Nhà nước đã đầu tư vào hệ thống công nghệ thông tin để nâng cao hiệu quả quản lý, đảm bảo các hành vi trốn thuế bị phát hiện và xử lý.</t>
  </si>
  <si>
    <t>Quy trình khai báo thuế đơn giản hơn với mức giảm trừ gia cảnh tăng và số bậc thuế được rút gọn, tạo thuận lợi cho người dân.</t>
  </si>
  <si>
    <t>Biểu thuế mới có ít bậc và dễ hiểu, giúp tính toán thuế đơn giản hơn so với trước đây.</t>
  </si>
  <si>
    <t>Việc sửa đổi luật thuế nhằm công bằng trong việc phân bổ gánh nặng thuế cho người dân.</t>
  </si>
  <si>
    <t>Những mức thuế mới được thiết kế phù hợp với thu nhập của bản thân, thể hiện tính công bằng.</t>
  </si>
  <si>
    <t>Thuế đóng góp vào việc cải thiện các dịch vụ công và phát triển cơ sở hạ tầng, tạo niềm tin đối với người dân.</t>
  </si>
  <si>
    <t>Đã có nhiều giải thích từ chính phủ về mục đích sửa đổi thuế, làm tăng sự minh bạch và trách nhiệm.</t>
  </si>
  <si>
    <t>Tôi ủng hộ và tuân thủ chính sách mới vì nó tạo ra sự công bằng trong việc phân bổ gánh nặng thuế và đơn giản hóa quy trình khai báo.</t>
  </si>
  <si>
    <t>Quy trình khai báo thuế và tương tác với cơ quan thuế trở nên đơn giản hơn sau cải cách.</t>
  </si>
  <si>
    <t>Số bậc thuế giảm từ 7 xuống 5, dễ hiểu và thực hiện hơn so với trước đây.</t>
  </si>
  <si>
    <t>Nhiều cải tiến về mức giảm trừ gia cảnh, công bằng cho người nộp thuế.</t>
  </si>
  <si>
    <t>Thuế mới phù hợp với thu nhập trung bình của tôi, cảm thấy công bằng.</t>
  </si>
  <si>
    <t>Tài chính được sử dụng hiệu quả để cải thiện dịch vụ công, tạo niềm tin.</t>
  </si>
  <si>
    <t>Nhà nước đã giải thích rõ ràng về mục tiêu và lý do của việc sửa đổi thuế.</t>
  </si>
  <si>
    <t>Sau khi xem xét, tôi ủng hộ chính sách mới vì nó mang lại nhiều lợi ích cho người dân.</t>
  </si>
  <si>
    <t>Dù quy định quản lý thuế hiện nay có thể không hoàn hảo, nhưng với mức giảm trừ gia cảnh cao hơn và số bậc thuế đơn giản hóa, hành vi gian lận hoặc trốn thuế sẽ khó khăn hơn để thực hiện. Điều này tăng khả năng phát hiện và xử lý</t>
  </si>
  <si>
    <t>Nhà nước và cơ quan thuế có đội ngũ chuyên nghiệp và công nghệ hiện đại, họ sẽ có đủ khả năng phát hiện các hành vi trốn thuế. Đồng thời, việc đơn giản hóa quy trình cũng giúp giảm rủi ro gian lận</t>
  </si>
  <si>
    <t>Quy trình khai báo và làm việc với cơ quan thuế trở nên dễ dàng hơn do số bậc thuế và mức giảm trừ gia cảnh đơn giản hóa. Điều này giúp thuận tiện cho người dân</t>
  </si>
  <si>
    <t>Công thức tính thuế mới rõ ràng, dễ hiểu và áp dụng đơn giản hơn so với trước đây, làm tăng độ thuận tiện cho người nộp thuế</t>
  </si>
  <si>
    <t>Tôi tin tưởng Nhà nước sẽ thực thi chính sách công bằng đối với mọi người dân. Mức thuế mới này phù hợp với thu nhập của tôi và đảm bảo tính công bằng</t>
  </si>
  <si>
    <t>Thuế mới được đơn giản hóa và công bằng hơn so với trước đây, phù hợp với mức thu nhập của tôi và người dân cùng trình độ học vấn. Mức thuế này là công bằng đối với thu nhập hiện tại</t>
  </si>
  <si>
    <t>Tiền thuế đóng góp sẽ được sử dụng hiệu quả cho các dịch vụ công, cải thiện cơ sở hạ tầng và y tế, giúp nâng cao chất lượng cuộc sống. Điều này tạo niềm tin vào việc sử dụng nguồn lực một cách minh bạch</t>
  </si>
  <si>
    <t>Nhà nước đã giải thích rõ ràng về mục tiêu và lý do sửa đổi thuế, tôi thấy quyết định này là cần thiết để cải thiện hệ thống thuế. Việc này tăng tính minh bạch và công bằng</t>
  </si>
  <si>
    <t>Trong tổng thể, chính sách mới mang lại lợi ích về mặt tài chính và thuận tiện cho người dân như tôi. Tôi ủng hộ việc thực thi chính sách mới này</t>
  </si>
  <si>
    <t>Việc tăng mức giảm trừ gia cảnh và đơn giản hóa biểu thuế có thể làm giảm động lực để gian lận hoặc trốn thuế, nhưng vẫn cần sự giám sát chặt chẽ từ cơ quan thuế.</t>
  </si>
  <si>
    <t>Nhà nước đã đầu tư công nghệ và nguồn lực vào việc quản lý thuế, nên khả năng phát hiện gian lận là cao. Tuy nhiên, sự tuân thủ của người dân cũng quan trọng không kém.</t>
  </si>
  <si>
    <t>Quy trình khai báo và làm việc với cơ quan thuế đã trở nên đơn giản hơn, nhưng vẫn cần thời gian để mọi người quen thuộc với hệ thống mới.</t>
  </si>
  <si>
    <t>Biểu thuế mới rõ ràng và dễ hiểu hơn so với trước đây. Việc giảm số bậc thuế giúp tính toán thuế trở nên đơn giản hơn.</t>
  </si>
  <si>
    <t>Tôi tin rằng cơ quan thuế sẽ thực hiện chính sách một cách công tâm, nhưng vẫn cần thời gian để mọi người cảm nhận được sự công bằng.</t>
  </si>
  <si>
    <t>Thuế mới giảm đáng kể so với trước đây. Mức thuế này đối với thu nhập của tôi là hợp lý.</t>
  </si>
  <si>
    <t>Tôi tin rằng số tiền thuế đóng sẽ được sử dụng hiệu quả cho các dịch vụ công, tuy nhiên cần có báo cáo minh bạch về việc sử dụng nguồn ngân sách.</t>
  </si>
  <si>
    <t>Đã có giải thích rõ ràng về mục tiêu của chính sách mới. Tuy nhiên, tôi mong muốn có thêm thông tin chi tiết về cách sử dụng nguồn thu thuế.</t>
  </si>
  <si>
    <t>Chính sách mới giảm gánh nặng tài chính cho người dân và đơn giản hóa quy trình khai báo. Tôi sẽ ủng hộ và tuân thủ.</t>
  </si>
  <si>
    <t>Việc tăng giảm trừ gia cảnh và đơn giản hóa quy trình thuế có thể làm giảm hành vi gian lận, nhưng tôi vẫn giữ mức trung bình do không hoàn toàn tin tưởng vào khả năng phát hiện của cơ quan thuế.</t>
  </si>
  <si>
    <t>Cơ sở hạ tầng công nghệ của nhà nước ngày càng cải thiện, tuy nhiên, việc xử lý nghiêm vẫn phụ thuộc nhiều vào con người và quy trình pháp lý, do đó tôi chọn mức trung bình.</t>
  </si>
  <si>
    <t>Thủ tục khai thuế trở nên đơn giản hơn với sự giảm bớt các bậc thuế, giúp việc làm bài toán thuế dễ dàng hơn. Tuy nhiên, vẫn cần thời gian để mọi người quen với quy trình mới.</t>
  </si>
  <si>
    <t>Đơn giản hóa biểu thuế từ 7 bậc xuống 5 bậc làm cho quá trình tính thuế trở nên dễ hiểu và thực hiện nhanh chóng hơn, nâng điểm số lên mức cao.</t>
  </si>
  <si>
    <t>Tôi tin rằng Nhà nước sẽ công bằng trong việc thực thi chính sách mới, tuy nhiên vẫn có một phần nghi ngờ do lịch sử về quản lý thuế trước đây.</t>
  </si>
  <si>
    <t>Do mức thuế giảm đáng kể và quy định rõ ràng hơn, tôi thấy mình đóng góp công bằng với thu nhập hiện tại của bản thân.</t>
  </si>
  <si>
    <t>Việc sử dụng tiền thuế để cải thiện hạ tầng và dịch vụ công là điều hợp lý, tuy nhiên hiệu quả cụ thể còn phụ thuộc vào quản trị nhà nước.</t>
  </si>
  <si>
    <t>Nhà nước đã giải thích rõ ràng về mục tiêu của việc sửa đổi thuế, nhưng tôi vẫn muốn có thêm thông tin chi tiết hơn về cách sử dụng nguồn thu.</t>
  </si>
  <si>
    <t>Do mức giảm trừ gia cảnh tăng và quy định thuế đơn giản hơn, tôi sẽ ủng hộ và tuân thủ chính sách mới. Tuy nhiên, cần thời gian để quen với các thay đổi này.</t>
  </si>
  <si>
    <t>Dù quy định quản lý thuế hiện nay có thể phát hiện gian lận, nhưng tôi cho rằng sự giám sát và xử phạt chưa đủ mạnh. Tuy nhiên, với cải cách mới, mức thuế giảm rõ rệt nên niềm tin vào tính công bằng tăng lên.</t>
  </si>
  <si>
    <t>Cơ quan thuế có khả năng phát hiện gian lận cao hơn nhờ hệ thống điện tử. Mức thuế giảm mạnh tạo niềm tin.</t>
  </si>
  <si>
    <t>Quy trình khai báo và làm việc với cơ quan thuế đơn giản hóa, thuận tiện hơn so với trước đây. Đây là lợi ích trực tiếp từ cải cách.</t>
  </si>
  <si>
    <t>Biểu thuế mới đơn giản, dễ hiểu hơn so với trước đây. Mức giảm trừ gia cảnh tăng rõ rệt, mang lại tính công bằng cho người nộp thuế</t>
  </si>
  <si>
    <t>Nhà nước và cơ quan thuế sẽ xử lý một cách khách quan, công tâm sau khi cải cách. Mức thuế mới hợp lý đối với thu nhập của tôi.</t>
  </si>
  <si>
    <t>Mức thuế giảm rõ rệt cho thu nhập của tôi. Mức thuế mới công bằng hơn so với trước đây</t>
  </si>
  <si>
    <t>Thuế của tôi sẽ được sử dụng hiệu quả để cải thiện dịch vụ công, tạo niềm tin vào cách chi tiêu tài chính nhà nước.</t>
  </si>
  <si>
    <t>Nhà nước đã giải thích rõ ràng về mục tiêu và lý do sửa đổi thuế, tăng tính minh bạch</t>
  </si>
  <si>
    <t>Sau khi xem xét các quyền lợi mới, tôi ủng hộ chính sách mới vì nó mang lại nhiều lợi ích. Mức thuế giảm rõ rệt tạo niềm tin.</t>
  </si>
  <si>
    <t>Với mức giảm trừ gia cảnh tăng lên, việc phát hiện gian lận có thể khó khăn hơn. Tuy nhiên, với các công nghệ tiên tiến, khả năng xử lý nghiêm vẫn cao.</t>
  </si>
  <si>
    <t>Nhà nước và cơ quan thuế có đủ nguồn lực để phát hiện và xử lý gian lận, nhờ đó hành vi trốn thuế sẽ bị hạn chế.</t>
  </si>
  <si>
    <t>Quy trình khai báo thuế trở nên đơn giản hơn với giảm trừ gia cảnh rõ ràng. Tuy nhiên, việc phải tính toán mức thu nhập và bậc thuế vẫn phức tạp đối với một số người.</t>
  </si>
  <si>
    <t>Biểu thuế mới đơn giản hóa các bậc thuế, giúp quá trình tính thuế dễ dàng hơn và minh bạch hơn so với trước đây.</t>
  </si>
  <si>
    <t>Việc Nhà nước cải cách thuế một cách công khai và giải thích rõ ràng tạo niềm tin rằng chính sách mới sẽ được thực thi công bằng.</t>
  </si>
  <si>
    <t>Mức giảm trừ gia cảnh cao hơn, cộng với việc thuế suất thấp hơn cho thu nhập trung bình, tạo cảm giác mức thuế đóng là hợp lý.</t>
  </si>
  <si>
    <t>Thuế đóng góp vào việc cải thiện các dịch vụ công, từ đó mang lại lợi ích trực tiếp cho người dân như y tế và giao thông.</t>
  </si>
  <si>
    <t>Nhà nước đã giải thích rõ ràng về mục tiêu của chính sách mới, tăng sự minh bạch và tin tưởng vào việc quản lý thuế.</t>
  </si>
  <si>
    <t>Chính sách mới mang lại lợi ích tài chính cho tôi, do đó tôi ủng hộ và tuân thủ.</t>
  </si>
  <si>
    <t>Hiện nay, cơ quan thuế đã có nhiều công cụ để phát hiện hành vi gian lận, tuy nhiên vẫn cần thêm sự giám sát chặt chẽ và xử lý nghiêm minh.</t>
  </si>
  <si>
    <t>Nhà nước và cơ quan thuế đang đầu tư vào công nghệ để cải thiện khả năng phát hiện và xử lý gian lận, nhưng vẫn chưa hoàn hảo.</t>
  </si>
  <si>
    <t>Thủ tục khai báo và làm việc với cơ quan thuế đã đơn giản hơn so với trước đây, thuận tiện cho người dân.</t>
  </si>
  <si>
    <t>Phương án mới về thuế có ít bậc và dễ hiểu hơn, giúp tôi dễ dàng tính toán và nộp thuế.</t>
  </si>
  <si>
    <t>Tôi tin rằng Nhà nước sẽ thực thi chính sách một cách công bằng, nhưng vẫn cần thêm các biện pháp giám sát để đảm bảo.</t>
  </si>
  <si>
    <t>Thuế theo phương án mới khá hợp lý cho thu nhập của tôi, tôi thấy mình đóng góp đúng mức với tài chính cá nhân.</t>
  </si>
  <si>
    <t>Tôi tin rằng số thuế đóng sẽ được sử dụng hiệu quả để cải thiện chất lượng dịch vụ công</t>
  </si>
  <si>
    <t>Nhà nước đã giải thích rõ ràng về mục tiêu của chính sách mới, giúp tôi hiểu hơn về lý do thay đổi.</t>
  </si>
  <si>
    <t>Tôi ủng hộ và tuân thủ chính sách mới vì nó mang lại nhiều lợi ích cho tôi</t>
  </si>
  <si>
    <t>So với trước đây, quy trình khai báo thuế và làm việc với cơ quan thuế trở nên đơn giản hơn rất nhiều. Tôi không còn phải điền các biểu mẫu phức tạp nữa mà thay vào đó là hệ thống điện tử thuận tiện.</t>
  </si>
  <si>
    <t>Thương vụ mới đơn giản hóa biểu thuế và giảm số bậc, từ đó dễ dàng tính toán hơn. Điều này giúp tôi nắm bắt được các quy định một cách nhanh chóng và chính xác hơn.</t>
  </si>
  <si>
    <t>Tôi tin rằng Nhà nước sẽ thực thi chính sách một cách công bằng, đảm bảo mọi người nộp thuế đều được đối xử bình đẳng. Việc tăng giảm trừ gia cảnh cũng như đơn giản hóa biểu thuế thể hiện sự minh bạch.</t>
  </si>
  <si>
    <t>Sau khi tính toán tác động tài chính, tôi thấy mức thuế mới là hợp lý với thu nhập của mình. Việc tăng giảm trừ gia cảnh cũng giúp tiết kiệm được một khoản đáng kể.</t>
  </si>
  <si>
    <t>Nhà nước đã đầu tư vào nhiều dự án công cộng như y tế, giáo dục và hạ tầng giao thông. Tôi tin rằng số tiền thuế đóng góp sẽ được sử dụng hiệu quả để cải thiện chất lượng cuộc sống của người dân.</t>
  </si>
  <si>
    <t>Nhà nước đã có những giải thích rõ ràng về mục tiêu và lý do sửa đổi luật thuế. Điều này giúp tôi hiểu rõ hơn về cách thức thực hiện chính sách mới.</t>
  </si>
  <si>
    <t>Dựa trên các lợi ích mà chính sách mang lại, tôi ủng hộ và sẽ tuân thủ chính sách mới. Việc đơn giản hóa quy trình làm việc với cơ quan thuế cũng như giảm gánh nặng về mặt tài chính khiến tôi cảm thấy hài lòng.</t>
  </si>
  <si>
    <t>Hiện nay, các quy định quản lý thuế có nhiều cải tiến nhưng vẫn chưa hoàn hảo. Cơ quan thuế có công nghệ phát hiện gian lận, nhưng hành vi trốn thuế vẫn còn tồn tại.</t>
  </si>
  <si>
    <t>Nhà nước đã đầu tư vào công nghệ và nhân lực để cải thiện khả năng quản lý thuế, tuy nhiên, việc phát hiện và xử lý gian lận chưa hoàn toàn triệt để.</t>
  </si>
  <si>
    <t>Thủ tục khai báo thuế đơn giản hơn với mức giảm trừ gia cảnh cao hơn, nhưng vẫn còn một số bước cần cải thiện.</t>
  </si>
  <si>
    <t>Phương án mới có ít bậc thuế và dễ tính toán hơn so với trước đây, giúp việc thực hiện đơn giản hóa nhiều.</t>
  </si>
  <si>
    <t>Tôi tin rằng cơ quan thuế sẽ công bằng trong việc áp dụng chính sách nhưng vẫn cần thêm thời gian để chứng minh</t>
  </si>
  <si>
    <t>Mức thuế mới giảm đáng kể, giúp tôi tiết kiệm tiền và cảm thấy hợp lý hơn so với trước đây.</t>
  </si>
  <si>
    <t>Nhà nước đã sử dụng số tiền thuế này để đầu tư vào nhiều lĩnh vực công cộng, nhưng hiệu quả cụ thể chưa rõ ràng</t>
  </si>
  <si>
    <t>Cơ quan thuế đã giải thích rõ về mục tiêu của chính sách mới và tôi ủng hộ điều đó.</t>
  </si>
  <si>
    <t>Tác động tài chính tích cực làm tăng sự ủng hộ đối với chính sách mới, đồng thời thủ tục đơn giản hóa cũng giúp việc tuân thủ dễ dàng hơn</t>
  </si>
  <si>
    <t>Dù thuế đã giảm đáng kể, nhưng với việc các quy định quản lý thuế hiện nay chưa rõ ràng và thiếu công khai, tôi vẫn lo ngại về khả năng phát hiện hành vi gian lận hoặc trốn thuế.</t>
  </si>
  <si>
    <t>Nhà nước có nhiều nguồn lực để xử lý các vấn đề về thuế, nhưng việc thực thi và công khai thông tin còn hạn chế, nên khả năng phát hiện vi phạm chưa hoàn toàn chắc chắn.</t>
  </si>
  <si>
    <t>Thủ tục khai báo thuế đã đơn giản hơn nhiều so với trước đây, giảm thời gian chờ đợi và số lần phải liên lạc với cơ quan thuế. Điều này giúp tôi tiết kiệm thời gian và năng lượng.</t>
  </si>
  <si>
    <t>Cách tính thuế mới đã đơn giản hóa nhiều so với trước, giảm độ phức tạp và dễ thực hiện hơn. Đây là điểm tích cực đối với người dân như chúng tôi.</t>
  </si>
  <si>
    <t>Tôi tin rằng Nhà nước sẽ thực thi chính sách một cách công tâm, nhưng cần thêm các biện pháp tăng cường minh bạch và công khai để nâng cao niềm tin hơn nữa.</t>
  </si>
  <si>
    <t>Mức thuế mới đối với thu nhập của tôi là hợp lý. Thuế đã giảm đáng kể, nhưng vẫn đủ để hỗ trợ các dịch vụ công cần thiết.</t>
  </si>
  <si>
    <t>Tôi tin rằng số tiền thuế đóng sẽ được sử dụng hiệu quả cho cải thiện hạ tầng và dịch vụ công, nhưng cần thêm thông tin cụ thể về cách phân bổ nguồn lực này.</t>
  </si>
  <si>
    <t>Nhà nước đã giải thích khá rõ về mục tiêu của việc sửa đổi thuế, nhưng cần thêm chi tiết về quy trình thực thi và kiểm soát để tăng cường sự tin tưởng.</t>
  </si>
  <si>
    <t>Tôi ủng hộ chính sách mới vì nó giúp tôi giảm gánh nặng tài chính và thủ tục đơn giản hơn. Tuy nhiên, cần thêm minh bạch về cách sử dụng nguồn thu thuế để tăng cường sự tin tưởng.</t>
  </si>
  <si>
    <t>Thuế hiện nay có nhiều quy định phức tạp, việc phát hiện hành vi gian lận hay trốn thuế không phải lúc nào cũng dễ dàng.</t>
  </si>
  <si>
    <t>Nhà nước và cơ quan thuế đã đầu tư công nghệ hiện đại hơn để quản lý thuế, nhưng vẫn cần cải thiện nhiều.</t>
  </si>
  <si>
    <t>Quy trình khai báo thuế và làm việc với cơ quan thuế đơn giản hơn so với trước đây, thủ tục thuận tiện hơn.</t>
  </si>
  <si>
    <t>Biểu thuế mới có ít bậc hơn, dễ tính toán và thực hiện hơn so với biểu cũ.</t>
  </si>
  <si>
    <t>Tôi tin rằng Nhà nước sẽ công tâm trong việc thực thi chính sách, nhưng vẫn cần giám sát chặt chẽ.</t>
  </si>
  <si>
    <t>Thuế mới giảm đáng kể so với trước đây, tôi thấy điều này là công bằng và hợp lý đối với thu nhập của mình.</t>
  </si>
  <si>
    <t>Tài chính thuế được sử dụng để cải thiện dịch vụ công, nhưng hiệu quả cụ thể còn phụ thuộc vào quản lý.</t>
  </si>
  <si>
    <t>Nhà nước đã giải thích rõ ràng về mục tiêu và lý do sửa đổi chính sách thuế, tôi cảm thấy minh bạch hơn.</t>
  </si>
  <si>
    <t>Sau khi xem xét các quyền lợi và nghĩa vụ, tôi ủng hộ và sẽ tuân thủ chính sách mới vì nó mang lại lợi ích cho tôi.</t>
  </si>
  <si>
    <t>Dù cơ quan thuế có khả năng phát hiện hành vi gian lận, nhưng do thu nhập của tôi không cao và chỉ giảm trừ gia cảnh nên khả năng bị phát hiện là thấp. Tuy nhiên, việc quản lý thuế cần được cải thiện.</t>
  </si>
  <si>
    <t>Nhà nước có công nghệ để kiểm soát thuế, nhưng hiệu quả thực thi còn phụ thuộc vào hệ thống quản lý và quy định cụ thể của cơ quan thuế.</t>
  </si>
  <si>
    <t>Khai báo thuế dễ dàng hơn với mức giảm trừ gia cảnh cao hơn, thủ tục đơn giản hóa cũng giúp việc làm việc với cơ quan thuế thuận tiện hơn.</t>
  </si>
  <si>
    <t>Biểu thuế mới đơn giản hơn so với trước đây, các bậc thuế rõ ràng và dễ hiểu hơn. Điều này giúp tôi tính toán nhanh chóng.</t>
  </si>
  <si>
    <t>Tôi tin rằng cơ quan thuế sẽ thực thi công bằng, nhưng do mức thuế giảm nên có thể tăng niềm tin</t>
  </si>
  <si>
    <t>Mức thuế mới cho tôi là hợp lý, phù hợp với thu nhập của mình.</t>
  </si>
  <si>
    <t>Thuế đóng sẽ được sử dụng hiệu quả để cải thiện dịch vụ công, nhưng tôi hy vọng sự minh bạch cao hơn về cách sử dụng nguồn thuế</t>
  </si>
  <si>
    <t>Nội dung giải thích rõ ràng và dễ hiểu, giúp tôi nắm bắt được mục tiêu của chính sách mới.</t>
  </si>
  <si>
    <t>Tôi ủng hộ và tuân thủ chính sách mới vì nó đơn giản hơn, công bằng và có lợi cho người dân như tôi.</t>
  </si>
  <si>
    <t>Tôi tin rằng số tiền thuế tôi đóng sẽ được sử dụng hiệu quả để cải thiện dịch vụ công và phát triển đất nước.</t>
  </si>
  <si>
    <t>Nhà nước đã giải thích rõ ràng về lý do và mục tiêu của việc sửa đổi chính sách thuế, tạo niềm tin cho người dân.</t>
  </si>
  <si>
    <t>Sau khi xem xét các quyền lợi và nghĩa vụ, tôi ủng hộ và tuân thủ chính sách mới vì nó đơn giản hơn và công bằng hơn.</t>
  </si>
  <si>
    <t>Mặc dù luật thuế mới đã đơn giản hóa quy trình, nhưng tôi không chắc chắn về khả năng phát hiện trốn thuế của cơ quan thuế.</t>
  </si>
  <si>
    <t>Cơ quan thuế có công nghệ và nguồn lực để giám sát các giao dịch tài chính, tuy nhiên, việc thực thi cần thời gian để điều chỉnh.</t>
  </si>
  <si>
    <t>Quy trình khai thuế trở nên đơn giản hơn nhiều so với trước đây, đặc biệt là với mức giảm trừ gia cảnh cao hơn.</t>
  </si>
  <si>
    <t>Tôi tin rằng Nhà nước sẽ thực thi công bằng với mọi người nộp thuế, tuy nhiên cần thời gian để kiểm chứng.</t>
  </si>
  <si>
    <t>Thuế mới phù hợp hơn với thu nhập của tôi, giảm áp lực tài chính nên tôi cảm thấy công bằng hơn.</t>
  </si>
  <si>
    <t>Mức thuế mới giúp tiền đóng góp vào ngân sách được sử dụng hiệu quả cho các dịch vụ công</t>
  </si>
  <si>
    <t>Nhà nước đã giải thích rõ mục đích của việc cải cách, tuy nhiên cần thêm thông tin về tác động cụ thể.</t>
  </si>
  <si>
    <t>Tôi ủng hộ chính sách mới vì giảm gánh nặng tài chính và quy trình đơn giản hơn, đồng thời tin tưởng vào tính công bằng.</t>
  </si>
  <si>
    <t>Dù các quy định quản lý thuế đã được cải tiến, nhưng tôi vẫn nghi ngờ khả năng phát hiện và xử lý trốn thuế do thiếu thông tin cá nhân của người nộp thuế.</t>
  </si>
  <si>
    <t>Cơ quan thuế có công nghệ hiện đại hơn để theo dõi giao dịch tài chính, nhưng vẫn cần cải thiện khả năng phát hiện hành vi trốn thuế.</t>
  </si>
  <si>
    <t>So với trước đây, quy trình khai báo và làm việc với cơ quan thuế đơn giản hơn, nhưng vẫn còn nhiều thủ tục rườm rà.</t>
  </si>
  <si>
    <t>Biểu thuế đã được đơn giản hóa, dễ hiểu hơn, giúp tôi có thể tính toán nhanh chóng và chính xác.</t>
  </si>
  <si>
    <t>Tôi tin rằng nhà nước sẽ thực thi chính sách một cách công bằng, nhưng việc kiểm soát và giám sát vẫn cần cải thiện.</t>
  </si>
  <si>
    <t>Mức thuế mới phù hợp với thu nhập của tôi, giúp tôi tiết kiệm chi phí và cảm thấy công bằng hơn.</t>
  </si>
  <si>
    <t>Thuế đóng góp vào việc cải thiện dịch vụ công, nhưng cần có thêm thông tin về cách sử dụng số tiền thuế này để tăng niềm tin.</t>
  </si>
  <si>
    <t>Nhà nước đã giải thích rõ ràng mục tiêu và lý do của chính sách mới, nhưng vẫn còn không đủ minh bạch trong việc triển khai.</t>
  </si>
  <si>
    <t>Tôi ủng hộ chính sách mới vì nó đơn giản hơn và giúp tôi tiết kiệm được tiền thuế, đồng thời mong đợi cải thiện thêm về mặt quản lý thuế.</t>
  </si>
  <si>
    <t>Nhà nước đã đầu tư nhiều vào công nghệ và hệ thống quản lý thuế, nên việc phát hiện gian lận là khả thi. Tuy nhiên, vẫn còn một số rủi ro do nhân lực kiểm tra có thể không đủ.</t>
  </si>
  <si>
    <t>Cơ quan thuế đã và đang sử dụng công nghệ tiên tiến để phát hiện gian lận, nên khả năng xử lý nghiêm các hành vi trốn thuế cao.</t>
  </si>
  <si>
    <t>Quy trình khai báo thuế trở nên đơn giản hơn với việc giảm số bậc thuế và mức giảm trừ gia cảnh tăng lên, tạo thuận lợi cho người dân.</t>
  </si>
  <si>
    <t>Phương án mới có ít bậc thuế hơn, dễ hiểu và thực hiện nhanh chóng hơn so với trước đây. Điều này làm tăng sự tiện lợi.</t>
  </si>
  <si>
    <t>Tôi tin rằng cơ quan thuế sẽ thực thi chính sách một cách khách quan, công tâm vì mức giảm trừ gia cảnh và bậc thuế mới giúp phân bổ công bằng hơn.</t>
  </si>
  <si>
    <t>Với thu nhập của mình, tôi thấy mức thuế mới là hợp lý. Thuế suất thấp hơn trong các bậc thuế đầu tiên giúp giảm gánh nặng tài chính.</t>
  </si>
  <si>
    <t>Mức thuế tôi đóng sẽ được sử dụng hiệu quả để cải thiện dịch vụ công, điều này làm tăng niềm tin về việc đóng góp của mình.</t>
  </si>
  <si>
    <t>Nhà nước đã giải thích rõ ràng về mục tiêu và lý do sửa đổi thuế. Tuy nhiên, vẫn có thể cần thêm thông tin chi tiết hơn.</t>
  </si>
  <si>
    <t>Tôi ủng hộ chính sách mới vì nó giúp giảm gánh nặng tài chính và đơn giản hóa quy trình khai báo thuế. Tôi sẽ tuân thủ.</t>
  </si>
  <si>
    <t>Thủ tục khai báo thuế và làm việc với cơ quan thuế đã đơn giản hơn so với trước đây, nhưng vẫn còn một số rắc rối. Tuy nhiên, cải cách này giúp quá trình trở nên dễ dàng hơn nhiều.</t>
  </si>
  <si>
    <t>Các bậc thuế và quy định mới đơn giản hóa việc tính toán và nộp thuế. Điều này làm cho tôi cảm thấy dễ hiểu và thực hiện thuận tiện hơn so với trước đây.</t>
  </si>
  <si>
    <t>Tôi tin rằng cơ quan thuế sẽ áp dụng chính sách một cách công bằng, nhưng vẫn lo ngại về khả năng thực thi trên thực tế. Các biện pháp ngăn chặn gian lận và trốn thuế cần phải được cải thiện.</t>
  </si>
  <si>
    <t>Thuế mới giảm đáng kể so với trước đây, giúp tôi tiết kiệm một số tiền lớn mỗi tháng. Điều này làm cho mức thuế trở nên công bằng hơn đối với thu nhập của tôi</t>
  </si>
  <si>
    <t>Tôi tin rằng số tiền thuế đóng sẽ được sử dụng hiệu quả để cải thiện các dịch vụ công, nhưng vẫn lo ngại về việc quản lý và sử dụng nguồn ngân sách.</t>
  </si>
  <si>
    <t>Nhà nước đã cung cấp thông tin chi tiết về lý do và mục tiêu của chính sách mới. Điều này giúp tôi hiểu rõ hơn về sự cần thiết của cải cách thuế</t>
  </si>
  <si>
    <t>Chính sách mới mang lại lợi ích tài chính và thủ tục đơn giản, điều này khiến tôi ủng hộ và tuân thủ nó. Tuy nhiên, vẫn còn lo ngại về khả năng thực thi.</t>
  </si>
  <si>
    <t>Nhà nước đã tăng cường kiểm soát và xử lý nghiêm các hành vi trốn thuế, nên tôi tin rằng gian lận sẽ bị phát hiện và xử lý.</t>
  </si>
  <si>
    <t>Cơ quan thuế có công nghệ tiên tiến để phát hiện trốn thuế, tuy nhiên cần cải thiện hơn nữa về mặt thực thi.</t>
  </si>
  <si>
    <t>Thủ tục khai báo và làm việc với cơ quan thuế trở nên đơn giản hơn, giúp tôi dễ dàng thực hiện hơn so với trước đây.</t>
  </si>
  <si>
    <t>Cách tính thuế mới đơn giản và dễ hiểu hơn, giảm bớt gánh nặng về mặt quản lý thuế cho cá nhân.</t>
  </si>
  <si>
    <t>Tôi tin Nhà nước sẽ thực thi chính sách một cách công bằng, khách quan và đối xử bình đẳng với mọi người nộp thuế.</t>
  </si>
  <si>
    <t>Thuế tôi phải đóng theo phương án mới là hợp lý vì giảm trừ gia cảnh tăng mạnh, nên mức thuế phù hợp với thu nhập của tôi.</t>
  </si>
  <si>
    <t>Tôi tin số tiền thuế tôi đóng sẽ được sử dụng hiệu quả để cải thiện dịch vụ công như y tế và giao thông.</t>
  </si>
  <si>
    <t>Nhà nước đã giải thích rõ ràng về mục tiêu của việc sửa đổi thuế, tuy nhiên cần làm rõ hơn về các quyền lợi cụ thể cho người dân.</t>
  </si>
  <si>
    <t>Chính sách mới mang lại nhiều lợi ích tài chính và tiện lợi cho tôi, nên tôi sẽ ủng hộ và tuân thủ.</t>
  </si>
  <si>
    <t>Hoàn toàn đơn giản hơn so với trước đây, thủ tục khai báo thuế và giao tiếp với cơ quan thuế dễ dàng hơn nhiều.</t>
  </si>
  <si>
    <t>Biểu thuế mới đơn giản hóa rõ ràng nên dễ hiểu và thực hiện hơn.</t>
  </si>
  <si>
    <t>Tôi tin rằng Nhà nước sẽ công bằng trong việc áp dụng chính sách, nhưng vẫn lo ngại về khả năng phát hiện trốn thuế.</t>
  </si>
  <si>
    <t>Thuế mới giảm rõ ràng nên tôi thấy mình đóng mức phù hợp với thu nhập của mình.</t>
  </si>
  <si>
    <t>Số tiền thuế giảm đáng kể, tôi tin rằng Nhà nước sẽ sử dụng chúng hiệu quả cho các dịch vụ công.</t>
  </si>
  <si>
    <t>Đã có nhiều thông tin giải thích về mục tiêu và lý do sửa đổi chính sách, nhưng vẫn cần thêm minh bạch.</t>
  </si>
  <si>
    <t>Sau khi giảm thuế và đơn giản hóa quy trình, tôi ủng hộ và sẽ tuân thủ chính sách mới.</t>
  </si>
  <si>
    <t>Thủ tục khai báo thuế nhanh chóng hơn, giảm bớt sự phiền toái cho người dân. Quy trình làm việc với cơ quan thuế cũng đơn giản hơn so với trước đây.</t>
  </si>
  <si>
    <t>Số bậc thuế giảm đi, cách tính thuế rõ ràng hơn nên dễ thực hiện và hiểu hơn</t>
  </si>
  <si>
    <t>Tôi tin Nhà nước sẽ công tâm khi áp dụng chính sách mới, nhưng vẫn có nguy cơ tiêu cực nếu không kiểm soát chặt chẽ.</t>
  </si>
  <si>
    <t>Thuế tôi phải đóng giảm đi đáng kể nên tôi thấy mức thuế mới là hợp lý</t>
  </si>
  <si>
    <t>Nhà nước đã đầu tư nhiều vào các dịch vụ công, số tiền thuế đóng góp sẽ được sử dụng hiệu quả để cải thiện</t>
  </si>
  <si>
    <t>Cơ quan thuế đã giải thích rõ ràng về mục tiêu và lý do của việc sửa đổi luật thuế lần này.</t>
  </si>
  <si>
    <t>Chính sách mới giảm gánh nặng tài chính cho tôi, nên tôi ủng hộ và tuân thủ</t>
  </si>
  <si>
    <t>Dù các quy định quản lý thuế đã được cải thiện, nhưng tôi vẫn nghi ngờ về khả năng phát hiện trốn thuế của cơ quan thuế do thiếu nhân lực và công nghệ.</t>
  </si>
  <si>
    <t>Cơ quan thuế có thể áp dụng các biện pháp kỹ thuật như AI để phát hiện gian lận, nhưng thực tế khả năng này còn hạn chế</t>
  </si>
  <si>
    <t>Quy trình khai báo và làm việc với cơ quan thuế đã đơn giản hơn so với trước đây, giúp tiết kiệm thời gian.</t>
  </si>
  <si>
    <t>Biểu thuế mới có ít bậc hơn, dễ hiểu và thực hiện thuận tiện hơn, giảm bớt sự phức tạp</t>
  </si>
  <si>
    <t>Tôi tin Nhà nước sẽ công bằng trong việc áp dụng chính sách nhưng vẫn lo ngại về khả năng thực thi một cách khách quan.</t>
  </si>
  <si>
    <t>Lưu ý đến mức thuế mới, tôi thấy mình đóng thuế hợp lý hơn so với trước đây</t>
  </si>
  <si>
    <t>Tăng giảm trừ gia cảnh và đơn giản hóa biểu thuế giúp số tiền đóng thuế được sử dụng hiệu quả hơn cho dịch vụ công</t>
  </si>
  <si>
    <t>Mặc dù có thông tin giải thích, nhưng tôi vẫn nghi ngờ về sự minh bạch trong việc phân bổ nguồn lực thuế vào các dịch vụ công</t>
  </si>
  <si>
    <t>Tác động tài chính tích cực khiến tôi ủng hộ và tuân thủ chính sách mới.</t>
  </si>
  <si>
    <t>Nhà nước đã cải thiện hệ thống quản lý thuế, tuy nhiên vẫn có khả năng trốn thuế phức tạp.</t>
  </si>
  <si>
    <t>Cơ quan thuế đã ứng dụng công nghệ hiện đại, khả năng phát hiện hành vi gian lận cao hơn trước.</t>
  </si>
  <si>
    <t>Thủ tục khai báo thuế trở nên đơn giản và tiện lợi hơn, giảm thời gian chờ đợi tại cơ quan thuế.</t>
  </si>
  <si>
    <t>Biểu thuế mới đơn giản, dễ hiểu, giúp tôi dễ dàng tính toán và không còn lo lắng về việc bị sai lệch.</t>
  </si>
  <si>
    <t>Nhà nước đã công bố rõ ràng cách thực hiện chính sách, tuy nhiên vẫn có sự đa dạng trong cách hiểu.</t>
  </si>
  <si>
    <t>Thuế mới giảm đáng kể, giúp tôi cảm thấy công bằng hơn so với trước đây.</t>
  </si>
  <si>
    <t>Tiền thuế đóng sẽ được sử dụng hiệu quả cho các dịch vụ công, tăng sự tin tưởng vào nhà nước.</t>
  </si>
  <si>
    <t>Nhà nước đã giải thích rõ ràng về mục tiêu và lý do của việc cải cách thuế lần này.</t>
  </si>
  <si>
    <t>Chính sách mới giúp tôi tiết kiệm chi phí, tăng sự ủng hộ và tuân thủ.</t>
  </si>
  <si>
    <t>Dù thuế đã đơn giản hóa, nhưng với quy mô kinh tế và số lượng người nộp thuế lớn tại Việt Nam, việc phát hiện gian lận hoặc trốn thuế vẫn còn khó khăn. Tuy nhiên, các công nghệ hiện đại có thể hỗ trợ tốt hơn trong việc quản lý.</t>
  </si>
  <si>
    <t>Nhà nước đã đầu tư vào hệ thống thông tin và công nghệ để cải thiện quản lý thuế. Điều này làm tăng khả năng phát hiện và xử lý gian lận hoặc trốn thuế, mặc dù chưa hoàn toàn chắc chắn.</t>
  </si>
  <si>
    <t>Quy trình khai báo thuế và làm việc với cơ quan thuế đã đơn giản hơn so với trước đây. Việc giảm bớt bước phức tạp giúp người dân dễ dàng thực hiện các quy định hơn.</t>
  </si>
  <si>
    <t>Biểu thuế mới có ít bậc hơn, khiến quá trình tính toán và tuân thủ luật lệ trở nên dễ dàng hơn. Việc này góp phần tăng niềm tin vào hệ thống thuế.</t>
  </si>
  <si>
    <t>Tôi tin rằng Nhà nước sẽ thực thi chính sách một cách công bằng, nhưng sự phức tạp của thuế cũ có thể làm giảm niềm tin ban đầu. Sự đơn giản hóa mới giúp cải thiện điều này.</t>
  </si>
  <si>
    <t>Thuế mới được tính dựa trên thu nhập thực tế và có ít bậc hơn, nên tôi thấy là công bằng. Mức thuế hiện tại phù hợp với thu nhập của mình</t>
  </si>
  <si>
    <t>Việc cải cách thuế nhằm mục đích nâng cao chất lượng cuộc sống thông qua các dịch vụ công tốt hơn. Tôi tin rằng số tiền tôi đóng sẽ được sử dụng hiệu quả.</t>
  </si>
  <si>
    <t>Nhà nước đã giải thích rõ ràng về lý do và mục tiêu cải cách thuế, tạo ra sự minh bạch và tin cậy hơn cho người dân.</t>
  </si>
  <si>
    <t>Tôi ủng hộ chính sách mới vì nó đơn giản hóa quy trình và giảm gánh nặng thuế. Đây là bước tiến tích cực đối với hệ thống thuế Việt Nam</t>
  </si>
  <si>
    <t>Dù quy định quản lý thuế hiện tại có thể phát hiện gian lận, nhưng mức giảm trừ gia cảnh cao và số bậc thuế đơn giản hơn có thể làm giảm khả năng phát hiện vấn đề sớm. Tuy nhiên, việc xử lý nghiêm vẫn được duy trì.</t>
  </si>
  <si>
    <t>Nhà nước đã cải thiện công nghệ để theo dõi nhưng mức thuế thấp hơn và số bậc đơn giản có thể làm giảm khả năng phát hiện gian lận sớm. Tuy nhiên, cơ quan thuế vẫn duy trì việc xử lý nghiêm.</t>
  </si>
  <si>
    <t>Quy trình khai báo trở nên đơn giản và tiện lợi hơn nhiều so với trước đây do giảm số bậc thuế và mức giảm trừ gia cảnh cao. Điều này làm tăng thuận tiện cho người nộp thuế.</t>
  </si>
  <si>
    <t>Cách tính thuế rõ ràng, dễ hiểu và thực hiện đơn giản hơn nhiều so với trước đây. Số bậc thuế ít đi giúp việc tính toán trở nên dễ dàng hơn.</t>
  </si>
  <si>
    <t>Tôi tin rằng Nhà nước sẽ thực thi chính sách một cách công tâm và đối xử bình đẳng với mọi người nộp thuế. Mức giảm trừ gia cảnh cao và số bậc thuế ít đi làm tăng sự công bằng.</t>
  </si>
  <si>
    <t>Mức thuế tôi phải đóng hợp lý cho thu nhập hiện tại của mình. Mức giảm trừ gia cảnh cao giúp tôi tiết kiệm được một khoản đáng kể.</t>
  </si>
  <si>
    <t>Thuế tôi đóng sẽ được sử dụng hiệu quả để cải thiện dịch vụ công, như y tế và đường xá, giúp xã hội phát triển toàn diện.</t>
  </si>
  <si>
    <t>Nhà nước đã giải thích rõ ràng về mục tiêu của việc sửa đổi thuế. Tuy nhiên, chi tiết cụ thể về cách sử dụng số tiền thuế vẫn còn chưa đủ.</t>
  </si>
  <si>
    <t>Tôi ủng hộ và sẽ tuân thủ chính sách mới vì nó công bằng hơn so với trước đây và tôi tin tưởng rằng tiền thuế đóng sẽ được sử dụng hiệu quả.</t>
  </si>
  <si>
    <t>Hiện nay, cơ quan thuế đã có nhiều biện pháp quản lý và công nghệ hỗ trợ phát hiện gian lận, nên tôi tin rằng hành vi trốn thuế sẽ khó xảy ra. Tuy nhiên, việc thực thi vẫn còn phụ thuộc vào sự phối hợp của các bên liên quan.</t>
  </si>
  <si>
    <t>Cơ quan thuế đã có nhiều cải tiến về công nghệ và quy trình quản lý, giúp phát hiện nhanh chóng hơn hành vi trốn thuế. Tuy nhiên, việc kiểm soát cần sự chung tay của cả cộng đồng.</t>
  </si>
  <si>
    <t>So với trước đây, thủ tục khai báo thuế và giao tiếp với cơ quan thuế đã đơn giản hơn, tiết kiệm thời gian và công sức. Tuy nhiên, việc áp dụng chính sách mới cần thêm thời gian để người dân hiểu rõ.</t>
  </si>
  <si>
    <t>Biểu thuế mới có ít bậc hơn, dễ hiểu và thực hiện thuận tiện hơn. Việc này giúp tôi tập trung vào công việc chính thay vì lo lắng về tính toán thuế.</t>
  </si>
  <si>
    <t>Tôi tin rằng cơ quan thuế sẽ thực thi chính sách một cách khách quan, công bằng và không phân biệt đối xử. Tuy nhiên, sự minh bạch trong quản lý thu chi vẫn cần được cải thiện.</t>
  </si>
  <si>
    <t>Mức thuế mới thấp hơn so với trước đây, tôi thấy việc đóng thuế là công bằng và hợp lý. Điều này giúp tăng niềm tin vào chính sách tài chính của nhà nước</t>
  </si>
  <si>
    <t>Tôi tin rằng số tiền thuế đóng sẽ được sử dụng hiệu quả để cải thiện dịch vụ công, tuy nhiên vẫn cần có nhiều thông tin hơn về cách sử dụng nguồn thu này.</t>
  </si>
  <si>
    <t>Nhà nước đã giải thích rõ ràng về mục tiêu của việc sửa đổi thuế. Tuy nhiên, tôi mong muốn có thêm nhiều kênh tư vấn để hiểu chính sách một cách toàn diện hơn</t>
  </si>
  <si>
    <t>Dựa trên các lợi ích từ chính sách mới và niềm tin vào việc thực thi công bằng, tôi ủng hộ và sẽ tuân thủ chính sách thuế mới. Việc này giúp cải thiện sự thuận tiện trong khai báo thuế.</t>
  </si>
  <si>
    <t>Nhà nước và cơ quan thuế có nhiều biện pháp quản lý, công nghệ hiện đại giúp phát hiện hành vi gian lận trốn thuế.</t>
  </si>
  <si>
    <t>Cơ quan thuế đã đầu tư vào hệ thống công nghệ thông tin để cải thiện khả năng giám sát và xử lý thuế.</t>
  </si>
  <si>
    <t>Quy trình khai báo thuế nhanh chóng hơn với các biểu mẫu đơn giản, thủ tục gọn gàng.</t>
  </si>
  <si>
    <t>Các bậc thuế mới rõ ràng và dễ hiểu, giảm độ phức tạp so với trước đây.</t>
  </si>
  <si>
    <t>Nếu cơ quan thuế thực thi chính sách một cách công tâm, tôi sẽ tin tưởng vào sự công bằng trong việc đánh giá thu nhập.</t>
  </si>
  <si>
    <t>Với mức giảm trừ gia cảnh tăng lên và số bậc thuế giảm, tôi cảm thấy mức thuế mới là hợp lý đối với thu nhập của mình.</t>
  </si>
  <si>
    <t>Nếu số tiền thuế đóng được sử dụng hiệu quả để cải thiện các dịch vụ công ích, tôi sẽ tin tưởng vào cách quản lý ngân sách.</t>
  </si>
  <si>
    <t>Cơ quan thuế đã giải thích rõ về mục tiêu của chính sách mới, giúp người dân hiểu được ý nghĩa và tầm quan trọng của nó.</t>
  </si>
  <si>
    <t>Tiết kiệm được tiền thuế và mức giảm trừ gia cảnh tăng lên làm tôi ủng hộ chính sách mới. Tôi sẽ tuân thủ theo các quy định.</t>
  </si>
  <si>
    <t>Hiện nay, hệ thống quản lý thuế có nhiều công nghệ hỗ trợ như phần mềm hóa, thông tin điện tử nên khả năng phát hiện trốn thuế cao.</t>
  </si>
  <si>
    <t>Cơ quan thuế đã đầu tư vào công nghệ và nhân lực để tăng cường quản lý, do đó có thể xử lý nghiêm các hành vi sai phạm.</t>
  </si>
  <si>
    <t>Quy trình khai báo đơn giản hơn với mức giảm trừ gia cảnh cao và ít bậc thuế nên thủ tục thuận tiện hơn.</t>
  </si>
  <si>
    <t>Bậc thuế ít hơn và dễ hiểu giúp tính toán nhanh chóng, không còn tình trạng bị bỡ ngỡ với hệ thống thuế phức tạp trước đây.</t>
  </si>
  <si>
    <t>Thuế giảm đáng kể nên tôi tin rằng Nhà nước sẽ thực thi công bằng và minh bạch trong việc thu ngân sách.</t>
  </si>
  <si>
    <t>Với mức thuế mới, tôi thấy mình đóng góp một cách hợp lý cho xã hội, vì thu nhập của tôi nằm ở bậc thuế thấp nhất.</t>
  </si>
  <si>
    <t>Thuế giảm và đơn giản hóa quy trình khai báo giúp số tiền đóng được sử dụng hiệu quả hơn trong các dịch vụ công.</t>
  </si>
  <si>
    <t>Nhà nước đã giải thích rõ ràng về mục tiêu cải cách, tạo niềm tin cho người dân về tính cần thiết của việc sửa đổi luật thuế này.</t>
  </si>
  <si>
    <t>Tôi ủng hộ và tuân thủ chính sách mới vì nó mang lại lợi ích tài chính và thuận tiện hơn so với trước đây.</t>
  </si>
  <si>
    <t>Nếu có đủ công nghệ và nguồn lực, cơ quan thuế sẽ phát hiện các hành vi gian lận hoặc trốn thuế một cách hiệu quả. Tuy nhiên, thực tế việc này còn phụ thuộc vào sự tận tụy của nhân viên thuế.</t>
  </si>
  <si>
    <t>Nhà nước và cơ quan thuế có nhiều nguồn lực hơn để giám sát và xử lý các hành vi trốn thuế, do đó khả năng phát hiện cao hơn trong tương lai.</t>
  </si>
  <si>
    <t>Quy trình khai báo thuế trở nên đơn giản hơn với mức giảm trừ gia cảnh cao hơn và số bậc thuế ít đi. Điều này làm cho thủ tục thuận tiện hơn.</t>
  </si>
  <si>
    <t>Cách tính thuế mới dễ hiểu và thực hiện nhanh chóng hơn, phù hợp với sự thay đổi về mức giảm trừ gia cảnh và số bậc thuế.</t>
  </si>
  <si>
    <t>Tôi tin rằng Nhà nước sẽ thực thi chính sách một cách công bằng đối với mọi người nộp thuế. Các quy định mới này giúp tôi cảm thấy công bằng hơn trong việc đóng thuế.</t>
  </si>
  <si>
    <t>Mức thuế mới phù hợp với thu nhập của tôi và các mức giảm trừ gia cảnh cao hơn, khiến tôi cảm thấy rằng mình đang đóng một phần công bằng cho xã hội.</t>
  </si>
  <si>
    <t>Những khoản thuế này sẽ được sử dụng hiệu quả để cải thiện dịch vụ công, giúp tạo ra môi trường sống tốt hơn cho cộng đồng</t>
  </si>
  <si>
    <t>Tôi hài lòng với việc Nhà nước đã giải thích rõ ràng về lý do và mục tiêu của việc sửa đổi chính sách thuế. Điều này làm tăng niềm tin vào hệ thống.</t>
  </si>
  <si>
    <t>Tôi ủng hộ và tuân thủ chính sách mới vì nó mang lại lợi ích tài chính cho tôi, đơn giản hóa quy trình khai báo thuế và đảm bảo công bằng trong việc đóng thuế.</t>
  </si>
  <si>
    <t>Thuế hiện nay được quản lý chặt chẽ, với nhiều biện pháp giám sát mạnh mẽ, việc trốn thuế khó có thể lọt qua mắt cơ quan thuế.</t>
  </si>
  <si>
    <t>Công nghệ và nguồn lực của cơ quan thuế hiện đại đã giúp họ có khả năng phát hiện và xử lý các hành vi gian lận thuế một cách hiệu quả.</t>
  </si>
  <si>
    <t>Quy trình khai báo thuế và làm việc với cơ quan thuế đơn giản hơn, giảm bớt sự phức tạp và thời gian cần thiết để hoàn thành các thủ tục.</t>
  </si>
  <si>
    <t>Biểu thuế mới có ít bậc hơn nên dễ dàng tính toán và thực hiện hơn so với trước đây.</t>
  </si>
  <si>
    <t>Tôi tin rằng Nhà nước sẽ thực thi chính sách một cách công bằng, vì mức thuế tôi phải đóng thấp hơn khiến tôi cảm thấy được đối xử công bằng hơn.</t>
  </si>
  <si>
    <t>Mức giảm trừ gia cảnh cao và số bậc thuế ít hơn làm cho việc tính thuế trở nên đơn giản hơn, phù hợp với thu nhập của tôi.</t>
  </si>
  <si>
    <t>Thuế được sử dụng để cải thiện các dịch vụ công như y tế và đường xá, điều này khiến tôi tin tưởng vào hiệu quả sử dụng ngân sách thuế.</t>
  </si>
  <si>
    <t>Nhà nước đã giải thích rõ ràng về mục tiêu của việc sửa đổi chính sách thuế lần này, giúp người dân hiểu được lý do và sự cần thiết.</t>
  </si>
  <si>
    <t>Tôi ủng hộ và tuân thủ chính sách mới vì nó mang lại lợi ích tài chính cho tôi và giảm bớt rắc rối trong việc khai báo thuế.</t>
  </si>
  <si>
    <t>Cơ quan thuế có thể phát hiện hành vi gian lận, nhưng không chắc chắn 100%.</t>
  </si>
  <si>
    <t>Nhà nước và cơ quan thuế đã tăng cường công nghệ để giám sát hiệu quả hơn so với trước đây.</t>
  </si>
  <si>
    <t>Quy trình khai báo thuế đơn giản hơn, thời gian chờ đợi khi làm việc trực tiếp với cơ quan thuế ngắn gọn hơn.</t>
  </si>
  <si>
    <t>Biểu thuế mới có ít bậc hơn và dễ hiểu hơn so với trước đây.</t>
  </si>
  <si>
    <t>Tôi tin rằng cơ quan thuế sẽ thực thi chính sách công bằng, nhưng vẫn tồn tại một số lo ngại về sự công bằng trong việc áp dụng.</t>
  </si>
  <si>
    <t>Mức giảm trừ gia cảnh cao hơn và ít bậc thuế khiến tôi cảm thấy mình đóng mức thuế hợp lý.</t>
  </si>
  <si>
    <t>Thuế tiết kiệm được sẽ được sử dụng để cải thiện dịch vụ công, tôi tin rằng điều này có lợi cho cộng đồng.</t>
  </si>
  <si>
    <t>Nhà nước đã giải thích rõ ràng về mục tiêu của việc sửa đổi thuế, nhưng vẫn cần thêm thông tin về cách sử dụng số tiền thuế.</t>
  </si>
  <si>
    <t>Tôi ủng hộ chính sách mới vì nó có lợi cho tôi và cộng đồng, giảm gánh nặng thuế cũng như cải thiện quy trình nộp thuế.</t>
  </si>
  <si>
    <t>Các quy định quản lý thuế hiện nay khá chặt chẽ và có nhiều biện pháp phát hiện trốn thuế, nhưng vẫn cần cải thiện.</t>
  </si>
  <si>
    <t>Nhà nước đã đầu tư công nghệ để xử lý dữ liệu thuế, giúp tăng cường khả năng phát hiện các hành vi trốn thuế.</t>
  </si>
  <si>
    <t>So với trước đây, quy trình khai báo thuế đơn giản hơn và có nhiều phương án nộp thuế linh hoạt hơn.</t>
  </si>
  <si>
    <t>Biểu thuế mới đơn giản hóa bậc thuế, giúp việc tính toán thuế dễ dàng hơn, phù hợp với người dân thường.</t>
  </si>
  <si>
    <t>Tôi tin rằng Nhà nước sẽ thực thi chính sách một cách công bằng và khách quan, dù vẫn có những lo ngại về sự công bằng của từng trường hợp cụ thể.</t>
  </si>
  <si>
    <t>Mức thuế mới giảm đáng kể so với trước đây, khiến tôi cảm thấy hài lòng hơn về sự công bằng của hệ thống thuế hiện tại.</t>
  </si>
  <si>
    <t>Tôi tin rằng số tiền thuế đóng sẽ được sử dụng hiệu quả để cải thiện hạ tầng và dịch vụ công, nhưng vẫn cần thêm minh bạch về cách sử dụng nguồn thu.</t>
  </si>
  <si>
    <t>Nhà nước đã giải thích khá rõ ràng về lý do và mục tiêu của việc sửa đổi thuế, giúp tôi hiểu hơn về quy định mới.</t>
  </si>
  <si>
    <t>Tôi ủng hộ chính sách mới vì nó đơn giản hóa quy trình, giảm gánh nặng tài chính cho người dân, và có nhiều quyền lợi rõ ràng.</t>
  </si>
  <si>
    <t>Dù có công nghệ hỗ trợ, nhưng việc phát hiện hành vi trốn thuế phụ thuộc nhiều vào quản lý và nhân lực. Việc giảm trừ gia cảnh tăng lên cũng làm giảm cơ hội phát hiện gian lận.</t>
  </si>
  <si>
    <t>Nhà nước đã đầu tư công nghệ, nhưng hiệu quả thực tế còn phụ thuộc vào nhiều yếu tố quản lý và nguồn lực con người.</t>
  </si>
  <si>
    <t>Quy trình khai thuế đơn giản hơn, thủ tục cũng dễ dàng hơn so với trước đây.</t>
  </si>
  <si>
    <t>Bậc thuế giảm từ 7 xuống còn 5 bậc, việc tính toán và thực hiện thuế trở nên dễ dàng hơn.</t>
  </si>
  <si>
    <t>Việc tăng mức giảm trừ gia cảnh và đơn giản hóa biểu thuế có thể tạo ra cảm giác công bằng trong quá trình đánh giá thu nhập.</t>
  </si>
  <si>
    <t>Nhìn chung, mức thuế mới phù hợp với thu nhập của tôi, tạo cảm giác công bằng so với trước đây.</t>
  </si>
  <si>
    <t>Với việc giảm trừ gia cảnh tăng lên và đơn giản hóa quy trình, tôi tin rằng số tiền thuế đóng sẽ được sử dụng hiệu quả hơn.</t>
  </si>
  <si>
    <t>Việc giải thích về mục tiêu của chính sách mới là rõ ràng, nhưng mức độ minh bạch vẫn còn hạn chế.</t>
  </si>
  <si>
    <t>Tác động tài chính tích cực và quy trình đơn giản hơn tạo cảm giác ủng hộ chính sách mới.</t>
  </si>
  <si>
    <t>Tôi tin rằng cơ quan thuế sẽ công bằng trong việc áp dụng chính sách, nhưng sự minh bạch của quy trình xử phạt gian lận vẫn cần được cải thiện.</t>
  </si>
  <si>
    <t>Mức thuế mới giảm so với trước đây, làm tăng cảm giác công bằng cho người nộp thuế như tôi.</t>
  </si>
  <si>
    <t>Thuế đóng góp vào cải thiện dịch vụ công, nhưng hiệu quả sử dụng nguồn lực vẫn phụ thuộc vào quản lý nhà nước.</t>
  </si>
  <si>
    <t>Nội dung giải thích về chính sách mới khá rõ ràng, nhưng cần thêm thông tin chi tiết về các biện pháp thực thi.</t>
  </si>
  <si>
    <t>Tôi ủng hộ và tuân thủ chính sách thuế mới vì nó giảm gánh nặng tài chính cho tôi và tăng tính công bằng trong việc đóng thuế.</t>
  </si>
  <si>
    <t>Quy trình khai báo thuế và giao tiếp với cơ quan thuế trở nên đơn giản hơn so với trước đây, khiến tôi cảm thấy thuận tiện hơn.</t>
  </si>
  <si>
    <t>Biểu thuế mới với số bậc giảm từ 7 xuống 5 tạo ra sự đơn giản hóa và dễ hiểu hơn cho người nộp thuế.</t>
  </si>
  <si>
    <t>Tôi tin rằng Nhà nước sẽ thực thi chính sách một cách công bằng, nhưng mức độ khách quan phụ thuộc vào nhiều yếu tố khác nhau.</t>
  </si>
  <si>
    <t>Mức thuế mới phù hợp với thu nhập của tôi và giảm trừ gia cảnh tăng lên giúp tôi cảm thấy mức thuế đóng là công bằng.</t>
  </si>
  <si>
    <t>Tài nguyên thuế được sử dụng để cải thiện dịch vụ công, nhưng hiệu quả sử dụng vẫn cần giám sát chặt chẽ hơn.</t>
  </si>
  <si>
    <t>Nhà nước đã giải thích về mục đích sửa đổi chính sách, nhưng tôi hy vọng có thêm thông tin về cách sử dụng nguồn thuế để tăng niềm tin.</t>
  </si>
  <si>
    <t>Tôi ủng hộ và tuân thủ chính sách mới vì nó giúp tôi tiết kiệm được một lượng tiền đáng kể và đơn giản hóa quy trình nộp thuế.</t>
  </si>
  <si>
    <t>Dù quy định quản lý thuế hiện nay không được đề cập chi tiết, nhưng việc tăng mức giảm trừ gia cảnh và đơn giản hóa biểu thuế có thể giúp phát hiện trốn thuế dễ dàng hơn.</t>
  </si>
  <si>
    <t>Nhà nước đã áp dụng công nghệ tiên tiến vào quản lý thuế, nên khả năng phát hiện trốn thuế cao hơn so với trước đây.</t>
  </si>
  <si>
    <t>So với trước đây, quy trình khai báo thuế trở nên đơn giản và dễ dàng hơn, giảm bớt thời gian chờ đợi.</t>
  </si>
  <si>
    <t>Biểu thuế mới có ít bậc hơn, làm cho việc tính toán thuế trở nên dễ hiểu và thực hiện nhanh chóng hơn.</t>
  </si>
  <si>
    <t>Nhà nước đã áp dụng công bằng trong việc tăng mức giảm trừ gia cảnh và đơn giản hóa biểu thuế, tạo cảm giác chính sách được thực thi khách quan.</t>
  </si>
  <si>
    <t>Mức thuế mới phù hợp với thu nhập của tôi, tăng thêm niềm tin về tính công bằng trong hệ thống thuế hiện nay.</t>
  </si>
  <si>
    <t>Việc cải cách thuế nhằm nâng cao chất lượng dịch vụ công, do đó số tiền thuế đóng sẽ được sử dụng hiệu quả hơn.</t>
  </si>
  <si>
    <t>Nhà nước đã giải thích rõ ràng về mục tiêu của việc sửa đổi chính sách thuế và tôi cảm thấy họ đang thực hiện một cách minh bạch.</t>
  </si>
  <si>
    <t>Tăng mức giảm trừ gia cảnh và đơn giản hóa biểu thuế tạo lợi ích cho tôi, do đó tôi ủng hộ và tuân thủ chính sách mới.</t>
  </si>
  <si>
    <t>Nhà nước đã tăng cường các biện pháp quản lý thuế và công nghệ hiện đại, nhưng vẫn có thể gặp khó khăn trong việc phát hiện trốn thuế.</t>
  </si>
  <si>
    <t>Cơ quan thuế có nhiều nguồn lực hơn để quản lý, nhưng sự hiệu quả của họ còn phụ thuộc vào việc thực thi</t>
  </si>
  <si>
    <t>Thủ tục đơn giản hơn và tiện lợi, không cần nhiều giấy tờ như trước đây.</t>
  </si>
  <si>
    <t>Biểu thuế rõ ràng hơn, dễ hiểu và thực hiện thuận tiện</t>
  </si>
  <si>
    <t>Tôi tin rằng Nhà nước sẽ công bằng trong việc áp dụng chính sách mới.</t>
  </si>
  <si>
    <t>Thuế tôi phải đóng thấp hơn, hợp lý với thu nhập hiện tại của tôi.</t>
  </si>
  <si>
    <t>Tiền thuế đóng góp vào sự phát triển hạ tầng và dịch vụ công</t>
  </si>
  <si>
    <t>Nhà nước đã giải thích rõ ràng về mục tiêu của chính sách mới.</t>
  </si>
  <si>
    <t>Tôi ủng hộ và tuân thủ vì quyền lợi tài chính tốt hơn và mức thuế hợp lý</t>
  </si>
  <si>
    <t>Thuế mới thấp hơn so với trước đây nên cảm thấy hợp lý, phù hợp với thu nhập của bản thân</t>
  </si>
  <si>
    <t>Hiểu rằng thuế sẽ được sử dụng vào mục đích công cộng nhưng không biết chi tiết cụ thể.</t>
  </si>
  <si>
    <t>Đã giải thích rõ về mục tiêu cải cách, nhưng vẫn cần thêm thông tin về hiệu quả thực tế</t>
  </si>
  <si>
    <t>Thuế giảm đáng kể và quy trình đơn giản hơn nên sẽ ủng hộ và tuân thủ chính sách mới</t>
  </si>
  <si>
    <t>Nhà nước và cơ quan thuế có nhiều biện pháp quản lý, công nghệ hiện đại nên tôi tin rằng hành vi gian lận sẽ bị phát hiện.</t>
  </si>
  <si>
    <t>Việc áp dụng các công nghệ mới trong quản lý thuế tạo điều kiện cho việc phát hiện và xử lý các hành vi trốn thuế nhanh chóng hơn.</t>
  </si>
  <si>
    <t>Quy trình khai báo thuế và làm việc với cơ quan thuế trở nên đơn giản hơn, giảm bớt rắc rối trong quá trình nộp thuế.</t>
  </si>
  <si>
    <t>Biểu thuế mới đơn giản hóa các bậc thuế và cách tính thuế, dễ dàng hơn để người dân hiểu và thực hiện.</t>
  </si>
  <si>
    <t>Mức thuế mới giảm đáng kể so với trước đây, tôi thấy điều này là hợp lý vì thu nhập của tôi không quá cao.</t>
  </si>
  <si>
    <t>Tôi tin rằng số tiền thuế đóng sẽ được sử dụng hiệu quả để cải thiện dịch vụ công như y tế và giao thông.</t>
  </si>
  <si>
    <t>Nhà nước đã giải thích rõ ràng về lý do và mục tiêu của việc sửa đổi thuế, tôi cảm thấy tin tưởng hơn.</t>
  </si>
  <si>
    <t>Chính sách mới giúp giảm gánh nặng tài chính cho tôi, đồng thời đơn giản hóa quy trình nộp thuế nên tôi ủng hộ nó.</t>
  </si>
  <si>
    <t>Dù có cơ chế phát hiện gian lận và trốn thuế, nhưng do chưa rõ ràng về mức độ xử phạt nên cảm thấy không hoàn toàn chắc chắn.</t>
  </si>
  <si>
    <t>Công nghệ hiện đại giúp phát hiện dễ dàng hơn so với trước đây, nhưng cần thêm thời gian để chứng minh hiệu quả.</t>
  </si>
  <si>
    <t>Quy trình làm việc đơn giản hơn, thủ tục khai báo thuế thuận tiện hơn nhiều so với trước đây.</t>
  </si>
  <si>
    <t>Đơn giản hóa biểu thuế và tăng mức giảm trừ giúp tính toán dễ dàng và minh bạch hơn.</t>
  </si>
  <si>
    <t>Niềm tin vào sự công bằng của Nhà nước còn hạn chế, nhưng cải cách thuế tạo ra cảm giác công bằng hơn.</t>
  </si>
  <si>
    <t>Mức thuế mới phù hợp với thu nhập hiện tại và giảm gánh nặng tài chính, cho thấy tính công bằng.</t>
  </si>
  <si>
    <t>Tiết kiệm được tiền thuế có thể sử dụng vào các dịch vụ công, tăng niềm tin vào việc đầu tư cho tương lai.</t>
  </si>
  <si>
    <t>Mặc dù giải thích về mục tiêu cải cách thuế rõ ràng, nhưng vẫn cần thêm minh bạch về chi tiêu cụ thể từ ngân sách thuế.</t>
  </si>
  <si>
    <t>Chấp nhận và ủng hộ chính sách mới vì giảm gánh nặng tài chính, tăng tính công bằng và thuận tiện hơn trong khai báo thuế.</t>
  </si>
  <si>
    <t>Dù các quy định quản lý thuế hiện nay có khả năng phát hiện gian lận, nhưng tôi vẫn lo ngại về việc thực thi pháp luật. Tuy nhiên, với mức giảm trừ gia cảnh tăng lên và số bậc thuế đơn giản hơn, tôi hy vọng hành vi trốn thuế sẽ ít xảy ra.</t>
  </si>
  <si>
    <t>Nhà nước có khả năng phát hiện và xử lý nghiêm các trường hợp gian lận thông qua công nghệ hiện đại. Điều này tạo niềm tin cho người dân về sự minh bạch trong quản lý thuế.</t>
  </si>
  <si>
    <t>So với trước đây, quy trình khai báo và làm việc với cơ quan thuế trở nên đơn giản hơn, dễ thực hiện. Tuy nhiên, vẫn cần cải thiện thêm để thuận tiện hơn nữa</t>
  </si>
  <si>
    <t>Biểu thuế mới có số bậc giảm từ 7 xuống 5, làm cho việc tính toán và áp dụng các mức thuế trở nên dễ dàng và rõ ràng hơn.</t>
  </si>
  <si>
    <t>Tôi tin rằng Nhà nước sẽ thực thi chính sách một cách công bằng. Mức giảm trừ gia cảnh tăng lên giúp tôi tiết kiệm được nhiều tiền, làm tăng sự tin tưởng vào hệ thống thuế mới.</t>
  </si>
  <si>
    <t>Với thu nhập của mình, mức thuế mới mà tôi phải đóng là hợp lý. Nó phản ánh đúng mức độ đóng góp của cá nhân vào ngân sách nhà nước.</t>
  </si>
  <si>
    <t>Tôi tin rằng số tiền thuế tôi đóng sẽ được sử dụng hiệu quả để cải thiện các dịch vụ công, như y tế và đường xá. Điều này tạo ra sự liên kết giữa việc đóng thuế và lợi ích cho cộng đồng.</t>
  </si>
  <si>
    <t>Nhà nước đã giải thích rõ ràng về lý do và mục tiêu của việc sửa đổi thuế, mặc dù có thể còn cần cải thiện thêm về mặt thông tin minh bạch.</t>
  </si>
  <si>
    <t>Dù vẫn có một số lo ngại, nhưng tôi ủng hộ chính sách mới. Điều này không chỉ giúp giảm gánh nặng tài chính cho cá nhân mà còn tạo ra sự công bằng trong việc đóng thuế.</t>
  </si>
  <si>
    <t>Hiện tại, với sự phát triển của công nghệ thông tin và hệ thống quản lý thuế hiện đại, cơ quan thuế có khả năng truy cứu dữ liệu từ nhiều nguồn khác nhau. Điều này giúp tăng cường kiểm soát và xử lý nghiêm các hành vi gian lận, trốn thuế.</t>
  </si>
  <si>
    <t>Nhà nước đã đầu tư mạnh vào công nghệ thông tin để quản lý thuế, từ đó nâng cao khả năng phát hiện và ngăn chặn hành vi trốn thuế. Tuy nhiên, vẫn cần có sự phối hợp chặt chẽ giữa các cơ quan liên quan để đảm bảo hiệu quả.</t>
  </si>
  <si>
    <t>So với trước đây, quy trình khai báo và làm việc với cơ quan thuế đã đơn giản hơn. Điều này giúp người dân tiết kiệm thời gian và công sức trong quá trình nộp thuế.</t>
  </si>
  <si>
    <t>Biểu thuế mới có ít bậc hơn, dễ hiểu và thực hiện thuận lợi hơn so với trước đây. Việc giảm số bậc thuế cũng giúp người dân tính toán nhanh chóng.</t>
  </si>
  <si>
    <t>Mức thuế mới được điều chỉnh phù hợp với thu nhập của tôi, tạo cảm giác công bằng và tin tưởng vào sự khách quan trong việc thực thi chính sách thuế.</t>
  </si>
  <si>
    <t>Những thay đổi về mức giảm trừ gia cảnh và biểu thuế mới giúp tôi tiết kiệm được một khoản tiền đáng kể, do đó cảm thấy mức thuế mới là công bằng.</t>
  </si>
  <si>
    <t>Nhà nước đã giải thích rõ ràng mục tiêu của việc điều chỉnh thuế, từ đó tạo nên niềm tin rằng số tiền thuế tôi đóng sẽ được sử dụng hiệu quả để phục vụ người dân.</t>
  </si>
  <si>
    <t>Mục đích và quy định mới về thuế đã được giải thích công khai, minh bạch, từ đó tạo niềm tin rằng Nhà nước đang thực hiện chính sách thuế một cách công bằng và khách quan.</t>
  </si>
  <si>
    <t>Sau khi xem xét các quyền lợi và nghĩa vụ, tôi ủng hộ chính sách mới vì nó giúp giảm gánh nặng về thuế cho người dân đồng thời tạo cảm giác công bằng trong việc thực thi pháp luật thuế.</t>
  </si>
  <si>
    <t>Thuế TNCN được cải cách, với nhiều biện pháp quản lý thuế mạnh mẽ hơn, tôi tin rằng hành vi gian lận hoặc trốn thuế sẽ bị phát hiện và xử lý nghiêm. Các quy định mới cũng rõ ràng hơn.</t>
  </si>
  <si>
    <t>Việc áp dụng công nghệ trong quản lý thuế đã giúp cơ quan thuế có khả năng phát hiện, xử lý các hành vi trốn thuế hiệu quả hơn so với trước đây.</t>
  </si>
  <si>
    <t>So với trước đây, quy trình khai báo thuế và làm việc với cơ quan thuế trở nên đơn giản và nhanh chóng hơn. Các bước cần thiết đã được tối ưu hóa.</t>
  </si>
  <si>
    <t>Biểu thuế mới có ít bậc hơn nhưng vẫn đảm bảo tính chính xác về mức thuế, khiến việc tính thuế dễ dàng hơn đối với người dân.</t>
  </si>
  <si>
    <t>Tôi tin rằng cơ quan thuế sẽ thực thi chính sách một cách khách quan và công bằng. Các quy định mới cũng bảo vệ quyền lợi của người dân.</t>
  </si>
  <si>
    <t>Mức thuế tôi phải đóng phù hợp với thu nhập hiện tại, thể hiện tính công bằng trong việc chia sẻ gánh nặng về thuế</t>
  </si>
  <si>
    <t>Tôi tin rằng số tiền thuế mà tôi đóng sẽ được sử dụng hiệu quả để cải thiện các dịch vụ công. Việc cải cách thuế cũng nhằm nâng cao chất lượng cuộc sống.</t>
  </si>
  <si>
    <t>Nhà nước đã giải thích rõ ràng về mục tiêu và lý do của việc sửa đổi chính sách thuế, tạo niềm tin cho người dân</t>
  </si>
  <si>
    <t>Tôi ủng hộ và tuân thủ chính sách mới vì nó mang lại lợi ích tài chính và thuận tiện hơn so với trước đây. Mức thuế mới giúp tôi tiết kiệm được một khoản tiền đáng kể.</t>
  </si>
  <si>
    <t>Nếu các quy định quản lý thuế hiện nay thực sự được tuân thủ nghiêm ngặt, tôi tin rằng hành vi gian lận hoặc trốn thuế sẽ dễ bị phát hiện và xử lý. Tuy nhiên, từ kinh nghiệm cá nhân, việc kiểm soát và xử lý thuế vẫn còn gặp nhiều vấn đề.</t>
  </si>
  <si>
    <t>Việc Nhà nước có đủ khả năng và công nghệ để phát hiện trốn thuế phụ thuộc vào hiệu quả của các cơ quan chức năng. Tuy nhiên, từ thông tin tôi biết, hệ thống quản lý thuế đang ngày càng cải tiến.</t>
  </si>
  <si>
    <t>Hệ thống khai báo thuế và quy trình làm việc với cơ quan thuế đã được đơn giản hóa so với trước đây, điều này giúp cho việc thực hiện thủ tục trở nên thuận tiện hơn.</t>
  </si>
  <si>
    <t>Số bậc thuế giảm đi và mức giảm trừ gia cảnh tăng lên làm cho quá trình tính thuế trở nên dễ hiểu và đơn giản hơn, do đó tôi thấy phương án mới này thuận lợi hơn so với trước đây.</t>
  </si>
  <si>
    <t>Tôi tin rằng Nhà nước sẽ thực thi chính sách một cách khách quan và công bằng. Việc giảm trừ gia cảnh tăng lên và số bậc thuế được đơn giản hóa giúp tôi cảm thấy mình đang đóng góp một cách công bằng.</t>
  </si>
  <si>
    <t>Theo thông tin, mức thuế tôi phải đóng phù hợp với thu nhập của tôi. Điều này cho thấy phương án mới này là công bằng đối với người dân như tôi.</t>
  </si>
  <si>
    <t>Những khoản thuế mà tôi đóng sẽ được sử dụng hiệu quả để cải thiện các dịch vụ công, từ đó góp phần nâng cao chất lượng cuộc sống của chúng tôi.</t>
  </si>
  <si>
    <t>Đã có nhiều thông tin giải thích về mục tiêu và lý do của việc sửa đổi thuế. Điều này giúp tôi hiểu rõ hơn về chính sách mới.</t>
  </si>
  <si>
    <t>Tôi ủng hộ và tuân thủ chính sách mới vì nó đã cải thiện đáng kể trong việc đơn giản hóa quy trình khai báo và giảm gánh nặng thuế. Đồng thời, mức thuế tôi phải đóng cũng hợp lý.</t>
  </si>
  <si>
    <t>Với mức giảm trừ gia cảnh tăng lên, cơ chế quản lý thuế phức tạp hơn nhưng khả năng phát hiện và xử lý gian lận vẫn cần được cải thiện.</t>
  </si>
  <si>
    <t>Nhà nước có nhiều nguồn lực và công nghệ để giám sát tình hình tài chính của cá nhân, cơ quan thuế cũng đã cải thiện đáng kể khả năng phát hiện gian lận trong thời gian gần đây.</t>
  </si>
  <si>
    <t>Quy trình khai báo và làm việc với cơ quan thuế đơn giản hơn nhiều so với trước, đặc biệt là với sự hỗ trợ trực tuyến, nhưng vẫn còn một số vấn đề cần giải quyết.</t>
  </si>
  <si>
    <t>Các bậc thuế giảm từ 7 xuống 5 và mức giảm trừ gia cảnh tăng lên làm cho việc tính thuế dễ hiểu hơn nhiều. Điều này giúp người dân nắm bắt nhanh chóng và không còn cảm thấy bối rối.</t>
  </si>
  <si>
    <t>Tôi tin rằng cơ quan thuế sẽ thực thi chính sách một cách công bằng, tuy nhiên vẫn cần cải thiện trong việc minh bạch hơn nữa về quy trình quản lý và sử dụng nguồn thu</t>
  </si>
  <si>
    <t>Tuy mức thuế giảm nhưng tôi thấy mình đóng góp đúng mức cho xã hội. Số tiền này sẽ được dùng vào các dịch vụ công cần thiết.</t>
  </si>
  <si>
    <t>Tôi tin rằng số thuế tôi đóng sẽ được sử dụng hiệu quả để cải thiện hạ tầng và dịch vụ công, đặc biệt là y tế và giao thông</t>
  </si>
  <si>
    <t>Nhà nước đã có những giải trình rõ ràng về mục tiêu của chính sách thuế mới nhưng vẫn cần làm rõ hơn nữa để người dân hiểu đầy đủ</t>
  </si>
  <si>
    <t>Tác động tài chính tích cực và sự đơn giản hóa quy định giúp tôi ủng hộ và tuân thủ chính sách mới, mặc dù vẫn có những lo ngại về minh bạch.</t>
  </si>
  <si>
    <t>Trong bối cảnh công nghệ phát triển như hiện nay, các cơ quan thuế có thể dễ dàng theo dõi và phát hiện hành vi gian lận thuế. Tuy nhiên, vẫn cần sự giám sát chặt chẽ từ phía người dân.</t>
  </si>
  <si>
    <t>Cơ quan thuế đã đầu tư vào công nghệ để cải thiện quản lý thuế và xử lý các vụ việc trốn thuế hiệu quả hơn. Điều này tăng độ tin cậy trong việc phát hiện và xử lý vi phạm.</t>
  </si>
  <si>
    <t>So với trước đây, quy trình khai báo thuế đã trở nên đơn giản hơn nhiều. Việc giảm số bậc thuế cũng giúp quá trình tính toán thuế nhanh chóng hơn.</t>
  </si>
  <si>
    <t>Các bước tính thuế mới rõ ràng và dễ hiểu hơn, không còn nhiều trường hợp rủi ro như trước đây. Điều này làm giảm thời gian và công sức cho người dân trong việc tính toán và khai báo.</t>
  </si>
  <si>
    <t>Nhà nước đã có các biện pháp quản lý thuế hiệu quả, đảm bảo mọi người nộp thuế đều được đối xử công bằng. Điều này tăng niềm tin vào sự minh bạch của hệ thống thuế.</t>
  </si>
  <si>
    <t>Mức thuế mới giảm đáng kể so với trước đây, do đó tôi cảm thấy mức đóng góp thuế là hợp lý và công bằng đối với thu nhập hiện tại của mình.</t>
  </si>
  <si>
    <t>Thuế đóng góp vào các dịch vụ công như y tế, giáo dục, giao thông... giúp cải thiện chất lượng cuộc sống. Tôi tin rằng thuế mới sẽ được sử dụng hiệu quả hơn.</t>
  </si>
  <si>
    <t>Nhà nước đã giải thích rõ về mục tiêu và lý do sửa đổi luật thuế lần này, tạo ra sự minh bạch và tin tưởng cho người dân.</t>
  </si>
  <si>
    <t>Do giảm trừ gia cảnh tăng đáng kể và mức thuế mới thấp hơn so với trước đây, tôi ủng hộ và sẽ tuân thủ chính sách mới. Điều này giúp tôi tiết kiệm được một khoản tiền đáng kể hàng tháng.</t>
  </si>
  <si>
    <t>Hiện tại, cơ quan thuế có hệ thống quản lý mạnh mẽ và các công nghệ tiên tiến. Tuy nhiên, vẫn còn khả năng trốn thuế do sự phức tạp của quy định</t>
  </si>
  <si>
    <t>Cơ quan thuế đã cải thiện đáng kể về khả năng phát hiện hành vi gian lận, nhưng để đảm bảo hiệu quả cần thêm thời gian và nguồn lực</t>
  </si>
  <si>
    <t>Đơn giản hóa quy trình khai báo thuế giúp thuận tiện hơn cho người dân. Tuy nhiên, vẫn còn một số điểm khó hiểu</t>
  </si>
  <si>
    <t>Biểu thuế mới đơn giản hơn và dễ hiểu, nhưng cần thêm thời gian để làm quen với các thay đổi</t>
  </si>
  <si>
    <t>Tôi tin rằng cơ quan thuế sẽ thực thi chính sách một cách công bằng. Tuy nhiên, vẫn có lo ngại về sự công bằng trong việc áp dụng các quy định mới</t>
  </si>
  <si>
    <t>Như đã đề cập ở trên, mức thuế mới tôi phải đóng là hợp lý và phản ánh thu nhập của tôi. Tuy nhiên, vẫn cần thêm thời gian để đánh giá tác động thực tế</t>
  </si>
  <si>
    <t>Tôi tin rằng số tiền thuế đóng sẽ được sử dụng hiệu quả cho các dịch vụ công. Tuy nhiên, thông tin về việc sử dụng nguồn thu thuế chưa đủ minh bạch</t>
  </si>
  <si>
    <t>Nhà nước đã giải thích rõ ràng về mục tiêu của chính sách mới, nhưng cần thêm thông tin chi tiết về cách thức thực hiện và giám sát</t>
  </si>
  <si>
    <t>Sau khi xem xét các quyền lợi và nghĩa vụ, tôi ủng hộ chính sách mới. Điều này giúp giảm gánh nặng tài chính cho tôi và tạo điều kiện thuận lợi hơn trong khai báo thuế</t>
  </si>
  <si>
    <t>Cơ quan thuế có nhiều công cụ hiện đại để phát hiện gian lận, nên tôi tin rằng hành vi trốn thuế sẽ bị phát hiện và xử lý nghiêm.</t>
  </si>
  <si>
    <t>Nhà nước đã đầu tư vào công nghệ và nguồn lực cho cơ quan thuế, do đó khả năng phát hiện và xử lý gian lận được tăng cường.</t>
  </si>
  <si>
    <t>Quy trình khai báo thuế trở nên đơn giản hơn, nhưng vẫn cần thêm thời gian để làm quen với các thay đổi mới.</t>
  </si>
  <si>
    <t>Biểu thuế giảm bậc và thu nhập chịu thuế tăng, giúp tính toán dễ dàng hơn so với trước đây.</t>
  </si>
  <si>
    <t>Nhà nước đã công bố rõ ràng về việc sửa đổi luật thuế, tạo niềm tin rằng sẽ được thực thi công bằng đối với mọi người nộp thuế.</t>
  </si>
  <si>
    <t>Với mức thu nhập của tôi và mức giảm trừ gia cảnh mới, mức thuế tôi phải đóng là hợp lý.</t>
  </si>
  <si>
    <t>Thuế mà tôi đóng sẽ được sử dụng hiệu quả cho các dịch vụ công, như y tế và cơ sở hạ tầng.</t>
  </si>
  <si>
    <t>Nhà nước đã giải thích rõ ràng về mục tiêu của việc sửa đổi thuế, tạo niềm tin về trách nhiệm đối với người dân.</t>
  </si>
  <si>
    <t>Dựa trên các cải tiến về mức giảm trừ, biểu thuế đơn giản và sự công bằng trong cách tính thuế, tôi ủng hộ và sẽ tuân thủ chính sách mới.</t>
  </si>
  <si>
    <t>Tôi tin rằng cơ quan thuế sẽ công bằng trong quá trình thực thi chính sách mới vì đã có sự thay đổi rõ ràng về mức giảm trừ và số bậc thuế.</t>
  </si>
  <si>
    <t>Theo quy định mới, tôi chỉ phải đóng thuế ở mức vừa phải cho thu nhập của mình nên cảm thấy công bằng.</t>
  </si>
  <si>
    <t>Việc cải cách thuế sẽ giúp tăng nguồn lực cho nhà nước để đầu tư vào các dịch vụ công quan trọng như y tế và giao thông.</t>
  </si>
  <si>
    <t>Nhà nước đã giải thích rõ ràng về mục tiêu của việc cải cách thuế, tạo ra sự minh bạch cho người dân.</t>
  </si>
  <si>
    <t>Sau khi xem xét các quyền lợi và nghĩa vụ mới, tôi ủng hộ chính sách này vì nó có lợi hơn so với trước đây.</t>
  </si>
  <si>
    <t>Hiện nay, cơ quan thuế có nhiều công cụ và hệ thống để theo dõi giao dịch tài chính nên khả năng phát hiện hành vi trốn thuế là khá cao.</t>
  </si>
  <si>
    <t>Cơ quan thuế đã đầu tư vào công nghệ, đào tạo nhân viên nên có thể xử lý nghiêm các trường hợp gian lận hoặc trốn thuế.</t>
  </si>
  <si>
    <t>Quy trình khai thuế và làm việc với cơ quan thuế nhanh chóng hơn, không còn nhiều giấy tờ rườm rà như trước đây nên thuận tiện hơn rất nhiều.</t>
  </si>
  <si>
    <t>Số bậc thuế giảm từ 7 xuống 5 và mức giảm trừ gia cảnh tăng lên khiến việc tính thuế đơn giản, dễ hiểu hơn rất nhiều.</t>
  </si>
  <si>
    <t>Mức thuế giảm đáng kể so với trước đây, giúp tôi tiết kiệm được nhiều tiền nên tôi cảm thấy là công bằng đối với thu nhập của mình.</t>
  </si>
  <si>
    <t>Thuế đóng góp vào các dịch vụ công như y tế và giao thông, do đó số thuế tôi đóng sẽ được sử dụng hiệu quả để cải thiện cuộc sống.</t>
  </si>
  <si>
    <t>Nhà nước đã giải thích rõ ràng về mục tiêu của việc sửa đổi chính sách thuế lần này, từ đó tạo niềm tin cho người dân.</t>
  </si>
  <si>
    <t>Tác động tài chính tích cực và quy trình làm việc thuận tiện hơn khiến tôi ủng hộ và tuân thủ chính sách mới.</t>
  </si>
  <si>
    <t>Nếu quy định quản lý thuế hiện nay được thực thi nghiêm minh, hành vi gian lận sẽ bị phát hiện. Tuy nhiên, tôi không hoàn toàn tin tưởng vào khả năng kiểm soát của cơ quan thuế</t>
  </si>
  <si>
    <t>Nhà nước có công nghệ và nguồn lực để phát hiện trốn thuế, nhưng cần cải thiện hơn nữa về mặt thực thi</t>
  </si>
  <si>
    <t>Thủ tục khai báo thuế đơn giản hơn và dễ dàng sử dụng hơn so với trước đây</t>
  </si>
  <si>
    <t>Cách tính thuế mới rõ ràng, các bậc thuế được đơn giản hóa, dễ thực hiện hơn</t>
  </si>
  <si>
    <t>Tôi tin rằng cơ quan thuế sẽ thực thi chính sách công bằng và khách quan đối với mọi người nộp thuế</t>
  </si>
  <si>
    <t>Thuế mới theo phương án này là hợp lý, mức giảm trừ gia cảnh cao hơn giúp tôi tiết kiệm nhiều hơn</t>
  </si>
  <si>
    <t>Số tiền thuế tôi đóng sẽ được sử dụng hiệu quả để cải thiện dịch vụ công</t>
  </si>
  <si>
    <t>Tôi ủng hộ chính sách mới vì nó giúp tôi tiết kiệm được nhiều tiền, thủ tục đơn giản hơn, công bằng hơn</t>
  </si>
  <si>
    <t>Nếu có đủ công nghệ và nguồn lực, khả năng phát hiện gian lận sẽ tăng. Tuy nhiên, vẫn cần sự cải thiện về quản lý.</t>
  </si>
  <si>
    <t>Cơ quan thuế đã đầu tư vào công nghệ, nên khả năng xử lý và giám sát thuế có thể tốt hơn.</t>
  </si>
  <si>
    <t>Phương án mới đơn giản hóa quy trình khai báo, giảm thời gian chờ đợi với cơ quan thuế, thuận tiện hơn.</t>
  </si>
  <si>
    <t>Biểu thuế rõ ràng hơn, không còn nhiều bậc phức tạp như trước, dễ dàng tính toán và hiểu hơn.</t>
  </si>
  <si>
    <t>Việc tăng giảm trừ gia cảnh và đơn giản hóa biểu thuế tạo cảm giác công bằng hơn cho người nộp thuế.</t>
  </si>
  <si>
    <t>Thuế tôi phải đóng thấp hơn so với trước, điều này thể hiện sự công bằng trong việc phân bổ gánh nặng thuế.</t>
  </si>
  <si>
    <t>Thuốc đóng góp vào cải thiện dịch vụ công có thể nâng cao chất lượng cuộc sống của tôi và cộng đồng.</t>
  </si>
  <si>
    <t>Nhà nước đã giải thích về mục tiêu chính sách nhưng vẫn cần thêm thông tin cụ thể hơn về cách sử dụng nguồn thu thuế.</t>
  </si>
  <si>
    <t>Dựa trên các lợi ích tài chính và sự đơn giản hóa, tôi ủng hộ và tuân thủ chính sách mới.</t>
  </si>
  <si>
    <t>Thuật toán tính thuế và công nghệ hiện đại giúp phát hiện gian lận, tuy nhiên, thực tế có thể vẫn còn thiếu sót.</t>
  </si>
  <si>
    <t>Cơ quan thuế đã có nhiều cải tiến trong việc quản lý và xử lý vi phạm, nhưng cần thêm thời gian để hoàn thiện.</t>
  </si>
  <si>
    <t>Quy trình khai báo và làm việc với cơ quan thuế trở nên đơn giản hơn, thủ tục nhanh chóng hơn so với trước đây.</t>
  </si>
  <si>
    <t>Biểu thuế mới có ít bậc hơn, dễ hiểu và thực hiện thuận lợi hơn so với biểu cũ.</t>
  </si>
  <si>
    <t>Với mức giảm trừ gia cảnh tăng lên, tôi cảm thấy việc đóng thuế theo phương án mới là hợp lý.</t>
  </si>
  <si>
    <t>Thuê được sử dụng hiệu quả để cải thiện dịch vụ công sẽ làm tăng niềm tin của tôi đối với chính sách này.</t>
  </si>
  <si>
    <t>Nhà nước đã giải thích rõ ràng về mục tiêu và lý do của việc sửa đổi thuế, tuy nhiên, vẫn có thể cần thêm thông tin cho người dân hiểu rõ hơn.</t>
  </si>
  <si>
    <t>Tôi ủng hộ và tuân thủ chính sách mới vì nó mang lại lợi ích tài chính và thuận tiện hơn cho tôi.</t>
  </si>
  <si>
    <t>Nhà nước và cơ quan thuế có nhiều biện pháp quản lý hiện đại, nhưng vẫn cần cải thiện về mặt truy cứu dữ liệu cá nhân.</t>
  </si>
  <si>
    <t>Cơ quan thuế đã áp dụng công nghệ cao vào quản lý thuế, giảm thiểu gian lận, tuy nhiên còn nhiều vấn đề về bảo mật thông tin</t>
  </si>
  <si>
    <t>Quy trình khai báo và làm việc với cơ quan thuế đã đơn giản hơn, nhưng vẫn cần cải thiện trong việc cung cấp hỗ trợ trực tuyến.</t>
  </si>
  <si>
    <t>Biểu thuế mới có ít bậc hơn, dễ hiểu và thực hiện thuận tiện hơn so với trước đây</t>
  </si>
  <si>
    <t>Tôi tin rằng cơ quan thuế sẽ công tâm trong việc áp dụng chính sách, nhưng vẫn cần thêm minh bạch về quy trình quản lý.</t>
  </si>
  <si>
    <t>Thuế mới có mức giảm trừ gia cảnh cao hơn, phù hợp với thu nhập của tôi</t>
  </si>
  <si>
    <t>Tôi tin rằng số tiền thuế đóng sẽ được sử dụng hiệu quả cho các dịch vụ công ích</t>
  </si>
  <si>
    <t>Nhà nước đã giải thích rõ ràng về mục tiêu cải cách, nhưng cần thêm thông tin về việc thực hiện.</t>
  </si>
  <si>
    <t>Tác động tài chính tích cực và quy trình đơn giản hơn khiến tôi ủng hộ chính sách mới</t>
  </si>
  <si>
    <t>Nhà nước đã công bố thông tin rõ ràng về chính sách mới, do đó tôi thấy nó được thực thi một cách khách quan.</t>
  </si>
  <si>
    <t>Lũy tiến thuế mới phù hợp với thu nhập của tôi, do đó tôi cảm thấy mức thuế đóng là công bằng.</t>
  </si>
  <si>
    <t>Với giảm trừ gia cảnh tăng cao và số bậc thuế giảm, tôi tin rằng số tiền thuế đóng sẽ được sử dụng hiệu quả cho dịch vụ công.</t>
  </si>
  <si>
    <t>Nhà nước đã giải thích rõ ràng về mục tiêu của chính sách mới, do đó tôi cảm thấy có trách nhiệm hơn trong việc thực thi.</t>
  </si>
  <si>
    <t>Tác động tài chính tích cực và sự đơn giản hóa quy trình làm việc với cơ quan thuế khiến tôi ủng hộ và tuân thủ chính sách mới.</t>
  </si>
  <si>
    <t>Mức thuế mới giảm đáng kể so với trước đây, nên tôi thấy nó là hợp lý đối với thu nhập của mình.</t>
  </si>
  <si>
    <t>Thuế đóng góp vào việc cải thiện chất lượng dịch vụ công, như y tế và giao thông, giúp nâng cao cuộc sống người dân.</t>
  </si>
  <si>
    <t>Nhà nước đã giải thích rõ ràng về mục tiêu của việc sửa đổi thuế lần này, khiến tôi cảm thấy tin tưởng hơn.</t>
  </si>
  <si>
    <t>Tác động tài chính tích cực và các cải tiến trong thủ tục làm việc với cơ quan thuế đã tăng sự ủng hộ cho chính sách mới.</t>
  </si>
  <si>
    <t>Dù quy định quản lý thuế hiện tại có thể phát hiện gian lận và trốn thuế, nhưng do chưa biết rõ khả năng thực thi cụ thể, nên đánh giá ở mức trung bình.</t>
  </si>
  <si>
    <t>Cơ quan thuế được đầu tư công nghệ hiện đại, khả năng phát hiện gian lận và xử lý nghiêm túc</t>
  </si>
  <si>
    <t>Quy trình khai báo thuế dễ dàng hơn với nhiều giảm trừ gia cảnh, thủ tục đơn giản</t>
  </si>
  <si>
    <t>Bậc thuế ít hơn và rõ ràng hơn, việc tính toán thuế trở nên dễ dàng và nhanh chóng</t>
  </si>
  <si>
    <t>Nhà nước cam kết thực thi công bằng, nhưng cần thời gian để chứng minh</t>
  </si>
  <si>
    <t>Thuế mới giảm đáng kể so với trước đây, cảm thấy mức thuế này hợp lý</t>
  </si>
  <si>
    <t>Tác động tài chính tích cực làm tôi tin vào việc sử dụng hiệu quả số tiền đóng thuế</t>
  </si>
  <si>
    <t>Nhà nước đã giải thích rõ ràng về mục tiêu và lý do của chính sách mới, tạo niềm tin cho người dân</t>
  </si>
  <si>
    <t>Tiết kiệm được nhiều tiền thuế, cảm thấy chính sách mới tốt cho người dân như tôi nên ủng hộ</t>
  </si>
  <si>
    <t>Cơ quan thuế có nhiều công cụ để phát hiện hành vi trốn thuế, tuy nhiên không thể loại trừ khả năng gian lận vẫn xảy ra. Cơ chế quản lý cần được giám sát chặt chẽ.</t>
  </si>
  <si>
    <t>Nhà nước đã đầu tư công nghệ để hỗ trợ việc thu thuế và phát hiện trốn thuế, tuy nhiên hiệu quả thực tế còn phụ thuộc vào cách triển khai.</t>
  </si>
  <si>
    <t>Quy trình làm việc với cơ quan thuế dễ dàng hơn so với trước đây, thủ tục khai báo cũng đơn giản hơn. Người dân có thể sử dụng phần mềm để làm giảm thời gian và công sức.</t>
  </si>
  <si>
    <t>Biểu thuế mới ít bậc hơn nhưng các mức thuế suất đã thay đổi, cần thời gian để quen thuộc với cách tính toán. Tuy nhiên, việc đơn giản hóa quy trình vẫn được đánh giá cao.</t>
  </si>
  <si>
    <t>Tôi tin rằng Nhà nước sẽ thực thi chính sách một cách công bằng và khách quan, nhưng cần thêm thời gian để thấy kết quả rõ ràng.</t>
  </si>
  <si>
    <t>Sau khi tính toán tác động tài chính, tôi thấy mức thuế mới là hợp lý. Việc tăng giảm trừ gia cảnh cũng giúp cân nhắc đúng hơn về mức thu nhập thực tế của người dân.</t>
  </si>
  <si>
    <t>Thời gian đầu có thể không hiệu quả như mong đợi, nhưng tôi tin rằng nguồn thuế mới sẽ được sử dụng một cách hiệu quả để cải thiện dịch vụ công.</t>
  </si>
  <si>
    <t>Nhà nước đã giải thích rõ ràng về mục đích của chính sách mới, tuy nhiên cần thêm thông tin về các biện pháp thực thi cụ thể hơn.</t>
  </si>
  <si>
    <t>Tôi ủng hộ và tuân thủ chính sách mới vì lợi ích tài chính và cải cách quản lý thuế. Tuy nhiên, việc áp dụng cần được giám sát chặt chẽ để đảm bảo công bằng.</t>
  </si>
  <si>
    <t>Cơ quan thuế có nhiều công cụ để phát hiện gian lận, nhưng vẫn cần sự hợp tác của người nộp thuế.</t>
  </si>
  <si>
    <t>Công nghệ hiện đại giúp nhà nước theo dõi và xử lý các hành vi trốn thuế nhanh chóng hơn.</t>
  </si>
  <si>
    <t>Thủ tục khai báo và làm việc với cơ quan thuế trở nên đơn giản, thuận tiện hơn nhiều.</t>
  </si>
  <si>
    <t>Biểu thuế mới có ít bậc, dễ hiểu và thực hiện hơn so với trước đây.</t>
  </si>
  <si>
    <t>Tôi tin rằng cơ quan thuế sẽ công bằng trong việc thực thi chính sách.</t>
  </si>
  <si>
    <t>Thuế tôi phải đóng thấp hơn, phù hợp với thu nhập của mình.</t>
  </si>
  <si>
    <t>Tiền thuế được sử dụng hiệu quả để cải thiện dịch vụ công và hạ tầng cơ sở.</t>
  </si>
  <si>
    <t>Nhà nước đã giải thích rõ ràng về mục tiêu của việc sửa đổi thuế lần này.</t>
  </si>
  <si>
    <t>Tôi ủng hộ và tuân thủ chính sách mới vì nó mang lại nhiều lợi ích cho tôi.</t>
  </si>
  <si>
    <t>Nhà nước đã đầu tư vào hệ thống công nghệ thông tin của cơ quan thuế giúp nâng cao khả năng phát hiện và xử lý trốn thuế một cách kịp thời.</t>
  </si>
  <si>
    <t>So với trước đây, thủ tục khai báo thuế trở nên đơn giản hơn. Việc giảm số bậc thuế từ 7 xuống còn 5 cũng giúp thuận tiện trong việc tính toán và nộp thuế.</t>
  </si>
  <si>
    <t>Bậc thuế mới đơn giản hóa quy trình tính thuế, dễ hiểu và thực hiện hơn so với trước đây. Điều này làm giảm áp lực cho người dân phải nhớ nhiều quy định phức tạp.</t>
  </si>
  <si>
    <t>Tôi tin rằng Nhà nước sẽ công bằng trong việc thực thi chính sách mới. Mức thuế giảm đi và các quy định đơn giản hơn tạo cảm giác công bằng cho tôi.</t>
  </si>
  <si>
    <t>Mức thuế mới là hợp lý với thu nhập của tôi. Nó phản ánh sự thay đổi trong cuộc sống kinh tế và xã hội hiện nay.</t>
  </si>
  <si>
    <t>Tôi tin rằng số tiền thuế đóng sẽ được sử dụng hiệu quả để cải thiện các dịch vụ công, đặc biệt là y tế và giao thông.</t>
  </si>
  <si>
    <t>Nhà nước đã giải thích rõ ràng về mục tiêu của việc sửa đổi luật thuế. Tuy nhiên, tôi vẫn mong muốn có thêm nhiều thông tin minh bạch hơn.</t>
  </si>
  <si>
    <t>Sau khi xem xét các quyền lợi và nghĩa vụ mới, tôi ủng hộ và sẽ tuân thủ chính sách mới. Mức thuế giảm đi và quy trình đơn giản hóa tăng sự thuận tiện cho người dân như tôi.</t>
  </si>
  <si>
    <t>Hiện nay, hệ thống quản lý thuế đã có nhiều cải tiến về công nghệ và quy trình làm việc. Tuy nhiên, vẫn còn một số lo ngại về khả năng phát hiện trốn thuế.</t>
  </si>
  <si>
    <t>Nhà nước đã đầu tư vào công nghệ và đội ngũ nhân sự để tăng cường quản lý thuế. Với mức giảm trừ gia cảnh cao hơn, việc phát hiện trốn thuế có thể khó khăn hơn đối với cá nhân nhưng vẫn có khả năng.</t>
  </si>
  <si>
    <t>Việc đơn giản hóa quy trình khai báo và thủ tục làm việc đã giúp thuận tiện hơn cho người dân. Các hướng dẫn về cách tính thuế cũng dễ hiểu hơn so với trước đây.</t>
  </si>
  <si>
    <t>So với trước đây, phương án mới có ít bậc thuế và mức giảm trừ gia cảnh cao hơn, giúp việc tính toán đơn giản hơn. Điều này làm cho quá trình nộp thuế trở nên dễ dàng hơn.</t>
  </si>
  <si>
    <t>Tôi tin rằng Nhà nước sẽ thực hiện chính sách một cách công bằng và khách quan, nhưng vẫn có lo ngại về sự công bằng trong việc phân bổ nguồn lực từ thuế.</t>
  </si>
  <si>
    <t>Thuế mới được tính dựa trên thu nhập của tôi, với mức giảm trừ gia cảnh cao hơn. Đây là mức phù hợp cho thu nhập hiện tại và số người phụ thuộc của tôi.</t>
  </si>
  <si>
    <t>Tôi tin rằng thuế đóng góp sẽ được sử dụng hiệu quả để cải thiện các dịch vụ công, nhưng vẫn cần sự minh bạch trong việc quản lý ngân sách.</t>
  </si>
  <si>
    <t>Nhà nước đã cung cấp thông tin đầy đủ về lý do và mục tiêu của chính sách mới. Tuy nhiên, vẫn còn cần thêm giải thích về cách sử dụng nguồn thu thuế.</t>
  </si>
  <si>
    <t>Sau khi xem xét các quyền lợi và nghĩa vụ, tôi ủng hộ và tuân thủ chính sách mới vì nó đơn giản hóa quy trình và giảm gánh nặng thuế cho người dân.</t>
  </si>
  <si>
    <t>Việc tăng mức giảm trừ gia cảnh và đơn giản hóa biểu thuế có thể làm giảm khả năng phát hiện hành vi gian lận hoặc trốn thuế, nhưng với sự phát triển của công nghệ, cơ quan thuế vẫn có thể theo dõi hiệu quả.</t>
  </si>
  <si>
    <t>Nhà nước và cơ quan thuế đã đầu tư vào hệ thống công nghệ thông tin để quản lý thuế một cách hiệu quả hơn, do đó khả năng phát hiện và xử lý nghiêm các hành vi trốn thuế là có.</t>
  </si>
  <si>
    <t>Quy trình làm việc với cơ quan thuế trở nên đơn giản hơn với sự giảm bớt các bước tính thuế và quy định, thủ tục khai báo cũng dễ dàng hơn.</t>
  </si>
  <si>
    <t>Biểu thuế mới có ít bậc hơn và mức thuế suất rõ ràng hơn, do đó việc tính thuế trở nên đơn giản và dễ hiểu hơn.</t>
  </si>
  <si>
    <t>Nhà nước đã cố gắng đảm bảo sự công bằng trong việc áp dụng chính sách mới thông qua việc tăng giảm trừ gia cảnh và đơn giản hóa biểu thuế.</t>
  </si>
  <si>
    <t>Mức thuế mới được tính dựa trên thu nhập thực tế, do đó tôi thấy mức thuế này là công bằng đối với thu nhập của tôi.</t>
  </si>
  <si>
    <t>Với việc tăng giảm trừ gia cảnh và đơn giản hóa quy trình, số tiền thuế mà tôi đóng sẽ được sử dụng hiệu quả để cải thiện các dịch vụ công.</t>
  </si>
  <si>
    <t>Nhà nước đã cung cấp thông tin rõ ràng về mục tiêu của việc sửa đổi thuế và cách thức thực hiện, do đó tôi cảm thấy có sự minh bạch trong quá trình này.</t>
  </si>
  <si>
    <t>Việc giảm thuế và tăng giảm trừ gia cảnh làm cho chính sách mới trở nên hấp dẫn hơn, đồng thời thủ tục đơn giản hóa cũng giúp việc tuân thủ dễ dàng hơn.</t>
  </si>
  <si>
    <t>Mức giảm trừ gia cảnh và đơn giản hóa biểu thuế có thể làm giảm cơ hội trốn thuế, nhưng vẫn cần công nghệ và sự giám sát để phát hiện gian lận.</t>
  </si>
  <si>
    <t>Nhà nước đã đầu tư vào hệ thống công nghệ thông tin, tuy nhiên, hiệu quả thực tế của việc phát hiện trốn thuế còn phụ thuộc vào nhiều yếu tố khác.</t>
  </si>
  <si>
    <t>Biểu thuế mới có ít bậc hơn, dễ hiểu và dễ áp dụng hơn, giúp người dân tính toán chính xác hơn</t>
  </si>
  <si>
    <t>Mức giảm trừ gia cảnh và biểu thuế mới thể hiện sự công bằng trong việc chia sẻ gánh nặng thuế giữa các đối tượng thu nhập khác nhau.</t>
  </si>
  <si>
    <t>Với mức thuế mới, tôi cảm thấy công bằng khi đóng góp cho ngân sách nhà nước</t>
  </si>
  <si>
    <t>Việc sử dụng số tiền thuế để cải thiện dịch vụ công như y tế và giao thông là điều cần thiết và hợp lý.</t>
  </si>
  <si>
    <t>Nhà nước đã giải thích rõ mục tiêu của việc sửa đổi luật thuế, tuy nhiên có thể cần thêm thông tin về cách sử dụng nguồn thu từ thuế</t>
  </si>
  <si>
    <t>Sau khi xem xét, tôi ủng hộ và đồng ý tuân thủ chính sách mới vì nó mang lại lợi ích tài chính rõ ràng và đơn giản hóa quy trình khai báo.</t>
  </si>
  <si>
    <t>Dù có công nghệ hiện đại, nhưng tôi vẫn không chắc chắn hành vi gian lận hoặc trốn thuế sẽ dễ dàng bị phát hiện. Hiện nay, quy định quản lý thuế còn nhiều khía cạnh chưa rõ ràng.</t>
  </si>
  <si>
    <t>Tôi tin rằng Nhà nước có khả năng và công nghệ để kiểm soát, nhưng thực tế vẫn phụ thuộc vào sự tận tâm của cơ quan thuế trong việc giám sát và xử lý.</t>
  </si>
  <si>
    <t>Quy trình làm việc với cơ quan thuế đã cải thiện nhiều so với trước đây, thủ tục khai báo cũng đơn giản hơn. Tuy nhiên, vẫn còn một số điểm chưa thuận tiện.</t>
  </si>
  <si>
    <t>Phương án mới đơn giản hóa biểu thuế và giảm trừ gia cảnh giúp tính toán dễ dàng hơn nhiều so với trước đây, người dân hiểu rõ hơn về mức thu nhập chịu thuế</t>
  </si>
  <si>
    <t>Tôi tin rằng Nhà nước sẽ thực thi chính sách một cách công bằng, nhưng vẫn có sự nghi ngờ về việc xử lý cụ thể đối với từng trường hợp.</t>
  </si>
  <si>
    <t>Mức thuế mới được giảm so với trước đây nên tôi thấy nó khá công bằng. Tuy nhiên, mức tăng giảm của các bậc thuế suất vẫn còn nhiều điểm không rõ ràng.</t>
  </si>
  <si>
    <t>Tôi tin rằng số tiền thuế đóng sẽ được sử dụng hiệu quả để cải thiện dịch vụ công, nhưng cụ thể chi tiêu như thế nào thì chưa rõ ràng.</t>
  </si>
  <si>
    <t>Nhà nước đã giải thích rõ ràng mục đích của việc sửa đổi chính sách, tuy nhiên vẫn còn nhiều điểm không hoàn toàn minh bạch</t>
  </si>
  <si>
    <t>Tác động tài chính tích cực và quy trình thuế đơn giản hơn khiến tôi có ý định tuân thủ chính sách mới. Tuy nhiên, sự phức tạp trong việc thực hiện vẫn còn khiến tôi giữ một phần nghi ngờ.</t>
  </si>
  <si>
    <t>Việc tăng mức giảm trừ gia cảnh và đơn giản hóa biểu thuế có thể làm giảm cơ hội để trốn thuế. Tuy nhiên, cần thời gian để quen với hệ thống mới.</t>
  </si>
  <si>
    <t>Cơ quan thuế đã đầu tư vào công nghệ để phát hiện các hành vi trốn thuế, nhưng vẫn cần sự hỗ trợ từ người nộp thuế trong việc cung cấp thông tin chính xác.</t>
  </si>
  <si>
    <t>Thủ tục khai báo thuế và quy trình làm việc với cơ quan thuế đơn giản hơn so với trước đây, nhưng vẫn cần thời gian để thích nghi.</t>
  </si>
  <si>
    <t>Biểu thuế mới có ít bậc hơn và dễ hiểu hơn, tuy nhiên người nộp thuế cần thời gian để làm quen với việc tính toán thuế theo các bậc mới.</t>
  </si>
  <si>
    <t>Tôi tin rằng Nhà nước sẽ thực thi chính sách một cách công bằng, nhưng vẫn cần thời gian để xem xét hiệu quả thực tế của việc sửa đổi này.</t>
  </si>
  <si>
    <t>Mức thuế mới phù hợp với thu nhập hiện tại và mức giảm trừ gia cảnh cao hơn giúp tôi thấy rằng nó là công bằng.</t>
  </si>
  <si>
    <t>Tôi tin rằng số tiền thuế đóng sẽ được sử dụng hiệu quả để cải thiện dịch vụ công, nhưng cần thời gian để xem xét thực tế.</t>
  </si>
  <si>
    <t>Nhà nước đã giải thích rõ ràng về lý do và mục tiêu của việc sửa đổi thuế, giúp tôi hiểu hơn về chính sách mới này.</t>
  </si>
  <si>
    <t>Tôi ủng hộ và tuân thủ chính sách mới vì nó có lợi cho tôi và đơn giản hóa quy trình khai báo thuế. Tuy nhiên, tôi cần thời gian để quen với việc tính thuế theo các bậc mới.</t>
  </si>
  <si>
    <t>Dựa trên việc thu thập thông tin, tôi nhận thấy rằng quy định quản lý thuế hiện nay đã được cải thiện đáng kể. Tuy nhiên, khả năng phát hiện và xử lý nghiêm các hành vi trốn thuế vẫn phụ thuộc vào nhiều yếu tố như nhân lực và công nghệ của cơ quan thuế. Do đó, tôi cho rằng mức độ thực thi còn cần cải thiện.</t>
  </si>
  <si>
    <t>Nhà nước đã đầu tư vào công nghệ để nâng cao hiệu quả quản lý thuế, nhưng khả năng phát hiện trốn thuế phụ thuộc nhiều vào nguồn lực và sự phối hợp giữa các cơ quan. Tôi cho rằng cần thêm thời gian để đánh giá.</t>
  </si>
  <si>
    <t>So với trước đây, quy trình khai báo thuế và làm việc với cơ quan thuế đã đơn giản hơn nhiều. Thu nhập của tôi cũng nằm trong các bậc thuế mới nên không gặp khó khăn gì.</t>
  </si>
  <si>
    <t>Biểu thuế mới được đơn giản hóa, dễ hiểu và thực hiện thuận lợi hơn. Việc tăng mức giảm trừ gia cảnh cũng giúp giảm gánh nặng tài chính.</t>
  </si>
  <si>
    <t>Đối với tôi, cơ quan thuế đã thể hiện sự công bằng trong việc áp dụng các quy định mới. Mức độ khách quan và công tâm trong thực thi luật pháp cũng được cải thiện.</t>
  </si>
  <si>
    <t>Mức thuế mới được thiết lập ở mức hợp lý cho thu nhập của tôi, thể hiện sự công bằng giữa các đối tượng nộp thuế. Việc tăng giảm trừ gia cảnh giúp điều này trở nên thực tế hơn.</t>
  </si>
  <si>
    <t>Thuế đóng góp vào việc cải thiện chất lượng dịch vụ công, như y tế và cơ sở hạ tầng. Điều này làm tôi tin rằng số tiền thuế của mình được sử dụng hiệu quả.</t>
  </si>
  <si>
    <t>Nhà nước đã giải thích rõ ràng về mục tiêu của việc sửa đổi chính sách thuế, mặc dù có thể vẫn còn một số điểm cần cải thiện trong quá trình truyền thông.</t>
  </si>
  <si>
    <t>Đối với tôi, chính sách mới này mang lại nhiều lợi ích, từ giảm gánh nặng tài chính đến sự đơn giản hóa quy trình. Tôi sẽ ủng hộ và tuân thủ chính sách mới.</t>
  </si>
  <si>
    <t>Các bậc thuế mới đã được đơn giản hóa và dễ hiểu hơn so với cũ.</t>
  </si>
  <si>
    <t>Tôi tin rằng cơ quan thuế sẽ công bằng trong việc áp dụng chính sách mới.</t>
  </si>
  <si>
    <t>Thuế mới phù hợp với thu nhập của tôi, giảm gánh nặng tài chính.</t>
  </si>
  <si>
    <t>Đồng ý rằng thuế đóng góp vào việc cải thiện chất lượng dịch vụ công</t>
  </si>
  <si>
    <t>Nhà nước đã giải thích rõ ràng về mục đích và lý do của việc sửa đổi chính sách thuế.</t>
  </si>
  <si>
    <t>Chính sách mới phù hợp với thu nhập và nhu cầu của tôi, tôi sẽ ủng hộ và tuân thủ.</t>
  </si>
  <si>
    <t>Hiện nay, công nghệ và quy định quản lý thuế đã phát triển đáng kể, nhưng vẫn có rủi ro trốn thuế nếu người dân thiếu ý thức.</t>
  </si>
  <si>
    <t>Cơ quan thuế có công cụ hiện đại để theo dõi, xử lý các hành vi trốn thuế, nhưng hiệu quả phụ thuộc vào sự tuân thủ của người dân và quy định quản lý.</t>
  </si>
  <si>
    <t>Quy trình khai thuế trở nên đơn giản hơn với việc giảm số bậc thuế, tuy nhiên vẫn cần thêm thời gian để quen với các thay đổi mới.</t>
  </si>
  <si>
    <t>Biểu thuế mới rõ ràng hơn và dễ hiểu so với trước đây, giúp người dân tính toán nhanh chóng.</t>
  </si>
  <si>
    <t>Việc áp dụng các mức giảm trừ gia cảnh cao hơn thể hiện sự công bằng trong việc phân bổ gánh nặng thuế</t>
  </si>
  <si>
    <t>Mức thuế mới thấp hơn so với trước đây, phù hợp với thu nhập của tôi và người dân cùng tầng lớp xã hội.</t>
  </si>
  <si>
    <t>Thuế được sử dụng hiệu quả vào các dịch vụ công, cải thiện chất lượng cuộc sống cho người dân</t>
  </si>
  <si>
    <t>Nhà nước đã giải thích rõ mục đích và nội dung của chính sách mới, giúp tôi hiểu được giá trị của nó.</t>
  </si>
  <si>
    <t>Chính sách mới giảm gánh nặng tài chính cho tôi, do đó tôi ủng hộ và tuân thủ</t>
  </si>
  <si>
    <t>Thuế hiện nay có nhiều quy định phức tạp, tuy nhiên với việc tăng cường công nghệ trong quản lý thuế, khả năng phát hiện gian lận cao hơn. Điều này làm giảm nguy cơ trốn thuế và tạo niềm tin đối với người dân.</t>
  </si>
  <si>
    <t>Cơ quan thuế đã đầu tư công nghệ để theo dõi, quản lý và xử phạt gian lận thuế. Điều này cho thấy họ có đủ năng lực để thực hiện chức trách của mình một cách hiệu quả.</t>
  </si>
  <si>
    <t>So với trước đây, quy trình khai báo thuế trở nên đơn giản hơn. Việc giảm số bậc thuế từ 7 xuống còn 5 giúp người dân dễ dàng hiểu và thực hiện các thủ tục thuế.</t>
  </si>
  <si>
    <t>Biểu thuế mới có ít bậc hơn, mức thuế suất rõ ràng, dễ hiểu. Điều này làm giảm độ phức tạp cho người nộp thuế và tăng tính minh bạch trong việc tính toán thuế.</t>
  </si>
  <si>
    <t>Nhà nước đã thực hiện cải cách thuế một cách công bằng và khách quan, đảm bảo rằng mức thu từ mỗi cá nhân tương xứng với khả năng đóng góp của họ.</t>
  </si>
  <si>
    <t>Dựa trên kết quả tài chính, tôi tiết kiệm được một số tiền đáng kể. Điều này cho thấy thuế mới là công bằng đối với thu nhập của tôi.</t>
  </si>
  <si>
    <t>Thuế đóng góp vào việc cải thiện dịch vụ công, như y tế và giao thông, mang lại lợi ích trực tiếp cho người dân. Tôi tin rằng số tiền thuế tôi đóng sẽ được sử dụng hiệu quả.</t>
  </si>
  <si>
    <t>Cơ quan thuế đã giải thích rõ ràng về mục tiêu và lý do của việc cải cách thuế, tạo sự minh bạch và tin tưởng cho người dân.</t>
  </si>
  <si>
    <t>Tôi ủng hộ chính sách mới vì nó đơn giản hóa quy trình khai báo thuế, tăng tính công bằng và tiết kiệm được chi phí. Tôi sẽ tuân thủ các quy định này.</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</si>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</sst>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5"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workbookViewId="0">
      <selection activeCell="J2" sqref="J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198</v>
      </c>
      <c r="C1" t="s">
        <v>38</v>
      </c>
      <c r="D1" t="s">
        <v>170</v>
      </c>
      <c r="E1" t="s">
        <v>40</v>
      </c>
      <c r="F1" t="s">
        <v>41</v>
      </c>
      <c r="G1" t="s">
        <v>42</v>
      </c>
      <c r="H1" t="s">
        <v>43</v>
      </c>
      <c r="I1" t="s">
        <v>44</v>
      </c>
      <c r="J1" t="s">
        <v>171</v>
      </c>
      <c r="K1" t="s">
        <v>46</v>
      </c>
      <c r="L1" t="s">
        <v>172</v>
      </c>
      <c r="M1" t="s">
        <v>173</v>
      </c>
      <c r="N1" t="s">
        <v>49</v>
      </c>
      <c r="O1" t="s">
        <v>174</v>
      </c>
      <c r="P1" t="s">
        <v>175</v>
      </c>
      <c r="Q1" t="s">
        <v>52</v>
      </c>
      <c r="R1" t="s">
        <v>176</v>
      </c>
      <c r="S1" t="s">
        <v>177</v>
      </c>
      <c r="T1" t="s">
        <v>55</v>
      </c>
      <c r="U1" t="s">
        <v>178</v>
      </c>
      <c r="V1" t="s">
        <v>179</v>
      </c>
      <c r="W1" t="s">
        <v>58</v>
      </c>
      <c r="X1" t="s">
        <v>180</v>
      </c>
      <c r="Y1" t="s">
        <v>181</v>
      </c>
      <c r="Z1" t="s">
        <v>61</v>
      </c>
      <c r="AA1" t="s">
        <v>182</v>
      </c>
      <c r="AB1" t="s">
        <v>183</v>
      </c>
      <c r="AC1" t="s">
        <v>64</v>
      </c>
      <c r="AD1" t="s">
        <v>184</v>
      </c>
      <c r="AE1" t="s">
        <v>185</v>
      </c>
      <c r="AF1" t="s">
        <v>67</v>
      </c>
      <c r="AG1" t="s">
        <v>186</v>
      </c>
      <c r="AH1" t="s">
        <v>187</v>
      </c>
      <c r="AI1" t="s">
        <v>70</v>
      </c>
      <c r="AJ1" t="s">
        <v>188</v>
      </c>
      <c r="AK1" t="s">
        <v>47</v>
      </c>
      <c r="AL1" t="s">
        <v>50</v>
      </c>
      <c r="AM1" t="s">
        <v>53</v>
      </c>
      <c r="AN1" t="s">
        <v>56</v>
      </c>
      <c r="AO1" t="s">
        <v>59</v>
      </c>
      <c r="AP1" t="s">
        <v>62</v>
      </c>
      <c r="AQ1" t="s">
        <v>65</v>
      </c>
      <c r="AR1" t="s">
        <v>68</v>
      </c>
      <c r="AS1" t="s">
        <v>71</v>
      </c>
    </row>
    <row r="2" spans="1:45" x14ac:dyDescent="0.45">
      <c r="A2">
        <v>1</v>
      </c>
      <c r="B2">
        <v>42</v>
      </c>
      <c r="C2" t="s">
        <v>72</v>
      </c>
      <c r="D2" t="s">
        <v>81</v>
      </c>
      <c r="E2" t="s">
        <v>74</v>
      </c>
      <c r="F2" t="s">
        <v>77</v>
      </c>
      <c r="G2" t="s">
        <v>76</v>
      </c>
      <c r="H2">
        <v>15.708500157795985</v>
      </c>
      <c r="I2">
        <v>1</v>
      </c>
      <c r="J2">
        <v>6</v>
      </c>
      <c r="K2">
        <v>10</v>
      </c>
      <c r="L2">
        <v>-4</v>
      </c>
      <c r="M2">
        <v>7</v>
      </c>
      <c r="N2">
        <v>8</v>
      </c>
      <c r="O2">
        <v>-1</v>
      </c>
      <c r="P2">
        <v>8</v>
      </c>
      <c r="Q2">
        <v>5</v>
      </c>
      <c r="R2">
        <v>3</v>
      </c>
      <c r="S2">
        <v>9</v>
      </c>
      <c r="T2">
        <v>5</v>
      </c>
      <c r="U2">
        <v>4</v>
      </c>
      <c r="V2">
        <v>7</v>
      </c>
      <c r="W2">
        <v>10</v>
      </c>
      <c r="X2">
        <v>-3</v>
      </c>
      <c r="Y2">
        <v>9</v>
      </c>
      <c r="Z2">
        <v>10</v>
      </c>
      <c r="AA2">
        <v>-1</v>
      </c>
      <c r="AB2">
        <v>8</v>
      </c>
      <c r="AC2">
        <v>10</v>
      </c>
      <c r="AD2">
        <v>-2</v>
      </c>
      <c r="AE2">
        <v>9</v>
      </c>
      <c r="AF2">
        <v>10</v>
      </c>
      <c r="AG2">
        <v>-1</v>
      </c>
      <c r="AH2">
        <v>8</v>
      </c>
      <c r="AI2">
        <v>10</v>
      </c>
      <c r="AJ2">
        <v>-2</v>
      </c>
      <c r="AK2" t="s">
        <v>703</v>
      </c>
      <c r="AL2" t="s">
        <v>859</v>
      </c>
      <c r="AM2" t="s">
        <v>860</v>
      </c>
      <c r="AN2" t="s">
        <v>861</v>
      </c>
      <c r="AO2" t="s">
        <v>862</v>
      </c>
      <c r="AP2" t="s">
        <v>863</v>
      </c>
      <c r="AQ2" t="s">
        <v>864</v>
      </c>
      <c r="AR2" t="s">
        <v>865</v>
      </c>
      <c r="AS2" t="s">
        <v>866</v>
      </c>
    </row>
    <row r="3" spans="1:45" x14ac:dyDescent="0.45">
      <c r="A3">
        <v>2</v>
      </c>
      <c r="B3">
        <v>43</v>
      </c>
      <c r="C3" t="s">
        <v>72</v>
      </c>
      <c r="D3" t="s">
        <v>81</v>
      </c>
      <c r="E3" t="s">
        <v>74</v>
      </c>
      <c r="F3" t="s">
        <v>77</v>
      </c>
      <c r="G3" t="s">
        <v>76</v>
      </c>
      <c r="H3">
        <v>15.684853202480896</v>
      </c>
      <c r="I3">
        <v>0</v>
      </c>
      <c r="J3">
        <v>8</v>
      </c>
      <c r="K3">
        <v>8</v>
      </c>
      <c r="L3">
        <v>0</v>
      </c>
      <c r="M3">
        <v>8</v>
      </c>
      <c r="N3">
        <v>8</v>
      </c>
      <c r="O3">
        <v>0</v>
      </c>
      <c r="P3">
        <v>9</v>
      </c>
      <c r="Q3">
        <v>6</v>
      </c>
      <c r="R3">
        <v>3</v>
      </c>
      <c r="S3">
        <v>9</v>
      </c>
      <c r="T3">
        <v>9</v>
      </c>
      <c r="U3">
        <v>0</v>
      </c>
      <c r="V3">
        <v>9</v>
      </c>
      <c r="W3">
        <v>10</v>
      </c>
      <c r="X3">
        <v>-1</v>
      </c>
      <c r="Y3">
        <v>9</v>
      </c>
      <c r="Z3">
        <v>9</v>
      </c>
      <c r="AA3">
        <v>0</v>
      </c>
      <c r="AB3">
        <v>8</v>
      </c>
      <c r="AC3">
        <v>8</v>
      </c>
      <c r="AD3">
        <v>0</v>
      </c>
      <c r="AE3">
        <v>8</v>
      </c>
      <c r="AF3">
        <v>9</v>
      </c>
      <c r="AG3">
        <v>-1</v>
      </c>
      <c r="AH3">
        <v>9</v>
      </c>
      <c r="AI3">
        <v>10</v>
      </c>
      <c r="AJ3">
        <v>-1</v>
      </c>
      <c r="AK3" t="s">
        <v>867</v>
      </c>
      <c r="AL3" t="s">
        <v>868</v>
      </c>
      <c r="AM3" t="s">
        <v>869</v>
      </c>
      <c r="AN3" t="s">
        <v>870</v>
      </c>
      <c r="AO3" t="s">
        <v>871</v>
      </c>
      <c r="AP3" t="s">
        <v>872</v>
      </c>
      <c r="AQ3" t="s">
        <v>873</v>
      </c>
      <c r="AR3" t="s">
        <v>874</v>
      </c>
      <c r="AS3" t="s">
        <v>875</v>
      </c>
    </row>
    <row r="4" spans="1:45" x14ac:dyDescent="0.45">
      <c r="A4">
        <v>3</v>
      </c>
      <c r="B4">
        <v>44</v>
      </c>
      <c r="C4" t="s">
        <v>78</v>
      </c>
      <c r="D4" t="s">
        <v>79</v>
      </c>
      <c r="E4" t="s">
        <v>74</v>
      </c>
      <c r="F4" t="s">
        <v>75</v>
      </c>
      <c r="G4" t="s">
        <v>76</v>
      </c>
      <c r="H4">
        <v>61.974847384930733</v>
      </c>
      <c r="I4">
        <v>3</v>
      </c>
      <c r="J4">
        <v>7</v>
      </c>
      <c r="K4">
        <v>6</v>
      </c>
      <c r="L4">
        <v>1</v>
      </c>
      <c r="M4">
        <v>8</v>
      </c>
      <c r="N4">
        <v>5</v>
      </c>
      <c r="O4">
        <v>3</v>
      </c>
      <c r="P4">
        <v>9</v>
      </c>
      <c r="Q4">
        <v>4</v>
      </c>
      <c r="R4">
        <v>5</v>
      </c>
      <c r="S4">
        <v>9</v>
      </c>
      <c r="T4">
        <v>5</v>
      </c>
      <c r="U4">
        <v>4</v>
      </c>
      <c r="V4">
        <v>7</v>
      </c>
      <c r="W4">
        <v>4</v>
      </c>
      <c r="X4">
        <v>3</v>
      </c>
      <c r="Y4">
        <v>8</v>
      </c>
      <c r="Z4">
        <v>4</v>
      </c>
      <c r="AA4">
        <v>4</v>
      </c>
      <c r="AB4">
        <v>7</v>
      </c>
      <c r="AC4">
        <v>4</v>
      </c>
      <c r="AD4">
        <v>3</v>
      </c>
      <c r="AE4">
        <v>6</v>
      </c>
      <c r="AF4">
        <v>10</v>
      </c>
      <c r="AG4">
        <v>-4</v>
      </c>
      <c r="AH4">
        <v>9</v>
      </c>
      <c r="AI4">
        <v>4</v>
      </c>
      <c r="AJ4">
        <v>5</v>
      </c>
      <c r="AK4" t="s">
        <v>876</v>
      </c>
      <c r="AL4" t="s">
        <v>877</v>
      </c>
      <c r="AM4" t="s">
        <v>878</v>
      </c>
      <c r="AN4" t="s">
        <v>879</v>
      </c>
      <c r="AO4" t="s">
        <v>880</v>
      </c>
      <c r="AP4" t="s">
        <v>881</v>
      </c>
      <c r="AQ4" t="s">
        <v>882</v>
      </c>
      <c r="AR4" t="s">
        <v>883</v>
      </c>
      <c r="AS4" t="s">
        <v>884</v>
      </c>
    </row>
    <row r="5" spans="1:45" x14ac:dyDescent="0.45">
      <c r="A5">
        <v>4</v>
      </c>
      <c r="B5">
        <v>45</v>
      </c>
      <c r="C5" t="s">
        <v>72</v>
      </c>
      <c r="D5" t="s">
        <v>189</v>
      </c>
      <c r="E5" t="s">
        <v>74</v>
      </c>
      <c r="F5" t="s">
        <v>77</v>
      </c>
      <c r="G5" t="s">
        <v>76</v>
      </c>
      <c r="H5">
        <v>12</v>
      </c>
      <c r="I5">
        <v>0</v>
      </c>
      <c r="J5">
        <v>7</v>
      </c>
      <c r="K5">
        <v>10</v>
      </c>
      <c r="L5">
        <v>-3</v>
      </c>
      <c r="M5">
        <v>6</v>
      </c>
      <c r="N5">
        <v>10</v>
      </c>
      <c r="O5">
        <v>-4</v>
      </c>
      <c r="P5">
        <v>5</v>
      </c>
      <c r="Q5">
        <v>8</v>
      </c>
      <c r="R5">
        <v>-3</v>
      </c>
      <c r="S5">
        <v>8</v>
      </c>
      <c r="T5">
        <v>9</v>
      </c>
      <c r="U5">
        <v>-1</v>
      </c>
      <c r="V5">
        <v>7</v>
      </c>
      <c r="W5">
        <v>9</v>
      </c>
      <c r="X5">
        <v>-2</v>
      </c>
      <c r="Y5">
        <v>9</v>
      </c>
      <c r="Z5">
        <v>7</v>
      </c>
      <c r="AA5">
        <v>2</v>
      </c>
      <c r="AB5">
        <v>6</v>
      </c>
      <c r="AC5">
        <v>10</v>
      </c>
      <c r="AD5">
        <v>-4</v>
      </c>
      <c r="AE5">
        <v>7</v>
      </c>
      <c r="AF5">
        <v>7</v>
      </c>
      <c r="AG5">
        <v>0</v>
      </c>
      <c r="AH5">
        <v>9</v>
      </c>
      <c r="AI5">
        <v>10</v>
      </c>
      <c r="AJ5">
        <v>-1</v>
      </c>
      <c r="AK5" t="s">
        <v>222</v>
      </c>
      <c r="AL5" t="s">
        <v>223</v>
      </c>
      <c r="AM5" t="s">
        <v>224</v>
      </c>
      <c r="AN5" t="s">
        <v>225</v>
      </c>
      <c r="AO5" t="s">
        <v>226</v>
      </c>
      <c r="AP5" t="s">
        <v>227</v>
      </c>
      <c r="AQ5" t="s">
        <v>228</v>
      </c>
      <c r="AR5" t="s">
        <v>229</v>
      </c>
      <c r="AS5" t="s">
        <v>230</v>
      </c>
    </row>
    <row r="6" spans="1:45" x14ac:dyDescent="0.45">
      <c r="A6">
        <v>5</v>
      </c>
      <c r="B6">
        <v>46</v>
      </c>
      <c r="C6" t="s">
        <v>72</v>
      </c>
      <c r="D6" t="s">
        <v>81</v>
      </c>
      <c r="E6" t="s">
        <v>74</v>
      </c>
      <c r="F6" t="s">
        <v>77</v>
      </c>
      <c r="G6" t="s">
        <v>76</v>
      </c>
      <c r="H6">
        <v>12</v>
      </c>
      <c r="I6">
        <v>0</v>
      </c>
      <c r="J6">
        <v>8</v>
      </c>
      <c r="K6">
        <v>9</v>
      </c>
      <c r="L6">
        <v>-1</v>
      </c>
      <c r="M6">
        <v>9</v>
      </c>
      <c r="N6">
        <v>9</v>
      </c>
      <c r="O6">
        <v>0</v>
      </c>
      <c r="P6">
        <v>7</v>
      </c>
      <c r="Q6">
        <v>10</v>
      </c>
      <c r="R6">
        <v>-3</v>
      </c>
      <c r="S6">
        <v>9</v>
      </c>
      <c r="T6">
        <v>9</v>
      </c>
      <c r="U6">
        <v>0</v>
      </c>
      <c r="V6">
        <v>8</v>
      </c>
      <c r="W6">
        <v>9</v>
      </c>
      <c r="X6">
        <v>-1</v>
      </c>
      <c r="Y6">
        <v>9</v>
      </c>
      <c r="Z6">
        <v>9</v>
      </c>
      <c r="AA6">
        <v>0</v>
      </c>
      <c r="AB6">
        <v>8</v>
      </c>
      <c r="AC6">
        <v>9</v>
      </c>
      <c r="AD6">
        <v>-1</v>
      </c>
      <c r="AE6">
        <v>9</v>
      </c>
      <c r="AF6">
        <v>9</v>
      </c>
      <c r="AG6">
        <v>0</v>
      </c>
      <c r="AH6">
        <v>8</v>
      </c>
      <c r="AI6">
        <v>9</v>
      </c>
      <c r="AJ6">
        <v>-1</v>
      </c>
      <c r="AK6" t="s">
        <v>231</v>
      </c>
      <c r="AL6" t="s">
        <v>232</v>
      </c>
      <c r="AM6" t="s">
        <v>233</v>
      </c>
      <c r="AN6" t="s">
        <v>234</v>
      </c>
      <c r="AO6" t="s">
        <v>235</v>
      </c>
      <c r="AP6" t="s">
        <v>236</v>
      </c>
      <c r="AQ6" t="s">
        <v>237</v>
      </c>
      <c r="AR6" t="s">
        <v>238</v>
      </c>
      <c r="AS6" t="s">
        <v>239</v>
      </c>
    </row>
    <row r="7" spans="1:45" x14ac:dyDescent="0.45">
      <c r="A7">
        <v>6</v>
      </c>
      <c r="B7">
        <v>47</v>
      </c>
      <c r="C7" t="s">
        <v>72</v>
      </c>
      <c r="D7" t="s">
        <v>73</v>
      </c>
      <c r="E7" t="s">
        <v>74</v>
      </c>
      <c r="F7" t="s">
        <v>75</v>
      </c>
      <c r="G7" t="s">
        <v>76</v>
      </c>
      <c r="H7">
        <v>89.18610610127881</v>
      </c>
      <c r="I7">
        <v>4</v>
      </c>
      <c r="J7">
        <v>7</v>
      </c>
      <c r="K7">
        <v>8</v>
      </c>
      <c r="L7">
        <v>-1</v>
      </c>
      <c r="N7">
        <v>8</v>
      </c>
      <c r="Q7">
        <v>5</v>
      </c>
      <c r="T7">
        <v>8</v>
      </c>
      <c r="W7">
        <v>6</v>
      </c>
      <c r="Z7">
        <v>6</v>
      </c>
      <c r="AC7">
        <v>4</v>
      </c>
      <c r="AF7">
        <v>5</v>
      </c>
      <c r="AI7">
        <v>6</v>
      </c>
      <c r="AK7" t="s">
        <v>202</v>
      </c>
      <c r="AL7" t="s">
        <v>202</v>
      </c>
      <c r="AM7" t="s">
        <v>202</v>
      </c>
      <c r="AN7" t="s">
        <v>202</v>
      </c>
      <c r="AO7" t="s">
        <v>202</v>
      </c>
      <c r="AP7" t="s">
        <v>202</v>
      </c>
      <c r="AQ7" t="s">
        <v>202</v>
      </c>
      <c r="AR7" t="s">
        <v>202</v>
      </c>
      <c r="AS7" t="s">
        <v>202</v>
      </c>
    </row>
    <row r="8" spans="1:45" x14ac:dyDescent="0.45">
      <c r="A8">
        <v>7</v>
      </c>
      <c r="B8">
        <v>48</v>
      </c>
      <c r="C8" t="s">
        <v>72</v>
      </c>
      <c r="D8" t="s">
        <v>73</v>
      </c>
      <c r="E8" t="s">
        <v>74</v>
      </c>
      <c r="F8" t="s">
        <v>77</v>
      </c>
      <c r="G8" t="s">
        <v>76</v>
      </c>
      <c r="H8">
        <v>21.534681572110244</v>
      </c>
      <c r="I8">
        <v>2</v>
      </c>
      <c r="J8">
        <v>9</v>
      </c>
      <c r="K8">
        <v>5</v>
      </c>
      <c r="L8">
        <v>4</v>
      </c>
      <c r="M8">
        <v>8</v>
      </c>
      <c r="N8">
        <v>4</v>
      </c>
      <c r="O8">
        <v>4</v>
      </c>
      <c r="P8">
        <v>9</v>
      </c>
      <c r="Q8">
        <v>4</v>
      </c>
      <c r="R8">
        <v>5</v>
      </c>
      <c r="S8">
        <v>8</v>
      </c>
      <c r="T8">
        <v>6</v>
      </c>
      <c r="U8">
        <v>2</v>
      </c>
      <c r="V8">
        <v>9</v>
      </c>
      <c r="W8">
        <v>6</v>
      </c>
      <c r="X8">
        <v>3</v>
      </c>
      <c r="Y8">
        <v>8</v>
      </c>
      <c r="Z8">
        <v>7</v>
      </c>
      <c r="AA8">
        <v>1</v>
      </c>
      <c r="AB8">
        <v>9</v>
      </c>
      <c r="AC8">
        <v>2</v>
      </c>
      <c r="AD8">
        <v>7</v>
      </c>
      <c r="AE8">
        <v>8</v>
      </c>
      <c r="AF8">
        <v>4</v>
      </c>
      <c r="AG8">
        <v>4</v>
      </c>
      <c r="AH8">
        <v>9</v>
      </c>
      <c r="AI8">
        <v>4</v>
      </c>
      <c r="AJ8">
        <v>5</v>
      </c>
      <c r="AK8" t="s">
        <v>885</v>
      </c>
      <c r="AL8" t="s">
        <v>886</v>
      </c>
      <c r="AM8" t="s">
        <v>887</v>
      </c>
      <c r="AN8" t="s">
        <v>888</v>
      </c>
      <c r="AO8" t="s">
        <v>889</v>
      </c>
      <c r="AP8" t="s">
        <v>890</v>
      </c>
      <c r="AQ8" t="s">
        <v>891</v>
      </c>
      <c r="AR8" t="s">
        <v>892</v>
      </c>
      <c r="AS8" t="s">
        <v>893</v>
      </c>
    </row>
    <row r="9" spans="1:45" x14ac:dyDescent="0.45">
      <c r="A9">
        <v>8</v>
      </c>
      <c r="B9">
        <v>49</v>
      </c>
      <c r="C9" t="s">
        <v>78</v>
      </c>
      <c r="D9" t="s">
        <v>79</v>
      </c>
      <c r="E9" t="s">
        <v>74</v>
      </c>
      <c r="F9" t="s">
        <v>75</v>
      </c>
      <c r="G9" t="s">
        <v>76</v>
      </c>
      <c r="H9">
        <v>12</v>
      </c>
      <c r="I9">
        <v>2</v>
      </c>
      <c r="J9">
        <v>6</v>
      </c>
      <c r="K9">
        <v>1</v>
      </c>
      <c r="L9">
        <v>5</v>
      </c>
      <c r="M9">
        <v>7</v>
      </c>
      <c r="N9">
        <v>1</v>
      </c>
      <c r="O9">
        <v>6</v>
      </c>
      <c r="P9">
        <v>9</v>
      </c>
      <c r="Q9">
        <v>2</v>
      </c>
      <c r="R9">
        <v>7</v>
      </c>
      <c r="S9">
        <v>8</v>
      </c>
      <c r="T9">
        <v>3</v>
      </c>
      <c r="U9">
        <v>5</v>
      </c>
      <c r="V9">
        <v>9</v>
      </c>
      <c r="W9">
        <v>6</v>
      </c>
      <c r="X9">
        <v>3</v>
      </c>
      <c r="Y9">
        <v>8</v>
      </c>
      <c r="Z9">
        <v>2</v>
      </c>
      <c r="AA9">
        <v>6</v>
      </c>
      <c r="AB9">
        <v>9</v>
      </c>
      <c r="AC9">
        <v>7</v>
      </c>
      <c r="AD9">
        <v>2</v>
      </c>
      <c r="AE9">
        <v>8</v>
      </c>
      <c r="AF9">
        <v>3</v>
      </c>
      <c r="AG9">
        <v>5</v>
      </c>
      <c r="AH9">
        <v>9</v>
      </c>
      <c r="AI9">
        <v>3</v>
      </c>
      <c r="AJ9">
        <v>6</v>
      </c>
      <c r="AK9" t="s">
        <v>240</v>
      </c>
      <c r="AL9" t="s">
        <v>241</v>
      </c>
      <c r="AM9" t="s">
        <v>242</v>
      </c>
      <c r="AN9" t="s">
        <v>243</v>
      </c>
      <c r="AO9" t="s">
        <v>244</v>
      </c>
      <c r="AP9" t="s">
        <v>245</v>
      </c>
      <c r="AQ9" t="s">
        <v>246</v>
      </c>
      <c r="AR9" t="s">
        <v>247</v>
      </c>
      <c r="AS9" t="s">
        <v>248</v>
      </c>
    </row>
    <row r="10" spans="1:45" x14ac:dyDescent="0.45">
      <c r="A10">
        <v>9</v>
      </c>
      <c r="B10">
        <v>50</v>
      </c>
      <c r="C10" t="s">
        <v>72</v>
      </c>
      <c r="D10" t="s">
        <v>81</v>
      </c>
      <c r="E10" t="s">
        <v>80</v>
      </c>
      <c r="F10" t="s">
        <v>77</v>
      </c>
      <c r="G10" t="s">
        <v>162</v>
      </c>
      <c r="H10">
        <v>15.095756759677263</v>
      </c>
      <c r="I10">
        <v>1</v>
      </c>
      <c r="J10">
        <v>7</v>
      </c>
      <c r="K10">
        <v>10</v>
      </c>
      <c r="L10">
        <v>-3</v>
      </c>
      <c r="M10">
        <v>8</v>
      </c>
      <c r="N10">
        <v>10</v>
      </c>
      <c r="O10">
        <v>-2</v>
      </c>
      <c r="P10">
        <v>6</v>
      </c>
      <c r="Q10">
        <v>8</v>
      </c>
      <c r="R10">
        <v>-2</v>
      </c>
      <c r="S10">
        <v>9</v>
      </c>
      <c r="T10">
        <v>7</v>
      </c>
      <c r="U10">
        <v>2</v>
      </c>
      <c r="V10">
        <v>7</v>
      </c>
      <c r="W10">
        <v>7</v>
      </c>
      <c r="X10">
        <v>0</v>
      </c>
      <c r="Y10">
        <v>9</v>
      </c>
      <c r="Z10">
        <v>5</v>
      </c>
      <c r="AA10">
        <v>4</v>
      </c>
      <c r="AB10">
        <v>8</v>
      </c>
      <c r="AC10">
        <v>5</v>
      </c>
      <c r="AD10">
        <v>3</v>
      </c>
      <c r="AE10">
        <v>7</v>
      </c>
      <c r="AF10">
        <v>9</v>
      </c>
      <c r="AG10">
        <v>-2</v>
      </c>
      <c r="AH10">
        <v>9</v>
      </c>
      <c r="AI10">
        <v>8</v>
      </c>
      <c r="AJ10">
        <v>1</v>
      </c>
      <c r="AK10" t="s">
        <v>704</v>
      </c>
      <c r="AL10" t="s">
        <v>705</v>
      </c>
      <c r="AM10" t="s">
        <v>706</v>
      </c>
      <c r="AN10" t="s">
        <v>894</v>
      </c>
      <c r="AO10" t="s">
        <v>895</v>
      </c>
      <c r="AP10" t="s">
        <v>896</v>
      </c>
      <c r="AQ10" t="s">
        <v>897</v>
      </c>
      <c r="AR10" t="s">
        <v>898</v>
      </c>
      <c r="AS10" t="s">
        <v>899</v>
      </c>
    </row>
    <row r="11" spans="1:45" x14ac:dyDescent="0.45">
      <c r="A11">
        <v>10</v>
      </c>
      <c r="B11">
        <v>51</v>
      </c>
      <c r="C11" t="s">
        <v>72</v>
      </c>
      <c r="D11" t="s">
        <v>81</v>
      </c>
      <c r="E11" t="s">
        <v>74</v>
      </c>
      <c r="F11" t="s">
        <v>77</v>
      </c>
      <c r="G11" t="s">
        <v>76</v>
      </c>
      <c r="H11">
        <v>21.540417785271543</v>
      </c>
      <c r="I11">
        <v>0</v>
      </c>
      <c r="J11">
        <v>7</v>
      </c>
      <c r="K11">
        <v>7</v>
      </c>
      <c r="L11">
        <v>0</v>
      </c>
      <c r="M11">
        <v>8</v>
      </c>
      <c r="N11">
        <v>10</v>
      </c>
      <c r="O11">
        <v>-2</v>
      </c>
      <c r="P11">
        <v>9</v>
      </c>
      <c r="Q11">
        <v>1</v>
      </c>
      <c r="R11">
        <v>8</v>
      </c>
      <c r="S11">
        <v>10</v>
      </c>
      <c r="T11">
        <v>5</v>
      </c>
      <c r="U11">
        <v>5</v>
      </c>
      <c r="V11">
        <v>8</v>
      </c>
      <c r="W11">
        <v>8</v>
      </c>
      <c r="X11">
        <v>0</v>
      </c>
      <c r="Y11">
        <v>9</v>
      </c>
      <c r="Z11">
        <v>5</v>
      </c>
      <c r="AA11">
        <v>4</v>
      </c>
      <c r="AB11">
        <v>7</v>
      </c>
      <c r="AC11">
        <v>5</v>
      </c>
      <c r="AD11">
        <v>2</v>
      </c>
      <c r="AE11">
        <v>9</v>
      </c>
      <c r="AF11">
        <v>5</v>
      </c>
      <c r="AG11">
        <v>4</v>
      </c>
      <c r="AH11">
        <v>9</v>
      </c>
      <c r="AI11">
        <v>10</v>
      </c>
      <c r="AJ11">
        <v>-1</v>
      </c>
      <c r="AK11" t="s">
        <v>900</v>
      </c>
      <c r="AL11" t="s">
        <v>901</v>
      </c>
      <c r="AM11" t="s">
        <v>902</v>
      </c>
      <c r="AN11" t="s">
        <v>903</v>
      </c>
      <c r="AO11" t="s">
        <v>904</v>
      </c>
      <c r="AP11" t="s">
        <v>905</v>
      </c>
      <c r="AQ11" t="s">
        <v>906</v>
      </c>
      <c r="AR11" t="s">
        <v>907</v>
      </c>
      <c r="AS11" t="s">
        <v>908</v>
      </c>
    </row>
    <row r="12" spans="1:45" x14ac:dyDescent="0.45">
      <c r="A12">
        <v>11</v>
      </c>
      <c r="B12">
        <v>52</v>
      </c>
      <c r="C12" t="s">
        <v>78</v>
      </c>
      <c r="D12" t="s">
        <v>73</v>
      </c>
      <c r="E12" t="s">
        <v>74</v>
      </c>
      <c r="F12" t="s">
        <v>75</v>
      </c>
      <c r="G12" t="s">
        <v>162</v>
      </c>
      <c r="H12">
        <v>41.474603139272951</v>
      </c>
      <c r="I12">
        <v>4</v>
      </c>
      <c r="J12">
        <v>9</v>
      </c>
      <c r="K12">
        <v>10</v>
      </c>
      <c r="L12">
        <v>-1</v>
      </c>
      <c r="M12">
        <v>8</v>
      </c>
      <c r="N12">
        <v>3</v>
      </c>
      <c r="O12">
        <v>5</v>
      </c>
      <c r="P12">
        <v>9</v>
      </c>
      <c r="Q12">
        <v>1</v>
      </c>
      <c r="R12">
        <v>8</v>
      </c>
      <c r="S12">
        <v>8</v>
      </c>
      <c r="T12">
        <v>7</v>
      </c>
      <c r="U12">
        <v>1</v>
      </c>
      <c r="V12">
        <v>9</v>
      </c>
      <c r="W12">
        <v>1</v>
      </c>
      <c r="X12">
        <v>8</v>
      </c>
      <c r="Y12">
        <v>8</v>
      </c>
      <c r="Z12">
        <v>5</v>
      </c>
      <c r="AA12">
        <v>3</v>
      </c>
      <c r="AB12">
        <v>9</v>
      </c>
      <c r="AC12">
        <v>1</v>
      </c>
      <c r="AD12">
        <v>8</v>
      </c>
      <c r="AE12">
        <v>8</v>
      </c>
      <c r="AF12">
        <v>8</v>
      </c>
      <c r="AG12">
        <v>0</v>
      </c>
      <c r="AH12">
        <v>9</v>
      </c>
      <c r="AI12">
        <v>6</v>
      </c>
      <c r="AJ12">
        <v>3</v>
      </c>
      <c r="AK12" t="s">
        <v>909</v>
      </c>
      <c r="AL12" t="s">
        <v>910</v>
      </c>
      <c r="AM12" t="s">
        <v>911</v>
      </c>
      <c r="AN12" t="s">
        <v>912</v>
      </c>
      <c r="AO12" t="s">
        <v>913</v>
      </c>
      <c r="AP12" t="s">
        <v>914</v>
      </c>
      <c r="AQ12" t="s">
        <v>915</v>
      </c>
      <c r="AR12" t="s">
        <v>916</v>
      </c>
      <c r="AS12" t="s">
        <v>917</v>
      </c>
    </row>
    <row r="13" spans="1:45" x14ac:dyDescent="0.45">
      <c r="A13">
        <v>12</v>
      </c>
      <c r="B13">
        <v>53</v>
      </c>
      <c r="C13" t="s">
        <v>72</v>
      </c>
      <c r="D13" t="s">
        <v>189</v>
      </c>
      <c r="E13" t="s">
        <v>74</v>
      </c>
      <c r="F13" t="s">
        <v>77</v>
      </c>
      <c r="G13" t="s">
        <v>76</v>
      </c>
      <c r="H13">
        <v>12</v>
      </c>
      <c r="I13">
        <v>0</v>
      </c>
      <c r="J13">
        <v>9</v>
      </c>
      <c r="K13">
        <v>5</v>
      </c>
      <c r="L13">
        <v>4</v>
      </c>
      <c r="M13">
        <v>8</v>
      </c>
      <c r="N13">
        <v>8</v>
      </c>
      <c r="O13">
        <v>0</v>
      </c>
      <c r="P13">
        <v>9</v>
      </c>
      <c r="Q13">
        <v>5</v>
      </c>
      <c r="R13">
        <v>4</v>
      </c>
      <c r="S13">
        <v>8</v>
      </c>
      <c r="T13">
        <v>5</v>
      </c>
      <c r="U13">
        <v>3</v>
      </c>
      <c r="V13">
        <v>9</v>
      </c>
      <c r="W13">
        <v>6</v>
      </c>
      <c r="X13">
        <v>3</v>
      </c>
      <c r="Y13">
        <v>8</v>
      </c>
      <c r="Z13">
        <v>5</v>
      </c>
      <c r="AA13">
        <v>3</v>
      </c>
      <c r="AB13">
        <v>9</v>
      </c>
      <c r="AC13">
        <v>5</v>
      </c>
      <c r="AD13">
        <v>4</v>
      </c>
      <c r="AE13">
        <v>8</v>
      </c>
      <c r="AF13">
        <v>5</v>
      </c>
      <c r="AG13">
        <v>3</v>
      </c>
      <c r="AH13">
        <v>9</v>
      </c>
      <c r="AI13">
        <v>5</v>
      </c>
      <c r="AJ13">
        <v>4</v>
      </c>
      <c r="AK13" t="s">
        <v>249</v>
      </c>
      <c r="AL13" t="s">
        <v>250</v>
      </c>
      <c r="AM13" t="s">
        <v>251</v>
      </c>
      <c r="AN13" t="s">
        <v>252</v>
      </c>
      <c r="AO13" t="s">
        <v>253</v>
      </c>
      <c r="AP13" t="s">
        <v>254</v>
      </c>
      <c r="AQ13" t="s">
        <v>255</v>
      </c>
      <c r="AR13" t="s">
        <v>256</v>
      </c>
      <c r="AS13" t="s">
        <v>257</v>
      </c>
    </row>
    <row r="14" spans="1:45" x14ac:dyDescent="0.45">
      <c r="A14">
        <v>13</v>
      </c>
      <c r="B14">
        <v>54</v>
      </c>
      <c r="C14" t="s">
        <v>72</v>
      </c>
      <c r="D14" t="s">
        <v>189</v>
      </c>
      <c r="E14" t="s">
        <v>74</v>
      </c>
      <c r="F14" t="s">
        <v>77</v>
      </c>
      <c r="G14" t="s">
        <v>76</v>
      </c>
      <c r="H14">
        <v>12</v>
      </c>
      <c r="I14">
        <v>0</v>
      </c>
      <c r="J14">
        <v>5</v>
      </c>
      <c r="K14">
        <v>8</v>
      </c>
      <c r="L14">
        <v>-3</v>
      </c>
      <c r="M14">
        <v>6</v>
      </c>
      <c r="N14">
        <v>7</v>
      </c>
      <c r="O14">
        <v>-1</v>
      </c>
      <c r="P14">
        <v>8</v>
      </c>
      <c r="Q14">
        <v>7</v>
      </c>
      <c r="R14">
        <v>1</v>
      </c>
      <c r="S14">
        <v>7</v>
      </c>
      <c r="T14">
        <v>7</v>
      </c>
      <c r="U14">
        <v>0</v>
      </c>
      <c r="V14">
        <v>9</v>
      </c>
      <c r="W14">
        <v>7</v>
      </c>
      <c r="X14">
        <v>2</v>
      </c>
      <c r="Y14">
        <v>8</v>
      </c>
      <c r="Z14">
        <v>8</v>
      </c>
      <c r="AA14">
        <v>0</v>
      </c>
      <c r="AB14">
        <v>9</v>
      </c>
      <c r="AC14">
        <v>7</v>
      </c>
      <c r="AD14">
        <v>2</v>
      </c>
      <c r="AE14">
        <v>7</v>
      </c>
      <c r="AF14">
        <v>7</v>
      </c>
      <c r="AG14">
        <v>0</v>
      </c>
      <c r="AH14">
        <v>9</v>
      </c>
      <c r="AI14">
        <v>7</v>
      </c>
      <c r="AJ14">
        <v>2</v>
      </c>
      <c r="AK14" t="s">
        <v>258</v>
      </c>
      <c r="AL14" t="s">
        <v>259</v>
      </c>
      <c r="AM14" t="s">
        <v>260</v>
      </c>
      <c r="AN14" t="s">
        <v>261</v>
      </c>
      <c r="AO14" t="s">
        <v>262</v>
      </c>
      <c r="AP14" t="s">
        <v>263</v>
      </c>
      <c r="AQ14" t="s">
        <v>82</v>
      </c>
      <c r="AR14" t="s">
        <v>264</v>
      </c>
      <c r="AS14" t="s">
        <v>265</v>
      </c>
    </row>
    <row r="15" spans="1:45" x14ac:dyDescent="0.45">
      <c r="A15">
        <v>14</v>
      </c>
      <c r="B15">
        <v>55</v>
      </c>
      <c r="C15" t="s">
        <v>72</v>
      </c>
      <c r="D15" t="s">
        <v>73</v>
      </c>
      <c r="E15" t="s">
        <v>74</v>
      </c>
      <c r="F15" t="s">
        <v>75</v>
      </c>
      <c r="G15" t="s">
        <v>76</v>
      </c>
      <c r="H15">
        <v>19.483840115751267</v>
      </c>
      <c r="I15">
        <v>0</v>
      </c>
      <c r="J15">
        <v>7</v>
      </c>
      <c r="K15">
        <v>10</v>
      </c>
      <c r="L15">
        <v>-3</v>
      </c>
      <c r="M15">
        <v>6</v>
      </c>
      <c r="N15">
        <v>10</v>
      </c>
      <c r="O15">
        <v>-4</v>
      </c>
      <c r="P15">
        <v>8</v>
      </c>
      <c r="Q15">
        <v>8</v>
      </c>
      <c r="R15">
        <v>0</v>
      </c>
      <c r="S15">
        <v>9</v>
      </c>
      <c r="T15">
        <v>8</v>
      </c>
      <c r="U15">
        <v>1</v>
      </c>
      <c r="V15">
        <v>6</v>
      </c>
      <c r="W15">
        <v>8</v>
      </c>
      <c r="X15">
        <v>-2</v>
      </c>
      <c r="Y15">
        <v>8</v>
      </c>
      <c r="Z15">
        <v>6</v>
      </c>
      <c r="AA15">
        <v>2</v>
      </c>
      <c r="AB15">
        <v>7</v>
      </c>
      <c r="AC15">
        <v>6</v>
      </c>
      <c r="AD15">
        <v>1</v>
      </c>
      <c r="AE15">
        <v>6</v>
      </c>
      <c r="AF15">
        <v>5</v>
      </c>
      <c r="AG15">
        <v>1</v>
      </c>
      <c r="AH15">
        <v>8</v>
      </c>
      <c r="AI15">
        <v>5</v>
      </c>
      <c r="AJ15">
        <v>3</v>
      </c>
      <c r="AK15" t="s">
        <v>918</v>
      </c>
      <c r="AL15" t="s">
        <v>919</v>
      </c>
      <c r="AM15" t="s">
        <v>920</v>
      </c>
      <c r="AN15" t="s">
        <v>921</v>
      </c>
      <c r="AO15" t="s">
        <v>922</v>
      </c>
      <c r="AP15" t="s">
        <v>923</v>
      </c>
      <c r="AQ15" t="s">
        <v>924</v>
      </c>
      <c r="AR15" t="s">
        <v>925</v>
      </c>
      <c r="AS15" t="s">
        <v>926</v>
      </c>
    </row>
    <row r="16" spans="1:45" x14ac:dyDescent="0.45">
      <c r="A16">
        <v>15</v>
      </c>
      <c r="B16">
        <v>56</v>
      </c>
      <c r="C16" t="s">
        <v>78</v>
      </c>
      <c r="D16" t="s">
        <v>73</v>
      </c>
      <c r="E16" t="s">
        <v>74</v>
      </c>
      <c r="F16" t="s">
        <v>75</v>
      </c>
      <c r="G16" t="s">
        <v>76</v>
      </c>
      <c r="H16">
        <v>36.542032616513914</v>
      </c>
      <c r="I16">
        <v>2</v>
      </c>
      <c r="J16">
        <v>7</v>
      </c>
      <c r="K16">
        <v>7</v>
      </c>
      <c r="L16">
        <v>0</v>
      </c>
      <c r="M16">
        <v>8</v>
      </c>
      <c r="N16">
        <v>9</v>
      </c>
      <c r="O16">
        <v>-1</v>
      </c>
      <c r="P16">
        <v>6</v>
      </c>
      <c r="Q16">
        <v>3</v>
      </c>
      <c r="R16">
        <v>3</v>
      </c>
      <c r="S16">
        <v>9</v>
      </c>
      <c r="T16">
        <v>6</v>
      </c>
      <c r="U16">
        <v>3</v>
      </c>
      <c r="V16">
        <v>7</v>
      </c>
      <c r="W16">
        <v>1</v>
      </c>
      <c r="X16">
        <v>6</v>
      </c>
      <c r="Y16">
        <v>9</v>
      </c>
      <c r="Z16">
        <v>1</v>
      </c>
      <c r="AA16">
        <v>8</v>
      </c>
      <c r="AB16">
        <v>8</v>
      </c>
      <c r="AC16">
        <v>1</v>
      </c>
      <c r="AD16">
        <v>7</v>
      </c>
      <c r="AE16">
        <v>7</v>
      </c>
      <c r="AF16">
        <v>1</v>
      </c>
      <c r="AG16">
        <v>6</v>
      </c>
      <c r="AH16">
        <v>9</v>
      </c>
      <c r="AI16">
        <v>1</v>
      </c>
      <c r="AJ16">
        <v>8</v>
      </c>
      <c r="AK16" t="s">
        <v>927</v>
      </c>
      <c r="AL16" t="s">
        <v>928</v>
      </c>
      <c r="AM16" t="s">
        <v>929</v>
      </c>
      <c r="AN16" t="s">
        <v>930</v>
      </c>
      <c r="AO16" t="s">
        <v>931</v>
      </c>
      <c r="AP16" t="s">
        <v>932</v>
      </c>
      <c r="AQ16" t="s">
        <v>933</v>
      </c>
      <c r="AR16" t="s">
        <v>934</v>
      </c>
      <c r="AS16" t="s">
        <v>935</v>
      </c>
    </row>
    <row r="17" spans="1:45" x14ac:dyDescent="0.45">
      <c r="A17">
        <v>16</v>
      </c>
      <c r="B17">
        <v>57</v>
      </c>
      <c r="C17" t="s">
        <v>78</v>
      </c>
      <c r="D17" t="s">
        <v>79</v>
      </c>
      <c r="E17" t="s">
        <v>74</v>
      </c>
      <c r="F17" t="s">
        <v>75</v>
      </c>
      <c r="G17" t="s">
        <v>76</v>
      </c>
      <c r="H17">
        <v>91.383156706793713</v>
      </c>
      <c r="I17">
        <v>4</v>
      </c>
      <c r="J17">
        <v>8</v>
      </c>
      <c r="K17">
        <v>8</v>
      </c>
      <c r="L17">
        <v>0</v>
      </c>
      <c r="M17">
        <v>9</v>
      </c>
      <c r="N17">
        <v>8</v>
      </c>
      <c r="O17">
        <v>1</v>
      </c>
      <c r="P17">
        <v>9</v>
      </c>
      <c r="Q17">
        <v>8</v>
      </c>
      <c r="R17">
        <v>1</v>
      </c>
      <c r="S17">
        <v>10</v>
      </c>
      <c r="T17">
        <v>9</v>
      </c>
      <c r="U17">
        <v>1</v>
      </c>
      <c r="V17">
        <v>9</v>
      </c>
      <c r="W17">
        <v>7</v>
      </c>
      <c r="X17">
        <v>2</v>
      </c>
      <c r="Y17">
        <v>8</v>
      </c>
      <c r="Z17">
        <v>7</v>
      </c>
      <c r="AA17">
        <v>1</v>
      </c>
      <c r="AB17">
        <v>9</v>
      </c>
      <c r="AC17">
        <v>9</v>
      </c>
      <c r="AD17">
        <v>0</v>
      </c>
      <c r="AE17">
        <v>8</v>
      </c>
      <c r="AF17">
        <v>8</v>
      </c>
      <c r="AG17">
        <v>0</v>
      </c>
      <c r="AH17">
        <v>9</v>
      </c>
      <c r="AI17">
        <v>7</v>
      </c>
      <c r="AJ17">
        <v>2</v>
      </c>
      <c r="AK17" t="s">
        <v>936</v>
      </c>
      <c r="AL17" t="s">
        <v>937</v>
      </c>
      <c r="AM17" t="s">
        <v>938</v>
      </c>
      <c r="AN17" t="s">
        <v>939</v>
      </c>
      <c r="AO17" t="s">
        <v>940</v>
      </c>
      <c r="AP17" t="s">
        <v>941</v>
      </c>
      <c r="AQ17" t="s">
        <v>942</v>
      </c>
      <c r="AR17" t="s">
        <v>943</v>
      </c>
      <c r="AS17" t="s">
        <v>944</v>
      </c>
    </row>
    <row r="18" spans="1:45" x14ac:dyDescent="0.45">
      <c r="A18">
        <v>17</v>
      </c>
      <c r="B18">
        <v>58</v>
      </c>
      <c r="C18" t="s">
        <v>72</v>
      </c>
      <c r="D18" t="s">
        <v>81</v>
      </c>
      <c r="E18" t="s">
        <v>74</v>
      </c>
      <c r="F18" t="s">
        <v>77</v>
      </c>
      <c r="G18" t="s">
        <v>76</v>
      </c>
      <c r="H18">
        <v>19.406149604180847</v>
      </c>
      <c r="I18">
        <v>2</v>
      </c>
      <c r="J18">
        <v>8</v>
      </c>
      <c r="K18">
        <v>6</v>
      </c>
      <c r="L18">
        <v>2</v>
      </c>
      <c r="M18">
        <v>9</v>
      </c>
      <c r="N18">
        <v>7</v>
      </c>
      <c r="O18">
        <v>2</v>
      </c>
      <c r="P18">
        <v>8</v>
      </c>
      <c r="Q18">
        <v>5</v>
      </c>
      <c r="R18">
        <v>3</v>
      </c>
      <c r="S18">
        <v>9</v>
      </c>
      <c r="T18">
        <v>5</v>
      </c>
      <c r="U18">
        <v>4</v>
      </c>
      <c r="V18">
        <v>8</v>
      </c>
      <c r="W18">
        <v>6</v>
      </c>
      <c r="X18">
        <v>2</v>
      </c>
      <c r="Y18">
        <v>9</v>
      </c>
      <c r="Z18">
        <v>7</v>
      </c>
      <c r="AA18">
        <v>2</v>
      </c>
      <c r="AB18">
        <v>8</v>
      </c>
      <c r="AC18">
        <v>3</v>
      </c>
      <c r="AD18">
        <v>5</v>
      </c>
      <c r="AE18">
        <v>9</v>
      </c>
      <c r="AF18">
        <v>4</v>
      </c>
      <c r="AG18">
        <v>5</v>
      </c>
      <c r="AH18">
        <v>9</v>
      </c>
      <c r="AI18">
        <v>5</v>
      </c>
      <c r="AJ18">
        <v>4</v>
      </c>
      <c r="AK18" t="s">
        <v>945</v>
      </c>
      <c r="AL18" t="s">
        <v>946</v>
      </c>
      <c r="AM18" t="s">
        <v>947</v>
      </c>
      <c r="AN18" t="s">
        <v>948</v>
      </c>
      <c r="AO18" t="s">
        <v>949</v>
      </c>
      <c r="AP18" t="s">
        <v>950</v>
      </c>
      <c r="AQ18" t="s">
        <v>951</v>
      </c>
      <c r="AR18" t="s">
        <v>952</v>
      </c>
      <c r="AS18" t="s">
        <v>953</v>
      </c>
    </row>
    <row r="19" spans="1:45" x14ac:dyDescent="0.45">
      <c r="A19">
        <v>18</v>
      </c>
      <c r="B19">
        <v>59</v>
      </c>
      <c r="C19" t="s">
        <v>78</v>
      </c>
      <c r="D19" t="s">
        <v>79</v>
      </c>
      <c r="E19" t="s">
        <v>74</v>
      </c>
      <c r="F19" t="s">
        <v>77</v>
      </c>
      <c r="G19" t="s">
        <v>162</v>
      </c>
      <c r="H19">
        <v>15.487894146924615</v>
      </c>
      <c r="I19">
        <v>0</v>
      </c>
      <c r="J19">
        <v>7</v>
      </c>
      <c r="K19">
        <v>6</v>
      </c>
      <c r="L19">
        <v>1</v>
      </c>
      <c r="M19">
        <v>8</v>
      </c>
      <c r="N19">
        <v>8</v>
      </c>
      <c r="O19">
        <v>0</v>
      </c>
      <c r="P19">
        <v>7</v>
      </c>
      <c r="Q19">
        <v>7</v>
      </c>
      <c r="R19">
        <v>0</v>
      </c>
      <c r="S19">
        <v>9</v>
      </c>
      <c r="T19">
        <v>8</v>
      </c>
      <c r="U19">
        <v>1</v>
      </c>
      <c r="V19">
        <v>6</v>
      </c>
      <c r="W19">
        <v>8</v>
      </c>
      <c r="X19">
        <v>-2</v>
      </c>
      <c r="Y19">
        <v>8</v>
      </c>
      <c r="Z19">
        <v>7</v>
      </c>
      <c r="AA19">
        <v>1</v>
      </c>
      <c r="AB19">
        <v>7</v>
      </c>
      <c r="AC19">
        <v>7</v>
      </c>
      <c r="AD19">
        <v>0</v>
      </c>
      <c r="AE19">
        <v>6</v>
      </c>
      <c r="AF19">
        <v>6</v>
      </c>
      <c r="AG19">
        <v>0</v>
      </c>
      <c r="AH19">
        <v>9</v>
      </c>
      <c r="AI19">
        <v>8</v>
      </c>
      <c r="AJ19">
        <v>1</v>
      </c>
      <c r="AK19" t="s">
        <v>954</v>
      </c>
      <c r="AL19" t="s">
        <v>955</v>
      </c>
      <c r="AM19" t="s">
        <v>956</v>
      </c>
      <c r="AN19" t="s">
        <v>957</v>
      </c>
      <c r="AO19" t="s">
        <v>958</v>
      </c>
      <c r="AP19" t="s">
        <v>959</v>
      </c>
      <c r="AQ19" t="s">
        <v>960</v>
      </c>
      <c r="AR19" t="s">
        <v>961</v>
      </c>
      <c r="AS19" t="s">
        <v>962</v>
      </c>
    </row>
    <row r="20" spans="1:45" x14ac:dyDescent="0.45">
      <c r="A20">
        <v>19</v>
      </c>
      <c r="B20">
        <v>60</v>
      </c>
      <c r="C20" t="s">
        <v>78</v>
      </c>
      <c r="D20" t="s">
        <v>79</v>
      </c>
      <c r="E20" t="s">
        <v>74</v>
      </c>
      <c r="F20" t="s">
        <v>77</v>
      </c>
      <c r="G20" t="s">
        <v>76</v>
      </c>
      <c r="H20">
        <v>210.91384645517641</v>
      </c>
      <c r="I20">
        <v>4</v>
      </c>
      <c r="J20">
        <v>7</v>
      </c>
      <c r="K20">
        <v>10</v>
      </c>
      <c r="L20">
        <v>-3</v>
      </c>
      <c r="M20">
        <v>6</v>
      </c>
      <c r="N20">
        <v>10</v>
      </c>
      <c r="O20">
        <v>-4</v>
      </c>
      <c r="P20">
        <v>8</v>
      </c>
      <c r="Q20">
        <v>5</v>
      </c>
      <c r="R20">
        <v>3</v>
      </c>
      <c r="S20">
        <v>9</v>
      </c>
      <c r="T20">
        <v>5</v>
      </c>
      <c r="U20">
        <v>4</v>
      </c>
      <c r="V20">
        <v>8</v>
      </c>
      <c r="W20">
        <v>5</v>
      </c>
      <c r="X20">
        <v>3</v>
      </c>
      <c r="Y20">
        <v>9</v>
      </c>
      <c r="Z20">
        <v>3</v>
      </c>
      <c r="AA20">
        <v>6</v>
      </c>
      <c r="AB20">
        <v>7</v>
      </c>
      <c r="AC20">
        <v>2</v>
      </c>
      <c r="AD20">
        <v>5</v>
      </c>
      <c r="AE20">
        <v>8</v>
      </c>
      <c r="AF20">
        <v>5</v>
      </c>
      <c r="AG20">
        <v>3</v>
      </c>
      <c r="AH20">
        <v>9</v>
      </c>
      <c r="AI20">
        <v>8</v>
      </c>
      <c r="AJ20">
        <v>1</v>
      </c>
      <c r="AK20" t="s">
        <v>963</v>
      </c>
      <c r="AL20" t="s">
        <v>964</v>
      </c>
      <c r="AM20" t="s">
        <v>965</v>
      </c>
      <c r="AN20" t="s">
        <v>966</v>
      </c>
      <c r="AO20" t="s">
        <v>967</v>
      </c>
      <c r="AP20" t="s">
        <v>968</v>
      </c>
      <c r="AQ20" t="s">
        <v>969</v>
      </c>
      <c r="AR20" t="s">
        <v>970</v>
      </c>
      <c r="AS20" t="s">
        <v>971</v>
      </c>
    </row>
    <row r="21" spans="1:45" x14ac:dyDescent="0.45">
      <c r="A21">
        <v>20</v>
      </c>
      <c r="B21">
        <v>61</v>
      </c>
      <c r="C21" t="s">
        <v>78</v>
      </c>
      <c r="D21" t="s">
        <v>73</v>
      </c>
      <c r="E21" t="s">
        <v>74</v>
      </c>
      <c r="F21" t="s">
        <v>75</v>
      </c>
      <c r="G21" t="s">
        <v>76</v>
      </c>
      <c r="H21">
        <v>65.060057414795708</v>
      </c>
      <c r="I21">
        <v>2</v>
      </c>
      <c r="J21">
        <v>7</v>
      </c>
      <c r="K21">
        <v>9</v>
      </c>
      <c r="L21">
        <v>-2</v>
      </c>
      <c r="M21">
        <v>8</v>
      </c>
      <c r="N21">
        <v>9</v>
      </c>
      <c r="O21">
        <v>-1</v>
      </c>
      <c r="P21">
        <v>9</v>
      </c>
      <c r="Q21">
        <v>7</v>
      </c>
      <c r="R21">
        <v>2</v>
      </c>
      <c r="S21">
        <v>9</v>
      </c>
      <c r="T21">
        <v>9</v>
      </c>
      <c r="U21">
        <v>0</v>
      </c>
      <c r="V21">
        <v>7</v>
      </c>
      <c r="W21">
        <v>7</v>
      </c>
      <c r="X21">
        <v>0</v>
      </c>
      <c r="Y21">
        <v>8</v>
      </c>
      <c r="Z21">
        <v>8</v>
      </c>
      <c r="AA21">
        <v>0</v>
      </c>
      <c r="AB21">
        <v>7</v>
      </c>
      <c r="AC21">
        <v>5</v>
      </c>
      <c r="AD21">
        <v>2</v>
      </c>
      <c r="AE21">
        <v>6</v>
      </c>
      <c r="AF21">
        <v>5</v>
      </c>
      <c r="AG21">
        <v>1</v>
      </c>
      <c r="AH21">
        <v>8</v>
      </c>
      <c r="AI21">
        <v>6</v>
      </c>
      <c r="AJ21">
        <v>2</v>
      </c>
      <c r="AK21" t="s">
        <v>972</v>
      </c>
      <c r="AL21" t="s">
        <v>973</v>
      </c>
      <c r="AM21" t="s">
        <v>974</v>
      </c>
      <c r="AN21" t="s">
        <v>975</v>
      </c>
      <c r="AO21" t="s">
        <v>976</v>
      </c>
      <c r="AP21" t="s">
        <v>977</v>
      </c>
      <c r="AQ21" t="s">
        <v>978</v>
      </c>
      <c r="AR21" t="s">
        <v>979</v>
      </c>
      <c r="AS21" t="s">
        <v>980</v>
      </c>
    </row>
    <row r="22" spans="1:45" x14ac:dyDescent="0.45">
      <c r="A22">
        <v>21</v>
      </c>
      <c r="B22">
        <v>62</v>
      </c>
      <c r="C22" t="s">
        <v>72</v>
      </c>
      <c r="D22" t="s">
        <v>79</v>
      </c>
      <c r="E22" t="s">
        <v>74</v>
      </c>
      <c r="F22" t="s">
        <v>77</v>
      </c>
      <c r="G22" t="s">
        <v>76</v>
      </c>
      <c r="H22">
        <v>156.3407739523318</v>
      </c>
      <c r="I22">
        <v>3</v>
      </c>
      <c r="J22">
        <v>8</v>
      </c>
      <c r="K22">
        <v>10</v>
      </c>
      <c r="L22">
        <v>-2</v>
      </c>
      <c r="M22">
        <v>9</v>
      </c>
      <c r="N22">
        <v>10</v>
      </c>
      <c r="O22">
        <v>-1</v>
      </c>
      <c r="P22">
        <v>8</v>
      </c>
      <c r="Q22">
        <v>8</v>
      </c>
      <c r="R22">
        <v>0</v>
      </c>
      <c r="S22">
        <v>9</v>
      </c>
      <c r="T22">
        <v>7</v>
      </c>
      <c r="U22">
        <v>2</v>
      </c>
      <c r="V22">
        <v>8</v>
      </c>
      <c r="W22">
        <v>7</v>
      </c>
      <c r="X22">
        <v>1</v>
      </c>
      <c r="Y22">
        <v>9</v>
      </c>
      <c r="Z22">
        <v>7</v>
      </c>
      <c r="AA22">
        <v>2</v>
      </c>
      <c r="AB22">
        <v>8</v>
      </c>
      <c r="AC22">
        <v>2</v>
      </c>
      <c r="AD22">
        <v>6</v>
      </c>
      <c r="AE22">
        <v>9</v>
      </c>
      <c r="AF22">
        <v>3</v>
      </c>
      <c r="AG22">
        <v>6</v>
      </c>
      <c r="AH22">
        <v>9</v>
      </c>
      <c r="AI22">
        <v>3</v>
      </c>
      <c r="AJ22">
        <v>6</v>
      </c>
      <c r="AK22" t="s">
        <v>707</v>
      </c>
      <c r="AL22" t="s">
        <v>708</v>
      </c>
      <c r="AM22" t="s">
        <v>981</v>
      </c>
      <c r="AN22" t="s">
        <v>982</v>
      </c>
      <c r="AO22" t="s">
        <v>983</v>
      </c>
      <c r="AP22" t="s">
        <v>984</v>
      </c>
      <c r="AQ22" t="s">
        <v>985</v>
      </c>
      <c r="AR22" t="s">
        <v>986</v>
      </c>
      <c r="AS22" t="s">
        <v>987</v>
      </c>
    </row>
    <row r="23" spans="1:45" x14ac:dyDescent="0.45">
      <c r="A23">
        <v>22</v>
      </c>
      <c r="B23">
        <v>63</v>
      </c>
      <c r="C23" t="s">
        <v>72</v>
      </c>
      <c r="D23" t="s">
        <v>189</v>
      </c>
      <c r="E23" t="s">
        <v>74</v>
      </c>
      <c r="F23" t="s">
        <v>77</v>
      </c>
      <c r="G23" t="s">
        <v>76</v>
      </c>
      <c r="H23">
        <v>15.17780202053744</v>
      </c>
      <c r="I23">
        <v>0</v>
      </c>
      <c r="J23">
        <v>7</v>
      </c>
      <c r="K23">
        <v>8</v>
      </c>
      <c r="L23">
        <v>-1</v>
      </c>
      <c r="M23">
        <v>8</v>
      </c>
      <c r="N23">
        <v>8</v>
      </c>
      <c r="O23">
        <v>0</v>
      </c>
      <c r="P23">
        <v>9</v>
      </c>
      <c r="Q23">
        <v>5</v>
      </c>
      <c r="R23">
        <v>4</v>
      </c>
      <c r="S23">
        <v>9</v>
      </c>
      <c r="T23">
        <v>8</v>
      </c>
      <c r="U23">
        <v>1</v>
      </c>
      <c r="V23">
        <v>8</v>
      </c>
      <c r="W23">
        <v>8</v>
      </c>
      <c r="X23">
        <v>0</v>
      </c>
      <c r="Y23">
        <v>9</v>
      </c>
      <c r="Z23">
        <v>8</v>
      </c>
      <c r="AA23">
        <v>1</v>
      </c>
      <c r="AB23">
        <v>8</v>
      </c>
      <c r="AC23">
        <v>8</v>
      </c>
      <c r="AD23">
        <v>0</v>
      </c>
      <c r="AE23">
        <v>7</v>
      </c>
      <c r="AF23">
        <v>8</v>
      </c>
      <c r="AG23">
        <v>-1</v>
      </c>
      <c r="AH23">
        <v>9</v>
      </c>
      <c r="AI23">
        <v>8</v>
      </c>
      <c r="AJ23">
        <v>1</v>
      </c>
      <c r="AK23" t="s">
        <v>988</v>
      </c>
      <c r="AL23" t="s">
        <v>989</v>
      </c>
      <c r="AM23" t="s">
        <v>990</v>
      </c>
      <c r="AN23" t="s">
        <v>991</v>
      </c>
      <c r="AO23" t="s">
        <v>992</v>
      </c>
      <c r="AP23" t="s">
        <v>993</v>
      </c>
      <c r="AQ23" t="s">
        <v>994</v>
      </c>
      <c r="AR23" t="s">
        <v>995</v>
      </c>
      <c r="AS23" t="s">
        <v>996</v>
      </c>
    </row>
    <row r="24" spans="1:45" x14ac:dyDescent="0.45">
      <c r="A24">
        <v>23</v>
      </c>
      <c r="B24">
        <v>64</v>
      </c>
      <c r="C24" t="s">
        <v>72</v>
      </c>
      <c r="D24" t="s">
        <v>79</v>
      </c>
      <c r="E24" t="s">
        <v>74</v>
      </c>
      <c r="F24" t="s">
        <v>75</v>
      </c>
      <c r="G24" t="s">
        <v>76</v>
      </c>
      <c r="H24">
        <v>90.91008276878496</v>
      </c>
      <c r="I24">
        <v>3</v>
      </c>
      <c r="J24">
        <v>8</v>
      </c>
      <c r="K24">
        <v>5</v>
      </c>
      <c r="L24">
        <v>3</v>
      </c>
      <c r="M24">
        <v>7</v>
      </c>
      <c r="N24">
        <v>5</v>
      </c>
      <c r="O24">
        <v>2</v>
      </c>
      <c r="P24">
        <v>9</v>
      </c>
      <c r="Q24">
        <v>5</v>
      </c>
      <c r="R24">
        <v>4</v>
      </c>
      <c r="S24">
        <v>8</v>
      </c>
      <c r="T24">
        <v>5</v>
      </c>
      <c r="U24">
        <v>3</v>
      </c>
      <c r="V24">
        <v>9</v>
      </c>
      <c r="W24">
        <v>5</v>
      </c>
      <c r="X24">
        <v>4</v>
      </c>
      <c r="Y24">
        <v>8</v>
      </c>
      <c r="Z24">
        <v>5</v>
      </c>
      <c r="AA24">
        <v>3</v>
      </c>
      <c r="AB24">
        <v>9</v>
      </c>
      <c r="AC24">
        <v>5</v>
      </c>
      <c r="AD24">
        <v>4</v>
      </c>
      <c r="AE24">
        <v>8</v>
      </c>
      <c r="AF24">
        <v>5</v>
      </c>
      <c r="AG24">
        <v>3</v>
      </c>
      <c r="AH24">
        <v>9</v>
      </c>
      <c r="AI24">
        <v>5</v>
      </c>
      <c r="AJ24">
        <v>4</v>
      </c>
      <c r="AK24" t="s">
        <v>997</v>
      </c>
      <c r="AL24" t="s">
        <v>998</v>
      </c>
      <c r="AM24" t="s">
        <v>999</v>
      </c>
      <c r="AN24" t="s">
        <v>1000</v>
      </c>
      <c r="AO24" t="s">
        <v>1001</v>
      </c>
      <c r="AP24" t="s">
        <v>1002</v>
      </c>
      <c r="AQ24" t="s">
        <v>1003</v>
      </c>
      <c r="AR24" t="s">
        <v>1004</v>
      </c>
      <c r="AS24" t="s">
        <v>1005</v>
      </c>
    </row>
    <row r="25" spans="1:45" x14ac:dyDescent="0.45">
      <c r="A25">
        <v>24</v>
      </c>
      <c r="B25">
        <v>65</v>
      </c>
      <c r="C25" t="s">
        <v>72</v>
      </c>
      <c r="D25" t="s">
        <v>73</v>
      </c>
      <c r="E25" t="s">
        <v>80</v>
      </c>
      <c r="F25" t="s">
        <v>77</v>
      </c>
      <c r="G25" t="s">
        <v>76</v>
      </c>
      <c r="H25">
        <v>24.600300732680093</v>
      </c>
      <c r="I25">
        <v>2</v>
      </c>
      <c r="J25">
        <v>9</v>
      </c>
      <c r="K25">
        <v>9</v>
      </c>
      <c r="L25">
        <v>0</v>
      </c>
      <c r="M25">
        <v>7</v>
      </c>
      <c r="N25">
        <v>8</v>
      </c>
      <c r="O25">
        <v>-1</v>
      </c>
      <c r="P25">
        <v>9</v>
      </c>
      <c r="Q25">
        <v>6</v>
      </c>
      <c r="R25">
        <v>3</v>
      </c>
      <c r="S25">
        <v>8</v>
      </c>
      <c r="T25">
        <v>9</v>
      </c>
      <c r="U25">
        <v>-1</v>
      </c>
      <c r="V25">
        <v>9</v>
      </c>
      <c r="W25">
        <v>8</v>
      </c>
      <c r="X25">
        <v>1</v>
      </c>
      <c r="Y25">
        <v>8</v>
      </c>
      <c r="Z25">
        <v>10</v>
      </c>
      <c r="AA25">
        <v>-2</v>
      </c>
      <c r="AB25">
        <v>9</v>
      </c>
      <c r="AC25">
        <v>6</v>
      </c>
      <c r="AD25">
        <v>3</v>
      </c>
      <c r="AE25">
        <v>8</v>
      </c>
      <c r="AF25">
        <v>6</v>
      </c>
      <c r="AG25">
        <v>2</v>
      </c>
      <c r="AH25">
        <v>9</v>
      </c>
      <c r="AI25">
        <v>8</v>
      </c>
      <c r="AJ25">
        <v>1</v>
      </c>
      <c r="AK25" t="s">
        <v>1006</v>
      </c>
      <c r="AL25" t="s">
        <v>1007</v>
      </c>
      <c r="AM25" t="s">
        <v>1008</v>
      </c>
      <c r="AN25" t="s">
        <v>1009</v>
      </c>
      <c r="AO25" t="s">
        <v>1010</v>
      </c>
      <c r="AP25" t="s">
        <v>1011</v>
      </c>
      <c r="AQ25" t="s">
        <v>1012</v>
      </c>
      <c r="AR25" t="s">
        <v>1013</v>
      </c>
      <c r="AS25" t="s">
        <v>1014</v>
      </c>
    </row>
    <row r="26" spans="1:45" x14ac:dyDescent="0.45">
      <c r="A26">
        <v>25</v>
      </c>
      <c r="B26">
        <v>66</v>
      </c>
      <c r="C26" t="s">
        <v>78</v>
      </c>
      <c r="D26" t="s">
        <v>73</v>
      </c>
      <c r="E26" t="s">
        <v>74</v>
      </c>
      <c r="F26" t="s">
        <v>75</v>
      </c>
      <c r="G26" t="s">
        <v>76</v>
      </c>
      <c r="H26">
        <v>33.604279442095795</v>
      </c>
      <c r="I26">
        <v>1</v>
      </c>
      <c r="J26">
        <v>7</v>
      </c>
      <c r="K26">
        <v>6</v>
      </c>
      <c r="L26">
        <v>1</v>
      </c>
      <c r="M26">
        <v>7</v>
      </c>
      <c r="N26">
        <v>7</v>
      </c>
      <c r="O26">
        <v>0</v>
      </c>
      <c r="P26">
        <v>8</v>
      </c>
      <c r="Q26">
        <v>5</v>
      </c>
      <c r="R26">
        <v>3</v>
      </c>
      <c r="S26">
        <v>9</v>
      </c>
      <c r="T26">
        <v>6</v>
      </c>
      <c r="U26">
        <v>3</v>
      </c>
      <c r="V26">
        <v>8</v>
      </c>
      <c r="W26">
        <v>7</v>
      </c>
      <c r="X26">
        <v>1</v>
      </c>
      <c r="Y26">
        <v>9</v>
      </c>
      <c r="Z26">
        <v>7</v>
      </c>
      <c r="AA26">
        <v>2</v>
      </c>
      <c r="AB26">
        <v>8</v>
      </c>
      <c r="AC26">
        <v>3</v>
      </c>
      <c r="AD26">
        <v>5</v>
      </c>
      <c r="AE26">
        <v>7</v>
      </c>
      <c r="AF26">
        <v>3</v>
      </c>
      <c r="AG26">
        <v>4</v>
      </c>
      <c r="AH26">
        <v>9</v>
      </c>
      <c r="AI26">
        <v>5</v>
      </c>
      <c r="AJ26">
        <v>4</v>
      </c>
      <c r="AK26" t="s">
        <v>1015</v>
      </c>
      <c r="AL26" t="s">
        <v>1016</v>
      </c>
      <c r="AM26" t="s">
        <v>1017</v>
      </c>
      <c r="AN26" t="s">
        <v>1018</v>
      </c>
      <c r="AO26" t="s">
        <v>1019</v>
      </c>
      <c r="AP26" t="s">
        <v>1020</v>
      </c>
      <c r="AQ26" t="s">
        <v>1021</v>
      </c>
      <c r="AR26" t="s">
        <v>1022</v>
      </c>
      <c r="AS26" t="s">
        <v>1023</v>
      </c>
    </row>
    <row r="27" spans="1:45" x14ac:dyDescent="0.45">
      <c r="A27">
        <v>26</v>
      </c>
      <c r="B27">
        <v>67</v>
      </c>
      <c r="C27" t="s">
        <v>78</v>
      </c>
      <c r="D27" t="s">
        <v>73</v>
      </c>
      <c r="E27" t="s">
        <v>74</v>
      </c>
      <c r="F27" t="s">
        <v>75</v>
      </c>
      <c r="G27" t="s">
        <v>76</v>
      </c>
      <c r="H27">
        <v>12</v>
      </c>
      <c r="I27">
        <v>4</v>
      </c>
      <c r="J27">
        <v>9</v>
      </c>
      <c r="K27">
        <v>10</v>
      </c>
      <c r="L27">
        <v>-1</v>
      </c>
      <c r="M27">
        <v>8</v>
      </c>
      <c r="N27">
        <v>10</v>
      </c>
      <c r="O27">
        <v>-2</v>
      </c>
      <c r="P27">
        <v>9</v>
      </c>
      <c r="Q27">
        <v>10</v>
      </c>
      <c r="R27">
        <v>-1</v>
      </c>
      <c r="S27">
        <v>8</v>
      </c>
      <c r="T27">
        <v>6</v>
      </c>
      <c r="U27">
        <v>2</v>
      </c>
      <c r="V27">
        <v>9</v>
      </c>
      <c r="W27">
        <v>6</v>
      </c>
      <c r="X27">
        <v>3</v>
      </c>
      <c r="Y27">
        <v>8</v>
      </c>
      <c r="Z27">
        <v>10</v>
      </c>
      <c r="AA27">
        <v>-2</v>
      </c>
      <c r="AB27">
        <v>9</v>
      </c>
      <c r="AC27">
        <v>1</v>
      </c>
      <c r="AD27">
        <v>8</v>
      </c>
      <c r="AE27">
        <v>8</v>
      </c>
      <c r="AF27">
        <v>4</v>
      </c>
      <c r="AG27">
        <v>4</v>
      </c>
      <c r="AH27">
        <v>9</v>
      </c>
      <c r="AI27">
        <v>10</v>
      </c>
      <c r="AJ27">
        <v>-1</v>
      </c>
      <c r="AK27" t="s">
        <v>266</v>
      </c>
      <c r="AL27" t="s">
        <v>267</v>
      </c>
      <c r="AM27" t="s">
        <v>268</v>
      </c>
      <c r="AN27" t="s">
        <v>269</v>
      </c>
      <c r="AO27" t="s">
        <v>270</v>
      </c>
      <c r="AP27" t="s">
        <v>271</v>
      </c>
      <c r="AQ27" t="s">
        <v>272</v>
      </c>
      <c r="AR27" t="s">
        <v>273</v>
      </c>
      <c r="AS27" t="s">
        <v>274</v>
      </c>
    </row>
    <row r="28" spans="1:45" x14ac:dyDescent="0.45">
      <c r="A28">
        <v>27</v>
      </c>
      <c r="B28">
        <v>68</v>
      </c>
      <c r="C28" t="s">
        <v>78</v>
      </c>
      <c r="D28" t="s">
        <v>189</v>
      </c>
      <c r="E28" t="s">
        <v>74</v>
      </c>
      <c r="F28" t="s">
        <v>77</v>
      </c>
      <c r="G28" t="s">
        <v>76</v>
      </c>
      <c r="H28">
        <v>12</v>
      </c>
      <c r="I28">
        <v>0</v>
      </c>
      <c r="J28">
        <v>7</v>
      </c>
      <c r="K28">
        <v>1</v>
      </c>
      <c r="L28">
        <v>6</v>
      </c>
      <c r="M28">
        <v>6</v>
      </c>
      <c r="N28">
        <v>1</v>
      </c>
      <c r="O28">
        <v>5</v>
      </c>
      <c r="P28">
        <v>9</v>
      </c>
      <c r="Q28">
        <v>1</v>
      </c>
      <c r="R28">
        <v>8</v>
      </c>
      <c r="S28">
        <v>8</v>
      </c>
      <c r="T28">
        <v>1</v>
      </c>
      <c r="U28">
        <v>7</v>
      </c>
      <c r="V28">
        <v>7</v>
      </c>
      <c r="W28">
        <v>1</v>
      </c>
      <c r="X28">
        <v>6</v>
      </c>
      <c r="Y28">
        <v>9</v>
      </c>
      <c r="Z28">
        <v>1</v>
      </c>
      <c r="AA28">
        <v>8</v>
      </c>
      <c r="AB28">
        <v>8</v>
      </c>
      <c r="AC28">
        <v>1</v>
      </c>
      <c r="AD28">
        <v>7</v>
      </c>
      <c r="AE28">
        <v>7</v>
      </c>
      <c r="AF28">
        <v>1</v>
      </c>
      <c r="AG28">
        <v>6</v>
      </c>
      <c r="AH28">
        <v>9</v>
      </c>
      <c r="AI28">
        <v>1</v>
      </c>
      <c r="AJ28">
        <v>8</v>
      </c>
      <c r="AK28" t="s">
        <v>275</v>
      </c>
      <c r="AL28" t="s">
        <v>276</v>
      </c>
      <c r="AM28" t="s">
        <v>277</v>
      </c>
      <c r="AN28" t="s">
        <v>278</v>
      </c>
      <c r="AO28" t="s">
        <v>279</v>
      </c>
      <c r="AP28" t="s">
        <v>280</v>
      </c>
      <c r="AQ28" t="s">
        <v>281</v>
      </c>
      <c r="AR28" t="s">
        <v>282</v>
      </c>
      <c r="AS28" t="s">
        <v>283</v>
      </c>
    </row>
    <row r="29" spans="1:45" x14ac:dyDescent="0.45">
      <c r="A29">
        <v>28</v>
      </c>
      <c r="B29">
        <v>69</v>
      </c>
      <c r="C29" t="s">
        <v>78</v>
      </c>
      <c r="D29" t="s">
        <v>81</v>
      </c>
      <c r="E29" t="s">
        <v>74</v>
      </c>
      <c r="F29" t="s">
        <v>77</v>
      </c>
      <c r="G29" t="s">
        <v>76</v>
      </c>
      <c r="H29">
        <v>16.336053168367823</v>
      </c>
      <c r="I29">
        <v>0</v>
      </c>
      <c r="J29">
        <v>7</v>
      </c>
      <c r="K29">
        <v>1</v>
      </c>
      <c r="L29">
        <v>6</v>
      </c>
      <c r="M29">
        <v>9</v>
      </c>
      <c r="N29">
        <v>1</v>
      </c>
      <c r="O29">
        <v>8</v>
      </c>
      <c r="P29">
        <v>8</v>
      </c>
      <c r="Q29">
        <v>1</v>
      </c>
      <c r="R29">
        <v>7</v>
      </c>
      <c r="S29">
        <v>9</v>
      </c>
      <c r="T29">
        <v>1</v>
      </c>
      <c r="U29">
        <v>8</v>
      </c>
      <c r="V29">
        <v>6</v>
      </c>
      <c r="W29">
        <v>1</v>
      </c>
      <c r="X29">
        <v>5</v>
      </c>
      <c r="Y29">
        <v>8</v>
      </c>
      <c r="Z29">
        <v>1</v>
      </c>
      <c r="AA29">
        <v>7</v>
      </c>
      <c r="AB29">
        <v>9</v>
      </c>
      <c r="AC29">
        <v>1</v>
      </c>
      <c r="AD29">
        <v>8</v>
      </c>
      <c r="AE29">
        <v>7</v>
      </c>
      <c r="AF29">
        <v>1</v>
      </c>
      <c r="AG29">
        <v>6</v>
      </c>
      <c r="AH29">
        <v>9</v>
      </c>
      <c r="AI29">
        <v>1</v>
      </c>
      <c r="AJ29">
        <v>8</v>
      </c>
      <c r="AK29" t="s">
        <v>1024</v>
      </c>
      <c r="AL29" t="s">
        <v>1025</v>
      </c>
      <c r="AM29" t="s">
        <v>1026</v>
      </c>
      <c r="AN29" t="s">
        <v>1027</v>
      </c>
      <c r="AO29" t="s">
        <v>1028</v>
      </c>
      <c r="AP29" t="s">
        <v>1029</v>
      </c>
      <c r="AQ29" t="s">
        <v>1030</v>
      </c>
      <c r="AR29" t="s">
        <v>1031</v>
      </c>
      <c r="AS29" t="s">
        <v>1032</v>
      </c>
    </row>
    <row r="30" spans="1:45" x14ac:dyDescent="0.45">
      <c r="A30">
        <v>29</v>
      </c>
      <c r="B30">
        <v>70</v>
      </c>
      <c r="C30" t="s">
        <v>72</v>
      </c>
      <c r="D30" t="s">
        <v>189</v>
      </c>
      <c r="E30" t="s">
        <v>74</v>
      </c>
      <c r="F30" t="s">
        <v>77</v>
      </c>
      <c r="G30" t="s">
        <v>76</v>
      </c>
      <c r="H30">
        <v>16.4628292036559</v>
      </c>
      <c r="I30">
        <v>0</v>
      </c>
      <c r="J30">
        <v>7</v>
      </c>
      <c r="K30">
        <v>10</v>
      </c>
      <c r="L30">
        <v>-3</v>
      </c>
      <c r="M30">
        <v>8</v>
      </c>
      <c r="N30">
        <v>10</v>
      </c>
      <c r="O30">
        <v>-2</v>
      </c>
      <c r="P30">
        <v>9</v>
      </c>
      <c r="Q30">
        <v>9</v>
      </c>
      <c r="R30">
        <v>0</v>
      </c>
      <c r="S30">
        <v>9</v>
      </c>
      <c r="T30">
        <v>10</v>
      </c>
      <c r="U30">
        <v>-1</v>
      </c>
      <c r="V30">
        <v>8</v>
      </c>
      <c r="W30">
        <v>10</v>
      </c>
      <c r="X30">
        <v>-2</v>
      </c>
      <c r="Y30">
        <v>9</v>
      </c>
      <c r="Z30">
        <v>9</v>
      </c>
      <c r="AA30">
        <v>0</v>
      </c>
      <c r="AB30">
        <v>8</v>
      </c>
      <c r="AC30">
        <v>10</v>
      </c>
      <c r="AD30">
        <v>-2</v>
      </c>
      <c r="AE30">
        <v>9</v>
      </c>
      <c r="AF30">
        <v>10</v>
      </c>
      <c r="AG30">
        <v>-1</v>
      </c>
      <c r="AH30">
        <v>8</v>
      </c>
      <c r="AI30">
        <v>10</v>
      </c>
      <c r="AJ30">
        <v>-2</v>
      </c>
      <c r="AK30" t="s">
        <v>1033</v>
      </c>
      <c r="AL30" t="s">
        <v>1034</v>
      </c>
      <c r="AM30" t="s">
        <v>1035</v>
      </c>
      <c r="AN30" t="s">
        <v>1036</v>
      </c>
      <c r="AO30" t="s">
        <v>1037</v>
      </c>
      <c r="AP30" t="s">
        <v>1038</v>
      </c>
      <c r="AQ30" t="s">
        <v>1039</v>
      </c>
      <c r="AR30" t="s">
        <v>1040</v>
      </c>
      <c r="AS30" t="s">
        <v>1041</v>
      </c>
    </row>
    <row r="31" spans="1:45" x14ac:dyDescent="0.45">
      <c r="A31">
        <v>30</v>
      </c>
      <c r="B31">
        <v>71</v>
      </c>
      <c r="C31" t="s">
        <v>72</v>
      </c>
      <c r="D31" t="s">
        <v>189</v>
      </c>
      <c r="E31" t="s">
        <v>74</v>
      </c>
      <c r="F31" t="s">
        <v>77</v>
      </c>
      <c r="G31" t="s">
        <v>76</v>
      </c>
      <c r="H31">
        <v>12.223520163452035</v>
      </c>
      <c r="I31">
        <v>0</v>
      </c>
      <c r="J31">
        <v>7</v>
      </c>
      <c r="K31">
        <v>10</v>
      </c>
      <c r="L31">
        <v>-3</v>
      </c>
      <c r="M31">
        <v>8</v>
      </c>
      <c r="N31">
        <v>10</v>
      </c>
      <c r="O31">
        <v>-2</v>
      </c>
      <c r="P31">
        <v>9</v>
      </c>
      <c r="Q31">
        <v>9</v>
      </c>
      <c r="R31">
        <v>0</v>
      </c>
      <c r="S31">
        <v>8</v>
      </c>
      <c r="T31">
        <v>10</v>
      </c>
      <c r="U31">
        <v>-2</v>
      </c>
      <c r="V31">
        <v>7</v>
      </c>
      <c r="W31">
        <v>10</v>
      </c>
      <c r="X31">
        <v>-3</v>
      </c>
      <c r="Y31">
        <v>8</v>
      </c>
      <c r="Z31">
        <v>10</v>
      </c>
      <c r="AA31">
        <v>-2</v>
      </c>
      <c r="AB31">
        <v>9</v>
      </c>
      <c r="AC31">
        <v>10</v>
      </c>
      <c r="AD31">
        <v>-1</v>
      </c>
      <c r="AE31">
        <v>8</v>
      </c>
      <c r="AF31">
        <v>10</v>
      </c>
      <c r="AG31">
        <v>-2</v>
      </c>
      <c r="AH31">
        <v>9</v>
      </c>
      <c r="AI31">
        <v>10</v>
      </c>
      <c r="AJ31">
        <v>-1</v>
      </c>
      <c r="AK31" t="s">
        <v>202</v>
      </c>
      <c r="AL31" t="s">
        <v>202</v>
      </c>
      <c r="AM31" t="s">
        <v>202</v>
      </c>
      <c r="AN31" t="s">
        <v>202</v>
      </c>
      <c r="AO31" t="s">
        <v>202</v>
      </c>
      <c r="AP31" t="s">
        <v>202</v>
      </c>
      <c r="AQ31" t="s">
        <v>202</v>
      </c>
      <c r="AR31" t="s">
        <v>202</v>
      </c>
      <c r="AS31" t="s">
        <v>202</v>
      </c>
    </row>
    <row r="32" spans="1:45" x14ac:dyDescent="0.45">
      <c r="A32">
        <v>31</v>
      </c>
      <c r="B32">
        <v>72</v>
      </c>
      <c r="C32" t="s">
        <v>72</v>
      </c>
      <c r="D32" t="s">
        <v>81</v>
      </c>
      <c r="E32" t="s">
        <v>74</v>
      </c>
      <c r="F32" t="s">
        <v>77</v>
      </c>
      <c r="G32" t="s">
        <v>76</v>
      </c>
      <c r="H32">
        <v>27.385769839953532</v>
      </c>
      <c r="I32">
        <v>0</v>
      </c>
      <c r="J32">
        <v>7</v>
      </c>
      <c r="K32">
        <v>10</v>
      </c>
      <c r="L32">
        <v>-3</v>
      </c>
      <c r="M32">
        <v>6</v>
      </c>
      <c r="N32">
        <v>7</v>
      </c>
      <c r="O32">
        <v>-1</v>
      </c>
      <c r="P32">
        <v>8</v>
      </c>
      <c r="Q32">
        <v>10</v>
      </c>
      <c r="R32">
        <v>-2</v>
      </c>
      <c r="S32">
        <v>9</v>
      </c>
      <c r="T32">
        <v>7</v>
      </c>
      <c r="U32">
        <v>2</v>
      </c>
      <c r="V32">
        <v>7</v>
      </c>
      <c r="W32">
        <v>10</v>
      </c>
      <c r="X32">
        <v>-3</v>
      </c>
      <c r="Y32">
        <v>9</v>
      </c>
      <c r="Z32">
        <v>10</v>
      </c>
      <c r="AA32">
        <v>-1</v>
      </c>
      <c r="AB32">
        <v>8</v>
      </c>
      <c r="AC32">
        <v>3</v>
      </c>
      <c r="AD32">
        <v>5</v>
      </c>
      <c r="AE32">
        <v>7</v>
      </c>
      <c r="AF32">
        <v>5</v>
      </c>
      <c r="AG32">
        <v>2</v>
      </c>
      <c r="AH32">
        <v>9</v>
      </c>
      <c r="AI32">
        <v>8</v>
      </c>
      <c r="AJ32">
        <v>1</v>
      </c>
      <c r="AK32" t="s">
        <v>1042</v>
      </c>
      <c r="AL32" t="s">
        <v>1043</v>
      </c>
      <c r="AM32" t="s">
        <v>1044</v>
      </c>
      <c r="AN32" t="s">
        <v>1045</v>
      </c>
      <c r="AO32" t="s">
        <v>1046</v>
      </c>
      <c r="AP32" t="s">
        <v>1047</v>
      </c>
      <c r="AQ32" t="s">
        <v>1048</v>
      </c>
      <c r="AR32" t="s">
        <v>1049</v>
      </c>
      <c r="AS32" t="s">
        <v>1050</v>
      </c>
    </row>
    <row r="33" spans="1:45" x14ac:dyDescent="0.45">
      <c r="A33">
        <v>32</v>
      </c>
      <c r="B33">
        <v>73</v>
      </c>
      <c r="C33" t="s">
        <v>72</v>
      </c>
      <c r="D33" t="s">
        <v>189</v>
      </c>
      <c r="E33" t="s">
        <v>74</v>
      </c>
      <c r="F33" t="s">
        <v>77</v>
      </c>
      <c r="G33" t="s">
        <v>76</v>
      </c>
      <c r="H33">
        <v>26.973310439591643</v>
      </c>
      <c r="I33">
        <v>0</v>
      </c>
      <c r="J33">
        <v>7</v>
      </c>
      <c r="K33">
        <v>5</v>
      </c>
      <c r="L33">
        <v>2</v>
      </c>
      <c r="M33">
        <v>6</v>
      </c>
      <c r="N33">
        <v>5</v>
      </c>
      <c r="O33">
        <v>1</v>
      </c>
      <c r="P33">
        <v>9</v>
      </c>
      <c r="Q33">
        <v>5</v>
      </c>
      <c r="R33">
        <v>4</v>
      </c>
      <c r="S33">
        <v>8</v>
      </c>
      <c r="T33">
        <v>5</v>
      </c>
      <c r="U33">
        <v>3</v>
      </c>
      <c r="V33">
        <v>7</v>
      </c>
      <c r="W33">
        <v>5</v>
      </c>
      <c r="X33">
        <v>2</v>
      </c>
      <c r="Y33">
        <v>8</v>
      </c>
      <c r="Z33">
        <v>5</v>
      </c>
      <c r="AA33">
        <v>3</v>
      </c>
      <c r="AB33">
        <v>7</v>
      </c>
      <c r="AC33">
        <v>5</v>
      </c>
      <c r="AD33">
        <v>2</v>
      </c>
      <c r="AE33">
        <v>6</v>
      </c>
      <c r="AF33">
        <v>5</v>
      </c>
      <c r="AG33">
        <v>1</v>
      </c>
      <c r="AH33">
        <v>8</v>
      </c>
      <c r="AI33">
        <v>5</v>
      </c>
      <c r="AJ33">
        <v>3</v>
      </c>
      <c r="AK33" t="s">
        <v>1051</v>
      </c>
      <c r="AL33" t="s">
        <v>1052</v>
      </c>
      <c r="AM33" t="s">
        <v>1053</v>
      </c>
      <c r="AN33" t="s">
        <v>1054</v>
      </c>
      <c r="AO33" t="s">
        <v>1055</v>
      </c>
      <c r="AP33" t="s">
        <v>1056</v>
      </c>
      <c r="AQ33" t="s">
        <v>1057</v>
      </c>
      <c r="AR33" t="s">
        <v>1058</v>
      </c>
      <c r="AS33" t="s">
        <v>1059</v>
      </c>
    </row>
    <row r="34" spans="1:45" x14ac:dyDescent="0.45">
      <c r="A34">
        <v>33</v>
      </c>
      <c r="B34">
        <v>74</v>
      </c>
      <c r="C34" t="s">
        <v>72</v>
      </c>
      <c r="D34" t="s">
        <v>81</v>
      </c>
      <c r="E34" t="s">
        <v>74</v>
      </c>
      <c r="F34" t="s">
        <v>77</v>
      </c>
      <c r="G34" t="s">
        <v>76</v>
      </c>
      <c r="H34">
        <v>30.936371302917472</v>
      </c>
      <c r="I34">
        <v>0</v>
      </c>
      <c r="J34">
        <v>7</v>
      </c>
      <c r="K34">
        <v>8</v>
      </c>
      <c r="L34">
        <v>-1</v>
      </c>
      <c r="M34">
        <v>7</v>
      </c>
      <c r="N34">
        <v>9</v>
      </c>
      <c r="O34">
        <v>-2</v>
      </c>
      <c r="P34">
        <v>9</v>
      </c>
      <c r="Q34">
        <v>7</v>
      </c>
      <c r="R34">
        <v>2</v>
      </c>
      <c r="S34">
        <v>9</v>
      </c>
      <c r="T34">
        <v>8</v>
      </c>
      <c r="U34">
        <v>1</v>
      </c>
      <c r="V34">
        <v>8</v>
      </c>
      <c r="W34">
        <v>8</v>
      </c>
      <c r="X34">
        <v>0</v>
      </c>
      <c r="Y34">
        <v>9</v>
      </c>
      <c r="Z34">
        <v>8</v>
      </c>
      <c r="AA34">
        <v>1</v>
      </c>
      <c r="AB34">
        <v>8</v>
      </c>
      <c r="AC34">
        <v>3</v>
      </c>
      <c r="AD34">
        <v>5</v>
      </c>
      <c r="AE34">
        <v>7</v>
      </c>
      <c r="AF34">
        <v>6</v>
      </c>
      <c r="AG34">
        <v>1</v>
      </c>
      <c r="AH34">
        <v>9</v>
      </c>
      <c r="AI34">
        <v>7</v>
      </c>
      <c r="AJ34">
        <v>2</v>
      </c>
      <c r="AK34" t="s">
        <v>710</v>
      </c>
      <c r="AL34" t="s">
        <v>1060</v>
      </c>
      <c r="AM34" t="s">
        <v>1061</v>
      </c>
      <c r="AN34" t="s">
        <v>1062</v>
      </c>
      <c r="AO34" t="s">
        <v>1063</v>
      </c>
      <c r="AP34" t="s">
        <v>1064</v>
      </c>
      <c r="AQ34" t="s">
        <v>1065</v>
      </c>
      <c r="AR34" t="s">
        <v>1066</v>
      </c>
      <c r="AS34" t="s">
        <v>1067</v>
      </c>
    </row>
    <row r="35" spans="1:45" x14ac:dyDescent="0.45">
      <c r="A35">
        <v>34</v>
      </c>
      <c r="B35">
        <v>75</v>
      </c>
      <c r="C35" t="s">
        <v>78</v>
      </c>
      <c r="D35" t="s">
        <v>81</v>
      </c>
      <c r="E35" t="s">
        <v>74</v>
      </c>
      <c r="F35" t="s">
        <v>77</v>
      </c>
      <c r="G35" t="s">
        <v>76</v>
      </c>
      <c r="H35">
        <v>14.135256727553292</v>
      </c>
      <c r="I35">
        <v>1</v>
      </c>
      <c r="J35">
        <v>9</v>
      </c>
      <c r="K35">
        <v>10</v>
      </c>
      <c r="L35">
        <v>-1</v>
      </c>
      <c r="M35">
        <v>8</v>
      </c>
      <c r="N35">
        <v>10</v>
      </c>
      <c r="O35">
        <v>-2</v>
      </c>
      <c r="P35">
        <v>9</v>
      </c>
      <c r="Q35">
        <v>10</v>
      </c>
      <c r="R35">
        <v>-1</v>
      </c>
      <c r="S35">
        <v>8</v>
      </c>
      <c r="T35">
        <v>10</v>
      </c>
      <c r="U35">
        <v>-2</v>
      </c>
      <c r="V35">
        <v>9</v>
      </c>
      <c r="W35">
        <v>10</v>
      </c>
      <c r="X35">
        <v>-1</v>
      </c>
      <c r="Y35">
        <v>8</v>
      </c>
      <c r="Z35">
        <v>10</v>
      </c>
      <c r="AA35">
        <v>-2</v>
      </c>
      <c r="AB35">
        <v>9</v>
      </c>
      <c r="AC35">
        <v>10</v>
      </c>
      <c r="AD35">
        <v>-1</v>
      </c>
      <c r="AE35">
        <v>8</v>
      </c>
      <c r="AF35">
        <v>10</v>
      </c>
      <c r="AG35">
        <v>-2</v>
      </c>
      <c r="AH35">
        <v>9</v>
      </c>
      <c r="AI35">
        <v>10</v>
      </c>
      <c r="AJ35">
        <v>-1</v>
      </c>
      <c r="AK35" t="s">
        <v>674</v>
      </c>
      <c r="AL35" t="s">
        <v>675</v>
      </c>
      <c r="AM35" t="s">
        <v>517</v>
      </c>
      <c r="AN35" t="s">
        <v>711</v>
      </c>
      <c r="AO35" t="s">
        <v>712</v>
      </c>
      <c r="AP35" t="s">
        <v>713</v>
      </c>
      <c r="AQ35" t="s">
        <v>714</v>
      </c>
      <c r="AR35" t="s">
        <v>715</v>
      </c>
      <c r="AS35" t="s">
        <v>716</v>
      </c>
    </row>
    <row r="36" spans="1:45" x14ac:dyDescent="0.45">
      <c r="A36">
        <v>35</v>
      </c>
      <c r="B36">
        <v>76</v>
      </c>
      <c r="C36" t="s">
        <v>72</v>
      </c>
      <c r="D36" t="s">
        <v>73</v>
      </c>
      <c r="E36" t="s">
        <v>74</v>
      </c>
      <c r="F36" t="s">
        <v>190</v>
      </c>
      <c r="G36" t="s">
        <v>76</v>
      </c>
      <c r="H36">
        <v>16.728124504466535</v>
      </c>
      <c r="I36">
        <v>3</v>
      </c>
      <c r="J36">
        <v>6</v>
      </c>
      <c r="K36">
        <v>10</v>
      </c>
      <c r="L36">
        <v>-4</v>
      </c>
      <c r="M36">
        <v>7</v>
      </c>
      <c r="N36">
        <v>10</v>
      </c>
      <c r="O36">
        <v>-3</v>
      </c>
      <c r="P36">
        <v>9</v>
      </c>
      <c r="Q36">
        <v>10</v>
      </c>
      <c r="R36">
        <v>-1</v>
      </c>
      <c r="S36">
        <v>10</v>
      </c>
      <c r="T36">
        <v>10</v>
      </c>
      <c r="U36">
        <v>0</v>
      </c>
      <c r="V36">
        <v>8</v>
      </c>
      <c r="W36">
        <v>10</v>
      </c>
      <c r="X36">
        <v>-2</v>
      </c>
      <c r="Y36">
        <v>9</v>
      </c>
      <c r="Z36">
        <v>10</v>
      </c>
      <c r="AA36">
        <v>-1</v>
      </c>
      <c r="AB36">
        <v>8</v>
      </c>
      <c r="AC36">
        <v>10</v>
      </c>
      <c r="AD36">
        <v>-2</v>
      </c>
      <c r="AE36">
        <v>9</v>
      </c>
      <c r="AF36">
        <v>10</v>
      </c>
      <c r="AG36">
        <v>-1</v>
      </c>
      <c r="AH36">
        <v>9</v>
      </c>
      <c r="AI36">
        <v>10</v>
      </c>
      <c r="AJ36">
        <v>-1</v>
      </c>
      <c r="AK36" t="s">
        <v>1068</v>
      </c>
      <c r="AL36" t="s">
        <v>1069</v>
      </c>
      <c r="AM36" t="s">
        <v>1070</v>
      </c>
      <c r="AN36" t="s">
        <v>1071</v>
      </c>
      <c r="AO36" t="s">
        <v>1072</v>
      </c>
      <c r="AP36" t="s">
        <v>1073</v>
      </c>
      <c r="AQ36" t="s">
        <v>1074</v>
      </c>
      <c r="AR36" t="s">
        <v>1075</v>
      </c>
      <c r="AS36" t="s">
        <v>1076</v>
      </c>
    </row>
    <row r="37" spans="1:45" x14ac:dyDescent="0.45">
      <c r="A37">
        <v>36</v>
      </c>
      <c r="B37">
        <v>77</v>
      </c>
      <c r="C37" t="s">
        <v>72</v>
      </c>
      <c r="D37" t="s">
        <v>189</v>
      </c>
      <c r="E37" t="s">
        <v>74</v>
      </c>
      <c r="F37" t="s">
        <v>77</v>
      </c>
      <c r="G37" t="s">
        <v>76</v>
      </c>
      <c r="H37">
        <v>13.9578050881882</v>
      </c>
      <c r="I37">
        <v>0</v>
      </c>
      <c r="J37">
        <v>7</v>
      </c>
      <c r="K37">
        <v>10</v>
      </c>
      <c r="L37">
        <v>-3</v>
      </c>
      <c r="M37">
        <v>8</v>
      </c>
      <c r="N37">
        <v>9</v>
      </c>
      <c r="O37">
        <v>-1</v>
      </c>
      <c r="P37">
        <v>9</v>
      </c>
      <c r="Q37">
        <v>10</v>
      </c>
      <c r="R37">
        <v>-1</v>
      </c>
      <c r="S37">
        <v>8</v>
      </c>
      <c r="T37">
        <v>8</v>
      </c>
      <c r="U37">
        <v>0</v>
      </c>
      <c r="V37">
        <v>9</v>
      </c>
      <c r="W37">
        <v>10</v>
      </c>
      <c r="X37">
        <v>-1</v>
      </c>
      <c r="Y37">
        <v>8</v>
      </c>
      <c r="Z37">
        <v>9</v>
      </c>
      <c r="AA37">
        <v>-1</v>
      </c>
      <c r="AB37">
        <v>9</v>
      </c>
      <c r="AC37">
        <v>10</v>
      </c>
      <c r="AD37">
        <v>-1</v>
      </c>
      <c r="AE37">
        <v>8</v>
      </c>
      <c r="AF37">
        <v>10</v>
      </c>
      <c r="AG37">
        <v>-2</v>
      </c>
      <c r="AH37">
        <v>9</v>
      </c>
      <c r="AI37">
        <v>10</v>
      </c>
      <c r="AJ37">
        <v>-1</v>
      </c>
      <c r="AK37" t="s">
        <v>1077</v>
      </c>
      <c r="AL37" t="s">
        <v>1078</v>
      </c>
      <c r="AM37" t="s">
        <v>1079</v>
      </c>
      <c r="AN37" t="s">
        <v>1080</v>
      </c>
      <c r="AO37" t="s">
        <v>1081</v>
      </c>
      <c r="AP37" t="s">
        <v>1082</v>
      </c>
      <c r="AQ37" t="s">
        <v>1083</v>
      </c>
      <c r="AR37" t="s">
        <v>1084</v>
      </c>
      <c r="AS37" t="s">
        <v>1085</v>
      </c>
    </row>
    <row r="38" spans="1:45" x14ac:dyDescent="0.45">
      <c r="A38">
        <v>37</v>
      </c>
      <c r="B38">
        <v>78</v>
      </c>
      <c r="C38" t="s">
        <v>78</v>
      </c>
      <c r="D38" t="s">
        <v>189</v>
      </c>
      <c r="E38" t="s">
        <v>74</v>
      </c>
      <c r="F38" t="s">
        <v>77</v>
      </c>
      <c r="G38" t="s">
        <v>76</v>
      </c>
      <c r="H38">
        <v>12.13204698601211</v>
      </c>
      <c r="I38">
        <v>0</v>
      </c>
      <c r="J38">
        <v>7</v>
      </c>
      <c r="K38">
        <v>10</v>
      </c>
      <c r="L38">
        <v>-3</v>
      </c>
      <c r="M38">
        <v>6</v>
      </c>
      <c r="N38">
        <v>10</v>
      </c>
      <c r="O38">
        <v>-4</v>
      </c>
      <c r="P38">
        <v>8</v>
      </c>
      <c r="Q38">
        <v>10</v>
      </c>
      <c r="R38">
        <v>-2</v>
      </c>
      <c r="S38">
        <v>9</v>
      </c>
      <c r="T38">
        <v>10</v>
      </c>
      <c r="U38">
        <v>-1</v>
      </c>
      <c r="V38">
        <v>8</v>
      </c>
      <c r="W38">
        <v>9</v>
      </c>
      <c r="X38">
        <v>-1</v>
      </c>
      <c r="Y38">
        <v>9</v>
      </c>
      <c r="Z38">
        <v>9</v>
      </c>
      <c r="AA38">
        <v>0</v>
      </c>
      <c r="AB38">
        <v>8</v>
      </c>
      <c r="AC38">
        <v>9</v>
      </c>
      <c r="AD38">
        <v>-1</v>
      </c>
      <c r="AE38">
        <v>9</v>
      </c>
      <c r="AF38">
        <v>9</v>
      </c>
      <c r="AG38">
        <v>0</v>
      </c>
      <c r="AH38">
        <v>10</v>
      </c>
      <c r="AI38">
        <v>8</v>
      </c>
      <c r="AJ38">
        <v>2</v>
      </c>
      <c r="AK38" t="s">
        <v>1086</v>
      </c>
      <c r="AL38" t="s">
        <v>1087</v>
      </c>
      <c r="AM38" t="s">
        <v>1088</v>
      </c>
      <c r="AN38" t="s">
        <v>1089</v>
      </c>
      <c r="AO38" t="s">
        <v>1090</v>
      </c>
      <c r="AP38" t="s">
        <v>1091</v>
      </c>
      <c r="AQ38" t="s">
        <v>1092</v>
      </c>
      <c r="AR38" t="s">
        <v>1093</v>
      </c>
      <c r="AS38" t="s">
        <v>1094</v>
      </c>
    </row>
    <row r="39" spans="1:45" x14ac:dyDescent="0.45">
      <c r="A39">
        <v>38</v>
      </c>
      <c r="B39">
        <v>79</v>
      </c>
      <c r="C39" t="s">
        <v>72</v>
      </c>
      <c r="D39" t="s">
        <v>73</v>
      </c>
      <c r="E39" t="s">
        <v>74</v>
      </c>
      <c r="F39" t="s">
        <v>77</v>
      </c>
      <c r="G39" t="s">
        <v>76</v>
      </c>
      <c r="H39">
        <v>41.771205707899007</v>
      </c>
      <c r="I39">
        <v>1</v>
      </c>
      <c r="J39">
        <v>9</v>
      </c>
      <c r="K39">
        <v>8</v>
      </c>
      <c r="L39">
        <v>1</v>
      </c>
      <c r="M39">
        <v>8</v>
      </c>
      <c r="N39">
        <v>8</v>
      </c>
      <c r="O39">
        <v>0</v>
      </c>
      <c r="P39">
        <v>9</v>
      </c>
      <c r="Q39">
        <v>8</v>
      </c>
      <c r="R39">
        <v>1</v>
      </c>
      <c r="S39">
        <v>8</v>
      </c>
      <c r="T39">
        <v>8</v>
      </c>
      <c r="U39">
        <v>0</v>
      </c>
      <c r="V39">
        <v>9</v>
      </c>
      <c r="W39">
        <v>8</v>
      </c>
      <c r="X39">
        <v>1</v>
      </c>
      <c r="Y39">
        <v>8</v>
      </c>
      <c r="Z39">
        <v>8</v>
      </c>
      <c r="AA39">
        <v>0</v>
      </c>
      <c r="AB39">
        <v>9</v>
      </c>
      <c r="AC39">
        <v>8</v>
      </c>
      <c r="AD39">
        <v>1</v>
      </c>
      <c r="AE39">
        <v>8</v>
      </c>
      <c r="AF39">
        <v>8</v>
      </c>
      <c r="AG39">
        <v>0</v>
      </c>
      <c r="AH39">
        <v>9</v>
      </c>
      <c r="AI39">
        <v>8</v>
      </c>
      <c r="AJ39">
        <v>1</v>
      </c>
      <c r="AK39" t="s">
        <v>1095</v>
      </c>
      <c r="AL39" t="s">
        <v>1096</v>
      </c>
      <c r="AM39" t="s">
        <v>1097</v>
      </c>
      <c r="AN39" t="s">
        <v>1098</v>
      </c>
      <c r="AO39" t="s">
        <v>1099</v>
      </c>
      <c r="AP39" t="s">
        <v>1100</v>
      </c>
      <c r="AQ39" t="s">
        <v>1101</v>
      </c>
      <c r="AR39" t="s">
        <v>1102</v>
      </c>
      <c r="AS39" t="s">
        <v>1103</v>
      </c>
    </row>
    <row r="40" spans="1:45" x14ac:dyDescent="0.45">
      <c r="A40">
        <v>39</v>
      </c>
      <c r="B40">
        <v>80</v>
      </c>
      <c r="C40" t="s">
        <v>78</v>
      </c>
      <c r="D40" t="s">
        <v>81</v>
      </c>
      <c r="E40" t="s">
        <v>74</v>
      </c>
      <c r="F40" t="s">
        <v>77</v>
      </c>
      <c r="G40" t="s">
        <v>76</v>
      </c>
      <c r="H40">
        <v>13.578579268931882</v>
      </c>
      <c r="I40">
        <v>0</v>
      </c>
      <c r="J40">
        <v>7</v>
      </c>
      <c r="K40">
        <v>10</v>
      </c>
      <c r="L40">
        <v>-3</v>
      </c>
      <c r="M40">
        <v>6</v>
      </c>
      <c r="N40">
        <v>10</v>
      </c>
      <c r="O40">
        <v>-4</v>
      </c>
      <c r="P40">
        <v>9</v>
      </c>
      <c r="Q40">
        <v>10</v>
      </c>
      <c r="R40">
        <v>-1</v>
      </c>
      <c r="S40">
        <v>9</v>
      </c>
      <c r="T40">
        <v>10</v>
      </c>
      <c r="U40">
        <v>-1</v>
      </c>
      <c r="V40">
        <v>7</v>
      </c>
      <c r="W40">
        <v>10</v>
      </c>
      <c r="X40">
        <v>-3</v>
      </c>
      <c r="Y40">
        <v>8</v>
      </c>
      <c r="Z40">
        <v>10</v>
      </c>
      <c r="AA40">
        <v>-2</v>
      </c>
      <c r="AB40">
        <v>7</v>
      </c>
      <c r="AC40">
        <v>10</v>
      </c>
      <c r="AD40">
        <v>-3</v>
      </c>
      <c r="AE40">
        <v>6</v>
      </c>
      <c r="AF40">
        <v>10</v>
      </c>
      <c r="AG40">
        <v>-4</v>
      </c>
      <c r="AH40">
        <v>8</v>
      </c>
      <c r="AI40">
        <v>10</v>
      </c>
      <c r="AJ40">
        <v>-2</v>
      </c>
      <c r="AK40" t="s">
        <v>1104</v>
      </c>
      <c r="AL40" t="s">
        <v>1105</v>
      </c>
      <c r="AM40" t="s">
        <v>1106</v>
      </c>
      <c r="AN40" t="s">
        <v>1107</v>
      </c>
      <c r="AO40" t="s">
        <v>1108</v>
      </c>
      <c r="AP40" t="s">
        <v>1109</v>
      </c>
      <c r="AQ40" t="s">
        <v>1110</v>
      </c>
      <c r="AR40" t="s">
        <v>1111</v>
      </c>
      <c r="AS40" t="s">
        <v>1112</v>
      </c>
    </row>
    <row r="41" spans="1:45" x14ac:dyDescent="0.45">
      <c r="A41">
        <v>40</v>
      </c>
      <c r="B41">
        <v>81</v>
      </c>
      <c r="C41" t="s">
        <v>78</v>
      </c>
      <c r="D41" t="s">
        <v>73</v>
      </c>
      <c r="E41" t="s">
        <v>74</v>
      </c>
      <c r="F41" t="s">
        <v>77</v>
      </c>
      <c r="G41" t="s">
        <v>76</v>
      </c>
      <c r="H41">
        <v>117.43321268791007</v>
      </c>
      <c r="I41">
        <v>1</v>
      </c>
      <c r="J41">
        <v>8</v>
      </c>
      <c r="K41">
        <v>8</v>
      </c>
      <c r="L41">
        <v>0</v>
      </c>
      <c r="M41">
        <v>9</v>
      </c>
      <c r="N41">
        <v>8</v>
      </c>
      <c r="O41">
        <v>1</v>
      </c>
      <c r="P41">
        <v>7</v>
      </c>
      <c r="Q41">
        <v>6</v>
      </c>
      <c r="R41">
        <v>1</v>
      </c>
      <c r="S41">
        <v>9</v>
      </c>
      <c r="T41">
        <v>8</v>
      </c>
      <c r="U41">
        <v>1</v>
      </c>
      <c r="V41">
        <v>8</v>
      </c>
      <c r="W41">
        <v>7</v>
      </c>
      <c r="X41">
        <v>1</v>
      </c>
      <c r="Y41">
        <v>9</v>
      </c>
      <c r="Z41">
        <v>8</v>
      </c>
      <c r="AA41">
        <v>1</v>
      </c>
      <c r="AB41">
        <v>8</v>
      </c>
      <c r="AC41">
        <v>5</v>
      </c>
      <c r="AD41">
        <v>3</v>
      </c>
      <c r="AE41">
        <v>9</v>
      </c>
      <c r="AF41">
        <v>6</v>
      </c>
      <c r="AG41">
        <v>3</v>
      </c>
      <c r="AH41">
        <v>8</v>
      </c>
      <c r="AI41">
        <v>7</v>
      </c>
      <c r="AJ41">
        <v>1</v>
      </c>
      <c r="AK41" t="s">
        <v>1113</v>
      </c>
      <c r="AL41" t="s">
        <v>1114</v>
      </c>
      <c r="AM41" t="s">
        <v>1115</v>
      </c>
      <c r="AN41" t="s">
        <v>1116</v>
      </c>
      <c r="AO41" t="s">
        <v>1117</v>
      </c>
      <c r="AP41" t="s">
        <v>1118</v>
      </c>
      <c r="AQ41" t="s">
        <v>1119</v>
      </c>
      <c r="AR41" t="s">
        <v>1120</v>
      </c>
      <c r="AS41" t="s">
        <v>1121</v>
      </c>
    </row>
    <row r="42" spans="1:45" x14ac:dyDescent="0.45">
      <c r="A42">
        <v>41</v>
      </c>
      <c r="B42">
        <v>82</v>
      </c>
      <c r="C42" t="s">
        <v>78</v>
      </c>
      <c r="D42" t="s">
        <v>73</v>
      </c>
      <c r="E42" t="s">
        <v>74</v>
      </c>
      <c r="F42" t="s">
        <v>77</v>
      </c>
      <c r="G42" t="s">
        <v>76</v>
      </c>
      <c r="H42">
        <v>72.03948453983898</v>
      </c>
      <c r="I42">
        <v>2</v>
      </c>
      <c r="J42">
        <v>7</v>
      </c>
      <c r="K42">
        <v>9</v>
      </c>
      <c r="L42">
        <v>-2</v>
      </c>
      <c r="M42">
        <v>8</v>
      </c>
      <c r="N42">
        <v>8</v>
      </c>
      <c r="O42">
        <v>0</v>
      </c>
      <c r="P42">
        <v>6</v>
      </c>
      <c r="Q42">
        <v>7</v>
      </c>
      <c r="R42">
        <v>-1</v>
      </c>
      <c r="S42">
        <v>9</v>
      </c>
      <c r="T42">
        <v>8</v>
      </c>
      <c r="U42">
        <v>1</v>
      </c>
      <c r="V42">
        <v>7</v>
      </c>
      <c r="W42">
        <v>7</v>
      </c>
      <c r="X42">
        <v>0</v>
      </c>
      <c r="Y42">
        <v>8</v>
      </c>
      <c r="Z42">
        <v>4</v>
      </c>
      <c r="AA42">
        <v>4</v>
      </c>
      <c r="AB42">
        <v>7</v>
      </c>
      <c r="AC42">
        <v>2</v>
      </c>
      <c r="AD42">
        <v>5</v>
      </c>
      <c r="AE42">
        <v>6</v>
      </c>
      <c r="AF42">
        <v>8</v>
      </c>
      <c r="AG42">
        <v>-2</v>
      </c>
      <c r="AH42">
        <v>8</v>
      </c>
      <c r="AI42">
        <v>8</v>
      </c>
      <c r="AJ42">
        <v>0</v>
      </c>
      <c r="AK42" t="s">
        <v>1122</v>
      </c>
      <c r="AL42" t="s">
        <v>1123</v>
      </c>
      <c r="AM42" t="s">
        <v>1124</v>
      </c>
      <c r="AN42" t="s">
        <v>1125</v>
      </c>
      <c r="AO42" t="s">
        <v>1126</v>
      </c>
      <c r="AP42" t="s">
        <v>1127</v>
      </c>
      <c r="AQ42" t="s">
        <v>1128</v>
      </c>
      <c r="AR42" t="s">
        <v>1129</v>
      </c>
      <c r="AS42" t="s">
        <v>1130</v>
      </c>
    </row>
    <row r="43" spans="1:45" x14ac:dyDescent="0.45">
      <c r="A43">
        <v>42</v>
      </c>
      <c r="B43">
        <v>83</v>
      </c>
      <c r="C43" t="s">
        <v>72</v>
      </c>
      <c r="D43" t="s">
        <v>73</v>
      </c>
      <c r="E43" t="s">
        <v>74</v>
      </c>
      <c r="F43" t="s">
        <v>77</v>
      </c>
      <c r="G43" t="s">
        <v>76</v>
      </c>
      <c r="H43">
        <v>34.967759824181542</v>
      </c>
      <c r="I43">
        <v>3</v>
      </c>
      <c r="J43">
        <v>8</v>
      </c>
      <c r="K43">
        <v>10</v>
      </c>
      <c r="L43">
        <v>-2</v>
      </c>
      <c r="M43">
        <v>7</v>
      </c>
      <c r="N43">
        <v>10</v>
      </c>
      <c r="O43">
        <v>-3</v>
      </c>
      <c r="P43">
        <v>7</v>
      </c>
      <c r="Q43">
        <v>9</v>
      </c>
      <c r="R43">
        <v>-2</v>
      </c>
      <c r="S43">
        <v>9</v>
      </c>
      <c r="T43">
        <v>8</v>
      </c>
      <c r="U43">
        <v>1</v>
      </c>
      <c r="V43">
        <v>6</v>
      </c>
      <c r="W43">
        <v>7</v>
      </c>
      <c r="X43">
        <v>-1</v>
      </c>
      <c r="Y43">
        <v>9</v>
      </c>
      <c r="Z43">
        <v>9</v>
      </c>
      <c r="AA43">
        <v>0</v>
      </c>
      <c r="AB43">
        <v>6</v>
      </c>
      <c r="AC43">
        <v>9</v>
      </c>
      <c r="AD43">
        <v>-3</v>
      </c>
      <c r="AE43">
        <v>7</v>
      </c>
      <c r="AF43">
        <v>8</v>
      </c>
      <c r="AG43">
        <v>-1</v>
      </c>
      <c r="AH43">
        <v>8</v>
      </c>
      <c r="AI43">
        <v>8</v>
      </c>
      <c r="AJ43">
        <v>0</v>
      </c>
      <c r="AK43" t="s">
        <v>1131</v>
      </c>
      <c r="AL43" t="s">
        <v>1132</v>
      </c>
      <c r="AM43" t="s">
        <v>1133</v>
      </c>
      <c r="AN43" t="s">
        <v>1134</v>
      </c>
      <c r="AO43" t="s">
        <v>1135</v>
      </c>
      <c r="AP43" t="s">
        <v>1136</v>
      </c>
      <c r="AQ43" t="s">
        <v>1137</v>
      </c>
      <c r="AR43" t="s">
        <v>1138</v>
      </c>
      <c r="AS43" t="s">
        <v>1139</v>
      </c>
    </row>
    <row r="44" spans="1:45" x14ac:dyDescent="0.45">
      <c r="A44">
        <v>43</v>
      </c>
      <c r="B44">
        <v>84</v>
      </c>
      <c r="C44" t="s">
        <v>72</v>
      </c>
      <c r="D44" t="s">
        <v>73</v>
      </c>
      <c r="E44" t="s">
        <v>74</v>
      </c>
      <c r="F44" t="s">
        <v>77</v>
      </c>
      <c r="G44" t="s">
        <v>76</v>
      </c>
      <c r="H44">
        <v>228.53863771881382</v>
      </c>
      <c r="I44">
        <v>2</v>
      </c>
      <c r="J44">
        <v>7</v>
      </c>
      <c r="K44">
        <v>6</v>
      </c>
      <c r="L44">
        <v>1</v>
      </c>
      <c r="M44">
        <v>7</v>
      </c>
      <c r="N44">
        <v>6</v>
      </c>
      <c r="O44">
        <v>1</v>
      </c>
      <c r="P44">
        <v>8</v>
      </c>
      <c r="Q44">
        <v>8</v>
      </c>
      <c r="R44">
        <v>0</v>
      </c>
      <c r="S44">
        <v>9</v>
      </c>
      <c r="T44">
        <v>10</v>
      </c>
      <c r="U44">
        <v>-1</v>
      </c>
      <c r="V44">
        <v>8</v>
      </c>
      <c r="W44">
        <v>9</v>
      </c>
      <c r="X44">
        <v>-1</v>
      </c>
      <c r="Y44">
        <v>9</v>
      </c>
      <c r="Z44">
        <v>1</v>
      </c>
      <c r="AA44">
        <v>8</v>
      </c>
      <c r="AB44">
        <v>7</v>
      </c>
      <c r="AC44">
        <v>7</v>
      </c>
      <c r="AD44">
        <v>0</v>
      </c>
      <c r="AE44">
        <v>6</v>
      </c>
      <c r="AF44">
        <v>7</v>
      </c>
      <c r="AG44">
        <v>-1</v>
      </c>
      <c r="AH44">
        <v>9</v>
      </c>
      <c r="AI44">
        <v>8</v>
      </c>
      <c r="AJ44">
        <v>1</v>
      </c>
      <c r="AK44" t="s">
        <v>1140</v>
      </c>
      <c r="AL44" t="s">
        <v>1141</v>
      </c>
      <c r="AM44" t="s">
        <v>1142</v>
      </c>
      <c r="AN44" t="s">
        <v>1143</v>
      </c>
      <c r="AO44" t="s">
        <v>1144</v>
      </c>
      <c r="AP44" t="s">
        <v>1145</v>
      </c>
      <c r="AQ44" t="s">
        <v>1146</v>
      </c>
      <c r="AR44" t="s">
        <v>1147</v>
      </c>
      <c r="AS44" t="s">
        <v>1148</v>
      </c>
    </row>
    <row r="45" spans="1:45" x14ac:dyDescent="0.45">
      <c r="A45">
        <v>44</v>
      </c>
      <c r="B45">
        <v>85</v>
      </c>
      <c r="C45" t="s">
        <v>78</v>
      </c>
      <c r="D45" t="s">
        <v>73</v>
      </c>
      <c r="E45" t="s">
        <v>74</v>
      </c>
      <c r="F45" t="s">
        <v>77</v>
      </c>
      <c r="G45" t="s">
        <v>76</v>
      </c>
      <c r="H45">
        <v>28.865878073135946</v>
      </c>
      <c r="I45">
        <v>1</v>
      </c>
      <c r="J45">
        <v>8</v>
      </c>
      <c r="K45">
        <v>8</v>
      </c>
      <c r="L45">
        <v>0</v>
      </c>
      <c r="M45">
        <v>8</v>
      </c>
      <c r="N45">
        <v>8</v>
      </c>
      <c r="O45">
        <v>0</v>
      </c>
      <c r="P45">
        <v>9</v>
      </c>
      <c r="Q45">
        <v>8</v>
      </c>
      <c r="R45">
        <v>1</v>
      </c>
      <c r="S45">
        <v>9</v>
      </c>
      <c r="T45">
        <v>8</v>
      </c>
      <c r="U45">
        <v>1</v>
      </c>
      <c r="V45">
        <v>7</v>
      </c>
      <c r="W45">
        <v>8</v>
      </c>
      <c r="X45">
        <v>-1</v>
      </c>
      <c r="Y45">
        <v>9</v>
      </c>
      <c r="Z45">
        <v>8</v>
      </c>
      <c r="AA45">
        <v>1</v>
      </c>
      <c r="AB45">
        <v>8</v>
      </c>
      <c r="AC45">
        <v>9</v>
      </c>
      <c r="AD45">
        <v>-1</v>
      </c>
      <c r="AE45">
        <v>7</v>
      </c>
      <c r="AF45">
        <v>5</v>
      </c>
      <c r="AG45">
        <v>2</v>
      </c>
      <c r="AH45">
        <v>9</v>
      </c>
      <c r="AI45">
        <v>9</v>
      </c>
      <c r="AJ45">
        <v>0</v>
      </c>
      <c r="AK45" t="s">
        <v>1149</v>
      </c>
      <c r="AL45" t="s">
        <v>1150</v>
      </c>
      <c r="AM45" t="s">
        <v>1151</v>
      </c>
      <c r="AN45" t="s">
        <v>1152</v>
      </c>
      <c r="AO45" t="s">
        <v>1153</v>
      </c>
      <c r="AP45" t="s">
        <v>1154</v>
      </c>
      <c r="AQ45" t="s">
        <v>1155</v>
      </c>
      <c r="AR45" t="s">
        <v>1156</v>
      </c>
      <c r="AS45" t="s">
        <v>1157</v>
      </c>
    </row>
    <row r="46" spans="1:45" x14ac:dyDescent="0.45">
      <c r="A46">
        <v>45</v>
      </c>
      <c r="B46">
        <v>86</v>
      </c>
      <c r="C46" t="s">
        <v>72</v>
      </c>
      <c r="D46" t="s">
        <v>79</v>
      </c>
      <c r="E46" t="s">
        <v>74</v>
      </c>
      <c r="F46" t="s">
        <v>77</v>
      </c>
      <c r="G46" t="s">
        <v>76</v>
      </c>
      <c r="H46">
        <v>26.74468054587323</v>
      </c>
      <c r="I46">
        <v>2</v>
      </c>
      <c r="J46">
        <v>5</v>
      </c>
      <c r="K46">
        <v>10</v>
      </c>
      <c r="L46">
        <v>-5</v>
      </c>
      <c r="M46">
        <v>6</v>
      </c>
      <c r="N46">
        <v>10</v>
      </c>
      <c r="O46">
        <v>-4</v>
      </c>
      <c r="P46">
        <v>8</v>
      </c>
      <c r="Q46">
        <v>10</v>
      </c>
      <c r="R46">
        <v>-2</v>
      </c>
      <c r="S46">
        <v>9</v>
      </c>
      <c r="T46">
        <v>9</v>
      </c>
      <c r="U46">
        <v>0</v>
      </c>
      <c r="V46">
        <v>7</v>
      </c>
      <c r="W46">
        <v>10</v>
      </c>
      <c r="X46">
        <v>-3</v>
      </c>
      <c r="Y46">
        <v>9</v>
      </c>
      <c r="Z46">
        <v>10</v>
      </c>
      <c r="AA46">
        <v>-1</v>
      </c>
      <c r="AB46">
        <v>7</v>
      </c>
      <c r="AC46">
        <v>10</v>
      </c>
      <c r="AD46">
        <v>-3</v>
      </c>
      <c r="AE46">
        <v>6</v>
      </c>
      <c r="AF46">
        <v>10</v>
      </c>
      <c r="AG46">
        <v>-4</v>
      </c>
      <c r="AH46">
        <v>9</v>
      </c>
      <c r="AI46">
        <v>10</v>
      </c>
      <c r="AJ46">
        <v>-1</v>
      </c>
      <c r="AK46" t="s">
        <v>1158</v>
      </c>
      <c r="AL46" t="s">
        <v>1159</v>
      </c>
      <c r="AM46" t="s">
        <v>1160</v>
      </c>
      <c r="AN46" t="s">
        <v>1161</v>
      </c>
      <c r="AO46" t="s">
        <v>1162</v>
      </c>
      <c r="AP46" t="s">
        <v>1163</v>
      </c>
      <c r="AQ46" t="s">
        <v>1164</v>
      </c>
      <c r="AR46" t="s">
        <v>1165</v>
      </c>
      <c r="AS46" t="s">
        <v>1166</v>
      </c>
    </row>
    <row r="47" spans="1:45" x14ac:dyDescent="0.45">
      <c r="A47">
        <v>46</v>
      </c>
      <c r="B47">
        <v>87</v>
      </c>
      <c r="C47" t="s">
        <v>72</v>
      </c>
      <c r="D47" t="s">
        <v>191</v>
      </c>
      <c r="E47" t="s">
        <v>80</v>
      </c>
      <c r="F47" t="s">
        <v>77</v>
      </c>
      <c r="G47" t="s">
        <v>76</v>
      </c>
      <c r="H47">
        <v>12</v>
      </c>
      <c r="I47">
        <v>2</v>
      </c>
      <c r="J47">
        <v>6</v>
      </c>
      <c r="K47">
        <v>1</v>
      </c>
      <c r="L47">
        <v>5</v>
      </c>
      <c r="M47">
        <v>6</v>
      </c>
      <c r="N47">
        <v>1</v>
      </c>
      <c r="O47">
        <v>5</v>
      </c>
      <c r="P47">
        <v>7</v>
      </c>
      <c r="Q47">
        <v>2</v>
      </c>
      <c r="R47">
        <v>5</v>
      </c>
      <c r="S47">
        <v>9</v>
      </c>
      <c r="T47">
        <v>1</v>
      </c>
      <c r="U47">
        <v>8</v>
      </c>
      <c r="V47">
        <v>8</v>
      </c>
      <c r="W47">
        <v>1</v>
      </c>
      <c r="X47">
        <v>7</v>
      </c>
      <c r="Y47">
        <v>9</v>
      </c>
      <c r="Z47">
        <v>1</v>
      </c>
      <c r="AA47">
        <v>8</v>
      </c>
      <c r="AB47">
        <v>8</v>
      </c>
      <c r="AC47">
        <v>1</v>
      </c>
      <c r="AD47">
        <v>7</v>
      </c>
      <c r="AE47">
        <v>7</v>
      </c>
      <c r="AF47">
        <v>1</v>
      </c>
      <c r="AG47">
        <v>6</v>
      </c>
      <c r="AH47">
        <v>9</v>
      </c>
      <c r="AI47">
        <v>1</v>
      </c>
      <c r="AJ47">
        <v>8</v>
      </c>
      <c r="AK47" t="s">
        <v>285</v>
      </c>
      <c r="AL47" t="s">
        <v>286</v>
      </c>
      <c r="AM47" t="s">
        <v>287</v>
      </c>
      <c r="AN47" t="s">
        <v>288</v>
      </c>
      <c r="AO47" t="s">
        <v>289</v>
      </c>
      <c r="AP47" t="s">
        <v>290</v>
      </c>
      <c r="AQ47" t="s">
        <v>291</v>
      </c>
      <c r="AR47" t="s">
        <v>292</v>
      </c>
      <c r="AS47" t="s">
        <v>293</v>
      </c>
    </row>
    <row r="48" spans="1:45" x14ac:dyDescent="0.45">
      <c r="A48">
        <v>47</v>
      </c>
      <c r="B48">
        <v>88</v>
      </c>
      <c r="C48" t="s">
        <v>78</v>
      </c>
      <c r="D48" t="s">
        <v>73</v>
      </c>
      <c r="E48" t="s">
        <v>74</v>
      </c>
      <c r="F48" t="s">
        <v>77</v>
      </c>
      <c r="G48" t="s">
        <v>76</v>
      </c>
      <c r="H48">
        <v>12</v>
      </c>
      <c r="I48">
        <v>0</v>
      </c>
      <c r="J48">
        <v>8</v>
      </c>
      <c r="K48">
        <v>8</v>
      </c>
      <c r="L48">
        <v>0</v>
      </c>
      <c r="M48">
        <v>7</v>
      </c>
      <c r="N48">
        <v>8</v>
      </c>
      <c r="O48">
        <v>-1</v>
      </c>
      <c r="P48">
        <v>6</v>
      </c>
      <c r="Q48">
        <v>8</v>
      </c>
      <c r="R48">
        <v>-2</v>
      </c>
      <c r="S48">
        <v>9</v>
      </c>
      <c r="T48">
        <v>7</v>
      </c>
      <c r="U48">
        <v>2</v>
      </c>
      <c r="V48">
        <v>8</v>
      </c>
      <c r="W48">
        <v>6</v>
      </c>
      <c r="X48">
        <v>2</v>
      </c>
      <c r="Y48">
        <v>9</v>
      </c>
      <c r="Z48">
        <v>8</v>
      </c>
      <c r="AA48">
        <v>1</v>
      </c>
      <c r="AB48">
        <v>8</v>
      </c>
      <c r="AC48">
        <v>8</v>
      </c>
      <c r="AD48">
        <v>0</v>
      </c>
      <c r="AE48">
        <v>7</v>
      </c>
      <c r="AF48">
        <v>9</v>
      </c>
      <c r="AG48">
        <v>-2</v>
      </c>
      <c r="AH48">
        <v>9</v>
      </c>
      <c r="AI48">
        <v>8</v>
      </c>
      <c r="AJ48">
        <v>1</v>
      </c>
      <c r="AK48" t="s">
        <v>294</v>
      </c>
      <c r="AL48" t="s">
        <v>295</v>
      </c>
      <c r="AM48" t="s">
        <v>296</v>
      </c>
      <c r="AN48" t="s">
        <v>297</v>
      </c>
      <c r="AO48" t="s">
        <v>298</v>
      </c>
      <c r="AP48" t="s">
        <v>299</v>
      </c>
      <c r="AQ48" t="s">
        <v>300</v>
      </c>
      <c r="AR48" t="s">
        <v>301</v>
      </c>
      <c r="AS48" t="s">
        <v>302</v>
      </c>
    </row>
    <row r="49" spans="1:45" x14ac:dyDescent="0.45">
      <c r="A49">
        <v>48</v>
      </c>
      <c r="B49">
        <v>89</v>
      </c>
      <c r="C49" t="s">
        <v>72</v>
      </c>
      <c r="D49" t="s">
        <v>73</v>
      </c>
      <c r="E49" t="s">
        <v>74</v>
      </c>
      <c r="F49" t="s">
        <v>77</v>
      </c>
      <c r="G49" t="s">
        <v>76</v>
      </c>
      <c r="H49">
        <v>35.26686950546128</v>
      </c>
      <c r="I49">
        <v>3</v>
      </c>
      <c r="J49">
        <v>8</v>
      </c>
      <c r="K49">
        <v>10</v>
      </c>
      <c r="L49">
        <v>-2</v>
      </c>
      <c r="M49">
        <v>8</v>
      </c>
      <c r="N49">
        <v>10</v>
      </c>
      <c r="O49">
        <v>-2</v>
      </c>
      <c r="P49">
        <v>9</v>
      </c>
      <c r="Q49">
        <v>10</v>
      </c>
      <c r="R49">
        <v>-1</v>
      </c>
      <c r="S49">
        <v>10</v>
      </c>
      <c r="T49">
        <v>10</v>
      </c>
      <c r="U49">
        <v>0</v>
      </c>
      <c r="V49">
        <v>7</v>
      </c>
      <c r="W49">
        <v>10</v>
      </c>
      <c r="X49">
        <v>-3</v>
      </c>
      <c r="Y49">
        <v>9</v>
      </c>
      <c r="Z49">
        <v>10</v>
      </c>
      <c r="AA49">
        <v>-1</v>
      </c>
      <c r="AB49">
        <v>8</v>
      </c>
      <c r="AC49">
        <v>10</v>
      </c>
      <c r="AD49">
        <v>-2</v>
      </c>
      <c r="AE49">
        <v>7</v>
      </c>
      <c r="AF49">
        <v>10</v>
      </c>
      <c r="AG49">
        <v>-3</v>
      </c>
      <c r="AH49">
        <v>9</v>
      </c>
      <c r="AI49">
        <v>10</v>
      </c>
      <c r="AJ49">
        <v>-1</v>
      </c>
      <c r="AK49" t="s">
        <v>1167</v>
      </c>
      <c r="AL49" t="s">
        <v>1168</v>
      </c>
      <c r="AM49" t="s">
        <v>1169</v>
      </c>
      <c r="AN49" t="s">
        <v>1170</v>
      </c>
      <c r="AO49" t="s">
        <v>1171</v>
      </c>
      <c r="AP49" t="s">
        <v>1172</v>
      </c>
      <c r="AQ49" t="s">
        <v>1173</v>
      </c>
      <c r="AR49" t="s">
        <v>1174</v>
      </c>
      <c r="AS49" t="s">
        <v>1175</v>
      </c>
    </row>
    <row r="50" spans="1:45" x14ac:dyDescent="0.45">
      <c r="A50">
        <v>49</v>
      </c>
      <c r="B50">
        <v>90</v>
      </c>
      <c r="C50" t="s">
        <v>78</v>
      </c>
      <c r="D50" t="s">
        <v>73</v>
      </c>
      <c r="E50" t="s">
        <v>74</v>
      </c>
      <c r="F50" t="s">
        <v>77</v>
      </c>
      <c r="G50" t="s">
        <v>76</v>
      </c>
      <c r="H50">
        <v>191.7935084949938</v>
      </c>
      <c r="I50">
        <v>2</v>
      </c>
      <c r="J50">
        <v>6</v>
      </c>
      <c r="K50">
        <v>8</v>
      </c>
      <c r="L50">
        <v>-2</v>
      </c>
      <c r="M50">
        <v>6</v>
      </c>
      <c r="N50">
        <v>8</v>
      </c>
      <c r="O50">
        <v>-2</v>
      </c>
      <c r="P50">
        <v>8</v>
      </c>
      <c r="Q50">
        <v>7</v>
      </c>
      <c r="R50">
        <v>1</v>
      </c>
      <c r="S50">
        <v>7</v>
      </c>
      <c r="T50">
        <v>8</v>
      </c>
      <c r="U50">
        <v>-1</v>
      </c>
      <c r="V50">
        <v>7</v>
      </c>
      <c r="W50">
        <v>6</v>
      </c>
      <c r="X50">
        <v>1</v>
      </c>
      <c r="Y50">
        <v>8</v>
      </c>
      <c r="Z50">
        <v>8</v>
      </c>
      <c r="AA50">
        <v>0</v>
      </c>
      <c r="AB50">
        <v>7</v>
      </c>
      <c r="AC50">
        <v>6</v>
      </c>
      <c r="AD50">
        <v>1</v>
      </c>
      <c r="AE50">
        <v>6</v>
      </c>
      <c r="AF50">
        <v>5</v>
      </c>
      <c r="AG50">
        <v>1</v>
      </c>
      <c r="AH50">
        <v>9</v>
      </c>
      <c r="AI50">
        <v>8</v>
      </c>
      <c r="AJ50">
        <v>1</v>
      </c>
      <c r="AK50" t="s">
        <v>639</v>
      </c>
      <c r="AL50" t="s">
        <v>718</v>
      </c>
      <c r="AM50" t="s">
        <v>719</v>
      </c>
      <c r="AN50" t="s">
        <v>1176</v>
      </c>
      <c r="AO50" t="s">
        <v>1177</v>
      </c>
      <c r="AP50" t="s">
        <v>1178</v>
      </c>
      <c r="AQ50" t="s">
        <v>1179</v>
      </c>
      <c r="AR50" t="s">
        <v>1180</v>
      </c>
      <c r="AS50" t="s">
        <v>1181</v>
      </c>
    </row>
    <row r="51" spans="1:45" x14ac:dyDescent="0.45">
      <c r="A51">
        <v>50</v>
      </c>
      <c r="B51">
        <v>91</v>
      </c>
      <c r="C51" t="s">
        <v>72</v>
      </c>
      <c r="D51" t="s">
        <v>73</v>
      </c>
      <c r="E51" t="s">
        <v>74</v>
      </c>
      <c r="F51" t="s">
        <v>77</v>
      </c>
      <c r="G51" t="s">
        <v>76</v>
      </c>
      <c r="H51">
        <v>20.052287499736849</v>
      </c>
      <c r="I51">
        <v>3</v>
      </c>
      <c r="J51">
        <v>7</v>
      </c>
      <c r="K51">
        <v>10</v>
      </c>
      <c r="L51">
        <v>-3</v>
      </c>
      <c r="M51">
        <v>7</v>
      </c>
      <c r="N51">
        <v>10</v>
      </c>
      <c r="O51">
        <v>-3</v>
      </c>
      <c r="P51">
        <v>6</v>
      </c>
      <c r="Q51">
        <v>10</v>
      </c>
      <c r="R51">
        <v>-4</v>
      </c>
      <c r="S51">
        <v>8</v>
      </c>
      <c r="T51">
        <v>8</v>
      </c>
      <c r="U51">
        <v>0</v>
      </c>
      <c r="V51">
        <v>7</v>
      </c>
      <c r="W51">
        <v>8</v>
      </c>
      <c r="X51">
        <v>-1</v>
      </c>
      <c r="Y51">
        <v>8</v>
      </c>
      <c r="Z51">
        <v>8</v>
      </c>
      <c r="AA51">
        <v>0</v>
      </c>
      <c r="AB51">
        <v>7</v>
      </c>
      <c r="AC51">
        <v>8</v>
      </c>
      <c r="AD51">
        <v>-1</v>
      </c>
      <c r="AE51">
        <v>6</v>
      </c>
      <c r="AF51">
        <v>8</v>
      </c>
      <c r="AG51">
        <v>-2</v>
      </c>
      <c r="AH51">
        <v>8</v>
      </c>
      <c r="AI51">
        <v>8</v>
      </c>
      <c r="AJ51">
        <v>0</v>
      </c>
      <c r="AK51" t="s">
        <v>1182</v>
      </c>
      <c r="AL51" t="s">
        <v>1183</v>
      </c>
      <c r="AM51" t="s">
        <v>1184</v>
      </c>
      <c r="AN51" t="s">
        <v>1185</v>
      </c>
      <c r="AO51" t="s">
        <v>1186</v>
      </c>
      <c r="AP51" t="s">
        <v>1187</v>
      </c>
      <c r="AQ51" t="s">
        <v>1188</v>
      </c>
      <c r="AR51" t="s">
        <v>1189</v>
      </c>
      <c r="AS51" t="s">
        <v>1190</v>
      </c>
    </row>
    <row r="52" spans="1:45" x14ac:dyDescent="0.45">
      <c r="A52">
        <v>51</v>
      </c>
      <c r="B52">
        <v>92</v>
      </c>
      <c r="C52" t="s">
        <v>78</v>
      </c>
      <c r="D52" t="s">
        <v>81</v>
      </c>
      <c r="E52" t="s">
        <v>74</v>
      </c>
      <c r="F52" t="s">
        <v>77</v>
      </c>
      <c r="G52" t="s">
        <v>76</v>
      </c>
      <c r="H52">
        <v>13.569827545687007</v>
      </c>
      <c r="I52">
        <v>0</v>
      </c>
      <c r="J52">
        <v>6</v>
      </c>
      <c r="K52">
        <v>10</v>
      </c>
      <c r="L52">
        <v>-4</v>
      </c>
      <c r="M52">
        <v>7</v>
      </c>
      <c r="N52">
        <v>10</v>
      </c>
      <c r="O52">
        <v>-3</v>
      </c>
      <c r="P52">
        <v>9</v>
      </c>
      <c r="Q52">
        <v>10</v>
      </c>
      <c r="R52">
        <v>-1</v>
      </c>
      <c r="S52">
        <v>9</v>
      </c>
      <c r="T52">
        <v>10</v>
      </c>
      <c r="U52">
        <v>-1</v>
      </c>
      <c r="V52">
        <v>8</v>
      </c>
      <c r="W52">
        <v>10</v>
      </c>
      <c r="X52">
        <v>-2</v>
      </c>
      <c r="Y52">
        <v>8</v>
      </c>
      <c r="Z52">
        <v>10</v>
      </c>
      <c r="AA52">
        <v>-2</v>
      </c>
      <c r="AB52">
        <v>7</v>
      </c>
      <c r="AC52">
        <v>10</v>
      </c>
      <c r="AD52">
        <v>-3</v>
      </c>
      <c r="AE52">
        <v>8</v>
      </c>
      <c r="AF52">
        <v>10</v>
      </c>
      <c r="AG52">
        <v>-2</v>
      </c>
      <c r="AH52">
        <v>9</v>
      </c>
      <c r="AI52">
        <v>10</v>
      </c>
      <c r="AJ52">
        <v>-1</v>
      </c>
      <c r="AK52" t="s">
        <v>720</v>
      </c>
      <c r="AL52" t="s">
        <v>1191</v>
      </c>
      <c r="AM52" t="s">
        <v>1192</v>
      </c>
      <c r="AN52" t="s">
        <v>1193</v>
      </c>
      <c r="AO52" t="s">
        <v>1194</v>
      </c>
      <c r="AP52" t="s">
        <v>1195</v>
      </c>
      <c r="AQ52" t="s">
        <v>1196</v>
      </c>
      <c r="AR52" t="s">
        <v>1197</v>
      </c>
      <c r="AS52" t="s">
        <v>1198</v>
      </c>
    </row>
    <row r="53" spans="1:45" x14ac:dyDescent="0.45">
      <c r="A53">
        <v>52</v>
      </c>
      <c r="B53">
        <v>93</v>
      </c>
      <c r="C53" t="s">
        <v>72</v>
      </c>
      <c r="D53" t="s">
        <v>81</v>
      </c>
      <c r="E53" t="s">
        <v>74</v>
      </c>
      <c r="F53" t="s">
        <v>77</v>
      </c>
      <c r="G53" t="s">
        <v>76</v>
      </c>
      <c r="H53">
        <v>20.75462224322278</v>
      </c>
      <c r="I53">
        <v>1</v>
      </c>
      <c r="J53">
        <v>7</v>
      </c>
      <c r="K53">
        <v>10</v>
      </c>
      <c r="L53">
        <v>-3</v>
      </c>
      <c r="M53">
        <v>8</v>
      </c>
      <c r="N53">
        <v>10</v>
      </c>
      <c r="O53">
        <v>-2</v>
      </c>
      <c r="P53">
        <v>9</v>
      </c>
      <c r="Q53">
        <v>10</v>
      </c>
      <c r="R53">
        <v>-1</v>
      </c>
      <c r="S53">
        <v>10</v>
      </c>
      <c r="T53">
        <v>10</v>
      </c>
      <c r="U53">
        <v>0</v>
      </c>
      <c r="V53">
        <v>9</v>
      </c>
      <c r="W53">
        <v>10</v>
      </c>
      <c r="X53">
        <v>-1</v>
      </c>
      <c r="Y53">
        <v>8</v>
      </c>
      <c r="Z53">
        <v>10</v>
      </c>
      <c r="AA53">
        <v>-2</v>
      </c>
      <c r="AB53">
        <v>9</v>
      </c>
      <c r="AC53">
        <v>10</v>
      </c>
      <c r="AD53">
        <v>-1</v>
      </c>
      <c r="AE53">
        <v>8</v>
      </c>
      <c r="AF53">
        <v>10</v>
      </c>
      <c r="AG53">
        <v>-2</v>
      </c>
      <c r="AH53">
        <v>9</v>
      </c>
      <c r="AI53">
        <v>8</v>
      </c>
      <c r="AJ53">
        <v>1</v>
      </c>
      <c r="AK53" t="s">
        <v>1199</v>
      </c>
      <c r="AL53" t="s">
        <v>1200</v>
      </c>
      <c r="AM53" t="s">
        <v>1201</v>
      </c>
      <c r="AN53" t="s">
        <v>1202</v>
      </c>
      <c r="AO53" t="s">
        <v>1203</v>
      </c>
      <c r="AP53" t="s">
        <v>1204</v>
      </c>
      <c r="AQ53" t="s">
        <v>1205</v>
      </c>
      <c r="AR53" t="s">
        <v>1206</v>
      </c>
      <c r="AS53" t="s">
        <v>1207</v>
      </c>
    </row>
    <row r="54" spans="1:45" x14ac:dyDescent="0.45">
      <c r="A54">
        <v>53</v>
      </c>
      <c r="B54">
        <v>94</v>
      </c>
      <c r="C54" t="s">
        <v>78</v>
      </c>
      <c r="D54" t="s">
        <v>81</v>
      </c>
      <c r="E54" t="s">
        <v>74</v>
      </c>
      <c r="F54" t="s">
        <v>75</v>
      </c>
      <c r="G54" t="s">
        <v>76</v>
      </c>
      <c r="H54">
        <v>12.983243945131914</v>
      </c>
      <c r="I54">
        <v>2</v>
      </c>
      <c r="J54">
        <v>8</v>
      </c>
      <c r="K54">
        <v>10</v>
      </c>
      <c r="L54">
        <v>-2</v>
      </c>
      <c r="M54">
        <v>9</v>
      </c>
      <c r="N54">
        <v>10</v>
      </c>
      <c r="O54">
        <v>-1</v>
      </c>
      <c r="P54">
        <v>8</v>
      </c>
      <c r="Q54">
        <v>10</v>
      </c>
      <c r="R54">
        <v>-2</v>
      </c>
      <c r="S54">
        <v>9</v>
      </c>
      <c r="T54">
        <v>10</v>
      </c>
      <c r="U54">
        <v>-1</v>
      </c>
      <c r="V54">
        <v>8</v>
      </c>
      <c r="W54">
        <v>10</v>
      </c>
      <c r="X54">
        <v>-2</v>
      </c>
      <c r="Y54">
        <v>9</v>
      </c>
      <c r="Z54">
        <v>10</v>
      </c>
      <c r="AA54">
        <v>-1</v>
      </c>
      <c r="AB54">
        <v>8</v>
      </c>
      <c r="AC54">
        <v>10</v>
      </c>
      <c r="AD54">
        <v>-2</v>
      </c>
      <c r="AE54">
        <v>9</v>
      </c>
      <c r="AF54">
        <v>10</v>
      </c>
      <c r="AG54">
        <v>-1</v>
      </c>
      <c r="AH54">
        <v>10</v>
      </c>
      <c r="AI54">
        <v>10</v>
      </c>
      <c r="AJ54">
        <v>0</v>
      </c>
      <c r="AK54" t="s">
        <v>303</v>
      </c>
      <c r="AL54" t="s">
        <v>304</v>
      </c>
      <c r="AM54" t="s">
        <v>305</v>
      </c>
      <c r="AN54" t="s">
        <v>306</v>
      </c>
      <c r="AO54" t="s">
        <v>640</v>
      </c>
      <c r="AP54" t="s">
        <v>641</v>
      </c>
      <c r="AQ54" t="s">
        <v>1208</v>
      </c>
      <c r="AR54" t="s">
        <v>1209</v>
      </c>
      <c r="AS54" t="s">
        <v>1210</v>
      </c>
    </row>
    <row r="55" spans="1:45" x14ac:dyDescent="0.45">
      <c r="A55">
        <v>54</v>
      </c>
      <c r="B55">
        <v>95</v>
      </c>
      <c r="C55" t="s">
        <v>72</v>
      </c>
      <c r="D55" t="s">
        <v>79</v>
      </c>
      <c r="E55" t="s">
        <v>74</v>
      </c>
      <c r="F55" t="s">
        <v>77</v>
      </c>
      <c r="G55" t="s">
        <v>76</v>
      </c>
      <c r="H55">
        <v>35.681028915547671</v>
      </c>
      <c r="I55">
        <v>2</v>
      </c>
      <c r="J55">
        <v>6</v>
      </c>
      <c r="K55">
        <v>8</v>
      </c>
      <c r="L55">
        <v>-2</v>
      </c>
      <c r="M55">
        <v>7</v>
      </c>
      <c r="N55">
        <v>7</v>
      </c>
      <c r="O55">
        <v>0</v>
      </c>
      <c r="P55">
        <v>8</v>
      </c>
      <c r="Q55">
        <v>7</v>
      </c>
      <c r="R55">
        <v>1</v>
      </c>
      <c r="S55">
        <v>9</v>
      </c>
      <c r="T55">
        <v>8</v>
      </c>
      <c r="U55">
        <v>1</v>
      </c>
      <c r="V55">
        <v>7</v>
      </c>
      <c r="W55">
        <v>7</v>
      </c>
      <c r="X55">
        <v>0</v>
      </c>
      <c r="Y55">
        <v>8</v>
      </c>
      <c r="Z55">
        <v>8</v>
      </c>
      <c r="AA55">
        <v>0</v>
      </c>
      <c r="AB55">
        <v>7</v>
      </c>
      <c r="AC55">
        <v>7</v>
      </c>
      <c r="AD55">
        <v>0</v>
      </c>
      <c r="AE55">
        <v>8</v>
      </c>
      <c r="AF55">
        <v>7</v>
      </c>
      <c r="AG55">
        <v>1</v>
      </c>
      <c r="AH55">
        <v>9</v>
      </c>
      <c r="AI55">
        <v>8</v>
      </c>
      <c r="AJ55">
        <v>1</v>
      </c>
      <c r="AK55" t="s">
        <v>721</v>
      </c>
      <c r="AL55" t="s">
        <v>1211</v>
      </c>
      <c r="AM55" t="s">
        <v>1212</v>
      </c>
      <c r="AN55" t="s">
        <v>1213</v>
      </c>
      <c r="AO55" t="s">
        <v>1214</v>
      </c>
      <c r="AP55" t="s">
        <v>1215</v>
      </c>
      <c r="AQ55" t="s">
        <v>1216</v>
      </c>
      <c r="AR55" t="s">
        <v>1217</v>
      </c>
      <c r="AS55" t="s">
        <v>1218</v>
      </c>
    </row>
    <row r="56" spans="1:45" x14ac:dyDescent="0.45">
      <c r="A56">
        <v>55</v>
      </c>
      <c r="B56">
        <v>96</v>
      </c>
      <c r="C56" t="s">
        <v>72</v>
      </c>
      <c r="D56" t="s">
        <v>73</v>
      </c>
      <c r="E56" t="s">
        <v>74</v>
      </c>
      <c r="F56" t="s">
        <v>77</v>
      </c>
      <c r="G56" t="s">
        <v>76</v>
      </c>
      <c r="H56">
        <v>37.498117157864044</v>
      </c>
      <c r="I56">
        <v>1</v>
      </c>
      <c r="J56">
        <v>7</v>
      </c>
      <c r="K56">
        <v>10</v>
      </c>
      <c r="L56">
        <v>-3</v>
      </c>
      <c r="M56">
        <v>6</v>
      </c>
      <c r="N56">
        <v>9</v>
      </c>
      <c r="O56">
        <v>-3</v>
      </c>
      <c r="P56">
        <v>8</v>
      </c>
      <c r="Q56">
        <v>3</v>
      </c>
      <c r="R56">
        <v>5</v>
      </c>
      <c r="S56">
        <v>9</v>
      </c>
      <c r="T56">
        <v>4</v>
      </c>
      <c r="U56">
        <v>5</v>
      </c>
      <c r="V56">
        <v>5</v>
      </c>
      <c r="W56">
        <v>3</v>
      </c>
      <c r="X56">
        <v>2</v>
      </c>
      <c r="Y56">
        <v>7</v>
      </c>
      <c r="Z56">
        <v>3</v>
      </c>
      <c r="AA56">
        <v>4</v>
      </c>
      <c r="AB56">
        <v>6</v>
      </c>
      <c r="AC56">
        <v>1</v>
      </c>
      <c r="AD56">
        <v>5</v>
      </c>
      <c r="AE56">
        <v>5</v>
      </c>
      <c r="AF56">
        <v>1</v>
      </c>
      <c r="AG56">
        <v>4</v>
      </c>
      <c r="AH56">
        <v>8</v>
      </c>
      <c r="AI56">
        <v>3</v>
      </c>
      <c r="AJ56">
        <v>5</v>
      </c>
      <c r="AK56" t="s">
        <v>722</v>
      </c>
      <c r="AL56" t="s">
        <v>723</v>
      </c>
      <c r="AM56" t="s">
        <v>724</v>
      </c>
      <c r="AN56" t="s">
        <v>725</v>
      </c>
      <c r="AO56" t="s">
        <v>726</v>
      </c>
      <c r="AP56" t="s">
        <v>1219</v>
      </c>
      <c r="AQ56" t="s">
        <v>1220</v>
      </c>
      <c r="AR56" t="s">
        <v>1221</v>
      </c>
      <c r="AS56" t="s">
        <v>1222</v>
      </c>
    </row>
    <row r="57" spans="1:45" x14ac:dyDescent="0.45">
      <c r="A57">
        <v>56</v>
      </c>
      <c r="B57">
        <v>97</v>
      </c>
      <c r="C57" t="s">
        <v>78</v>
      </c>
      <c r="D57" t="s">
        <v>81</v>
      </c>
      <c r="E57" t="s">
        <v>74</v>
      </c>
      <c r="F57" t="s">
        <v>77</v>
      </c>
      <c r="G57" t="s">
        <v>76</v>
      </c>
      <c r="H57">
        <v>12</v>
      </c>
      <c r="I57">
        <v>0</v>
      </c>
      <c r="J57">
        <v>7</v>
      </c>
      <c r="K57">
        <v>10</v>
      </c>
      <c r="L57">
        <v>-3</v>
      </c>
      <c r="M57">
        <v>8</v>
      </c>
      <c r="N57">
        <v>10</v>
      </c>
      <c r="O57">
        <v>-2</v>
      </c>
      <c r="P57">
        <v>7</v>
      </c>
      <c r="Q57">
        <v>9</v>
      </c>
      <c r="R57">
        <v>-2</v>
      </c>
      <c r="S57">
        <v>9</v>
      </c>
      <c r="T57">
        <v>10</v>
      </c>
      <c r="U57">
        <v>-1</v>
      </c>
      <c r="V57">
        <v>7</v>
      </c>
      <c r="W57">
        <v>9</v>
      </c>
      <c r="X57">
        <v>-2</v>
      </c>
      <c r="Y57">
        <v>8</v>
      </c>
      <c r="Z57">
        <v>10</v>
      </c>
      <c r="AA57">
        <v>-2</v>
      </c>
      <c r="AB57">
        <v>7</v>
      </c>
      <c r="AC57">
        <v>9</v>
      </c>
      <c r="AD57">
        <v>-2</v>
      </c>
      <c r="AE57">
        <v>8</v>
      </c>
      <c r="AF57">
        <v>10</v>
      </c>
      <c r="AG57">
        <v>-2</v>
      </c>
      <c r="AH57">
        <v>9</v>
      </c>
      <c r="AI57">
        <v>9</v>
      </c>
      <c r="AJ57">
        <v>0</v>
      </c>
      <c r="AK57" t="s">
        <v>307</v>
      </c>
      <c r="AL57" t="s">
        <v>308</v>
      </c>
      <c r="AM57" t="s">
        <v>309</v>
      </c>
      <c r="AN57" t="s">
        <v>310</v>
      </c>
      <c r="AO57" t="s">
        <v>311</v>
      </c>
      <c r="AP57" t="s">
        <v>312</v>
      </c>
      <c r="AQ57" t="s">
        <v>82</v>
      </c>
      <c r="AR57" t="s">
        <v>313</v>
      </c>
      <c r="AS57" t="s">
        <v>314</v>
      </c>
    </row>
    <row r="58" spans="1:45" x14ac:dyDescent="0.45">
      <c r="A58">
        <v>57</v>
      </c>
      <c r="B58">
        <v>98</v>
      </c>
      <c r="C58" t="s">
        <v>72</v>
      </c>
      <c r="D58" t="s">
        <v>73</v>
      </c>
      <c r="E58" t="s">
        <v>74</v>
      </c>
      <c r="F58" t="s">
        <v>77</v>
      </c>
      <c r="G58" t="s">
        <v>76</v>
      </c>
      <c r="H58">
        <v>12.203375060822989</v>
      </c>
      <c r="I58">
        <v>2</v>
      </c>
      <c r="J58">
        <v>6</v>
      </c>
      <c r="K58">
        <v>10</v>
      </c>
      <c r="L58">
        <v>-4</v>
      </c>
      <c r="M58">
        <v>5</v>
      </c>
      <c r="N58">
        <v>10</v>
      </c>
      <c r="O58">
        <v>-5</v>
      </c>
      <c r="P58">
        <v>7</v>
      </c>
      <c r="Q58">
        <v>1</v>
      </c>
      <c r="R58">
        <v>6</v>
      </c>
      <c r="S58">
        <v>8</v>
      </c>
      <c r="T58">
        <v>5</v>
      </c>
      <c r="U58">
        <v>3</v>
      </c>
      <c r="V58">
        <v>7</v>
      </c>
      <c r="W58">
        <v>7</v>
      </c>
      <c r="X58">
        <v>0</v>
      </c>
      <c r="Y58">
        <v>8</v>
      </c>
      <c r="Z58">
        <v>10</v>
      </c>
      <c r="AA58">
        <v>-2</v>
      </c>
      <c r="AB58">
        <v>7</v>
      </c>
      <c r="AC58">
        <v>9</v>
      </c>
      <c r="AD58">
        <v>-2</v>
      </c>
      <c r="AE58">
        <v>6</v>
      </c>
      <c r="AF58">
        <v>9</v>
      </c>
      <c r="AG58">
        <v>-3</v>
      </c>
      <c r="AH58">
        <v>8</v>
      </c>
      <c r="AI58">
        <v>10</v>
      </c>
      <c r="AJ58">
        <v>-2</v>
      </c>
      <c r="AK58" t="s">
        <v>315</v>
      </c>
      <c r="AL58" t="s">
        <v>316</v>
      </c>
      <c r="AM58" t="s">
        <v>727</v>
      </c>
      <c r="AN58" t="s">
        <v>728</v>
      </c>
      <c r="AO58" t="s">
        <v>729</v>
      </c>
      <c r="AP58" t="s">
        <v>1223</v>
      </c>
      <c r="AQ58" t="s">
        <v>1224</v>
      </c>
      <c r="AR58" t="s">
        <v>1225</v>
      </c>
      <c r="AS58" t="s">
        <v>1226</v>
      </c>
    </row>
    <row r="59" spans="1:45" x14ac:dyDescent="0.45">
      <c r="A59">
        <v>58</v>
      </c>
      <c r="B59">
        <v>99</v>
      </c>
      <c r="C59" t="s">
        <v>72</v>
      </c>
      <c r="D59" t="s">
        <v>79</v>
      </c>
      <c r="E59" t="s">
        <v>74</v>
      </c>
      <c r="F59" t="s">
        <v>75</v>
      </c>
      <c r="G59" t="s">
        <v>76</v>
      </c>
      <c r="H59">
        <v>28.093581811068354</v>
      </c>
      <c r="I59">
        <v>1</v>
      </c>
      <c r="J59">
        <v>7</v>
      </c>
      <c r="K59">
        <v>5</v>
      </c>
      <c r="L59">
        <v>2</v>
      </c>
      <c r="M59">
        <v>6</v>
      </c>
      <c r="N59">
        <v>5</v>
      </c>
      <c r="O59">
        <v>1</v>
      </c>
      <c r="P59">
        <v>8</v>
      </c>
      <c r="Q59">
        <v>4</v>
      </c>
      <c r="R59">
        <v>4</v>
      </c>
      <c r="S59">
        <v>9</v>
      </c>
      <c r="T59">
        <v>8</v>
      </c>
      <c r="U59">
        <v>1</v>
      </c>
      <c r="V59">
        <v>8</v>
      </c>
      <c r="W59">
        <v>5</v>
      </c>
      <c r="X59">
        <v>3</v>
      </c>
      <c r="Y59">
        <v>9</v>
      </c>
      <c r="Z59">
        <v>7</v>
      </c>
      <c r="AA59">
        <v>2</v>
      </c>
      <c r="AB59">
        <v>8</v>
      </c>
      <c r="AC59">
        <v>7</v>
      </c>
      <c r="AD59">
        <v>1</v>
      </c>
      <c r="AE59">
        <v>7</v>
      </c>
      <c r="AF59">
        <v>7</v>
      </c>
      <c r="AG59">
        <v>0</v>
      </c>
      <c r="AH59">
        <v>9</v>
      </c>
      <c r="AI59">
        <v>7</v>
      </c>
      <c r="AJ59">
        <v>2</v>
      </c>
      <c r="AK59" t="s">
        <v>730</v>
      </c>
      <c r="AL59" t="s">
        <v>731</v>
      </c>
      <c r="AM59" t="s">
        <v>1227</v>
      </c>
      <c r="AN59" t="s">
        <v>1228</v>
      </c>
      <c r="AO59" t="s">
        <v>1229</v>
      </c>
      <c r="AP59" t="s">
        <v>1230</v>
      </c>
      <c r="AQ59" t="s">
        <v>1231</v>
      </c>
      <c r="AR59" t="s">
        <v>1232</v>
      </c>
      <c r="AS59" t="s">
        <v>1233</v>
      </c>
    </row>
    <row r="60" spans="1:45" x14ac:dyDescent="0.45">
      <c r="A60">
        <v>59</v>
      </c>
      <c r="B60">
        <v>100</v>
      </c>
      <c r="C60" t="s">
        <v>72</v>
      </c>
      <c r="D60" t="s">
        <v>189</v>
      </c>
      <c r="E60" t="s">
        <v>74</v>
      </c>
      <c r="F60" t="s">
        <v>77</v>
      </c>
      <c r="G60" t="s">
        <v>162</v>
      </c>
      <c r="H60">
        <v>12</v>
      </c>
      <c r="I60">
        <v>0</v>
      </c>
      <c r="J60">
        <v>7</v>
      </c>
      <c r="K60">
        <v>9</v>
      </c>
      <c r="L60">
        <v>-2</v>
      </c>
      <c r="M60">
        <v>6</v>
      </c>
      <c r="N60">
        <v>9</v>
      </c>
      <c r="O60">
        <v>-3</v>
      </c>
      <c r="P60">
        <v>9</v>
      </c>
      <c r="Q60">
        <v>9</v>
      </c>
      <c r="R60">
        <v>0</v>
      </c>
      <c r="S60">
        <v>8</v>
      </c>
      <c r="T60">
        <v>7</v>
      </c>
      <c r="U60">
        <v>1</v>
      </c>
      <c r="V60">
        <v>7</v>
      </c>
      <c r="W60">
        <v>7</v>
      </c>
      <c r="X60">
        <v>0</v>
      </c>
      <c r="Y60">
        <v>8</v>
      </c>
      <c r="Z60">
        <v>8</v>
      </c>
      <c r="AA60">
        <v>0</v>
      </c>
      <c r="AB60">
        <v>7</v>
      </c>
      <c r="AC60">
        <v>8</v>
      </c>
      <c r="AD60">
        <v>-1</v>
      </c>
      <c r="AE60">
        <v>8</v>
      </c>
      <c r="AF60">
        <v>6</v>
      </c>
      <c r="AG60">
        <v>2</v>
      </c>
      <c r="AH60">
        <v>9</v>
      </c>
      <c r="AI60">
        <v>5</v>
      </c>
      <c r="AJ60">
        <v>4</v>
      </c>
      <c r="AK60" t="s">
        <v>317</v>
      </c>
      <c r="AL60" t="s">
        <v>318</v>
      </c>
      <c r="AM60" t="s">
        <v>319</v>
      </c>
      <c r="AN60" t="s">
        <v>320</v>
      </c>
      <c r="AO60" t="s">
        <v>321</v>
      </c>
      <c r="AP60" t="s">
        <v>322</v>
      </c>
      <c r="AQ60" t="s">
        <v>323</v>
      </c>
      <c r="AR60" t="s">
        <v>324</v>
      </c>
      <c r="AS60" t="s">
        <v>325</v>
      </c>
    </row>
    <row r="61" spans="1:45" x14ac:dyDescent="0.45">
      <c r="A61">
        <v>60</v>
      </c>
      <c r="B61">
        <v>101</v>
      </c>
      <c r="C61" t="s">
        <v>78</v>
      </c>
      <c r="D61" t="s">
        <v>81</v>
      </c>
      <c r="E61" t="s">
        <v>74</v>
      </c>
      <c r="F61" t="s">
        <v>77</v>
      </c>
      <c r="G61" t="s">
        <v>76</v>
      </c>
      <c r="H61">
        <v>15.883714148666074</v>
      </c>
      <c r="I61">
        <v>0</v>
      </c>
      <c r="J61">
        <v>7</v>
      </c>
      <c r="K61">
        <v>5</v>
      </c>
      <c r="L61">
        <v>2</v>
      </c>
      <c r="M61">
        <v>9</v>
      </c>
      <c r="N61">
        <v>5</v>
      </c>
      <c r="O61">
        <v>4</v>
      </c>
      <c r="P61">
        <v>8</v>
      </c>
      <c r="Q61">
        <v>5</v>
      </c>
      <c r="R61">
        <v>3</v>
      </c>
      <c r="S61">
        <v>9</v>
      </c>
      <c r="T61">
        <v>5</v>
      </c>
      <c r="U61">
        <v>4</v>
      </c>
      <c r="V61">
        <v>7</v>
      </c>
      <c r="W61">
        <v>5</v>
      </c>
      <c r="X61">
        <v>2</v>
      </c>
      <c r="Y61">
        <v>9</v>
      </c>
      <c r="Z61">
        <v>8</v>
      </c>
      <c r="AA61">
        <v>1</v>
      </c>
      <c r="AB61">
        <v>7</v>
      </c>
      <c r="AC61">
        <v>4</v>
      </c>
      <c r="AD61">
        <v>3</v>
      </c>
      <c r="AE61">
        <v>8</v>
      </c>
      <c r="AF61">
        <v>5</v>
      </c>
      <c r="AG61">
        <v>3</v>
      </c>
      <c r="AH61">
        <v>9</v>
      </c>
      <c r="AI61">
        <v>5</v>
      </c>
      <c r="AJ61">
        <v>4</v>
      </c>
      <c r="AK61" t="s">
        <v>1234</v>
      </c>
      <c r="AL61" t="s">
        <v>1235</v>
      </c>
      <c r="AM61" t="s">
        <v>1236</v>
      </c>
      <c r="AN61" t="s">
        <v>1237</v>
      </c>
      <c r="AO61" t="s">
        <v>1238</v>
      </c>
      <c r="AP61" t="s">
        <v>1239</v>
      </c>
      <c r="AQ61" t="s">
        <v>1240</v>
      </c>
      <c r="AR61" t="s">
        <v>1241</v>
      </c>
      <c r="AS61" t="s">
        <v>1242</v>
      </c>
    </row>
    <row r="62" spans="1:45" x14ac:dyDescent="0.45">
      <c r="A62">
        <v>61</v>
      </c>
      <c r="B62">
        <v>102</v>
      </c>
      <c r="C62" t="s">
        <v>72</v>
      </c>
      <c r="D62" t="s">
        <v>73</v>
      </c>
      <c r="E62" t="s">
        <v>74</v>
      </c>
      <c r="F62" t="s">
        <v>75</v>
      </c>
      <c r="G62" t="s">
        <v>76</v>
      </c>
      <c r="H62">
        <v>20.116602641598408</v>
      </c>
      <c r="I62">
        <v>1</v>
      </c>
      <c r="J62">
        <v>7</v>
      </c>
      <c r="K62">
        <v>8</v>
      </c>
      <c r="L62">
        <v>-1</v>
      </c>
      <c r="M62">
        <v>8</v>
      </c>
      <c r="N62">
        <v>9</v>
      </c>
      <c r="O62">
        <v>-1</v>
      </c>
      <c r="P62">
        <v>9</v>
      </c>
      <c r="Q62">
        <v>9</v>
      </c>
      <c r="R62">
        <v>0</v>
      </c>
      <c r="S62">
        <v>10</v>
      </c>
      <c r="T62">
        <v>9</v>
      </c>
      <c r="U62">
        <v>1</v>
      </c>
      <c r="V62">
        <v>9</v>
      </c>
      <c r="W62">
        <v>9</v>
      </c>
      <c r="X62">
        <v>0</v>
      </c>
      <c r="Y62">
        <v>8</v>
      </c>
      <c r="Z62">
        <v>8</v>
      </c>
      <c r="AA62">
        <v>0</v>
      </c>
      <c r="AB62">
        <v>9</v>
      </c>
      <c r="AC62">
        <v>8</v>
      </c>
      <c r="AD62">
        <v>1</v>
      </c>
      <c r="AE62">
        <v>7</v>
      </c>
      <c r="AF62">
        <v>8</v>
      </c>
      <c r="AG62">
        <v>-1</v>
      </c>
      <c r="AH62">
        <v>9</v>
      </c>
      <c r="AI62">
        <v>9</v>
      </c>
      <c r="AJ62">
        <v>0</v>
      </c>
      <c r="AK62" t="s">
        <v>1243</v>
      </c>
      <c r="AL62" t="s">
        <v>1244</v>
      </c>
      <c r="AM62" t="s">
        <v>1245</v>
      </c>
      <c r="AN62" t="s">
        <v>1246</v>
      </c>
      <c r="AO62" t="s">
        <v>1247</v>
      </c>
      <c r="AP62" t="s">
        <v>1248</v>
      </c>
      <c r="AQ62" t="s">
        <v>1249</v>
      </c>
      <c r="AR62" t="s">
        <v>1250</v>
      </c>
      <c r="AS62" t="s">
        <v>1251</v>
      </c>
    </row>
    <row r="63" spans="1:45" x14ac:dyDescent="0.45">
      <c r="A63">
        <v>62</v>
      </c>
      <c r="B63">
        <v>103</v>
      </c>
      <c r="C63" t="s">
        <v>72</v>
      </c>
      <c r="D63" t="s">
        <v>81</v>
      </c>
      <c r="E63" t="s">
        <v>74</v>
      </c>
      <c r="F63" t="s">
        <v>75</v>
      </c>
      <c r="G63" t="s">
        <v>76</v>
      </c>
      <c r="H63">
        <v>29.967774228943657</v>
      </c>
      <c r="I63">
        <v>0</v>
      </c>
      <c r="J63">
        <v>7</v>
      </c>
      <c r="K63">
        <v>9</v>
      </c>
      <c r="L63">
        <v>-2</v>
      </c>
      <c r="M63">
        <v>8</v>
      </c>
      <c r="N63">
        <v>9</v>
      </c>
      <c r="O63">
        <v>-1</v>
      </c>
      <c r="P63">
        <v>9</v>
      </c>
      <c r="Q63">
        <v>7</v>
      </c>
      <c r="R63">
        <v>2</v>
      </c>
      <c r="S63">
        <v>10</v>
      </c>
      <c r="T63">
        <v>6</v>
      </c>
      <c r="U63">
        <v>4</v>
      </c>
      <c r="V63">
        <v>7</v>
      </c>
      <c r="W63">
        <v>7</v>
      </c>
      <c r="X63">
        <v>0</v>
      </c>
      <c r="Y63">
        <v>9</v>
      </c>
      <c r="Z63">
        <v>5</v>
      </c>
      <c r="AA63">
        <v>4</v>
      </c>
      <c r="AB63">
        <v>6</v>
      </c>
      <c r="AC63">
        <v>6</v>
      </c>
      <c r="AD63">
        <v>0</v>
      </c>
      <c r="AE63">
        <v>8</v>
      </c>
      <c r="AF63">
        <v>8</v>
      </c>
      <c r="AG63">
        <v>0</v>
      </c>
      <c r="AH63">
        <v>9</v>
      </c>
      <c r="AI63">
        <v>5</v>
      </c>
      <c r="AJ63">
        <v>4</v>
      </c>
      <c r="AK63" t="s">
        <v>1252</v>
      </c>
      <c r="AL63" t="s">
        <v>1253</v>
      </c>
      <c r="AM63" t="s">
        <v>1254</v>
      </c>
      <c r="AN63" t="s">
        <v>1255</v>
      </c>
      <c r="AO63" t="s">
        <v>1256</v>
      </c>
      <c r="AP63" t="s">
        <v>1257</v>
      </c>
      <c r="AQ63" t="s">
        <v>1258</v>
      </c>
      <c r="AR63" t="s">
        <v>1259</v>
      </c>
      <c r="AS63" t="s">
        <v>1260</v>
      </c>
    </row>
    <row r="64" spans="1:45" x14ac:dyDescent="0.45">
      <c r="A64">
        <v>63</v>
      </c>
      <c r="B64">
        <v>104</v>
      </c>
      <c r="C64" t="s">
        <v>72</v>
      </c>
      <c r="D64" t="s">
        <v>191</v>
      </c>
      <c r="E64" t="s">
        <v>80</v>
      </c>
      <c r="F64" t="s">
        <v>77</v>
      </c>
      <c r="G64" t="s">
        <v>76</v>
      </c>
      <c r="H64">
        <v>21.039509606197019</v>
      </c>
      <c r="I64">
        <v>1</v>
      </c>
      <c r="J64">
        <v>8</v>
      </c>
      <c r="K64">
        <v>9</v>
      </c>
      <c r="L64">
        <v>-1</v>
      </c>
      <c r="M64">
        <v>7</v>
      </c>
      <c r="N64">
        <v>9</v>
      </c>
      <c r="O64">
        <v>-2</v>
      </c>
      <c r="P64">
        <v>9</v>
      </c>
      <c r="Q64">
        <v>9</v>
      </c>
      <c r="R64">
        <v>0</v>
      </c>
      <c r="S64">
        <v>9</v>
      </c>
      <c r="T64">
        <v>9</v>
      </c>
      <c r="U64">
        <v>0</v>
      </c>
      <c r="V64">
        <v>8</v>
      </c>
      <c r="W64">
        <v>8</v>
      </c>
      <c r="X64">
        <v>0</v>
      </c>
      <c r="Y64">
        <v>9</v>
      </c>
      <c r="Z64">
        <v>9</v>
      </c>
      <c r="AA64">
        <v>0</v>
      </c>
      <c r="AB64">
        <v>8</v>
      </c>
      <c r="AC64">
        <v>9</v>
      </c>
      <c r="AD64">
        <v>-1</v>
      </c>
      <c r="AE64">
        <v>7</v>
      </c>
      <c r="AF64">
        <v>8</v>
      </c>
      <c r="AG64">
        <v>-1</v>
      </c>
      <c r="AH64">
        <v>9</v>
      </c>
      <c r="AI64">
        <v>7</v>
      </c>
      <c r="AJ64">
        <v>2</v>
      </c>
      <c r="AK64" t="s">
        <v>1261</v>
      </c>
      <c r="AL64" t="s">
        <v>1262</v>
      </c>
      <c r="AM64" t="s">
        <v>1263</v>
      </c>
      <c r="AN64" t="s">
        <v>1264</v>
      </c>
      <c r="AO64" t="s">
        <v>1265</v>
      </c>
      <c r="AP64" t="s">
        <v>1266</v>
      </c>
      <c r="AQ64" t="s">
        <v>1267</v>
      </c>
      <c r="AR64" t="s">
        <v>1268</v>
      </c>
      <c r="AS64" t="s">
        <v>1269</v>
      </c>
    </row>
    <row r="65" spans="1:45" x14ac:dyDescent="0.45">
      <c r="A65">
        <v>64</v>
      </c>
      <c r="B65">
        <v>105</v>
      </c>
      <c r="C65" t="s">
        <v>72</v>
      </c>
      <c r="D65" t="s">
        <v>73</v>
      </c>
      <c r="E65" t="s">
        <v>74</v>
      </c>
      <c r="F65" t="s">
        <v>77</v>
      </c>
      <c r="G65" t="s">
        <v>162</v>
      </c>
      <c r="H65">
        <v>120.54074400286268</v>
      </c>
      <c r="I65">
        <v>2</v>
      </c>
      <c r="J65">
        <v>7</v>
      </c>
      <c r="K65">
        <v>9</v>
      </c>
      <c r="L65">
        <v>-2</v>
      </c>
      <c r="M65">
        <v>7</v>
      </c>
      <c r="N65">
        <v>10</v>
      </c>
      <c r="O65">
        <v>-3</v>
      </c>
      <c r="P65">
        <v>9</v>
      </c>
      <c r="Q65">
        <v>9</v>
      </c>
      <c r="R65">
        <v>0</v>
      </c>
      <c r="S65">
        <v>8</v>
      </c>
      <c r="T65">
        <v>10</v>
      </c>
      <c r="U65">
        <v>-2</v>
      </c>
      <c r="V65">
        <v>7</v>
      </c>
      <c r="W65">
        <v>10</v>
      </c>
      <c r="X65">
        <v>-3</v>
      </c>
      <c r="Y65">
        <v>8</v>
      </c>
      <c r="Z65">
        <v>5</v>
      </c>
      <c r="AA65">
        <v>3</v>
      </c>
      <c r="AB65">
        <v>7</v>
      </c>
      <c r="AC65">
        <v>10</v>
      </c>
      <c r="AD65">
        <v>-3</v>
      </c>
      <c r="AE65">
        <v>6</v>
      </c>
      <c r="AF65">
        <v>7</v>
      </c>
      <c r="AG65">
        <v>-1</v>
      </c>
      <c r="AH65">
        <v>8</v>
      </c>
      <c r="AI65">
        <v>9</v>
      </c>
      <c r="AJ65">
        <v>-1</v>
      </c>
      <c r="AK65" t="s">
        <v>1270</v>
      </c>
      <c r="AL65" t="s">
        <v>1271</v>
      </c>
      <c r="AM65" t="s">
        <v>1272</v>
      </c>
      <c r="AN65" t="s">
        <v>1273</v>
      </c>
      <c r="AO65" t="s">
        <v>1274</v>
      </c>
      <c r="AP65" t="s">
        <v>1275</v>
      </c>
      <c r="AQ65" t="s">
        <v>1276</v>
      </c>
      <c r="AR65" t="s">
        <v>1277</v>
      </c>
      <c r="AS65" t="s">
        <v>1278</v>
      </c>
    </row>
    <row r="66" spans="1:45" x14ac:dyDescent="0.45">
      <c r="A66">
        <v>65</v>
      </c>
      <c r="B66">
        <v>106</v>
      </c>
      <c r="C66" t="s">
        <v>72</v>
      </c>
      <c r="D66" t="s">
        <v>79</v>
      </c>
      <c r="E66" t="s">
        <v>80</v>
      </c>
      <c r="F66" t="s">
        <v>77</v>
      </c>
      <c r="G66" t="s">
        <v>76</v>
      </c>
      <c r="H66">
        <v>12</v>
      </c>
      <c r="I66">
        <v>2</v>
      </c>
      <c r="J66">
        <v>7</v>
      </c>
      <c r="K66">
        <v>10</v>
      </c>
      <c r="L66">
        <v>-3</v>
      </c>
      <c r="M66">
        <v>8</v>
      </c>
      <c r="N66">
        <v>10</v>
      </c>
      <c r="O66">
        <v>-2</v>
      </c>
      <c r="P66">
        <v>9</v>
      </c>
      <c r="Q66">
        <v>10</v>
      </c>
      <c r="R66">
        <v>-1</v>
      </c>
      <c r="S66">
        <v>9</v>
      </c>
      <c r="T66">
        <v>10</v>
      </c>
      <c r="U66">
        <v>-1</v>
      </c>
      <c r="V66">
        <v>8</v>
      </c>
      <c r="W66">
        <v>10</v>
      </c>
      <c r="X66">
        <v>-2</v>
      </c>
      <c r="Y66">
        <v>9</v>
      </c>
      <c r="Z66">
        <v>10</v>
      </c>
      <c r="AA66">
        <v>-1</v>
      </c>
      <c r="AB66">
        <v>8</v>
      </c>
      <c r="AC66">
        <v>10</v>
      </c>
      <c r="AD66">
        <v>-2</v>
      </c>
      <c r="AE66">
        <v>8</v>
      </c>
      <c r="AF66">
        <v>10</v>
      </c>
      <c r="AG66">
        <v>-2</v>
      </c>
      <c r="AH66">
        <v>9</v>
      </c>
      <c r="AI66">
        <v>10</v>
      </c>
      <c r="AJ66">
        <v>-1</v>
      </c>
      <c r="AK66" t="s">
        <v>326</v>
      </c>
      <c r="AL66" t="s">
        <v>327</v>
      </c>
      <c r="AM66" t="s">
        <v>328</v>
      </c>
      <c r="AN66" t="s">
        <v>329</v>
      </c>
      <c r="AO66" t="s">
        <v>330</v>
      </c>
      <c r="AP66" t="s">
        <v>331</v>
      </c>
      <c r="AQ66" t="s">
        <v>332</v>
      </c>
      <c r="AR66" t="s">
        <v>333</v>
      </c>
      <c r="AS66" t="s">
        <v>334</v>
      </c>
    </row>
    <row r="67" spans="1:45" x14ac:dyDescent="0.45">
      <c r="A67">
        <v>66</v>
      </c>
      <c r="B67">
        <v>107</v>
      </c>
      <c r="C67" t="s">
        <v>72</v>
      </c>
      <c r="D67" t="s">
        <v>81</v>
      </c>
      <c r="E67" t="s">
        <v>74</v>
      </c>
      <c r="F67" t="s">
        <v>190</v>
      </c>
      <c r="G67" t="s">
        <v>76</v>
      </c>
      <c r="H67">
        <v>13.951740814793576</v>
      </c>
      <c r="I67">
        <v>0</v>
      </c>
      <c r="J67">
        <v>4</v>
      </c>
      <c r="K67">
        <v>7</v>
      </c>
      <c r="L67">
        <v>-3</v>
      </c>
      <c r="M67">
        <v>5</v>
      </c>
      <c r="N67">
        <v>5</v>
      </c>
      <c r="O67">
        <v>0</v>
      </c>
      <c r="P67">
        <v>9</v>
      </c>
      <c r="Q67">
        <v>3</v>
      </c>
      <c r="R67">
        <v>6</v>
      </c>
      <c r="S67">
        <v>8</v>
      </c>
      <c r="T67">
        <v>5</v>
      </c>
      <c r="U67">
        <v>3</v>
      </c>
      <c r="V67">
        <v>6</v>
      </c>
      <c r="W67">
        <v>4</v>
      </c>
      <c r="X67">
        <v>2</v>
      </c>
      <c r="Y67">
        <v>8</v>
      </c>
      <c r="Z67">
        <v>3</v>
      </c>
      <c r="AA67">
        <v>5</v>
      </c>
      <c r="AB67">
        <v>7</v>
      </c>
      <c r="AC67">
        <v>5</v>
      </c>
      <c r="AD67">
        <v>2</v>
      </c>
      <c r="AE67">
        <v>8</v>
      </c>
      <c r="AF67">
        <v>6</v>
      </c>
      <c r="AG67">
        <v>2</v>
      </c>
      <c r="AH67">
        <v>9</v>
      </c>
      <c r="AI67">
        <v>6</v>
      </c>
      <c r="AJ67">
        <v>3</v>
      </c>
      <c r="AK67" t="s">
        <v>1279</v>
      </c>
      <c r="AL67" t="s">
        <v>1280</v>
      </c>
      <c r="AM67" t="s">
        <v>1281</v>
      </c>
      <c r="AN67" t="s">
        <v>1282</v>
      </c>
      <c r="AO67" t="s">
        <v>1283</v>
      </c>
      <c r="AP67" t="s">
        <v>1284</v>
      </c>
      <c r="AQ67" t="s">
        <v>1285</v>
      </c>
      <c r="AR67" t="s">
        <v>1286</v>
      </c>
      <c r="AS67" t="s">
        <v>1287</v>
      </c>
    </row>
    <row r="68" spans="1:45" x14ac:dyDescent="0.45">
      <c r="A68">
        <v>67</v>
      </c>
      <c r="B68">
        <v>108</v>
      </c>
      <c r="C68" t="s">
        <v>78</v>
      </c>
      <c r="D68" t="s">
        <v>79</v>
      </c>
      <c r="E68" t="s">
        <v>74</v>
      </c>
      <c r="F68" t="s">
        <v>75</v>
      </c>
      <c r="G68" t="s">
        <v>76</v>
      </c>
      <c r="H68">
        <v>100.04365703588709</v>
      </c>
      <c r="I68">
        <v>2</v>
      </c>
      <c r="J68">
        <v>7</v>
      </c>
      <c r="K68">
        <v>5</v>
      </c>
      <c r="L68">
        <v>2</v>
      </c>
      <c r="M68">
        <v>8</v>
      </c>
      <c r="N68">
        <v>5</v>
      </c>
      <c r="O68">
        <v>3</v>
      </c>
      <c r="P68">
        <v>6</v>
      </c>
      <c r="Q68">
        <v>4</v>
      </c>
      <c r="R68">
        <v>2</v>
      </c>
      <c r="S68">
        <v>9</v>
      </c>
      <c r="T68">
        <v>4</v>
      </c>
      <c r="U68">
        <v>5</v>
      </c>
      <c r="V68">
        <v>8</v>
      </c>
      <c r="W68">
        <v>2</v>
      </c>
      <c r="X68">
        <v>6</v>
      </c>
      <c r="Y68">
        <v>9</v>
      </c>
      <c r="Z68">
        <v>3</v>
      </c>
      <c r="AA68">
        <v>6</v>
      </c>
      <c r="AB68">
        <v>8</v>
      </c>
      <c r="AC68">
        <v>2</v>
      </c>
      <c r="AD68">
        <v>6</v>
      </c>
      <c r="AE68">
        <v>7</v>
      </c>
      <c r="AF68">
        <v>3</v>
      </c>
      <c r="AG68">
        <v>4</v>
      </c>
      <c r="AH68">
        <v>9</v>
      </c>
      <c r="AI68">
        <v>3</v>
      </c>
      <c r="AJ68">
        <v>6</v>
      </c>
      <c r="AK68" t="s">
        <v>1288</v>
      </c>
      <c r="AL68" t="s">
        <v>1289</v>
      </c>
      <c r="AM68" t="s">
        <v>1290</v>
      </c>
      <c r="AN68" t="s">
        <v>709</v>
      </c>
      <c r="AO68" t="s">
        <v>1291</v>
      </c>
      <c r="AP68" t="s">
        <v>1292</v>
      </c>
      <c r="AQ68" t="s">
        <v>1293</v>
      </c>
      <c r="AR68" t="s">
        <v>1294</v>
      </c>
      <c r="AS68" t="s">
        <v>1295</v>
      </c>
    </row>
    <row r="69" spans="1:45" x14ac:dyDescent="0.45">
      <c r="A69">
        <v>68</v>
      </c>
      <c r="B69">
        <v>109</v>
      </c>
      <c r="C69" t="s">
        <v>72</v>
      </c>
      <c r="D69" t="s">
        <v>79</v>
      </c>
      <c r="E69" t="s">
        <v>74</v>
      </c>
      <c r="F69" t="s">
        <v>77</v>
      </c>
      <c r="G69" t="s">
        <v>76</v>
      </c>
      <c r="H69">
        <v>48.458024069304336</v>
      </c>
      <c r="I69">
        <v>2</v>
      </c>
      <c r="J69">
        <v>7</v>
      </c>
      <c r="K69">
        <v>4</v>
      </c>
      <c r="L69">
        <v>3</v>
      </c>
      <c r="M69">
        <v>6</v>
      </c>
      <c r="N69">
        <v>3</v>
      </c>
      <c r="O69">
        <v>3</v>
      </c>
      <c r="P69">
        <v>4</v>
      </c>
      <c r="Q69">
        <v>1</v>
      </c>
      <c r="R69">
        <v>3</v>
      </c>
      <c r="S69">
        <v>5</v>
      </c>
      <c r="T69">
        <v>5</v>
      </c>
      <c r="U69">
        <v>0</v>
      </c>
      <c r="V69">
        <v>7</v>
      </c>
      <c r="W69">
        <v>4</v>
      </c>
      <c r="X69">
        <v>3</v>
      </c>
      <c r="Y69">
        <v>8</v>
      </c>
      <c r="Z69">
        <v>3</v>
      </c>
      <c r="AA69">
        <v>5</v>
      </c>
      <c r="AB69">
        <v>6</v>
      </c>
      <c r="AC69">
        <v>1</v>
      </c>
      <c r="AD69">
        <v>5</v>
      </c>
      <c r="AE69">
        <v>7</v>
      </c>
      <c r="AF69">
        <v>3</v>
      </c>
      <c r="AG69">
        <v>4</v>
      </c>
      <c r="AH69">
        <v>8</v>
      </c>
      <c r="AI69">
        <v>5</v>
      </c>
      <c r="AJ69">
        <v>3</v>
      </c>
      <c r="AK69" t="s">
        <v>733</v>
      </c>
      <c r="AL69" t="s">
        <v>734</v>
      </c>
      <c r="AM69" t="s">
        <v>735</v>
      </c>
      <c r="AN69" t="s">
        <v>736</v>
      </c>
      <c r="AO69" t="s">
        <v>737</v>
      </c>
      <c r="AP69" t="s">
        <v>1296</v>
      </c>
      <c r="AQ69" t="s">
        <v>1297</v>
      </c>
      <c r="AR69" t="s">
        <v>1298</v>
      </c>
      <c r="AS69" t="s">
        <v>1299</v>
      </c>
    </row>
    <row r="70" spans="1:45" x14ac:dyDescent="0.45">
      <c r="A70">
        <v>69</v>
      </c>
      <c r="B70">
        <v>110</v>
      </c>
      <c r="C70" t="s">
        <v>78</v>
      </c>
      <c r="D70" t="s">
        <v>81</v>
      </c>
      <c r="E70" t="s">
        <v>74</v>
      </c>
      <c r="F70" t="s">
        <v>77</v>
      </c>
      <c r="G70" t="s">
        <v>76</v>
      </c>
      <c r="H70">
        <v>20.739767149768142</v>
      </c>
      <c r="I70">
        <v>0</v>
      </c>
      <c r="J70">
        <v>7</v>
      </c>
      <c r="K70">
        <v>7</v>
      </c>
      <c r="L70">
        <v>0</v>
      </c>
      <c r="M70">
        <v>6</v>
      </c>
      <c r="N70">
        <v>7</v>
      </c>
      <c r="O70">
        <v>-1</v>
      </c>
      <c r="P70">
        <v>9</v>
      </c>
      <c r="Q70">
        <v>8</v>
      </c>
      <c r="R70">
        <v>1</v>
      </c>
      <c r="S70">
        <v>8</v>
      </c>
      <c r="T70">
        <v>9</v>
      </c>
      <c r="U70">
        <v>-1</v>
      </c>
      <c r="V70">
        <v>7</v>
      </c>
      <c r="W70">
        <v>8</v>
      </c>
      <c r="X70">
        <v>-1</v>
      </c>
      <c r="Y70">
        <v>9</v>
      </c>
      <c r="Z70">
        <v>10</v>
      </c>
      <c r="AA70">
        <v>-1</v>
      </c>
      <c r="AB70">
        <v>8</v>
      </c>
      <c r="AC70">
        <v>9</v>
      </c>
      <c r="AD70">
        <v>-1</v>
      </c>
      <c r="AE70">
        <v>7</v>
      </c>
      <c r="AF70">
        <v>9</v>
      </c>
      <c r="AG70">
        <v>-2</v>
      </c>
      <c r="AH70">
        <v>9</v>
      </c>
      <c r="AI70">
        <v>9</v>
      </c>
      <c r="AJ70">
        <v>0</v>
      </c>
      <c r="AK70" t="s">
        <v>1300</v>
      </c>
      <c r="AL70" t="s">
        <v>1301</v>
      </c>
      <c r="AM70" t="s">
        <v>1302</v>
      </c>
      <c r="AN70" t="s">
        <v>1303</v>
      </c>
      <c r="AO70" t="s">
        <v>1304</v>
      </c>
      <c r="AP70" t="s">
        <v>1305</v>
      </c>
      <c r="AQ70" t="s">
        <v>1306</v>
      </c>
      <c r="AR70" t="s">
        <v>1307</v>
      </c>
      <c r="AS70" t="s">
        <v>1308</v>
      </c>
    </row>
    <row r="71" spans="1:45" x14ac:dyDescent="0.45">
      <c r="A71">
        <v>70</v>
      </c>
      <c r="B71">
        <v>111</v>
      </c>
      <c r="C71" t="s">
        <v>78</v>
      </c>
      <c r="D71" t="s">
        <v>79</v>
      </c>
      <c r="E71" t="s">
        <v>74</v>
      </c>
      <c r="F71" t="s">
        <v>75</v>
      </c>
      <c r="G71" t="s">
        <v>162</v>
      </c>
      <c r="H71">
        <v>127.0025185510636</v>
      </c>
      <c r="I71">
        <v>1</v>
      </c>
      <c r="J71">
        <v>7</v>
      </c>
      <c r="K71">
        <v>6</v>
      </c>
      <c r="L71">
        <v>1</v>
      </c>
      <c r="M71">
        <v>6</v>
      </c>
      <c r="N71">
        <v>6</v>
      </c>
      <c r="O71">
        <v>0</v>
      </c>
      <c r="P71">
        <v>8</v>
      </c>
      <c r="Q71">
        <v>5</v>
      </c>
      <c r="R71">
        <v>3</v>
      </c>
      <c r="S71">
        <v>9</v>
      </c>
      <c r="T71">
        <v>5</v>
      </c>
      <c r="U71">
        <v>4</v>
      </c>
      <c r="V71">
        <v>7</v>
      </c>
      <c r="W71">
        <v>5</v>
      </c>
      <c r="X71">
        <v>2</v>
      </c>
      <c r="Y71">
        <v>8</v>
      </c>
      <c r="Z71">
        <v>1</v>
      </c>
      <c r="AA71">
        <v>7</v>
      </c>
      <c r="AB71">
        <v>7</v>
      </c>
      <c r="AC71">
        <v>5</v>
      </c>
      <c r="AD71">
        <v>2</v>
      </c>
      <c r="AE71">
        <v>9</v>
      </c>
      <c r="AF71">
        <v>5</v>
      </c>
      <c r="AG71">
        <v>4</v>
      </c>
      <c r="AH71">
        <v>8</v>
      </c>
      <c r="AI71">
        <v>5</v>
      </c>
      <c r="AJ71">
        <v>3</v>
      </c>
      <c r="AK71" t="s">
        <v>1309</v>
      </c>
      <c r="AL71" t="s">
        <v>1310</v>
      </c>
      <c r="AM71" t="s">
        <v>1311</v>
      </c>
      <c r="AN71" t="s">
        <v>1312</v>
      </c>
      <c r="AO71" t="s">
        <v>1313</v>
      </c>
      <c r="AP71" t="s">
        <v>1314</v>
      </c>
      <c r="AQ71" t="s">
        <v>1315</v>
      </c>
      <c r="AR71" t="s">
        <v>1316</v>
      </c>
      <c r="AS71" t="s">
        <v>1317</v>
      </c>
    </row>
    <row r="72" spans="1:45" x14ac:dyDescent="0.45">
      <c r="A72">
        <v>71</v>
      </c>
      <c r="B72">
        <v>112</v>
      </c>
      <c r="C72" t="s">
        <v>72</v>
      </c>
      <c r="D72" t="s">
        <v>73</v>
      </c>
      <c r="E72" t="s">
        <v>74</v>
      </c>
      <c r="F72" t="s">
        <v>75</v>
      </c>
      <c r="G72" t="s">
        <v>76</v>
      </c>
      <c r="H72">
        <v>26.700942765498688</v>
      </c>
      <c r="I72">
        <v>2</v>
      </c>
      <c r="J72">
        <v>7</v>
      </c>
      <c r="K72">
        <v>3</v>
      </c>
      <c r="L72">
        <v>4</v>
      </c>
      <c r="M72">
        <v>8</v>
      </c>
      <c r="N72">
        <v>3</v>
      </c>
      <c r="O72">
        <v>5</v>
      </c>
      <c r="P72">
        <v>9</v>
      </c>
      <c r="Q72">
        <v>3</v>
      </c>
      <c r="R72">
        <v>6</v>
      </c>
      <c r="S72">
        <v>10</v>
      </c>
      <c r="T72">
        <v>5</v>
      </c>
      <c r="U72">
        <v>5</v>
      </c>
      <c r="V72">
        <v>7</v>
      </c>
      <c r="W72">
        <v>3</v>
      </c>
      <c r="X72">
        <v>4</v>
      </c>
      <c r="Y72">
        <v>8</v>
      </c>
      <c r="Z72">
        <v>3</v>
      </c>
      <c r="AA72">
        <v>5</v>
      </c>
      <c r="AB72">
        <v>9</v>
      </c>
      <c r="AC72">
        <v>3</v>
      </c>
      <c r="AD72">
        <v>6</v>
      </c>
      <c r="AE72">
        <v>7</v>
      </c>
      <c r="AF72">
        <v>3</v>
      </c>
      <c r="AG72">
        <v>4</v>
      </c>
      <c r="AH72">
        <v>9</v>
      </c>
      <c r="AI72">
        <v>4</v>
      </c>
      <c r="AJ72">
        <v>5</v>
      </c>
      <c r="AK72" t="s">
        <v>1318</v>
      </c>
      <c r="AL72" t="s">
        <v>1319</v>
      </c>
      <c r="AM72" t="s">
        <v>1320</v>
      </c>
      <c r="AN72" t="s">
        <v>1321</v>
      </c>
      <c r="AO72" t="s">
        <v>1322</v>
      </c>
      <c r="AP72" t="s">
        <v>1323</v>
      </c>
      <c r="AQ72" t="s">
        <v>1324</v>
      </c>
      <c r="AR72" t="s">
        <v>1325</v>
      </c>
      <c r="AS72" t="s">
        <v>1326</v>
      </c>
    </row>
    <row r="73" spans="1:45" x14ac:dyDescent="0.45">
      <c r="A73">
        <v>72</v>
      </c>
      <c r="B73">
        <v>113</v>
      </c>
      <c r="C73" t="s">
        <v>78</v>
      </c>
      <c r="D73" t="s">
        <v>73</v>
      </c>
      <c r="E73" t="s">
        <v>74</v>
      </c>
      <c r="F73" t="s">
        <v>77</v>
      </c>
      <c r="G73" t="s">
        <v>162</v>
      </c>
      <c r="H73">
        <v>21.592121815950726</v>
      </c>
      <c r="I73">
        <v>3</v>
      </c>
      <c r="J73">
        <v>7</v>
      </c>
      <c r="K73">
        <v>8</v>
      </c>
      <c r="L73">
        <v>-1</v>
      </c>
      <c r="M73">
        <v>6</v>
      </c>
      <c r="N73">
        <v>8</v>
      </c>
      <c r="O73">
        <v>-2</v>
      </c>
      <c r="P73">
        <v>8</v>
      </c>
      <c r="Q73">
        <v>4</v>
      </c>
      <c r="R73">
        <v>4</v>
      </c>
      <c r="S73">
        <v>7</v>
      </c>
      <c r="T73">
        <v>2</v>
      </c>
      <c r="U73">
        <v>5</v>
      </c>
      <c r="V73">
        <v>9</v>
      </c>
      <c r="W73">
        <v>6</v>
      </c>
      <c r="X73">
        <v>3</v>
      </c>
      <c r="Y73">
        <v>8</v>
      </c>
      <c r="Z73">
        <v>3</v>
      </c>
      <c r="AA73">
        <v>5</v>
      </c>
      <c r="AB73">
        <v>7</v>
      </c>
      <c r="AC73">
        <v>8</v>
      </c>
      <c r="AD73">
        <v>-1</v>
      </c>
      <c r="AE73">
        <v>8</v>
      </c>
      <c r="AF73">
        <v>4</v>
      </c>
      <c r="AG73">
        <v>4</v>
      </c>
      <c r="AH73">
        <v>9</v>
      </c>
      <c r="AI73">
        <v>8</v>
      </c>
      <c r="AJ73">
        <v>1</v>
      </c>
      <c r="AK73" t="s">
        <v>335</v>
      </c>
      <c r="AL73" t="s">
        <v>1327</v>
      </c>
      <c r="AM73" t="s">
        <v>1328</v>
      </c>
      <c r="AN73" t="s">
        <v>1329</v>
      </c>
      <c r="AO73" t="s">
        <v>1330</v>
      </c>
      <c r="AP73" t="s">
        <v>1331</v>
      </c>
      <c r="AQ73" t="s">
        <v>1332</v>
      </c>
      <c r="AR73" t="s">
        <v>1333</v>
      </c>
      <c r="AS73" t="s">
        <v>1334</v>
      </c>
    </row>
    <row r="74" spans="1:45" x14ac:dyDescent="0.45">
      <c r="A74">
        <v>73</v>
      </c>
      <c r="B74">
        <v>114</v>
      </c>
      <c r="C74" t="s">
        <v>78</v>
      </c>
      <c r="D74" t="s">
        <v>189</v>
      </c>
      <c r="E74" t="s">
        <v>74</v>
      </c>
      <c r="F74" t="s">
        <v>192</v>
      </c>
      <c r="G74" t="s">
        <v>76</v>
      </c>
      <c r="H74">
        <v>13.006734459565548</v>
      </c>
      <c r="I74">
        <v>0</v>
      </c>
      <c r="J74">
        <v>6</v>
      </c>
      <c r="K74">
        <v>5</v>
      </c>
      <c r="L74">
        <v>1</v>
      </c>
      <c r="M74">
        <v>6</v>
      </c>
      <c r="N74">
        <v>5</v>
      </c>
      <c r="O74">
        <v>1</v>
      </c>
      <c r="P74">
        <v>8</v>
      </c>
      <c r="Q74">
        <v>5</v>
      </c>
      <c r="R74">
        <v>3</v>
      </c>
      <c r="S74">
        <v>7</v>
      </c>
      <c r="T74">
        <v>5</v>
      </c>
      <c r="U74">
        <v>2</v>
      </c>
      <c r="V74">
        <v>6</v>
      </c>
      <c r="W74">
        <v>5</v>
      </c>
      <c r="X74">
        <v>1</v>
      </c>
      <c r="Y74">
        <v>8</v>
      </c>
      <c r="Z74">
        <v>10</v>
      </c>
      <c r="AA74">
        <v>-2</v>
      </c>
      <c r="AB74">
        <v>7</v>
      </c>
      <c r="AC74">
        <v>5</v>
      </c>
      <c r="AD74">
        <v>2</v>
      </c>
      <c r="AE74">
        <v>6</v>
      </c>
      <c r="AF74">
        <v>5</v>
      </c>
      <c r="AG74">
        <v>1</v>
      </c>
      <c r="AH74">
        <v>9</v>
      </c>
      <c r="AI74">
        <v>10</v>
      </c>
      <c r="AJ74">
        <v>-1</v>
      </c>
      <c r="AK74" t="s">
        <v>202</v>
      </c>
      <c r="AL74" t="s">
        <v>202</v>
      </c>
      <c r="AM74" t="s">
        <v>202</v>
      </c>
      <c r="AN74" t="s">
        <v>202</v>
      </c>
      <c r="AO74" t="s">
        <v>202</v>
      </c>
      <c r="AP74" t="s">
        <v>202</v>
      </c>
      <c r="AQ74" t="s">
        <v>202</v>
      </c>
      <c r="AR74" t="s">
        <v>202</v>
      </c>
      <c r="AS74" t="s">
        <v>202</v>
      </c>
    </row>
    <row r="75" spans="1:45" x14ac:dyDescent="0.45">
      <c r="A75">
        <v>74</v>
      </c>
      <c r="B75">
        <v>115</v>
      </c>
      <c r="C75" t="s">
        <v>72</v>
      </c>
      <c r="D75" t="s">
        <v>73</v>
      </c>
      <c r="E75" t="s">
        <v>74</v>
      </c>
      <c r="F75" t="s">
        <v>77</v>
      </c>
      <c r="G75" t="s">
        <v>162</v>
      </c>
      <c r="H75">
        <v>18.158116984131347</v>
      </c>
      <c r="I75">
        <v>1</v>
      </c>
      <c r="J75">
        <v>8</v>
      </c>
      <c r="K75">
        <v>5</v>
      </c>
      <c r="L75">
        <v>3</v>
      </c>
      <c r="M75">
        <v>7</v>
      </c>
      <c r="N75">
        <v>10</v>
      </c>
      <c r="O75">
        <v>-3</v>
      </c>
      <c r="P75">
        <v>6</v>
      </c>
      <c r="Q75">
        <v>2</v>
      </c>
      <c r="R75">
        <v>4</v>
      </c>
      <c r="S75">
        <v>9</v>
      </c>
      <c r="T75">
        <v>8</v>
      </c>
      <c r="U75">
        <v>1</v>
      </c>
      <c r="V75">
        <v>7</v>
      </c>
      <c r="W75">
        <v>5</v>
      </c>
      <c r="X75">
        <v>2</v>
      </c>
      <c r="Y75">
        <v>9</v>
      </c>
      <c r="Z75">
        <v>5</v>
      </c>
      <c r="AA75">
        <v>4</v>
      </c>
      <c r="AB75">
        <v>7</v>
      </c>
      <c r="AC75">
        <v>1</v>
      </c>
      <c r="AD75">
        <v>6</v>
      </c>
      <c r="AE75">
        <v>8</v>
      </c>
      <c r="AF75">
        <v>4</v>
      </c>
      <c r="AG75">
        <v>4</v>
      </c>
      <c r="AH75">
        <v>9</v>
      </c>
      <c r="AI75">
        <v>5</v>
      </c>
      <c r="AJ75">
        <v>4</v>
      </c>
      <c r="AK75" t="s">
        <v>738</v>
      </c>
      <c r="AL75" t="s">
        <v>739</v>
      </c>
      <c r="AM75" t="s">
        <v>740</v>
      </c>
      <c r="AN75" t="s">
        <v>1335</v>
      </c>
      <c r="AO75" t="s">
        <v>1336</v>
      </c>
      <c r="AP75" t="s">
        <v>1337</v>
      </c>
      <c r="AQ75" t="s">
        <v>1338</v>
      </c>
      <c r="AR75" t="s">
        <v>1339</v>
      </c>
      <c r="AS75" t="s">
        <v>1340</v>
      </c>
    </row>
    <row r="76" spans="1:45" x14ac:dyDescent="0.45">
      <c r="A76">
        <v>75</v>
      </c>
      <c r="B76">
        <v>116</v>
      </c>
      <c r="C76" t="s">
        <v>78</v>
      </c>
      <c r="D76" t="s">
        <v>79</v>
      </c>
      <c r="E76" t="s">
        <v>74</v>
      </c>
      <c r="F76" t="s">
        <v>75</v>
      </c>
      <c r="G76" t="s">
        <v>76</v>
      </c>
      <c r="H76">
        <v>48.44680745709752</v>
      </c>
      <c r="I76">
        <v>2</v>
      </c>
      <c r="J76">
        <v>8</v>
      </c>
      <c r="K76">
        <v>8</v>
      </c>
      <c r="L76">
        <v>0</v>
      </c>
      <c r="M76">
        <v>9</v>
      </c>
      <c r="N76">
        <v>9</v>
      </c>
      <c r="O76">
        <v>0</v>
      </c>
      <c r="P76">
        <v>9</v>
      </c>
      <c r="Q76">
        <v>9</v>
      </c>
      <c r="R76">
        <v>0</v>
      </c>
      <c r="S76">
        <v>10</v>
      </c>
      <c r="T76">
        <v>9</v>
      </c>
      <c r="U76">
        <v>1</v>
      </c>
      <c r="V76">
        <v>9</v>
      </c>
      <c r="W76">
        <v>3</v>
      </c>
      <c r="X76">
        <v>6</v>
      </c>
      <c r="Y76">
        <v>8</v>
      </c>
      <c r="Z76">
        <v>3</v>
      </c>
      <c r="AA76">
        <v>5</v>
      </c>
      <c r="AB76">
        <v>9</v>
      </c>
      <c r="AC76">
        <v>2</v>
      </c>
      <c r="AD76">
        <v>7</v>
      </c>
      <c r="AE76">
        <v>7</v>
      </c>
      <c r="AF76">
        <v>2</v>
      </c>
      <c r="AG76">
        <v>5</v>
      </c>
      <c r="AH76">
        <v>9</v>
      </c>
      <c r="AI76">
        <v>6</v>
      </c>
      <c r="AJ76">
        <v>3</v>
      </c>
      <c r="AK76" t="s">
        <v>336</v>
      </c>
      <c r="AL76" t="s">
        <v>337</v>
      </c>
      <c r="AM76" t="s">
        <v>1341</v>
      </c>
      <c r="AN76" t="s">
        <v>1342</v>
      </c>
      <c r="AO76" t="s">
        <v>1343</v>
      </c>
      <c r="AP76" t="s">
        <v>1344</v>
      </c>
      <c r="AQ76" t="s">
        <v>1345</v>
      </c>
      <c r="AR76" t="s">
        <v>1346</v>
      </c>
      <c r="AS76" t="s">
        <v>1347</v>
      </c>
    </row>
    <row r="77" spans="1:45" x14ac:dyDescent="0.45">
      <c r="A77">
        <v>76</v>
      </c>
      <c r="B77">
        <v>117</v>
      </c>
      <c r="C77" t="s">
        <v>78</v>
      </c>
      <c r="D77" t="s">
        <v>79</v>
      </c>
      <c r="E77" t="s">
        <v>80</v>
      </c>
      <c r="F77" t="s">
        <v>192</v>
      </c>
      <c r="G77" t="s">
        <v>162</v>
      </c>
      <c r="H77">
        <v>13.081151330237292</v>
      </c>
      <c r="I77">
        <v>3</v>
      </c>
      <c r="J77">
        <v>7</v>
      </c>
      <c r="K77">
        <v>5</v>
      </c>
      <c r="L77">
        <v>2</v>
      </c>
      <c r="M77">
        <v>6</v>
      </c>
      <c r="N77">
        <v>5</v>
      </c>
      <c r="O77">
        <v>1</v>
      </c>
      <c r="P77">
        <v>8</v>
      </c>
      <c r="Q77">
        <v>5</v>
      </c>
      <c r="R77">
        <v>3</v>
      </c>
      <c r="S77">
        <v>9</v>
      </c>
      <c r="T77">
        <v>5</v>
      </c>
      <c r="U77">
        <v>4</v>
      </c>
      <c r="V77">
        <v>8</v>
      </c>
      <c r="W77">
        <v>5</v>
      </c>
      <c r="X77">
        <v>3</v>
      </c>
      <c r="Y77">
        <v>9</v>
      </c>
      <c r="Z77">
        <v>5</v>
      </c>
      <c r="AA77">
        <v>4</v>
      </c>
      <c r="AB77">
        <v>8</v>
      </c>
      <c r="AC77">
        <v>5</v>
      </c>
      <c r="AD77">
        <v>3</v>
      </c>
      <c r="AE77">
        <v>7</v>
      </c>
      <c r="AF77">
        <v>5</v>
      </c>
      <c r="AG77">
        <v>2</v>
      </c>
      <c r="AH77">
        <v>9</v>
      </c>
      <c r="AI77">
        <v>5</v>
      </c>
      <c r="AJ77">
        <v>4</v>
      </c>
      <c r="AK77" t="s">
        <v>1348</v>
      </c>
      <c r="AL77" t="s">
        <v>1349</v>
      </c>
      <c r="AM77" t="s">
        <v>1350</v>
      </c>
      <c r="AN77" t="s">
        <v>1351</v>
      </c>
      <c r="AO77" t="s">
        <v>1352</v>
      </c>
      <c r="AP77" t="s">
        <v>1353</v>
      </c>
      <c r="AQ77" t="s">
        <v>1354</v>
      </c>
      <c r="AR77" t="s">
        <v>1355</v>
      </c>
      <c r="AS77" t="s">
        <v>1356</v>
      </c>
    </row>
    <row r="78" spans="1:45" x14ac:dyDescent="0.45">
      <c r="A78">
        <v>77</v>
      </c>
      <c r="B78">
        <v>118</v>
      </c>
      <c r="C78" t="s">
        <v>72</v>
      </c>
      <c r="D78" t="s">
        <v>191</v>
      </c>
      <c r="E78" t="s">
        <v>74</v>
      </c>
      <c r="F78" t="s">
        <v>77</v>
      </c>
      <c r="G78" t="s">
        <v>76</v>
      </c>
      <c r="H78">
        <v>15.499971180734541</v>
      </c>
      <c r="I78">
        <v>2</v>
      </c>
      <c r="J78">
        <v>6</v>
      </c>
      <c r="K78">
        <v>8</v>
      </c>
      <c r="L78">
        <v>-2</v>
      </c>
      <c r="M78">
        <v>7</v>
      </c>
      <c r="N78">
        <v>8</v>
      </c>
      <c r="O78">
        <v>-1</v>
      </c>
      <c r="P78">
        <v>8</v>
      </c>
      <c r="Q78">
        <v>8</v>
      </c>
      <c r="R78">
        <v>0</v>
      </c>
      <c r="S78">
        <v>9</v>
      </c>
      <c r="T78">
        <v>8</v>
      </c>
      <c r="U78">
        <v>1</v>
      </c>
      <c r="V78">
        <v>8</v>
      </c>
      <c r="W78">
        <v>9</v>
      </c>
      <c r="X78">
        <v>-1</v>
      </c>
      <c r="Y78">
        <v>9</v>
      </c>
      <c r="Z78">
        <v>7</v>
      </c>
      <c r="AA78">
        <v>2</v>
      </c>
      <c r="AB78">
        <v>8</v>
      </c>
      <c r="AC78">
        <v>9</v>
      </c>
      <c r="AD78">
        <v>-1</v>
      </c>
      <c r="AE78">
        <v>7</v>
      </c>
      <c r="AF78">
        <v>10</v>
      </c>
      <c r="AG78">
        <v>-3</v>
      </c>
      <c r="AH78">
        <v>8</v>
      </c>
      <c r="AI78">
        <v>8</v>
      </c>
      <c r="AJ78">
        <v>0</v>
      </c>
      <c r="AK78" t="s">
        <v>338</v>
      </c>
      <c r="AL78" t="s">
        <v>741</v>
      </c>
      <c r="AM78" t="s">
        <v>1357</v>
      </c>
      <c r="AN78" t="s">
        <v>1358</v>
      </c>
      <c r="AO78" t="s">
        <v>1359</v>
      </c>
      <c r="AP78" t="s">
        <v>1360</v>
      </c>
      <c r="AQ78" t="s">
        <v>1361</v>
      </c>
      <c r="AR78" t="s">
        <v>1362</v>
      </c>
      <c r="AS78" t="s">
        <v>1363</v>
      </c>
    </row>
    <row r="79" spans="1:45" x14ac:dyDescent="0.45">
      <c r="A79">
        <v>78</v>
      </c>
      <c r="B79">
        <v>119</v>
      </c>
      <c r="C79" t="s">
        <v>72</v>
      </c>
      <c r="D79" t="s">
        <v>73</v>
      </c>
      <c r="E79" t="s">
        <v>74</v>
      </c>
      <c r="F79" t="s">
        <v>75</v>
      </c>
      <c r="G79" t="s">
        <v>76</v>
      </c>
      <c r="H79">
        <v>38.966832571288911</v>
      </c>
      <c r="I79">
        <v>2</v>
      </c>
      <c r="J79">
        <v>9</v>
      </c>
      <c r="K79">
        <v>8</v>
      </c>
      <c r="L79">
        <v>1</v>
      </c>
      <c r="M79">
        <v>8</v>
      </c>
      <c r="N79">
        <v>7</v>
      </c>
      <c r="O79">
        <v>1</v>
      </c>
      <c r="P79">
        <v>9</v>
      </c>
      <c r="Q79">
        <v>9</v>
      </c>
      <c r="R79">
        <v>0</v>
      </c>
      <c r="S79">
        <v>8</v>
      </c>
      <c r="T79">
        <v>8</v>
      </c>
      <c r="U79">
        <v>0</v>
      </c>
      <c r="V79">
        <v>9</v>
      </c>
      <c r="W79">
        <v>8</v>
      </c>
      <c r="X79">
        <v>1</v>
      </c>
      <c r="Y79">
        <v>8</v>
      </c>
      <c r="Z79">
        <v>8</v>
      </c>
      <c r="AA79">
        <v>0</v>
      </c>
      <c r="AB79">
        <v>9</v>
      </c>
      <c r="AC79">
        <v>6</v>
      </c>
      <c r="AD79">
        <v>3</v>
      </c>
      <c r="AE79">
        <v>8</v>
      </c>
      <c r="AF79">
        <v>6</v>
      </c>
      <c r="AG79">
        <v>2</v>
      </c>
      <c r="AH79">
        <v>9</v>
      </c>
      <c r="AI79">
        <v>7</v>
      </c>
      <c r="AJ79">
        <v>2</v>
      </c>
      <c r="AK79" t="s">
        <v>1364</v>
      </c>
      <c r="AL79" t="s">
        <v>1365</v>
      </c>
      <c r="AM79" t="s">
        <v>1366</v>
      </c>
      <c r="AN79" t="s">
        <v>1367</v>
      </c>
      <c r="AO79" t="s">
        <v>1368</v>
      </c>
      <c r="AP79" t="s">
        <v>1369</v>
      </c>
      <c r="AQ79" t="s">
        <v>1370</v>
      </c>
      <c r="AR79" t="s">
        <v>1371</v>
      </c>
      <c r="AS79" t="s">
        <v>1372</v>
      </c>
    </row>
    <row r="80" spans="1:45" x14ac:dyDescent="0.45">
      <c r="A80">
        <v>79</v>
      </c>
      <c r="B80">
        <v>120</v>
      </c>
      <c r="C80" t="s">
        <v>72</v>
      </c>
      <c r="D80" t="s">
        <v>193</v>
      </c>
      <c r="E80" t="s">
        <v>74</v>
      </c>
      <c r="F80" t="s">
        <v>192</v>
      </c>
      <c r="G80" t="s">
        <v>162</v>
      </c>
      <c r="H80">
        <v>15.412236690545896</v>
      </c>
      <c r="I80">
        <v>0</v>
      </c>
      <c r="J80">
        <v>6</v>
      </c>
      <c r="K80">
        <v>6</v>
      </c>
      <c r="L80">
        <v>0</v>
      </c>
      <c r="M80">
        <v>6</v>
      </c>
      <c r="N80">
        <v>2</v>
      </c>
      <c r="O80">
        <v>4</v>
      </c>
      <c r="P80">
        <v>9</v>
      </c>
      <c r="Q80">
        <v>3</v>
      </c>
      <c r="R80">
        <v>6</v>
      </c>
      <c r="S80">
        <v>8</v>
      </c>
      <c r="T80">
        <v>2</v>
      </c>
      <c r="U80">
        <v>6</v>
      </c>
      <c r="V80">
        <v>7</v>
      </c>
      <c r="W80">
        <v>3</v>
      </c>
      <c r="X80">
        <v>4</v>
      </c>
      <c r="Y80">
        <v>9</v>
      </c>
      <c r="Z80">
        <v>7</v>
      </c>
      <c r="AA80">
        <v>2</v>
      </c>
      <c r="AB80">
        <v>7</v>
      </c>
      <c r="AC80">
        <v>5</v>
      </c>
      <c r="AD80">
        <v>2</v>
      </c>
      <c r="AE80">
        <v>8</v>
      </c>
      <c r="AF80">
        <v>5</v>
      </c>
      <c r="AG80">
        <v>3</v>
      </c>
      <c r="AH80">
        <v>8</v>
      </c>
      <c r="AI80">
        <v>7</v>
      </c>
      <c r="AJ80">
        <v>1</v>
      </c>
      <c r="AK80" t="s">
        <v>1373</v>
      </c>
      <c r="AL80" t="s">
        <v>1374</v>
      </c>
      <c r="AM80" t="s">
        <v>1375</v>
      </c>
      <c r="AN80" t="s">
        <v>1376</v>
      </c>
      <c r="AO80" t="s">
        <v>1377</v>
      </c>
      <c r="AP80" t="s">
        <v>1378</v>
      </c>
      <c r="AQ80" t="s">
        <v>1379</v>
      </c>
      <c r="AR80" t="s">
        <v>1380</v>
      </c>
      <c r="AS80" t="s">
        <v>1381</v>
      </c>
    </row>
    <row r="81" spans="1:45" x14ac:dyDescent="0.45">
      <c r="A81">
        <v>80</v>
      </c>
      <c r="B81">
        <v>121</v>
      </c>
      <c r="C81" t="s">
        <v>78</v>
      </c>
      <c r="D81" t="s">
        <v>81</v>
      </c>
      <c r="E81" t="s">
        <v>74</v>
      </c>
      <c r="F81" t="s">
        <v>77</v>
      </c>
      <c r="G81" t="s">
        <v>76</v>
      </c>
      <c r="H81">
        <v>12.504096682004523</v>
      </c>
      <c r="I81">
        <v>0</v>
      </c>
      <c r="J81">
        <v>8</v>
      </c>
      <c r="K81">
        <v>8</v>
      </c>
      <c r="L81">
        <v>0</v>
      </c>
      <c r="M81">
        <v>7</v>
      </c>
      <c r="N81">
        <v>8</v>
      </c>
      <c r="O81">
        <v>-1</v>
      </c>
      <c r="P81">
        <v>9</v>
      </c>
      <c r="Q81">
        <v>8</v>
      </c>
      <c r="R81">
        <v>1</v>
      </c>
      <c r="S81">
        <v>10</v>
      </c>
      <c r="T81">
        <v>8</v>
      </c>
      <c r="U81">
        <v>2</v>
      </c>
      <c r="V81">
        <v>9</v>
      </c>
      <c r="W81">
        <v>8</v>
      </c>
      <c r="X81">
        <v>1</v>
      </c>
      <c r="Y81">
        <v>10</v>
      </c>
      <c r="Z81">
        <v>8</v>
      </c>
      <c r="AA81">
        <v>2</v>
      </c>
      <c r="AB81">
        <v>9</v>
      </c>
      <c r="AC81">
        <v>8</v>
      </c>
      <c r="AD81">
        <v>1</v>
      </c>
      <c r="AE81">
        <v>7</v>
      </c>
      <c r="AF81">
        <v>8</v>
      </c>
      <c r="AG81">
        <v>-1</v>
      </c>
      <c r="AH81">
        <v>9</v>
      </c>
      <c r="AI81">
        <v>8</v>
      </c>
      <c r="AJ81">
        <v>1</v>
      </c>
      <c r="AK81" t="s">
        <v>742</v>
      </c>
      <c r="AL81" t="s">
        <v>1382</v>
      </c>
      <c r="AM81" t="s">
        <v>1383</v>
      </c>
      <c r="AN81" t="s">
        <v>1384</v>
      </c>
      <c r="AO81" t="s">
        <v>1385</v>
      </c>
      <c r="AP81" t="s">
        <v>1386</v>
      </c>
      <c r="AQ81" t="s">
        <v>1387</v>
      </c>
      <c r="AR81" t="s">
        <v>1388</v>
      </c>
      <c r="AS81" t="s">
        <v>1389</v>
      </c>
    </row>
    <row r="82" spans="1:45" x14ac:dyDescent="0.45">
      <c r="A82">
        <v>81</v>
      </c>
      <c r="B82">
        <v>122</v>
      </c>
      <c r="C82" t="s">
        <v>78</v>
      </c>
      <c r="D82" t="s">
        <v>193</v>
      </c>
      <c r="E82" t="s">
        <v>74</v>
      </c>
      <c r="F82" t="s">
        <v>75</v>
      </c>
      <c r="G82" t="s">
        <v>162</v>
      </c>
      <c r="H82">
        <v>12</v>
      </c>
      <c r="I82">
        <v>0</v>
      </c>
      <c r="J82">
        <v>7</v>
      </c>
      <c r="K82">
        <v>7</v>
      </c>
      <c r="L82">
        <v>0</v>
      </c>
      <c r="M82">
        <v>8</v>
      </c>
      <c r="N82">
        <v>7</v>
      </c>
      <c r="O82">
        <v>1</v>
      </c>
      <c r="P82">
        <v>6</v>
      </c>
      <c r="Q82">
        <v>5</v>
      </c>
      <c r="R82">
        <v>1</v>
      </c>
      <c r="S82">
        <v>9</v>
      </c>
      <c r="T82">
        <v>5</v>
      </c>
      <c r="U82">
        <v>4</v>
      </c>
      <c r="V82">
        <v>7</v>
      </c>
      <c r="W82">
        <v>6</v>
      </c>
      <c r="X82">
        <v>1</v>
      </c>
      <c r="Y82">
        <v>9</v>
      </c>
      <c r="Z82">
        <v>5</v>
      </c>
      <c r="AA82">
        <v>4</v>
      </c>
      <c r="AB82">
        <v>7</v>
      </c>
      <c r="AC82">
        <v>8</v>
      </c>
      <c r="AD82">
        <v>-1</v>
      </c>
      <c r="AE82">
        <v>8</v>
      </c>
      <c r="AF82">
        <v>6</v>
      </c>
      <c r="AG82">
        <v>2</v>
      </c>
      <c r="AH82">
        <v>9</v>
      </c>
      <c r="AI82">
        <v>8</v>
      </c>
      <c r="AJ82">
        <v>1</v>
      </c>
      <c r="AK82" t="s">
        <v>339</v>
      </c>
      <c r="AL82" t="s">
        <v>340</v>
      </c>
      <c r="AM82" t="s">
        <v>341</v>
      </c>
      <c r="AN82" t="s">
        <v>342</v>
      </c>
      <c r="AO82" t="s">
        <v>343</v>
      </c>
      <c r="AP82" t="s">
        <v>344</v>
      </c>
      <c r="AQ82" t="s">
        <v>345</v>
      </c>
      <c r="AR82" t="s">
        <v>346</v>
      </c>
      <c r="AS82" t="s">
        <v>347</v>
      </c>
    </row>
    <row r="83" spans="1:45" x14ac:dyDescent="0.45">
      <c r="A83">
        <v>82</v>
      </c>
      <c r="B83">
        <v>123</v>
      </c>
      <c r="C83" t="s">
        <v>72</v>
      </c>
      <c r="D83" t="s">
        <v>193</v>
      </c>
      <c r="E83" t="s">
        <v>74</v>
      </c>
      <c r="F83" t="s">
        <v>77</v>
      </c>
      <c r="G83" t="s">
        <v>162</v>
      </c>
      <c r="H83">
        <v>13.587527020026418</v>
      </c>
      <c r="I83">
        <v>1</v>
      </c>
      <c r="J83">
        <v>8</v>
      </c>
      <c r="K83">
        <v>8</v>
      </c>
      <c r="L83">
        <v>0</v>
      </c>
      <c r="M83">
        <v>7</v>
      </c>
      <c r="N83">
        <v>9</v>
      </c>
      <c r="O83">
        <v>-2</v>
      </c>
      <c r="P83">
        <v>9</v>
      </c>
      <c r="Q83">
        <v>5</v>
      </c>
      <c r="R83">
        <v>4</v>
      </c>
      <c r="S83">
        <v>9</v>
      </c>
      <c r="T83">
        <v>5</v>
      </c>
      <c r="U83">
        <v>4</v>
      </c>
      <c r="V83">
        <v>8</v>
      </c>
      <c r="W83">
        <v>5</v>
      </c>
      <c r="X83">
        <v>3</v>
      </c>
      <c r="Y83">
        <v>7</v>
      </c>
      <c r="Z83">
        <v>5</v>
      </c>
      <c r="AA83">
        <v>2</v>
      </c>
      <c r="AB83">
        <v>8</v>
      </c>
      <c r="AC83">
        <v>1</v>
      </c>
      <c r="AD83">
        <v>7</v>
      </c>
      <c r="AE83">
        <v>7</v>
      </c>
      <c r="AF83">
        <v>5</v>
      </c>
      <c r="AG83">
        <v>2</v>
      </c>
      <c r="AH83">
        <v>9</v>
      </c>
      <c r="AI83">
        <v>5</v>
      </c>
      <c r="AJ83">
        <v>4</v>
      </c>
      <c r="AK83" t="s">
        <v>1390</v>
      </c>
      <c r="AL83" t="s">
        <v>1391</v>
      </c>
      <c r="AM83" t="s">
        <v>1392</v>
      </c>
      <c r="AN83" t="s">
        <v>1393</v>
      </c>
      <c r="AO83" t="s">
        <v>1394</v>
      </c>
      <c r="AP83" t="s">
        <v>1395</v>
      </c>
      <c r="AQ83" t="s">
        <v>1396</v>
      </c>
      <c r="AR83" t="s">
        <v>1397</v>
      </c>
      <c r="AS83" t="s">
        <v>1398</v>
      </c>
    </row>
    <row r="84" spans="1:45" x14ac:dyDescent="0.45">
      <c r="A84">
        <v>83</v>
      </c>
      <c r="B84">
        <v>124</v>
      </c>
      <c r="C84" t="s">
        <v>72</v>
      </c>
      <c r="D84" t="s">
        <v>79</v>
      </c>
      <c r="E84" t="s">
        <v>74</v>
      </c>
      <c r="F84" t="s">
        <v>75</v>
      </c>
      <c r="G84" t="s">
        <v>76</v>
      </c>
      <c r="H84">
        <v>13.306810362881187</v>
      </c>
      <c r="I84">
        <v>2</v>
      </c>
      <c r="J84">
        <v>8</v>
      </c>
      <c r="K84">
        <v>10</v>
      </c>
      <c r="L84">
        <v>-2</v>
      </c>
      <c r="M84">
        <v>9</v>
      </c>
      <c r="N84">
        <v>8</v>
      </c>
      <c r="O84">
        <v>1</v>
      </c>
      <c r="P84">
        <v>8</v>
      </c>
      <c r="Q84">
        <v>8</v>
      </c>
      <c r="R84">
        <v>0</v>
      </c>
      <c r="S84">
        <v>9</v>
      </c>
      <c r="T84">
        <v>7</v>
      </c>
      <c r="U84">
        <v>2</v>
      </c>
      <c r="V84">
        <v>9</v>
      </c>
      <c r="W84">
        <v>7</v>
      </c>
      <c r="X84">
        <v>2</v>
      </c>
      <c r="Y84">
        <v>10</v>
      </c>
      <c r="Z84">
        <v>6</v>
      </c>
      <c r="AA84">
        <v>4</v>
      </c>
      <c r="AB84">
        <v>9</v>
      </c>
      <c r="AC84">
        <v>7</v>
      </c>
      <c r="AD84">
        <v>2</v>
      </c>
      <c r="AE84">
        <v>8</v>
      </c>
      <c r="AF84">
        <v>6</v>
      </c>
      <c r="AG84">
        <v>2</v>
      </c>
      <c r="AH84">
        <v>9</v>
      </c>
      <c r="AI84">
        <v>8</v>
      </c>
      <c r="AJ84">
        <v>1</v>
      </c>
      <c r="AK84" t="s">
        <v>1399</v>
      </c>
      <c r="AL84" t="s">
        <v>1400</v>
      </c>
      <c r="AM84" t="s">
        <v>1401</v>
      </c>
      <c r="AN84" t="s">
        <v>1402</v>
      </c>
      <c r="AO84" t="s">
        <v>1403</v>
      </c>
      <c r="AP84" t="s">
        <v>1404</v>
      </c>
      <c r="AQ84" t="s">
        <v>1405</v>
      </c>
      <c r="AR84" t="s">
        <v>1406</v>
      </c>
      <c r="AS84" t="s">
        <v>1407</v>
      </c>
    </row>
    <row r="85" spans="1:45" x14ac:dyDescent="0.45">
      <c r="A85">
        <v>84</v>
      </c>
      <c r="B85">
        <v>125</v>
      </c>
      <c r="C85" t="s">
        <v>72</v>
      </c>
      <c r="D85" t="s">
        <v>73</v>
      </c>
      <c r="E85" t="s">
        <v>74</v>
      </c>
      <c r="F85" t="s">
        <v>190</v>
      </c>
      <c r="G85" t="s">
        <v>76</v>
      </c>
      <c r="H85">
        <v>16.377129287211631</v>
      </c>
      <c r="I85">
        <v>1</v>
      </c>
      <c r="J85">
        <v>8</v>
      </c>
      <c r="K85">
        <v>6</v>
      </c>
      <c r="L85">
        <v>2</v>
      </c>
      <c r="M85">
        <v>9</v>
      </c>
      <c r="N85">
        <v>7</v>
      </c>
      <c r="O85">
        <v>2</v>
      </c>
      <c r="P85">
        <v>9</v>
      </c>
      <c r="Q85">
        <v>5</v>
      </c>
      <c r="R85">
        <v>4</v>
      </c>
      <c r="S85">
        <v>8</v>
      </c>
      <c r="T85">
        <v>5</v>
      </c>
      <c r="U85">
        <v>3</v>
      </c>
      <c r="V85">
        <v>7</v>
      </c>
      <c r="W85">
        <v>5</v>
      </c>
      <c r="X85">
        <v>2</v>
      </c>
      <c r="Y85">
        <v>8</v>
      </c>
      <c r="Z85">
        <v>5</v>
      </c>
      <c r="AA85">
        <v>3</v>
      </c>
      <c r="AB85">
        <v>7</v>
      </c>
      <c r="AC85">
        <v>5</v>
      </c>
      <c r="AD85">
        <v>2</v>
      </c>
      <c r="AE85">
        <v>6</v>
      </c>
      <c r="AF85">
        <v>5</v>
      </c>
      <c r="AG85">
        <v>1</v>
      </c>
      <c r="AH85">
        <v>9</v>
      </c>
      <c r="AI85">
        <v>5</v>
      </c>
      <c r="AJ85">
        <v>4</v>
      </c>
      <c r="AK85" t="s">
        <v>1408</v>
      </c>
      <c r="AL85" t="s">
        <v>1409</v>
      </c>
      <c r="AM85" t="s">
        <v>1410</v>
      </c>
      <c r="AN85" t="s">
        <v>1411</v>
      </c>
      <c r="AO85" t="s">
        <v>1412</v>
      </c>
      <c r="AP85" t="s">
        <v>1413</v>
      </c>
      <c r="AQ85" t="s">
        <v>1414</v>
      </c>
      <c r="AR85" t="s">
        <v>1415</v>
      </c>
      <c r="AS85" t="s">
        <v>1416</v>
      </c>
    </row>
    <row r="86" spans="1:45" x14ac:dyDescent="0.45">
      <c r="A86">
        <v>85</v>
      </c>
      <c r="B86">
        <v>126</v>
      </c>
      <c r="C86" t="s">
        <v>72</v>
      </c>
      <c r="D86" t="s">
        <v>79</v>
      </c>
      <c r="E86" t="s">
        <v>74</v>
      </c>
      <c r="F86" t="s">
        <v>77</v>
      </c>
      <c r="G86" t="s">
        <v>76</v>
      </c>
      <c r="H86">
        <v>14.053648939957267</v>
      </c>
      <c r="I86">
        <v>2</v>
      </c>
      <c r="J86">
        <v>7</v>
      </c>
      <c r="K86">
        <v>9</v>
      </c>
      <c r="L86">
        <v>-2</v>
      </c>
      <c r="M86">
        <v>8</v>
      </c>
      <c r="N86">
        <v>9</v>
      </c>
      <c r="O86">
        <v>-1</v>
      </c>
      <c r="P86">
        <v>6</v>
      </c>
      <c r="Q86">
        <v>8</v>
      </c>
      <c r="R86">
        <v>-2</v>
      </c>
      <c r="S86">
        <v>9</v>
      </c>
      <c r="T86">
        <v>9</v>
      </c>
      <c r="U86">
        <v>0</v>
      </c>
      <c r="V86">
        <v>7</v>
      </c>
      <c r="W86">
        <v>9</v>
      </c>
      <c r="X86">
        <v>-2</v>
      </c>
      <c r="Y86">
        <v>9</v>
      </c>
      <c r="Z86">
        <v>9</v>
      </c>
      <c r="AA86">
        <v>0</v>
      </c>
      <c r="AB86">
        <v>7</v>
      </c>
      <c r="AC86">
        <v>7</v>
      </c>
      <c r="AD86">
        <v>0</v>
      </c>
      <c r="AE86">
        <v>5</v>
      </c>
      <c r="AF86">
        <v>8</v>
      </c>
      <c r="AG86">
        <v>-3</v>
      </c>
      <c r="AH86">
        <v>8</v>
      </c>
      <c r="AI86">
        <v>8</v>
      </c>
      <c r="AJ86">
        <v>0</v>
      </c>
      <c r="AK86" t="s">
        <v>348</v>
      </c>
      <c r="AL86" t="s">
        <v>743</v>
      </c>
      <c r="AM86" t="s">
        <v>1417</v>
      </c>
      <c r="AN86" t="s">
        <v>1418</v>
      </c>
      <c r="AO86" t="s">
        <v>1419</v>
      </c>
      <c r="AP86" t="s">
        <v>1420</v>
      </c>
      <c r="AQ86" t="s">
        <v>1421</v>
      </c>
      <c r="AR86" t="s">
        <v>1422</v>
      </c>
      <c r="AS86" t="s">
        <v>1423</v>
      </c>
    </row>
    <row r="87" spans="1:45" x14ac:dyDescent="0.45">
      <c r="A87">
        <v>86</v>
      </c>
      <c r="B87">
        <v>127</v>
      </c>
      <c r="C87" t="s">
        <v>78</v>
      </c>
      <c r="D87" t="s">
        <v>73</v>
      </c>
      <c r="E87" t="s">
        <v>80</v>
      </c>
      <c r="F87" t="s">
        <v>77</v>
      </c>
      <c r="G87" t="s">
        <v>76</v>
      </c>
      <c r="H87">
        <v>16.88622586933084</v>
      </c>
      <c r="I87">
        <v>0</v>
      </c>
      <c r="J87">
        <v>7</v>
      </c>
      <c r="K87">
        <v>5</v>
      </c>
      <c r="L87">
        <v>2</v>
      </c>
      <c r="M87">
        <v>7</v>
      </c>
      <c r="N87">
        <v>5</v>
      </c>
      <c r="O87">
        <v>2</v>
      </c>
      <c r="P87">
        <v>9</v>
      </c>
      <c r="Q87">
        <v>10</v>
      </c>
      <c r="R87">
        <v>-1</v>
      </c>
      <c r="S87">
        <v>9</v>
      </c>
      <c r="T87">
        <v>4</v>
      </c>
      <c r="U87">
        <v>5</v>
      </c>
      <c r="V87">
        <v>6</v>
      </c>
      <c r="W87">
        <v>4</v>
      </c>
      <c r="X87">
        <v>2</v>
      </c>
      <c r="Y87">
        <v>8</v>
      </c>
      <c r="Z87">
        <v>5</v>
      </c>
      <c r="AA87">
        <v>3</v>
      </c>
      <c r="AB87">
        <v>5</v>
      </c>
      <c r="AC87">
        <v>5</v>
      </c>
      <c r="AD87">
        <v>0</v>
      </c>
      <c r="AE87">
        <v>7</v>
      </c>
      <c r="AF87">
        <v>8</v>
      </c>
      <c r="AG87">
        <v>-1</v>
      </c>
      <c r="AH87">
        <v>9</v>
      </c>
      <c r="AI87">
        <v>8</v>
      </c>
      <c r="AJ87">
        <v>1</v>
      </c>
      <c r="AK87" t="s">
        <v>1424</v>
      </c>
      <c r="AL87" t="s">
        <v>1425</v>
      </c>
      <c r="AM87" t="s">
        <v>1426</v>
      </c>
      <c r="AN87" t="s">
        <v>1427</v>
      </c>
      <c r="AO87" t="s">
        <v>1428</v>
      </c>
      <c r="AP87" t="s">
        <v>1429</v>
      </c>
      <c r="AQ87" t="s">
        <v>1430</v>
      </c>
      <c r="AR87" t="s">
        <v>1431</v>
      </c>
      <c r="AS87" t="s">
        <v>1432</v>
      </c>
    </row>
    <row r="88" spans="1:45" x14ac:dyDescent="0.45">
      <c r="A88">
        <v>87</v>
      </c>
      <c r="B88">
        <v>128</v>
      </c>
      <c r="C88" t="s">
        <v>78</v>
      </c>
      <c r="D88" t="s">
        <v>79</v>
      </c>
      <c r="E88" t="s">
        <v>74</v>
      </c>
      <c r="F88" t="s">
        <v>77</v>
      </c>
      <c r="G88" t="s">
        <v>76</v>
      </c>
      <c r="H88">
        <v>13.141362128046312</v>
      </c>
      <c r="I88">
        <v>2</v>
      </c>
      <c r="J88">
        <v>7</v>
      </c>
      <c r="K88">
        <v>10</v>
      </c>
      <c r="L88">
        <v>-3</v>
      </c>
      <c r="M88">
        <v>6</v>
      </c>
      <c r="N88">
        <v>9</v>
      </c>
      <c r="O88">
        <v>-3</v>
      </c>
      <c r="P88">
        <v>8</v>
      </c>
      <c r="Q88">
        <v>9</v>
      </c>
      <c r="R88">
        <v>-1</v>
      </c>
      <c r="S88">
        <v>9</v>
      </c>
      <c r="T88">
        <v>9</v>
      </c>
      <c r="U88">
        <v>0</v>
      </c>
      <c r="V88">
        <v>7</v>
      </c>
      <c r="W88">
        <v>9</v>
      </c>
      <c r="X88">
        <v>-2</v>
      </c>
      <c r="Y88">
        <v>8</v>
      </c>
      <c r="Z88">
        <v>9</v>
      </c>
      <c r="AA88">
        <v>-1</v>
      </c>
      <c r="AB88">
        <v>7</v>
      </c>
      <c r="AC88">
        <v>10</v>
      </c>
      <c r="AD88">
        <v>-3</v>
      </c>
      <c r="AE88">
        <v>6</v>
      </c>
      <c r="AF88">
        <v>9</v>
      </c>
      <c r="AG88">
        <v>-3</v>
      </c>
      <c r="AH88">
        <v>9</v>
      </c>
      <c r="AI88">
        <v>10</v>
      </c>
      <c r="AJ88">
        <v>-1</v>
      </c>
      <c r="AK88" t="s">
        <v>642</v>
      </c>
      <c r="AL88" t="s">
        <v>676</v>
      </c>
      <c r="AM88" t="s">
        <v>677</v>
      </c>
      <c r="AN88" t="s">
        <v>284</v>
      </c>
      <c r="AO88" t="s">
        <v>678</v>
      </c>
      <c r="AP88" t="s">
        <v>1433</v>
      </c>
      <c r="AQ88" t="s">
        <v>1434</v>
      </c>
      <c r="AR88" t="s">
        <v>1435</v>
      </c>
      <c r="AS88" t="s">
        <v>1436</v>
      </c>
    </row>
    <row r="89" spans="1:45" x14ac:dyDescent="0.45">
      <c r="A89">
        <v>88</v>
      </c>
      <c r="B89">
        <v>129</v>
      </c>
      <c r="C89" t="s">
        <v>72</v>
      </c>
      <c r="D89" t="s">
        <v>79</v>
      </c>
      <c r="E89" t="s">
        <v>74</v>
      </c>
      <c r="F89" t="s">
        <v>192</v>
      </c>
      <c r="G89" t="s">
        <v>76</v>
      </c>
      <c r="H89">
        <v>12</v>
      </c>
      <c r="I89">
        <v>2</v>
      </c>
      <c r="J89">
        <v>6</v>
      </c>
      <c r="K89">
        <v>10</v>
      </c>
      <c r="L89">
        <v>-4</v>
      </c>
      <c r="M89">
        <v>5</v>
      </c>
      <c r="N89">
        <v>10</v>
      </c>
      <c r="O89">
        <v>-5</v>
      </c>
      <c r="P89">
        <v>8</v>
      </c>
      <c r="Q89">
        <v>10</v>
      </c>
      <c r="R89">
        <v>-2</v>
      </c>
      <c r="S89">
        <v>9</v>
      </c>
      <c r="T89">
        <v>10</v>
      </c>
      <c r="U89">
        <v>-1</v>
      </c>
      <c r="V89">
        <v>7</v>
      </c>
      <c r="W89">
        <v>10</v>
      </c>
      <c r="X89">
        <v>-3</v>
      </c>
      <c r="Y89">
        <v>9</v>
      </c>
      <c r="Z89">
        <v>10</v>
      </c>
      <c r="AA89">
        <v>-1</v>
      </c>
      <c r="AB89">
        <v>8</v>
      </c>
      <c r="AC89">
        <v>10</v>
      </c>
      <c r="AD89">
        <v>-2</v>
      </c>
      <c r="AE89">
        <v>7</v>
      </c>
      <c r="AF89">
        <v>10</v>
      </c>
      <c r="AG89">
        <v>-3</v>
      </c>
      <c r="AH89">
        <v>8</v>
      </c>
      <c r="AI89">
        <v>10</v>
      </c>
      <c r="AJ89">
        <v>-2</v>
      </c>
      <c r="AK89" t="s">
        <v>349</v>
      </c>
      <c r="AL89" t="s">
        <v>350</v>
      </c>
      <c r="AM89" t="s">
        <v>351</v>
      </c>
      <c r="AN89" t="s">
        <v>352</v>
      </c>
      <c r="AO89" t="s">
        <v>353</v>
      </c>
      <c r="AP89" t="s">
        <v>354</v>
      </c>
      <c r="AQ89" t="s">
        <v>82</v>
      </c>
      <c r="AR89" t="s">
        <v>355</v>
      </c>
      <c r="AS89" t="s">
        <v>356</v>
      </c>
    </row>
    <row r="90" spans="1:45" x14ac:dyDescent="0.45">
      <c r="A90">
        <v>89</v>
      </c>
      <c r="B90">
        <v>130</v>
      </c>
      <c r="C90" t="s">
        <v>72</v>
      </c>
      <c r="D90" t="s">
        <v>73</v>
      </c>
      <c r="E90" t="s">
        <v>74</v>
      </c>
      <c r="F90" t="s">
        <v>190</v>
      </c>
      <c r="G90" t="s">
        <v>76</v>
      </c>
      <c r="H90">
        <v>12</v>
      </c>
      <c r="I90">
        <v>1</v>
      </c>
      <c r="J90">
        <v>7</v>
      </c>
      <c r="K90">
        <v>10</v>
      </c>
      <c r="L90">
        <v>-3</v>
      </c>
      <c r="M90">
        <v>6</v>
      </c>
      <c r="N90">
        <v>9</v>
      </c>
      <c r="O90">
        <v>-3</v>
      </c>
      <c r="P90">
        <v>8</v>
      </c>
      <c r="Q90">
        <v>9</v>
      </c>
      <c r="R90">
        <v>-1</v>
      </c>
      <c r="S90">
        <v>9</v>
      </c>
      <c r="T90">
        <v>9</v>
      </c>
      <c r="U90">
        <v>0</v>
      </c>
      <c r="V90">
        <v>8</v>
      </c>
      <c r="W90">
        <v>10</v>
      </c>
      <c r="X90">
        <v>-2</v>
      </c>
      <c r="Y90">
        <v>9</v>
      </c>
      <c r="Z90">
        <v>9</v>
      </c>
      <c r="AA90">
        <v>0</v>
      </c>
      <c r="AB90">
        <v>7</v>
      </c>
      <c r="AC90">
        <v>9</v>
      </c>
      <c r="AD90">
        <v>-2</v>
      </c>
      <c r="AE90">
        <v>6</v>
      </c>
      <c r="AF90">
        <v>8</v>
      </c>
      <c r="AG90">
        <v>-2</v>
      </c>
      <c r="AH90">
        <v>8</v>
      </c>
      <c r="AI90">
        <v>9</v>
      </c>
      <c r="AJ90">
        <v>-1</v>
      </c>
      <c r="AK90" t="s">
        <v>357</v>
      </c>
      <c r="AL90" t="s">
        <v>358</v>
      </c>
      <c r="AM90" t="s">
        <v>359</v>
      </c>
      <c r="AN90" t="s">
        <v>360</v>
      </c>
      <c r="AO90" t="s">
        <v>361</v>
      </c>
      <c r="AP90" t="s">
        <v>362</v>
      </c>
      <c r="AQ90" t="s">
        <v>363</v>
      </c>
      <c r="AR90" t="s">
        <v>364</v>
      </c>
      <c r="AS90" t="s">
        <v>365</v>
      </c>
    </row>
    <row r="91" spans="1:45" x14ac:dyDescent="0.45">
      <c r="A91">
        <v>90</v>
      </c>
      <c r="B91">
        <v>131</v>
      </c>
      <c r="C91" t="s">
        <v>72</v>
      </c>
      <c r="D91" t="s">
        <v>73</v>
      </c>
      <c r="E91" t="s">
        <v>80</v>
      </c>
      <c r="F91" t="s">
        <v>77</v>
      </c>
      <c r="G91" t="s">
        <v>76</v>
      </c>
      <c r="H91">
        <v>12</v>
      </c>
      <c r="I91">
        <v>4</v>
      </c>
      <c r="J91">
        <v>8</v>
      </c>
      <c r="K91">
        <v>6</v>
      </c>
      <c r="L91">
        <v>2</v>
      </c>
      <c r="M91">
        <v>9</v>
      </c>
      <c r="N91">
        <v>10</v>
      </c>
      <c r="O91">
        <v>-1</v>
      </c>
      <c r="P91">
        <v>9</v>
      </c>
      <c r="Q91">
        <v>8</v>
      </c>
      <c r="R91">
        <v>1</v>
      </c>
      <c r="S91">
        <v>8</v>
      </c>
      <c r="T91">
        <v>9</v>
      </c>
      <c r="U91">
        <v>-1</v>
      </c>
      <c r="V91">
        <v>9</v>
      </c>
      <c r="W91">
        <v>9</v>
      </c>
      <c r="X91">
        <v>0</v>
      </c>
      <c r="Y91">
        <v>9</v>
      </c>
      <c r="Z91">
        <v>9</v>
      </c>
      <c r="AA91">
        <v>0</v>
      </c>
      <c r="AB91">
        <v>9</v>
      </c>
      <c r="AC91">
        <v>8</v>
      </c>
      <c r="AD91">
        <v>1</v>
      </c>
      <c r="AE91">
        <v>8</v>
      </c>
      <c r="AF91">
        <v>8</v>
      </c>
      <c r="AG91">
        <v>0</v>
      </c>
      <c r="AH91">
        <v>9</v>
      </c>
      <c r="AI91">
        <v>9</v>
      </c>
      <c r="AJ91">
        <v>0</v>
      </c>
      <c r="AK91" t="s">
        <v>366</v>
      </c>
      <c r="AL91" t="s">
        <v>367</v>
      </c>
      <c r="AM91" t="s">
        <v>368</v>
      </c>
      <c r="AN91" t="s">
        <v>369</v>
      </c>
      <c r="AO91" t="s">
        <v>370</v>
      </c>
      <c r="AP91" t="s">
        <v>371</v>
      </c>
      <c r="AQ91" t="s">
        <v>372</v>
      </c>
      <c r="AR91" t="s">
        <v>373</v>
      </c>
      <c r="AS91" t="s">
        <v>374</v>
      </c>
    </row>
    <row r="92" spans="1:45" x14ac:dyDescent="0.45">
      <c r="A92">
        <v>91</v>
      </c>
      <c r="B92">
        <v>132</v>
      </c>
      <c r="C92" t="s">
        <v>72</v>
      </c>
      <c r="D92" t="s">
        <v>73</v>
      </c>
      <c r="E92" t="s">
        <v>74</v>
      </c>
      <c r="F92" t="s">
        <v>77</v>
      </c>
      <c r="G92" t="s">
        <v>76</v>
      </c>
      <c r="H92">
        <v>12</v>
      </c>
      <c r="I92">
        <v>2</v>
      </c>
      <c r="J92">
        <v>6</v>
      </c>
      <c r="K92">
        <v>10</v>
      </c>
      <c r="L92">
        <v>-4</v>
      </c>
      <c r="M92">
        <v>8</v>
      </c>
      <c r="N92">
        <v>9</v>
      </c>
      <c r="O92">
        <v>-1</v>
      </c>
      <c r="P92">
        <v>9</v>
      </c>
      <c r="Q92">
        <v>9</v>
      </c>
      <c r="R92">
        <v>0</v>
      </c>
      <c r="S92">
        <v>9</v>
      </c>
      <c r="T92">
        <v>9</v>
      </c>
      <c r="U92">
        <v>0</v>
      </c>
      <c r="V92">
        <v>7</v>
      </c>
      <c r="W92">
        <v>10</v>
      </c>
      <c r="X92">
        <v>-3</v>
      </c>
      <c r="Y92">
        <v>8</v>
      </c>
      <c r="Z92">
        <v>9</v>
      </c>
      <c r="AA92">
        <v>-1</v>
      </c>
      <c r="AB92">
        <v>7</v>
      </c>
      <c r="AC92">
        <v>8</v>
      </c>
      <c r="AD92">
        <v>-1</v>
      </c>
      <c r="AE92">
        <v>6</v>
      </c>
      <c r="AF92">
        <v>8</v>
      </c>
      <c r="AG92">
        <v>-2</v>
      </c>
      <c r="AH92">
        <v>7</v>
      </c>
      <c r="AI92">
        <v>10</v>
      </c>
      <c r="AJ92">
        <v>-3</v>
      </c>
      <c r="AK92" t="s">
        <v>375</v>
      </c>
      <c r="AL92" t="s">
        <v>376</v>
      </c>
      <c r="AM92" t="s">
        <v>377</v>
      </c>
      <c r="AN92" t="s">
        <v>378</v>
      </c>
      <c r="AO92" t="s">
        <v>379</v>
      </c>
      <c r="AP92" t="s">
        <v>380</v>
      </c>
      <c r="AQ92" t="s">
        <v>381</v>
      </c>
      <c r="AR92" t="s">
        <v>382</v>
      </c>
      <c r="AS92" t="s">
        <v>383</v>
      </c>
    </row>
    <row r="93" spans="1:45" x14ac:dyDescent="0.45">
      <c r="A93">
        <v>92</v>
      </c>
      <c r="B93">
        <v>133</v>
      </c>
      <c r="C93" t="s">
        <v>78</v>
      </c>
      <c r="D93" t="s">
        <v>73</v>
      </c>
      <c r="E93" t="s">
        <v>74</v>
      </c>
      <c r="F93" t="s">
        <v>77</v>
      </c>
      <c r="G93" t="s">
        <v>76</v>
      </c>
      <c r="H93">
        <v>12</v>
      </c>
      <c r="I93">
        <v>2</v>
      </c>
      <c r="J93">
        <v>7</v>
      </c>
      <c r="K93">
        <v>10</v>
      </c>
      <c r="L93">
        <v>-3</v>
      </c>
      <c r="M93">
        <v>6</v>
      </c>
      <c r="N93">
        <v>10</v>
      </c>
      <c r="O93">
        <v>-4</v>
      </c>
      <c r="P93">
        <v>9</v>
      </c>
      <c r="Q93">
        <v>10</v>
      </c>
      <c r="R93">
        <v>-1</v>
      </c>
      <c r="S93">
        <v>8</v>
      </c>
      <c r="T93">
        <v>10</v>
      </c>
      <c r="U93">
        <v>-2</v>
      </c>
      <c r="V93">
        <v>9</v>
      </c>
      <c r="W93">
        <v>10</v>
      </c>
      <c r="X93">
        <v>-1</v>
      </c>
      <c r="Y93">
        <v>8</v>
      </c>
      <c r="Z93">
        <v>1</v>
      </c>
      <c r="AA93">
        <v>7</v>
      </c>
      <c r="AB93">
        <v>9</v>
      </c>
      <c r="AC93">
        <v>10</v>
      </c>
      <c r="AD93">
        <v>-1</v>
      </c>
      <c r="AE93">
        <v>8</v>
      </c>
      <c r="AF93">
        <v>10</v>
      </c>
      <c r="AG93">
        <v>-2</v>
      </c>
      <c r="AH93">
        <v>9</v>
      </c>
      <c r="AI93">
        <v>10</v>
      </c>
      <c r="AJ93">
        <v>-1</v>
      </c>
      <c r="AK93" t="s">
        <v>384</v>
      </c>
      <c r="AL93" t="s">
        <v>385</v>
      </c>
      <c r="AM93" t="s">
        <v>386</v>
      </c>
      <c r="AN93" t="s">
        <v>387</v>
      </c>
      <c r="AO93" t="s">
        <v>388</v>
      </c>
      <c r="AP93" t="s">
        <v>389</v>
      </c>
      <c r="AQ93" t="s">
        <v>390</v>
      </c>
      <c r="AR93" t="s">
        <v>391</v>
      </c>
      <c r="AS93" t="s">
        <v>392</v>
      </c>
    </row>
    <row r="94" spans="1:45" x14ac:dyDescent="0.45">
      <c r="A94">
        <v>93</v>
      </c>
      <c r="B94">
        <v>134</v>
      </c>
      <c r="C94" t="s">
        <v>78</v>
      </c>
      <c r="D94" t="s">
        <v>73</v>
      </c>
      <c r="E94" t="s">
        <v>74</v>
      </c>
      <c r="F94" t="s">
        <v>77</v>
      </c>
      <c r="G94" t="s">
        <v>76</v>
      </c>
      <c r="H94">
        <v>41.656972505143862</v>
      </c>
      <c r="I94">
        <v>2</v>
      </c>
      <c r="J94">
        <v>6</v>
      </c>
      <c r="K94">
        <v>5</v>
      </c>
      <c r="L94">
        <v>1</v>
      </c>
      <c r="M94">
        <v>6</v>
      </c>
      <c r="N94">
        <v>8</v>
      </c>
      <c r="O94">
        <v>-2</v>
      </c>
      <c r="P94">
        <v>7</v>
      </c>
      <c r="Q94">
        <v>4</v>
      </c>
      <c r="R94">
        <v>3</v>
      </c>
      <c r="S94">
        <v>8</v>
      </c>
      <c r="T94">
        <v>9</v>
      </c>
      <c r="U94">
        <v>-1</v>
      </c>
      <c r="V94">
        <v>7</v>
      </c>
      <c r="W94">
        <v>7</v>
      </c>
      <c r="X94">
        <v>0</v>
      </c>
      <c r="Y94">
        <v>8</v>
      </c>
      <c r="Z94">
        <v>5</v>
      </c>
      <c r="AA94">
        <v>3</v>
      </c>
      <c r="AB94">
        <v>7</v>
      </c>
      <c r="AC94">
        <v>7</v>
      </c>
      <c r="AD94">
        <v>0</v>
      </c>
      <c r="AE94">
        <v>8</v>
      </c>
      <c r="AF94">
        <v>8</v>
      </c>
      <c r="AG94">
        <v>0</v>
      </c>
      <c r="AH94">
        <v>9</v>
      </c>
      <c r="AI94">
        <v>10</v>
      </c>
      <c r="AJ94">
        <v>-1</v>
      </c>
      <c r="AK94" t="s">
        <v>1437</v>
      </c>
      <c r="AL94" t="s">
        <v>1438</v>
      </c>
      <c r="AM94" t="s">
        <v>1439</v>
      </c>
      <c r="AN94" t="s">
        <v>1440</v>
      </c>
      <c r="AO94" t="s">
        <v>1441</v>
      </c>
      <c r="AP94" t="s">
        <v>1442</v>
      </c>
      <c r="AQ94" t="s">
        <v>1443</v>
      </c>
      <c r="AR94" t="s">
        <v>1444</v>
      </c>
      <c r="AS94" t="s">
        <v>1445</v>
      </c>
    </row>
    <row r="95" spans="1:45" x14ac:dyDescent="0.45">
      <c r="A95">
        <v>94</v>
      </c>
      <c r="B95">
        <v>135</v>
      </c>
      <c r="C95" t="s">
        <v>72</v>
      </c>
      <c r="D95" t="s">
        <v>73</v>
      </c>
      <c r="E95" t="s">
        <v>74</v>
      </c>
      <c r="F95" t="s">
        <v>75</v>
      </c>
      <c r="G95" t="s">
        <v>76</v>
      </c>
      <c r="H95">
        <v>12</v>
      </c>
      <c r="I95">
        <v>0</v>
      </c>
      <c r="J95">
        <v>6</v>
      </c>
      <c r="K95">
        <v>9</v>
      </c>
      <c r="L95">
        <v>-3</v>
      </c>
      <c r="M95">
        <v>7</v>
      </c>
      <c r="N95">
        <v>7</v>
      </c>
      <c r="O95">
        <v>0</v>
      </c>
      <c r="P95">
        <v>9</v>
      </c>
      <c r="Q95">
        <v>5</v>
      </c>
      <c r="R95">
        <v>4</v>
      </c>
      <c r="S95">
        <v>8</v>
      </c>
      <c r="T95">
        <v>7</v>
      </c>
      <c r="U95">
        <v>1</v>
      </c>
      <c r="V95">
        <v>7</v>
      </c>
      <c r="W95">
        <v>5</v>
      </c>
      <c r="X95">
        <v>2</v>
      </c>
      <c r="Y95">
        <v>9</v>
      </c>
      <c r="Z95">
        <v>8</v>
      </c>
      <c r="AA95">
        <v>1</v>
      </c>
      <c r="AB95">
        <v>6</v>
      </c>
      <c r="AC95">
        <v>5</v>
      </c>
      <c r="AD95">
        <v>1</v>
      </c>
      <c r="AE95">
        <v>8</v>
      </c>
      <c r="AF95">
        <v>5</v>
      </c>
      <c r="AG95">
        <v>3</v>
      </c>
      <c r="AH95">
        <v>9</v>
      </c>
      <c r="AI95">
        <v>7</v>
      </c>
      <c r="AJ95">
        <v>2</v>
      </c>
      <c r="AK95" t="s">
        <v>393</v>
      </c>
      <c r="AL95" t="s">
        <v>394</v>
      </c>
      <c r="AM95" t="s">
        <v>395</v>
      </c>
      <c r="AN95" t="s">
        <v>396</v>
      </c>
      <c r="AO95" t="s">
        <v>397</v>
      </c>
      <c r="AP95" t="s">
        <v>398</v>
      </c>
      <c r="AQ95" t="s">
        <v>399</v>
      </c>
      <c r="AR95" t="s">
        <v>400</v>
      </c>
      <c r="AS95" t="s">
        <v>401</v>
      </c>
    </row>
    <row r="96" spans="1:45" x14ac:dyDescent="0.45">
      <c r="A96">
        <v>95</v>
      </c>
      <c r="B96">
        <v>136</v>
      </c>
      <c r="C96" t="s">
        <v>72</v>
      </c>
      <c r="D96" t="s">
        <v>79</v>
      </c>
      <c r="E96" t="s">
        <v>74</v>
      </c>
      <c r="F96" t="s">
        <v>77</v>
      </c>
      <c r="G96" t="s">
        <v>76</v>
      </c>
      <c r="H96">
        <v>38.558133870842298</v>
      </c>
      <c r="I96">
        <v>3</v>
      </c>
      <c r="J96">
        <v>6</v>
      </c>
      <c r="K96">
        <v>4</v>
      </c>
      <c r="L96">
        <v>2</v>
      </c>
      <c r="M96">
        <v>6</v>
      </c>
      <c r="N96">
        <v>6</v>
      </c>
      <c r="O96">
        <v>0</v>
      </c>
      <c r="P96">
        <v>8</v>
      </c>
      <c r="Q96">
        <v>5</v>
      </c>
      <c r="R96">
        <v>3</v>
      </c>
      <c r="S96">
        <v>9</v>
      </c>
      <c r="T96">
        <v>5</v>
      </c>
      <c r="U96">
        <v>4</v>
      </c>
      <c r="V96">
        <v>7</v>
      </c>
      <c r="W96">
        <v>4</v>
      </c>
      <c r="X96">
        <v>3</v>
      </c>
      <c r="Y96">
        <v>8</v>
      </c>
      <c r="Z96">
        <v>4</v>
      </c>
      <c r="AA96">
        <v>4</v>
      </c>
      <c r="AB96">
        <v>7</v>
      </c>
      <c r="AC96">
        <v>3</v>
      </c>
      <c r="AD96">
        <v>4</v>
      </c>
      <c r="AE96">
        <v>6</v>
      </c>
      <c r="AF96">
        <v>4</v>
      </c>
      <c r="AG96">
        <v>2</v>
      </c>
      <c r="AH96">
        <v>8</v>
      </c>
      <c r="AI96">
        <v>3</v>
      </c>
      <c r="AJ96">
        <v>5</v>
      </c>
      <c r="AK96" t="s">
        <v>1446</v>
      </c>
      <c r="AL96" t="s">
        <v>1447</v>
      </c>
      <c r="AM96" t="s">
        <v>1448</v>
      </c>
      <c r="AN96" t="s">
        <v>1449</v>
      </c>
      <c r="AO96" t="s">
        <v>1450</v>
      </c>
      <c r="AP96" t="s">
        <v>1451</v>
      </c>
      <c r="AQ96" t="s">
        <v>1452</v>
      </c>
      <c r="AR96" t="s">
        <v>1453</v>
      </c>
      <c r="AS96" t="s">
        <v>1454</v>
      </c>
    </row>
    <row r="97" spans="1:45" x14ac:dyDescent="0.45">
      <c r="A97">
        <v>96</v>
      </c>
      <c r="B97">
        <v>137</v>
      </c>
      <c r="C97" t="s">
        <v>78</v>
      </c>
      <c r="D97" t="s">
        <v>189</v>
      </c>
      <c r="E97" t="s">
        <v>74</v>
      </c>
      <c r="F97" t="s">
        <v>77</v>
      </c>
      <c r="G97" t="s">
        <v>76</v>
      </c>
      <c r="H97">
        <v>12</v>
      </c>
      <c r="I97">
        <v>0</v>
      </c>
      <c r="J97">
        <v>7</v>
      </c>
      <c r="K97">
        <v>8</v>
      </c>
      <c r="L97">
        <v>-1</v>
      </c>
      <c r="M97">
        <v>8</v>
      </c>
      <c r="N97">
        <v>7</v>
      </c>
      <c r="O97">
        <v>1</v>
      </c>
      <c r="P97">
        <v>9</v>
      </c>
      <c r="Q97">
        <v>5</v>
      </c>
      <c r="R97">
        <v>4</v>
      </c>
      <c r="S97">
        <v>8</v>
      </c>
      <c r="T97">
        <v>7</v>
      </c>
      <c r="U97">
        <v>1</v>
      </c>
      <c r="V97">
        <v>9</v>
      </c>
      <c r="W97">
        <v>7</v>
      </c>
      <c r="X97">
        <v>2</v>
      </c>
      <c r="Y97">
        <v>8</v>
      </c>
      <c r="Z97">
        <v>5</v>
      </c>
      <c r="AA97">
        <v>3</v>
      </c>
      <c r="AB97">
        <v>9</v>
      </c>
      <c r="AC97">
        <v>5</v>
      </c>
      <c r="AD97">
        <v>4</v>
      </c>
      <c r="AE97">
        <v>8</v>
      </c>
      <c r="AF97">
        <v>7</v>
      </c>
      <c r="AG97">
        <v>1</v>
      </c>
      <c r="AH97">
        <v>9</v>
      </c>
      <c r="AI97">
        <v>7</v>
      </c>
      <c r="AJ97">
        <v>2</v>
      </c>
      <c r="AK97" t="s">
        <v>402</v>
      </c>
      <c r="AL97" t="s">
        <v>403</v>
      </c>
      <c r="AM97" t="s">
        <v>404</v>
      </c>
      <c r="AN97" t="s">
        <v>405</v>
      </c>
      <c r="AO97" t="s">
        <v>406</v>
      </c>
      <c r="AP97" t="s">
        <v>407</v>
      </c>
      <c r="AQ97" t="s">
        <v>408</v>
      </c>
      <c r="AR97" t="s">
        <v>203</v>
      </c>
      <c r="AS97" t="s">
        <v>409</v>
      </c>
    </row>
    <row r="98" spans="1:45" x14ac:dyDescent="0.45">
      <c r="A98">
        <v>97</v>
      </c>
      <c r="B98">
        <v>138</v>
      </c>
      <c r="C98" t="s">
        <v>72</v>
      </c>
      <c r="D98" t="s">
        <v>193</v>
      </c>
      <c r="E98" t="s">
        <v>74</v>
      </c>
      <c r="F98" t="s">
        <v>77</v>
      </c>
      <c r="G98" t="s">
        <v>162</v>
      </c>
      <c r="H98">
        <v>144.51048773312573</v>
      </c>
      <c r="I98">
        <v>4</v>
      </c>
      <c r="J98">
        <v>6</v>
      </c>
      <c r="K98">
        <v>6</v>
      </c>
      <c r="L98">
        <v>0</v>
      </c>
      <c r="M98">
        <v>7</v>
      </c>
      <c r="N98">
        <v>6</v>
      </c>
      <c r="O98">
        <v>1</v>
      </c>
      <c r="P98">
        <v>6</v>
      </c>
      <c r="Q98">
        <v>5</v>
      </c>
      <c r="R98">
        <v>1</v>
      </c>
      <c r="S98">
        <v>8</v>
      </c>
      <c r="T98">
        <v>5</v>
      </c>
      <c r="U98">
        <v>3</v>
      </c>
      <c r="V98">
        <v>5</v>
      </c>
      <c r="W98">
        <v>5</v>
      </c>
      <c r="X98">
        <v>0</v>
      </c>
      <c r="Y98">
        <v>6</v>
      </c>
      <c r="Z98">
        <v>5</v>
      </c>
      <c r="AA98">
        <v>1</v>
      </c>
      <c r="AB98">
        <v>5</v>
      </c>
      <c r="AC98">
        <v>5</v>
      </c>
      <c r="AD98">
        <v>0</v>
      </c>
      <c r="AE98">
        <v>7</v>
      </c>
      <c r="AF98">
        <v>5</v>
      </c>
      <c r="AG98">
        <v>2</v>
      </c>
      <c r="AH98">
        <v>7</v>
      </c>
      <c r="AI98">
        <v>5</v>
      </c>
      <c r="AJ98">
        <v>2</v>
      </c>
      <c r="AK98" t="s">
        <v>1455</v>
      </c>
      <c r="AL98" t="s">
        <v>1456</v>
      </c>
      <c r="AM98" t="s">
        <v>1457</v>
      </c>
      <c r="AN98" t="s">
        <v>1458</v>
      </c>
      <c r="AO98" t="s">
        <v>1459</v>
      </c>
      <c r="AP98" t="s">
        <v>1460</v>
      </c>
      <c r="AQ98" t="s">
        <v>1461</v>
      </c>
      <c r="AR98" t="s">
        <v>1462</v>
      </c>
      <c r="AS98" t="s">
        <v>1463</v>
      </c>
    </row>
    <row r="99" spans="1:45" x14ac:dyDescent="0.45">
      <c r="A99">
        <v>98</v>
      </c>
      <c r="B99">
        <v>139</v>
      </c>
      <c r="C99" t="s">
        <v>72</v>
      </c>
      <c r="D99" t="s">
        <v>73</v>
      </c>
      <c r="E99" t="s">
        <v>80</v>
      </c>
      <c r="F99" t="s">
        <v>77</v>
      </c>
      <c r="G99" t="s">
        <v>76</v>
      </c>
      <c r="H99">
        <v>19.919094533873299</v>
      </c>
      <c r="I99">
        <v>0</v>
      </c>
      <c r="J99">
        <v>7</v>
      </c>
      <c r="K99">
        <v>8</v>
      </c>
      <c r="L99">
        <v>-1</v>
      </c>
      <c r="M99">
        <v>8</v>
      </c>
      <c r="N99">
        <v>8</v>
      </c>
      <c r="O99">
        <v>0</v>
      </c>
      <c r="P99">
        <v>9</v>
      </c>
      <c r="Q99">
        <v>5</v>
      </c>
      <c r="R99">
        <v>4</v>
      </c>
      <c r="S99">
        <v>9</v>
      </c>
      <c r="T99">
        <v>8</v>
      </c>
      <c r="U99">
        <v>1</v>
      </c>
      <c r="V99">
        <v>7</v>
      </c>
      <c r="W99">
        <v>6</v>
      </c>
      <c r="X99">
        <v>1</v>
      </c>
      <c r="Y99">
        <v>8</v>
      </c>
      <c r="Z99">
        <v>9</v>
      </c>
      <c r="AA99">
        <v>-1</v>
      </c>
      <c r="AB99">
        <v>6</v>
      </c>
      <c r="AC99">
        <v>5</v>
      </c>
      <c r="AD99">
        <v>1</v>
      </c>
      <c r="AE99">
        <v>7</v>
      </c>
      <c r="AF99">
        <v>7</v>
      </c>
      <c r="AG99">
        <v>0</v>
      </c>
      <c r="AH99">
        <v>9</v>
      </c>
      <c r="AI99">
        <v>8</v>
      </c>
      <c r="AJ99">
        <v>1</v>
      </c>
      <c r="AK99" t="s">
        <v>1464</v>
      </c>
      <c r="AL99" t="s">
        <v>1465</v>
      </c>
      <c r="AM99" t="s">
        <v>1466</v>
      </c>
      <c r="AN99" t="s">
        <v>1467</v>
      </c>
      <c r="AO99" t="s">
        <v>1468</v>
      </c>
      <c r="AP99" t="s">
        <v>1469</v>
      </c>
      <c r="AQ99" t="s">
        <v>1470</v>
      </c>
      <c r="AR99" t="s">
        <v>1471</v>
      </c>
      <c r="AS99" t="s">
        <v>1472</v>
      </c>
    </row>
    <row r="100" spans="1:45" x14ac:dyDescent="0.45">
      <c r="A100">
        <v>99</v>
      </c>
      <c r="B100">
        <v>140</v>
      </c>
      <c r="C100" t="s">
        <v>78</v>
      </c>
      <c r="D100" t="s">
        <v>81</v>
      </c>
      <c r="E100" t="s">
        <v>74</v>
      </c>
      <c r="F100" t="s">
        <v>77</v>
      </c>
      <c r="G100" t="s">
        <v>76</v>
      </c>
      <c r="H100">
        <v>30.787412476426358</v>
      </c>
      <c r="I100">
        <v>1</v>
      </c>
      <c r="J100">
        <v>5</v>
      </c>
      <c r="K100">
        <v>6</v>
      </c>
      <c r="L100">
        <v>-1</v>
      </c>
      <c r="M100">
        <v>6</v>
      </c>
      <c r="N100">
        <v>6</v>
      </c>
      <c r="O100">
        <v>0</v>
      </c>
      <c r="P100">
        <v>7</v>
      </c>
      <c r="Q100">
        <v>3</v>
      </c>
      <c r="R100">
        <v>4</v>
      </c>
      <c r="S100">
        <v>8</v>
      </c>
      <c r="T100">
        <v>6</v>
      </c>
      <c r="U100">
        <v>2</v>
      </c>
      <c r="V100">
        <v>6</v>
      </c>
      <c r="W100">
        <v>5</v>
      </c>
      <c r="X100">
        <v>1</v>
      </c>
      <c r="Y100">
        <v>9</v>
      </c>
      <c r="Z100">
        <v>6</v>
      </c>
      <c r="AA100">
        <v>3</v>
      </c>
      <c r="AB100">
        <v>7</v>
      </c>
      <c r="AC100">
        <v>5</v>
      </c>
      <c r="AD100">
        <v>2</v>
      </c>
      <c r="AE100">
        <v>6</v>
      </c>
      <c r="AF100">
        <v>6</v>
      </c>
      <c r="AG100">
        <v>0</v>
      </c>
      <c r="AH100">
        <v>9</v>
      </c>
      <c r="AI100">
        <v>6</v>
      </c>
      <c r="AJ100">
        <v>3</v>
      </c>
      <c r="AK100" t="s">
        <v>1473</v>
      </c>
      <c r="AL100" t="s">
        <v>1474</v>
      </c>
      <c r="AM100" t="s">
        <v>1475</v>
      </c>
      <c r="AN100" t="s">
        <v>1476</v>
      </c>
      <c r="AO100" t="s">
        <v>1477</v>
      </c>
      <c r="AP100" t="s">
        <v>1478</v>
      </c>
      <c r="AQ100" t="s">
        <v>1479</v>
      </c>
      <c r="AR100" t="s">
        <v>1480</v>
      </c>
      <c r="AS100" t="s">
        <v>1481</v>
      </c>
    </row>
    <row r="101" spans="1:45" x14ac:dyDescent="0.45">
      <c r="A101">
        <v>100</v>
      </c>
      <c r="B101">
        <v>141</v>
      </c>
      <c r="C101" t="s">
        <v>72</v>
      </c>
      <c r="D101" t="s">
        <v>193</v>
      </c>
      <c r="E101" t="s">
        <v>74</v>
      </c>
      <c r="F101" t="s">
        <v>77</v>
      </c>
      <c r="G101" t="s">
        <v>76</v>
      </c>
      <c r="H101">
        <v>13.675299873446729</v>
      </c>
      <c r="I101">
        <v>1</v>
      </c>
      <c r="J101">
        <v>5</v>
      </c>
      <c r="K101">
        <v>8</v>
      </c>
      <c r="L101">
        <v>-3</v>
      </c>
      <c r="M101">
        <v>7</v>
      </c>
      <c r="N101">
        <v>8</v>
      </c>
      <c r="O101">
        <v>-1</v>
      </c>
      <c r="P101">
        <v>9</v>
      </c>
      <c r="Q101">
        <v>8</v>
      </c>
      <c r="R101">
        <v>1</v>
      </c>
      <c r="S101">
        <v>7</v>
      </c>
      <c r="T101">
        <v>10</v>
      </c>
      <c r="U101">
        <v>-3</v>
      </c>
      <c r="V101">
        <v>8</v>
      </c>
      <c r="W101">
        <v>10</v>
      </c>
      <c r="X101">
        <v>-2</v>
      </c>
      <c r="Y101">
        <v>9</v>
      </c>
      <c r="Z101">
        <v>10</v>
      </c>
      <c r="AA101">
        <v>-1</v>
      </c>
      <c r="AB101">
        <v>8</v>
      </c>
      <c r="AC101">
        <v>10</v>
      </c>
      <c r="AD101">
        <v>-2</v>
      </c>
      <c r="AE101">
        <v>6</v>
      </c>
      <c r="AF101">
        <v>10</v>
      </c>
      <c r="AG101">
        <v>-4</v>
      </c>
      <c r="AH101">
        <v>8</v>
      </c>
      <c r="AI101">
        <v>10</v>
      </c>
      <c r="AJ101">
        <v>-2</v>
      </c>
      <c r="AK101" t="s">
        <v>1482</v>
      </c>
      <c r="AL101" t="s">
        <v>1483</v>
      </c>
      <c r="AM101" t="s">
        <v>1484</v>
      </c>
      <c r="AN101" t="s">
        <v>1485</v>
      </c>
      <c r="AO101" t="s">
        <v>1486</v>
      </c>
      <c r="AP101" t="s">
        <v>1487</v>
      </c>
      <c r="AQ101" t="s">
        <v>1488</v>
      </c>
      <c r="AR101" t="s">
        <v>1489</v>
      </c>
      <c r="AS101" t="s">
        <v>1490</v>
      </c>
    </row>
    <row r="102" spans="1:45" x14ac:dyDescent="0.45">
      <c r="A102">
        <v>101</v>
      </c>
      <c r="B102">
        <v>142</v>
      </c>
      <c r="C102" t="s">
        <v>72</v>
      </c>
      <c r="D102" t="s">
        <v>191</v>
      </c>
      <c r="E102" t="s">
        <v>74</v>
      </c>
      <c r="F102" t="s">
        <v>75</v>
      </c>
      <c r="G102" t="s">
        <v>76</v>
      </c>
      <c r="H102">
        <v>73.984400877890153</v>
      </c>
      <c r="I102">
        <v>4</v>
      </c>
      <c r="J102">
        <v>7</v>
      </c>
      <c r="K102">
        <v>8</v>
      </c>
      <c r="L102">
        <v>-1</v>
      </c>
      <c r="M102">
        <v>8</v>
      </c>
      <c r="N102">
        <v>8</v>
      </c>
      <c r="O102">
        <v>0</v>
      </c>
      <c r="P102">
        <v>7</v>
      </c>
      <c r="Q102">
        <v>7</v>
      </c>
      <c r="R102">
        <v>0</v>
      </c>
      <c r="S102">
        <v>8</v>
      </c>
      <c r="T102">
        <v>8</v>
      </c>
      <c r="U102">
        <v>0</v>
      </c>
      <c r="V102">
        <v>7</v>
      </c>
      <c r="W102">
        <v>8</v>
      </c>
      <c r="X102">
        <v>-1</v>
      </c>
      <c r="Y102">
        <v>9</v>
      </c>
      <c r="Z102">
        <v>7</v>
      </c>
      <c r="AA102">
        <v>2</v>
      </c>
      <c r="AB102">
        <v>7</v>
      </c>
      <c r="AC102">
        <v>7</v>
      </c>
      <c r="AD102">
        <v>0</v>
      </c>
      <c r="AE102">
        <v>8</v>
      </c>
      <c r="AF102">
        <v>7</v>
      </c>
      <c r="AG102">
        <v>1</v>
      </c>
      <c r="AH102">
        <v>9</v>
      </c>
      <c r="AI102">
        <v>8</v>
      </c>
      <c r="AJ102">
        <v>1</v>
      </c>
      <c r="AK102" t="s">
        <v>1491</v>
      </c>
      <c r="AL102" t="s">
        <v>1492</v>
      </c>
      <c r="AM102" t="s">
        <v>1493</v>
      </c>
      <c r="AN102" t="s">
        <v>1494</v>
      </c>
      <c r="AO102" t="s">
        <v>1495</v>
      </c>
      <c r="AP102" t="s">
        <v>1496</v>
      </c>
      <c r="AQ102" t="s">
        <v>1497</v>
      </c>
      <c r="AR102" t="s">
        <v>1498</v>
      </c>
      <c r="AS102" t="s">
        <v>1499</v>
      </c>
    </row>
    <row r="103" spans="1:45" x14ac:dyDescent="0.45">
      <c r="A103">
        <v>102</v>
      </c>
      <c r="B103">
        <v>143</v>
      </c>
      <c r="C103" t="s">
        <v>78</v>
      </c>
      <c r="D103" t="s">
        <v>189</v>
      </c>
      <c r="E103" t="s">
        <v>74</v>
      </c>
      <c r="F103" t="s">
        <v>77</v>
      </c>
      <c r="G103" t="s">
        <v>76</v>
      </c>
      <c r="H103">
        <v>16.418050193658651</v>
      </c>
      <c r="I103">
        <v>0</v>
      </c>
      <c r="J103">
        <v>7</v>
      </c>
      <c r="K103">
        <v>5</v>
      </c>
      <c r="L103">
        <v>2</v>
      </c>
      <c r="M103">
        <v>6</v>
      </c>
      <c r="N103">
        <v>5</v>
      </c>
      <c r="O103">
        <v>1</v>
      </c>
      <c r="P103">
        <v>8</v>
      </c>
      <c r="Q103">
        <v>5</v>
      </c>
      <c r="R103">
        <v>3</v>
      </c>
      <c r="S103">
        <v>9</v>
      </c>
      <c r="T103">
        <v>5</v>
      </c>
      <c r="U103">
        <v>4</v>
      </c>
      <c r="V103">
        <v>7</v>
      </c>
      <c r="W103">
        <v>5</v>
      </c>
      <c r="X103">
        <v>2</v>
      </c>
      <c r="Y103">
        <v>9</v>
      </c>
      <c r="Z103">
        <v>5</v>
      </c>
      <c r="AA103">
        <v>4</v>
      </c>
      <c r="AB103">
        <v>8</v>
      </c>
      <c r="AC103">
        <v>5</v>
      </c>
      <c r="AD103">
        <v>3</v>
      </c>
      <c r="AE103">
        <v>7</v>
      </c>
      <c r="AF103">
        <v>5</v>
      </c>
      <c r="AG103">
        <v>2</v>
      </c>
      <c r="AH103">
        <v>9</v>
      </c>
      <c r="AI103">
        <v>5</v>
      </c>
      <c r="AJ103">
        <v>4</v>
      </c>
      <c r="AK103" t="s">
        <v>1500</v>
      </c>
      <c r="AL103" t="s">
        <v>1501</v>
      </c>
      <c r="AM103" t="s">
        <v>1502</v>
      </c>
      <c r="AN103" t="s">
        <v>1503</v>
      </c>
      <c r="AO103" t="s">
        <v>1504</v>
      </c>
      <c r="AP103" t="s">
        <v>1505</v>
      </c>
      <c r="AQ103" t="s">
        <v>1506</v>
      </c>
      <c r="AR103" t="s">
        <v>1507</v>
      </c>
      <c r="AS103" t="s">
        <v>1508</v>
      </c>
    </row>
    <row r="104" spans="1:45" x14ac:dyDescent="0.45">
      <c r="A104">
        <v>103</v>
      </c>
      <c r="B104">
        <v>144</v>
      </c>
      <c r="C104" t="s">
        <v>72</v>
      </c>
      <c r="D104" t="s">
        <v>193</v>
      </c>
      <c r="E104" t="s">
        <v>74</v>
      </c>
      <c r="F104" t="s">
        <v>77</v>
      </c>
      <c r="G104" t="s">
        <v>76</v>
      </c>
      <c r="H104">
        <v>38.789842537898139</v>
      </c>
      <c r="I104">
        <v>2</v>
      </c>
      <c r="J104">
        <v>6</v>
      </c>
      <c r="K104">
        <v>8</v>
      </c>
      <c r="L104">
        <v>-2</v>
      </c>
      <c r="M104">
        <v>5</v>
      </c>
      <c r="N104">
        <v>8</v>
      </c>
      <c r="O104">
        <v>-3</v>
      </c>
      <c r="P104">
        <v>7</v>
      </c>
      <c r="Q104">
        <v>5</v>
      </c>
      <c r="R104">
        <v>2</v>
      </c>
      <c r="S104">
        <v>9</v>
      </c>
      <c r="T104">
        <v>8</v>
      </c>
      <c r="U104">
        <v>1</v>
      </c>
      <c r="V104">
        <v>7</v>
      </c>
      <c r="W104">
        <v>5</v>
      </c>
      <c r="X104">
        <v>2</v>
      </c>
      <c r="Y104">
        <v>9</v>
      </c>
      <c r="Z104">
        <v>5</v>
      </c>
      <c r="AA104">
        <v>4</v>
      </c>
      <c r="AB104">
        <v>7</v>
      </c>
      <c r="AC104">
        <v>6</v>
      </c>
      <c r="AD104">
        <v>1</v>
      </c>
      <c r="AE104">
        <v>8</v>
      </c>
      <c r="AF104">
        <v>6</v>
      </c>
      <c r="AG104">
        <v>2</v>
      </c>
      <c r="AH104">
        <v>9</v>
      </c>
      <c r="AI104">
        <v>5</v>
      </c>
      <c r="AJ104">
        <v>4</v>
      </c>
      <c r="AK104" t="s">
        <v>1509</v>
      </c>
      <c r="AL104" t="s">
        <v>1510</v>
      </c>
      <c r="AM104" t="s">
        <v>1511</v>
      </c>
      <c r="AN104" t="s">
        <v>1512</v>
      </c>
      <c r="AO104" t="s">
        <v>1513</v>
      </c>
      <c r="AP104" t="s">
        <v>1514</v>
      </c>
      <c r="AQ104" t="s">
        <v>1515</v>
      </c>
      <c r="AR104" t="s">
        <v>1516</v>
      </c>
      <c r="AS104" t="s">
        <v>1517</v>
      </c>
    </row>
    <row r="105" spans="1:45" x14ac:dyDescent="0.45">
      <c r="A105">
        <v>104</v>
      </c>
      <c r="B105">
        <v>145</v>
      </c>
      <c r="C105" t="s">
        <v>78</v>
      </c>
      <c r="D105" t="s">
        <v>73</v>
      </c>
      <c r="E105" t="s">
        <v>74</v>
      </c>
      <c r="F105" t="s">
        <v>77</v>
      </c>
      <c r="G105" t="s">
        <v>76</v>
      </c>
      <c r="H105">
        <v>20.345669206619846</v>
      </c>
      <c r="I105">
        <v>0</v>
      </c>
      <c r="J105">
        <v>6</v>
      </c>
      <c r="K105">
        <v>6</v>
      </c>
      <c r="L105">
        <v>0</v>
      </c>
      <c r="M105">
        <v>7</v>
      </c>
      <c r="N105">
        <v>7</v>
      </c>
      <c r="O105">
        <v>0</v>
      </c>
      <c r="P105">
        <v>8</v>
      </c>
      <c r="Q105">
        <v>6</v>
      </c>
      <c r="R105">
        <v>2</v>
      </c>
      <c r="S105">
        <v>9</v>
      </c>
      <c r="T105">
        <v>8</v>
      </c>
      <c r="U105">
        <v>1</v>
      </c>
      <c r="V105">
        <v>7</v>
      </c>
      <c r="W105">
        <v>6</v>
      </c>
      <c r="X105">
        <v>1</v>
      </c>
      <c r="Y105">
        <v>9</v>
      </c>
      <c r="Z105">
        <v>7</v>
      </c>
      <c r="AA105">
        <v>2</v>
      </c>
      <c r="AB105">
        <v>8</v>
      </c>
      <c r="AC105">
        <v>6</v>
      </c>
      <c r="AD105">
        <v>2</v>
      </c>
      <c r="AE105">
        <v>7</v>
      </c>
      <c r="AF105">
        <v>6</v>
      </c>
      <c r="AG105">
        <v>1</v>
      </c>
      <c r="AH105">
        <v>9</v>
      </c>
      <c r="AI105">
        <v>7</v>
      </c>
      <c r="AJ105">
        <v>2</v>
      </c>
      <c r="AK105" t="s">
        <v>410</v>
      </c>
      <c r="AL105" t="s">
        <v>411</v>
      </c>
      <c r="AM105" t="s">
        <v>412</v>
      </c>
      <c r="AN105" t="s">
        <v>413</v>
      </c>
      <c r="AO105" t="s">
        <v>1518</v>
      </c>
      <c r="AP105" t="s">
        <v>1519</v>
      </c>
      <c r="AQ105" t="s">
        <v>1520</v>
      </c>
      <c r="AR105" t="s">
        <v>1521</v>
      </c>
      <c r="AS105" t="s">
        <v>1522</v>
      </c>
    </row>
    <row r="106" spans="1:45" x14ac:dyDescent="0.45">
      <c r="A106">
        <v>105</v>
      </c>
      <c r="B106">
        <v>146</v>
      </c>
      <c r="C106" t="s">
        <v>78</v>
      </c>
      <c r="D106" t="s">
        <v>81</v>
      </c>
      <c r="E106" t="s">
        <v>74</v>
      </c>
      <c r="F106" t="s">
        <v>77</v>
      </c>
      <c r="G106" t="s">
        <v>76</v>
      </c>
      <c r="H106">
        <v>12.925167568684918</v>
      </c>
      <c r="I106">
        <v>1</v>
      </c>
      <c r="J106">
        <v>7</v>
      </c>
      <c r="K106">
        <v>9</v>
      </c>
      <c r="L106">
        <v>-2</v>
      </c>
      <c r="M106">
        <v>9</v>
      </c>
      <c r="N106">
        <v>10</v>
      </c>
      <c r="O106">
        <v>-1</v>
      </c>
      <c r="P106">
        <v>8</v>
      </c>
      <c r="Q106">
        <v>8</v>
      </c>
      <c r="R106">
        <v>0</v>
      </c>
      <c r="S106">
        <v>9</v>
      </c>
      <c r="T106">
        <v>8</v>
      </c>
      <c r="U106">
        <v>1</v>
      </c>
      <c r="V106">
        <v>8</v>
      </c>
      <c r="W106">
        <v>9</v>
      </c>
      <c r="X106">
        <v>-1</v>
      </c>
      <c r="Y106">
        <v>9</v>
      </c>
      <c r="Z106">
        <v>9</v>
      </c>
      <c r="AA106">
        <v>0</v>
      </c>
      <c r="AB106">
        <v>7</v>
      </c>
      <c r="AC106">
        <v>8</v>
      </c>
      <c r="AD106">
        <v>-1</v>
      </c>
      <c r="AE106">
        <v>9</v>
      </c>
      <c r="AF106">
        <v>6</v>
      </c>
      <c r="AG106">
        <v>3</v>
      </c>
      <c r="AH106">
        <v>8</v>
      </c>
      <c r="AI106">
        <v>9</v>
      </c>
      <c r="AJ106">
        <v>-1</v>
      </c>
      <c r="AK106" t="s">
        <v>1523</v>
      </c>
      <c r="AL106" t="s">
        <v>1524</v>
      </c>
      <c r="AM106" t="s">
        <v>1525</v>
      </c>
      <c r="AN106" t="s">
        <v>1526</v>
      </c>
      <c r="AO106" t="s">
        <v>1527</v>
      </c>
      <c r="AP106" t="s">
        <v>1528</v>
      </c>
      <c r="AQ106" t="s">
        <v>1529</v>
      </c>
      <c r="AR106" t="s">
        <v>1530</v>
      </c>
      <c r="AS106" t="s">
        <v>1531</v>
      </c>
    </row>
    <row r="107" spans="1:45" x14ac:dyDescent="0.45">
      <c r="A107">
        <v>106</v>
      </c>
      <c r="B107">
        <v>147</v>
      </c>
      <c r="C107" t="s">
        <v>72</v>
      </c>
      <c r="D107" t="s">
        <v>81</v>
      </c>
      <c r="E107" t="s">
        <v>74</v>
      </c>
      <c r="F107" t="s">
        <v>77</v>
      </c>
      <c r="G107" t="s">
        <v>76</v>
      </c>
      <c r="H107">
        <v>12</v>
      </c>
      <c r="I107">
        <v>0</v>
      </c>
      <c r="J107">
        <v>7</v>
      </c>
      <c r="K107">
        <v>10</v>
      </c>
      <c r="L107">
        <v>-3</v>
      </c>
      <c r="M107">
        <v>7</v>
      </c>
      <c r="N107">
        <v>5</v>
      </c>
      <c r="O107">
        <v>2</v>
      </c>
      <c r="P107">
        <v>9</v>
      </c>
      <c r="Q107">
        <v>8</v>
      </c>
      <c r="R107">
        <v>1</v>
      </c>
      <c r="S107">
        <v>9</v>
      </c>
      <c r="T107">
        <v>8</v>
      </c>
      <c r="U107">
        <v>1</v>
      </c>
      <c r="V107">
        <v>7</v>
      </c>
      <c r="W107">
        <v>10</v>
      </c>
      <c r="X107">
        <v>-3</v>
      </c>
      <c r="Y107">
        <v>9</v>
      </c>
      <c r="Z107">
        <v>10</v>
      </c>
      <c r="AA107">
        <v>-1</v>
      </c>
      <c r="AB107">
        <v>7</v>
      </c>
      <c r="AC107">
        <v>10</v>
      </c>
      <c r="AD107">
        <v>-3</v>
      </c>
      <c r="AE107">
        <v>8</v>
      </c>
      <c r="AF107">
        <v>10</v>
      </c>
      <c r="AG107">
        <v>-2</v>
      </c>
      <c r="AH107">
        <v>8</v>
      </c>
      <c r="AI107">
        <v>10</v>
      </c>
      <c r="AJ107">
        <v>-2</v>
      </c>
      <c r="AK107" t="s">
        <v>414</v>
      </c>
      <c r="AL107" t="s">
        <v>415</v>
      </c>
      <c r="AM107" t="s">
        <v>416</v>
      </c>
      <c r="AN107" t="s">
        <v>417</v>
      </c>
      <c r="AO107" t="s">
        <v>418</v>
      </c>
      <c r="AP107" t="s">
        <v>419</v>
      </c>
      <c r="AQ107" t="s">
        <v>420</v>
      </c>
      <c r="AR107" t="s">
        <v>421</v>
      </c>
      <c r="AS107" t="s">
        <v>422</v>
      </c>
    </row>
    <row r="108" spans="1:45" x14ac:dyDescent="0.45">
      <c r="A108">
        <v>107</v>
      </c>
      <c r="B108">
        <v>148</v>
      </c>
      <c r="C108" t="s">
        <v>72</v>
      </c>
      <c r="D108" t="s">
        <v>79</v>
      </c>
      <c r="E108" t="s">
        <v>74</v>
      </c>
      <c r="F108" t="s">
        <v>77</v>
      </c>
      <c r="G108" t="s">
        <v>76</v>
      </c>
      <c r="H108">
        <v>29.307649563470548</v>
      </c>
      <c r="I108">
        <v>1</v>
      </c>
      <c r="J108">
        <v>8</v>
      </c>
      <c r="K108">
        <v>7</v>
      </c>
      <c r="L108">
        <v>1</v>
      </c>
      <c r="M108">
        <v>7</v>
      </c>
      <c r="N108">
        <v>7</v>
      </c>
      <c r="O108">
        <v>0</v>
      </c>
      <c r="P108">
        <v>9</v>
      </c>
      <c r="Q108">
        <v>7</v>
      </c>
      <c r="R108">
        <v>2</v>
      </c>
      <c r="S108">
        <v>8</v>
      </c>
      <c r="T108">
        <v>7</v>
      </c>
      <c r="U108">
        <v>1</v>
      </c>
      <c r="V108">
        <v>9</v>
      </c>
      <c r="W108">
        <v>7</v>
      </c>
      <c r="X108">
        <v>2</v>
      </c>
      <c r="Y108">
        <v>8</v>
      </c>
      <c r="Z108">
        <v>7</v>
      </c>
      <c r="AA108">
        <v>1</v>
      </c>
      <c r="AB108">
        <v>7</v>
      </c>
      <c r="AC108">
        <v>7</v>
      </c>
      <c r="AD108">
        <v>0</v>
      </c>
      <c r="AE108">
        <v>8</v>
      </c>
      <c r="AF108">
        <v>7</v>
      </c>
      <c r="AG108">
        <v>1</v>
      </c>
      <c r="AH108">
        <v>9</v>
      </c>
      <c r="AI108">
        <v>8</v>
      </c>
      <c r="AJ108">
        <v>1</v>
      </c>
      <c r="AK108" t="s">
        <v>1532</v>
      </c>
      <c r="AL108" t="s">
        <v>1533</v>
      </c>
      <c r="AM108" t="s">
        <v>1534</v>
      </c>
      <c r="AN108" t="s">
        <v>1535</v>
      </c>
      <c r="AO108" t="s">
        <v>1536</v>
      </c>
      <c r="AP108" t="s">
        <v>1537</v>
      </c>
      <c r="AQ108" t="s">
        <v>1538</v>
      </c>
      <c r="AR108" t="s">
        <v>1539</v>
      </c>
      <c r="AS108" t="s">
        <v>1540</v>
      </c>
    </row>
    <row r="109" spans="1:45" x14ac:dyDescent="0.45">
      <c r="A109">
        <v>108</v>
      </c>
      <c r="B109">
        <v>149</v>
      </c>
      <c r="C109" t="s">
        <v>72</v>
      </c>
      <c r="D109" t="s">
        <v>79</v>
      </c>
      <c r="E109" t="s">
        <v>74</v>
      </c>
      <c r="F109" t="s">
        <v>77</v>
      </c>
      <c r="G109" t="s">
        <v>76</v>
      </c>
      <c r="H109">
        <v>14.189068614330749</v>
      </c>
      <c r="I109">
        <v>1</v>
      </c>
      <c r="J109">
        <v>7</v>
      </c>
      <c r="K109">
        <v>5</v>
      </c>
      <c r="L109">
        <v>2</v>
      </c>
      <c r="M109">
        <v>8</v>
      </c>
      <c r="N109">
        <v>10</v>
      </c>
      <c r="O109">
        <v>-2</v>
      </c>
      <c r="P109">
        <v>9</v>
      </c>
      <c r="Q109">
        <v>5</v>
      </c>
      <c r="R109">
        <v>4</v>
      </c>
      <c r="S109">
        <v>9</v>
      </c>
      <c r="T109">
        <v>5</v>
      </c>
      <c r="U109">
        <v>4</v>
      </c>
      <c r="V109">
        <v>8</v>
      </c>
      <c r="W109">
        <v>5</v>
      </c>
      <c r="X109">
        <v>3</v>
      </c>
      <c r="Y109">
        <v>9</v>
      </c>
      <c r="Z109">
        <v>5</v>
      </c>
      <c r="AA109">
        <v>4</v>
      </c>
      <c r="AB109">
        <v>8</v>
      </c>
      <c r="AC109">
        <v>8</v>
      </c>
      <c r="AD109">
        <v>0</v>
      </c>
      <c r="AE109">
        <v>9</v>
      </c>
      <c r="AF109">
        <v>5</v>
      </c>
      <c r="AG109">
        <v>4</v>
      </c>
      <c r="AH109">
        <v>10</v>
      </c>
      <c r="AI109">
        <v>6</v>
      </c>
      <c r="AJ109">
        <v>4</v>
      </c>
      <c r="AK109" t="s">
        <v>1541</v>
      </c>
      <c r="AL109" t="s">
        <v>1542</v>
      </c>
      <c r="AM109" t="s">
        <v>1543</v>
      </c>
      <c r="AN109" t="s">
        <v>1544</v>
      </c>
      <c r="AO109" t="s">
        <v>1545</v>
      </c>
      <c r="AP109" t="s">
        <v>1546</v>
      </c>
      <c r="AQ109" t="s">
        <v>1547</v>
      </c>
      <c r="AR109" t="s">
        <v>1548</v>
      </c>
      <c r="AS109" t="s">
        <v>1549</v>
      </c>
    </row>
    <row r="110" spans="1:45" x14ac:dyDescent="0.45">
      <c r="A110">
        <v>109</v>
      </c>
      <c r="B110">
        <v>150</v>
      </c>
      <c r="C110" t="s">
        <v>72</v>
      </c>
      <c r="D110" t="s">
        <v>79</v>
      </c>
      <c r="E110" t="s">
        <v>74</v>
      </c>
      <c r="F110" t="s">
        <v>77</v>
      </c>
      <c r="G110" t="s">
        <v>76</v>
      </c>
      <c r="H110">
        <v>14.500927436212084</v>
      </c>
      <c r="I110">
        <v>1</v>
      </c>
      <c r="J110">
        <v>8</v>
      </c>
      <c r="K110">
        <v>10</v>
      </c>
      <c r="L110">
        <v>-2</v>
      </c>
      <c r="M110">
        <v>7</v>
      </c>
      <c r="N110">
        <v>10</v>
      </c>
      <c r="O110">
        <v>-3</v>
      </c>
      <c r="P110">
        <v>9</v>
      </c>
      <c r="Q110">
        <v>10</v>
      </c>
      <c r="R110">
        <v>-1</v>
      </c>
      <c r="S110">
        <v>9</v>
      </c>
      <c r="T110">
        <v>10</v>
      </c>
      <c r="U110">
        <v>-1</v>
      </c>
      <c r="V110">
        <v>8</v>
      </c>
      <c r="W110">
        <v>10</v>
      </c>
      <c r="X110">
        <v>-2</v>
      </c>
      <c r="Y110">
        <v>9</v>
      </c>
      <c r="Z110">
        <v>10</v>
      </c>
      <c r="AA110">
        <v>-1</v>
      </c>
      <c r="AB110">
        <v>8</v>
      </c>
      <c r="AC110">
        <v>10</v>
      </c>
      <c r="AD110">
        <v>-2</v>
      </c>
      <c r="AE110">
        <v>9</v>
      </c>
      <c r="AF110">
        <v>10</v>
      </c>
      <c r="AG110">
        <v>-1</v>
      </c>
      <c r="AH110">
        <v>8</v>
      </c>
      <c r="AI110">
        <v>10</v>
      </c>
      <c r="AJ110">
        <v>-2</v>
      </c>
      <c r="AK110" t="s">
        <v>1550</v>
      </c>
      <c r="AL110" t="s">
        <v>1551</v>
      </c>
      <c r="AM110" t="s">
        <v>1552</v>
      </c>
      <c r="AN110" t="s">
        <v>1553</v>
      </c>
      <c r="AO110" t="s">
        <v>1554</v>
      </c>
      <c r="AP110" t="s">
        <v>1555</v>
      </c>
      <c r="AQ110" t="s">
        <v>1556</v>
      </c>
      <c r="AR110" t="s">
        <v>1557</v>
      </c>
      <c r="AS110" t="s">
        <v>1558</v>
      </c>
    </row>
    <row r="111" spans="1:45" x14ac:dyDescent="0.45">
      <c r="A111">
        <v>110</v>
      </c>
      <c r="B111">
        <v>151</v>
      </c>
      <c r="C111" t="s">
        <v>78</v>
      </c>
      <c r="D111" t="s">
        <v>73</v>
      </c>
      <c r="E111" t="s">
        <v>74</v>
      </c>
      <c r="F111" t="s">
        <v>77</v>
      </c>
      <c r="G111" t="s">
        <v>76</v>
      </c>
      <c r="H111">
        <v>66.698083237342587</v>
      </c>
      <c r="I111">
        <v>2</v>
      </c>
      <c r="J111">
        <v>8</v>
      </c>
      <c r="K111">
        <v>7</v>
      </c>
      <c r="L111">
        <v>1</v>
      </c>
      <c r="M111">
        <v>9</v>
      </c>
      <c r="N111">
        <v>6</v>
      </c>
      <c r="O111">
        <v>3</v>
      </c>
      <c r="P111">
        <v>8</v>
      </c>
      <c r="Q111">
        <v>8</v>
      </c>
      <c r="R111">
        <v>0</v>
      </c>
      <c r="S111">
        <v>9</v>
      </c>
      <c r="T111">
        <v>8</v>
      </c>
      <c r="U111">
        <v>1</v>
      </c>
      <c r="V111">
        <v>8</v>
      </c>
      <c r="W111">
        <v>7</v>
      </c>
      <c r="X111">
        <v>1</v>
      </c>
      <c r="Y111">
        <v>9</v>
      </c>
      <c r="Z111">
        <v>6</v>
      </c>
      <c r="AA111">
        <v>3</v>
      </c>
      <c r="AB111">
        <v>8</v>
      </c>
      <c r="AC111">
        <v>5</v>
      </c>
      <c r="AD111">
        <v>3</v>
      </c>
      <c r="AE111">
        <v>9</v>
      </c>
      <c r="AF111">
        <v>5</v>
      </c>
      <c r="AG111">
        <v>4</v>
      </c>
      <c r="AH111">
        <v>8</v>
      </c>
      <c r="AI111">
        <v>8</v>
      </c>
      <c r="AJ111">
        <v>0</v>
      </c>
      <c r="AK111" t="s">
        <v>1559</v>
      </c>
      <c r="AL111" t="s">
        <v>1560</v>
      </c>
      <c r="AM111" t="s">
        <v>1561</v>
      </c>
      <c r="AN111" t="s">
        <v>1562</v>
      </c>
      <c r="AO111" t="s">
        <v>1563</v>
      </c>
      <c r="AP111" t="s">
        <v>1564</v>
      </c>
      <c r="AQ111" t="s">
        <v>1565</v>
      </c>
      <c r="AR111" t="s">
        <v>1566</v>
      </c>
      <c r="AS111" t="s">
        <v>1567</v>
      </c>
    </row>
    <row r="112" spans="1:45" x14ac:dyDescent="0.45">
      <c r="A112">
        <v>111</v>
      </c>
      <c r="B112">
        <v>152</v>
      </c>
      <c r="C112" t="s">
        <v>78</v>
      </c>
      <c r="D112" t="s">
        <v>191</v>
      </c>
      <c r="E112" t="s">
        <v>74</v>
      </c>
      <c r="F112" t="s">
        <v>77</v>
      </c>
      <c r="G112" t="s">
        <v>76</v>
      </c>
      <c r="H112">
        <v>23.132941615936844</v>
      </c>
      <c r="I112">
        <v>1</v>
      </c>
      <c r="J112">
        <v>8</v>
      </c>
      <c r="K112">
        <v>8</v>
      </c>
      <c r="L112">
        <v>0</v>
      </c>
      <c r="M112">
        <v>9</v>
      </c>
      <c r="N112">
        <v>8</v>
      </c>
      <c r="O112">
        <v>1</v>
      </c>
      <c r="P112">
        <v>8</v>
      </c>
      <c r="Q112">
        <v>6</v>
      </c>
      <c r="R112">
        <v>2</v>
      </c>
      <c r="S112">
        <v>9</v>
      </c>
      <c r="T112">
        <v>7</v>
      </c>
      <c r="U112">
        <v>2</v>
      </c>
      <c r="V112">
        <v>8</v>
      </c>
      <c r="W112">
        <v>6</v>
      </c>
      <c r="X112">
        <v>2</v>
      </c>
      <c r="Y112">
        <v>9</v>
      </c>
      <c r="Z112">
        <v>7</v>
      </c>
      <c r="AA112">
        <v>2</v>
      </c>
      <c r="AB112">
        <v>8</v>
      </c>
      <c r="AC112">
        <v>5</v>
      </c>
      <c r="AD112">
        <v>3</v>
      </c>
      <c r="AE112">
        <v>7</v>
      </c>
      <c r="AF112">
        <v>5</v>
      </c>
      <c r="AG112">
        <v>2</v>
      </c>
      <c r="AH112">
        <v>9</v>
      </c>
      <c r="AI112">
        <v>5</v>
      </c>
      <c r="AJ112">
        <v>4</v>
      </c>
      <c r="AK112" t="s">
        <v>1568</v>
      </c>
      <c r="AL112" t="s">
        <v>1569</v>
      </c>
      <c r="AM112" t="s">
        <v>1570</v>
      </c>
      <c r="AN112" t="s">
        <v>1571</v>
      </c>
      <c r="AO112" t="s">
        <v>1572</v>
      </c>
      <c r="AP112" t="s">
        <v>1573</v>
      </c>
      <c r="AQ112" t="s">
        <v>1574</v>
      </c>
      <c r="AR112" t="s">
        <v>1575</v>
      </c>
      <c r="AS112" t="s">
        <v>1576</v>
      </c>
    </row>
    <row r="113" spans="1:45" x14ac:dyDescent="0.45">
      <c r="A113">
        <v>112</v>
      </c>
      <c r="B113">
        <v>153</v>
      </c>
      <c r="C113" t="s">
        <v>72</v>
      </c>
      <c r="D113" t="s">
        <v>79</v>
      </c>
      <c r="E113" t="s">
        <v>74</v>
      </c>
      <c r="F113" t="s">
        <v>77</v>
      </c>
      <c r="G113" t="s">
        <v>76</v>
      </c>
      <c r="H113">
        <v>19.43793787470544</v>
      </c>
      <c r="I113">
        <v>2</v>
      </c>
      <c r="J113">
        <v>8</v>
      </c>
      <c r="K113">
        <v>7</v>
      </c>
      <c r="L113">
        <v>1</v>
      </c>
      <c r="M113">
        <v>7</v>
      </c>
      <c r="N113">
        <v>8</v>
      </c>
      <c r="O113">
        <v>-1</v>
      </c>
      <c r="P113">
        <v>9</v>
      </c>
      <c r="Q113">
        <v>8</v>
      </c>
      <c r="R113">
        <v>1</v>
      </c>
      <c r="S113">
        <v>9</v>
      </c>
      <c r="T113">
        <v>8</v>
      </c>
      <c r="U113">
        <v>1</v>
      </c>
      <c r="V113">
        <v>7</v>
      </c>
      <c r="W113">
        <v>8</v>
      </c>
      <c r="X113">
        <v>-1</v>
      </c>
      <c r="Y113">
        <v>9</v>
      </c>
      <c r="Z113">
        <v>8</v>
      </c>
      <c r="AA113">
        <v>1</v>
      </c>
      <c r="AB113">
        <v>6</v>
      </c>
      <c r="AC113">
        <v>8</v>
      </c>
      <c r="AD113">
        <v>-2</v>
      </c>
      <c r="AE113">
        <v>8</v>
      </c>
      <c r="AF113">
        <v>8</v>
      </c>
      <c r="AG113">
        <v>0</v>
      </c>
      <c r="AH113">
        <v>9</v>
      </c>
      <c r="AI113">
        <v>8</v>
      </c>
      <c r="AJ113">
        <v>1</v>
      </c>
      <c r="AK113" t="s">
        <v>1577</v>
      </c>
      <c r="AL113" t="s">
        <v>1578</v>
      </c>
      <c r="AM113" t="s">
        <v>1579</v>
      </c>
      <c r="AN113" t="s">
        <v>1580</v>
      </c>
      <c r="AO113" t="s">
        <v>1581</v>
      </c>
      <c r="AP113" t="s">
        <v>1582</v>
      </c>
      <c r="AQ113" t="s">
        <v>1583</v>
      </c>
      <c r="AR113" t="s">
        <v>1584</v>
      </c>
      <c r="AS113" t="s">
        <v>1585</v>
      </c>
    </row>
    <row r="114" spans="1:45" x14ac:dyDescent="0.45">
      <c r="A114">
        <v>113</v>
      </c>
      <c r="B114">
        <v>154</v>
      </c>
      <c r="C114" t="s">
        <v>72</v>
      </c>
      <c r="D114" t="s">
        <v>73</v>
      </c>
      <c r="E114" t="s">
        <v>74</v>
      </c>
      <c r="F114" t="s">
        <v>77</v>
      </c>
      <c r="G114" t="s">
        <v>76</v>
      </c>
      <c r="H114">
        <v>12</v>
      </c>
      <c r="I114">
        <v>3</v>
      </c>
      <c r="J114">
        <v>9</v>
      </c>
      <c r="K114">
        <v>1</v>
      </c>
      <c r="L114">
        <v>8</v>
      </c>
      <c r="M114">
        <v>8</v>
      </c>
      <c r="N114">
        <v>1</v>
      </c>
      <c r="O114">
        <v>7</v>
      </c>
      <c r="P114">
        <v>7</v>
      </c>
      <c r="Q114">
        <v>1</v>
      </c>
      <c r="R114">
        <v>6</v>
      </c>
      <c r="S114">
        <v>8</v>
      </c>
      <c r="T114">
        <v>1</v>
      </c>
      <c r="U114">
        <v>7</v>
      </c>
      <c r="V114">
        <v>9</v>
      </c>
      <c r="W114">
        <v>1</v>
      </c>
      <c r="X114">
        <v>8</v>
      </c>
      <c r="Y114">
        <v>8</v>
      </c>
      <c r="Z114">
        <v>1</v>
      </c>
      <c r="AA114">
        <v>7</v>
      </c>
      <c r="AB114">
        <v>9</v>
      </c>
      <c r="AC114">
        <v>1</v>
      </c>
      <c r="AD114">
        <v>8</v>
      </c>
      <c r="AE114">
        <v>8</v>
      </c>
      <c r="AF114">
        <v>1</v>
      </c>
      <c r="AG114">
        <v>7</v>
      </c>
      <c r="AH114">
        <v>9</v>
      </c>
      <c r="AI114">
        <v>1</v>
      </c>
      <c r="AJ114">
        <v>8</v>
      </c>
      <c r="AK114" t="s">
        <v>423</v>
      </c>
      <c r="AL114" t="s">
        <v>424</v>
      </c>
      <c r="AM114" t="s">
        <v>425</v>
      </c>
      <c r="AN114" t="s">
        <v>426</v>
      </c>
      <c r="AO114" t="s">
        <v>427</v>
      </c>
      <c r="AP114" t="s">
        <v>428</v>
      </c>
      <c r="AQ114" t="s">
        <v>429</v>
      </c>
      <c r="AR114" t="s">
        <v>430</v>
      </c>
      <c r="AS114" t="s">
        <v>431</v>
      </c>
    </row>
    <row r="115" spans="1:45" x14ac:dyDescent="0.45">
      <c r="A115">
        <v>114</v>
      </c>
      <c r="B115">
        <v>155</v>
      </c>
      <c r="C115" t="s">
        <v>72</v>
      </c>
      <c r="D115" t="s">
        <v>79</v>
      </c>
      <c r="E115" t="s">
        <v>74</v>
      </c>
      <c r="F115" t="s">
        <v>77</v>
      </c>
      <c r="G115" t="s">
        <v>76</v>
      </c>
      <c r="H115">
        <v>19.551035595401128</v>
      </c>
      <c r="I115">
        <v>4</v>
      </c>
      <c r="J115">
        <v>8</v>
      </c>
      <c r="K115">
        <v>10</v>
      </c>
      <c r="L115">
        <v>-2</v>
      </c>
      <c r="M115">
        <v>7</v>
      </c>
      <c r="N115">
        <v>10</v>
      </c>
      <c r="O115">
        <v>-3</v>
      </c>
      <c r="P115">
        <v>9</v>
      </c>
      <c r="Q115">
        <v>10</v>
      </c>
      <c r="R115">
        <v>-1</v>
      </c>
      <c r="S115">
        <v>8</v>
      </c>
      <c r="T115">
        <v>10</v>
      </c>
      <c r="U115">
        <v>-2</v>
      </c>
      <c r="V115">
        <v>9</v>
      </c>
      <c r="W115">
        <v>10</v>
      </c>
      <c r="X115">
        <v>-1</v>
      </c>
      <c r="Y115">
        <v>8</v>
      </c>
      <c r="Z115">
        <v>10</v>
      </c>
      <c r="AA115">
        <v>-2</v>
      </c>
      <c r="AB115">
        <v>9</v>
      </c>
      <c r="AC115">
        <v>10</v>
      </c>
      <c r="AD115">
        <v>-1</v>
      </c>
      <c r="AE115">
        <v>8</v>
      </c>
      <c r="AF115">
        <v>10</v>
      </c>
      <c r="AG115">
        <v>-2</v>
      </c>
      <c r="AH115">
        <v>10</v>
      </c>
      <c r="AI115">
        <v>10</v>
      </c>
      <c r="AJ115">
        <v>0</v>
      </c>
      <c r="AK115" t="s">
        <v>1586</v>
      </c>
      <c r="AL115" t="s">
        <v>1587</v>
      </c>
      <c r="AM115" t="s">
        <v>1588</v>
      </c>
      <c r="AN115" t="s">
        <v>1589</v>
      </c>
      <c r="AO115" t="s">
        <v>1590</v>
      </c>
      <c r="AP115" t="s">
        <v>1591</v>
      </c>
      <c r="AQ115" t="s">
        <v>1592</v>
      </c>
      <c r="AR115" t="s">
        <v>1593</v>
      </c>
      <c r="AS115" t="s">
        <v>1594</v>
      </c>
    </row>
    <row r="116" spans="1:45" x14ac:dyDescent="0.45">
      <c r="A116">
        <v>115</v>
      </c>
      <c r="B116">
        <v>156</v>
      </c>
      <c r="C116" t="s">
        <v>72</v>
      </c>
      <c r="D116" t="s">
        <v>79</v>
      </c>
      <c r="E116" t="s">
        <v>74</v>
      </c>
      <c r="F116" t="s">
        <v>75</v>
      </c>
      <c r="G116" t="s">
        <v>76</v>
      </c>
      <c r="H116">
        <v>12.25852098708115</v>
      </c>
      <c r="I116">
        <v>4</v>
      </c>
      <c r="J116">
        <v>7</v>
      </c>
      <c r="K116">
        <v>1</v>
      </c>
      <c r="L116">
        <v>6</v>
      </c>
      <c r="M116">
        <v>8</v>
      </c>
      <c r="N116">
        <v>1</v>
      </c>
      <c r="O116">
        <v>7</v>
      </c>
      <c r="P116">
        <v>7</v>
      </c>
      <c r="Q116">
        <v>1</v>
      </c>
      <c r="R116">
        <v>6</v>
      </c>
      <c r="S116">
        <v>9</v>
      </c>
      <c r="T116">
        <v>1</v>
      </c>
      <c r="U116">
        <v>8</v>
      </c>
      <c r="V116">
        <v>8</v>
      </c>
      <c r="W116">
        <v>1</v>
      </c>
      <c r="X116">
        <v>7</v>
      </c>
      <c r="Y116">
        <v>9</v>
      </c>
      <c r="Z116">
        <v>1</v>
      </c>
      <c r="AA116">
        <v>8</v>
      </c>
      <c r="AB116">
        <v>8</v>
      </c>
      <c r="AC116">
        <v>1</v>
      </c>
      <c r="AD116">
        <v>7</v>
      </c>
      <c r="AE116">
        <v>9</v>
      </c>
      <c r="AF116">
        <v>1</v>
      </c>
      <c r="AG116">
        <v>8</v>
      </c>
      <c r="AH116">
        <v>9</v>
      </c>
      <c r="AI116">
        <v>1</v>
      </c>
      <c r="AJ116">
        <v>8</v>
      </c>
      <c r="AK116" t="s">
        <v>1595</v>
      </c>
      <c r="AL116" t="s">
        <v>1596</v>
      </c>
      <c r="AM116" t="s">
        <v>1597</v>
      </c>
      <c r="AN116" t="s">
        <v>1598</v>
      </c>
      <c r="AO116" t="s">
        <v>1599</v>
      </c>
      <c r="AP116" t="s">
        <v>1600</v>
      </c>
      <c r="AQ116" t="s">
        <v>1601</v>
      </c>
      <c r="AR116" t="s">
        <v>1602</v>
      </c>
      <c r="AS116" t="s">
        <v>1603</v>
      </c>
    </row>
    <row r="117" spans="1:45" x14ac:dyDescent="0.45">
      <c r="A117">
        <v>116</v>
      </c>
      <c r="B117">
        <v>157</v>
      </c>
      <c r="C117" t="s">
        <v>72</v>
      </c>
      <c r="D117" t="s">
        <v>79</v>
      </c>
      <c r="E117" t="s">
        <v>74</v>
      </c>
      <c r="F117" t="s">
        <v>75</v>
      </c>
      <c r="G117" t="s">
        <v>76</v>
      </c>
      <c r="H117">
        <v>14.926006526185645</v>
      </c>
      <c r="I117">
        <v>0</v>
      </c>
      <c r="J117">
        <v>6</v>
      </c>
      <c r="K117">
        <v>9</v>
      </c>
      <c r="L117">
        <v>-3</v>
      </c>
      <c r="M117">
        <v>6</v>
      </c>
      <c r="N117">
        <v>9</v>
      </c>
      <c r="O117">
        <v>-3</v>
      </c>
      <c r="P117">
        <v>9</v>
      </c>
      <c r="Q117">
        <v>9</v>
      </c>
      <c r="R117">
        <v>0</v>
      </c>
      <c r="S117">
        <v>8</v>
      </c>
      <c r="T117">
        <v>9</v>
      </c>
      <c r="U117">
        <v>-1</v>
      </c>
      <c r="V117">
        <v>9</v>
      </c>
      <c r="W117">
        <v>9</v>
      </c>
      <c r="X117">
        <v>0</v>
      </c>
      <c r="Y117">
        <v>8</v>
      </c>
      <c r="Z117">
        <v>9</v>
      </c>
      <c r="AA117">
        <v>-1</v>
      </c>
      <c r="AB117">
        <v>9</v>
      </c>
      <c r="AC117">
        <v>9</v>
      </c>
      <c r="AD117">
        <v>0</v>
      </c>
      <c r="AE117">
        <v>8</v>
      </c>
      <c r="AF117">
        <v>8</v>
      </c>
      <c r="AG117">
        <v>0</v>
      </c>
      <c r="AH117">
        <v>9</v>
      </c>
      <c r="AI117">
        <v>9</v>
      </c>
      <c r="AJ117">
        <v>0</v>
      </c>
      <c r="AK117" t="s">
        <v>1604</v>
      </c>
      <c r="AL117" t="s">
        <v>1605</v>
      </c>
      <c r="AM117" t="s">
        <v>1606</v>
      </c>
      <c r="AN117" t="s">
        <v>1607</v>
      </c>
      <c r="AO117" t="s">
        <v>1608</v>
      </c>
      <c r="AP117" t="s">
        <v>1609</v>
      </c>
      <c r="AQ117" t="s">
        <v>1610</v>
      </c>
      <c r="AR117" t="s">
        <v>1611</v>
      </c>
      <c r="AS117" t="s">
        <v>1612</v>
      </c>
    </row>
    <row r="118" spans="1:45" x14ac:dyDescent="0.45">
      <c r="A118">
        <v>117</v>
      </c>
      <c r="B118">
        <v>158</v>
      </c>
      <c r="C118" t="s">
        <v>72</v>
      </c>
      <c r="D118" t="s">
        <v>79</v>
      </c>
      <c r="E118" t="s">
        <v>74</v>
      </c>
      <c r="F118" t="s">
        <v>77</v>
      </c>
      <c r="G118" t="s">
        <v>76</v>
      </c>
      <c r="H118">
        <v>54.357397999614605</v>
      </c>
      <c r="I118">
        <v>0</v>
      </c>
      <c r="J118">
        <v>9</v>
      </c>
      <c r="K118">
        <v>8</v>
      </c>
      <c r="L118">
        <v>1</v>
      </c>
      <c r="M118">
        <v>8</v>
      </c>
      <c r="N118">
        <v>9</v>
      </c>
      <c r="O118">
        <v>-1</v>
      </c>
      <c r="P118">
        <v>8</v>
      </c>
      <c r="Q118">
        <v>8</v>
      </c>
      <c r="R118">
        <v>0</v>
      </c>
      <c r="S118">
        <v>9</v>
      </c>
      <c r="T118">
        <v>6</v>
      </c>
      <c r="U118">
        <v>3</v>
      </c>
      <c r="V118">
        <v>9</v>
      </c>
      <c r="W118">
        <v>8</v>
      </c>
      <c r="X118">
        <v>1</v>
      </c>
      <c r="Y118">
        <v>8</v>
      </c>
      <c r="Z118">
        <v>8</v>
      </c>
      <c r="AA118">
        <v>0</v>
      </c>
      <c r="AB118">
        <v>9</v>
      </c>
      <c r="AC118">
        <v>8</v>
      </c>
      <c r="AD118">
        <v>1</v>
      </c>
      <c r="AE118">
        <v>8</v>
      </c>
      <c r="AF118">
        <v>8</v>
      </c>
      <c r="AG118">
        <v>0</v>
      </c>
      <c r="AH118">
        <v>9</v>
      </c>
      <c r="AI118">
        <v>6</v>
      </c>
      <c r="AJ118">
        <v>3</v>
      </c>
      <c r="AK118" t="s">
        <v>744</v>
      </c>
      <c r="AL118" t="s">
        <v>745</v>
      </c>
      <c r="AM118" t="s">
        <v>1613</v>
      </c>
      <c r="AN118" t="s">
        <v>1614</v>
      </c>
      <c r="AO118" t="s">
        <v>1615</v>
      </c>
      <c r="AP118" t="s">
        <v>1616</v>
      </c>
      <c r="AQ118" t="s">
        <v>1617</v>
      </c>
      <c r="AR118" t="s">
        <v>1618</v>
      </c>
      <c r="AS118" t="s">
        <v>1619</v>
      </c>
    </row>
    <row r="119" spans="1:45" x14ac:dyDescent="0.45">
      <c r="A119">
        <v>118</v>
      </c>
      <c r="B119">
        <v>159</v>
      </c>
      <c r="C119" t="s">
        <v>78</v>
      </c>
      <c r="D119" t="s">
        <v>73</v>
      </c>
      <c r="E119" t="s">
        <v>74</v>
      </c>
      <c r="F119" t="s">
        <v>75</v>
      </c>
      <c r="G119" t="s">
        <v>76</v>
      </c>
      <c r="H119">
        <v>35.067836146928116</v>
      </c>
      <c r="I119">
        <v>1</v>
      </c>
      <c r="J119">
        <v>5</v>
      </c>
      <c r="K119">
        <v>4</v>
      </c>
      <c r="L119">
        <v>1</v>
      </c>
      <c r="M119">
        <v>6</v>
      </c>
      <c r="N119">
        <v>1</v>
      </c>
      <c r="O119">
        <v>5</v>
      </c>
      <c r="P119">
        <v>8</v>
      </c>
      <c r="Q119">
        <v>1</v>
      </c>
      <c r="R119">
        <v>7</v>
      </c>
      <c r="S119">
        <v>9</v>
      </c>
      <c r="T119">
        <v>5</v>
      </c>
      <c r="U119">
        <v>4</v>
      </c>
      <c r="V119">
        <v>7</v>
      </c>
      <c r="W119">
        <v>1</v>
      </c>
      <c r="X119">
        <v>6</v>
      </c>
      <c r="Y119">
        <v>8</v>
      </c>
      <c r="Z119">
        <v>3</v>
      </c>
      <c r="AA119">
        <v>5</v>
      </c>
      <c r="AB119">
        <v>7</v>
      </c>
      <c r="AC119">
        <v>1</v>
      </c>
      <c r="AD119">
        <v>6</v>
      </c>
      <c r="AE119">
        <v>8</v>
      </c>
      <c r="AF119">
        <v>1</v>
      </c>
      <c r="AG119">
        <v>7</v>
      </c>
      <c r="AH119">
        <v>7</v>
      </c>
      <c r="AI119">
        <v>5</v>
      </c>
      <c r="AJ119">
        <v>2</v>
      </c>
      <c r="AK119" t="s">
        <v>746</v>
      </c>
      <c r="AL119" t="s">
        <v>1620</v>
      </c>
      <c r="AM119" t="s">
        <v>1621</v>
      </c>
      <c r="AN119" t="s">
        <v>1622</v>
      </c>
      <c r="AO119" t="s">
        <v>1623</v>
      </c>
      <c r="AP119" t="s">
        <v>1624</v>
      </c>
      <c r="AQ119" t="s">
        <v>1625</v>
      </c>
      <c r="AR119" t="s">
        <v>1626</v>
      </c>
      <c r="AS119" t="s">
        <v>1627</v>
      </c>
    </row>
    <row r="120" spans="1:45" x14ac:dyDescent="0.45">
      <c r="A120">
        <v>119</v>
      </c>
      <c r="B120">
        <v>160</v>
      </c>
      <c r="C120" t="s">
        <v>72</v>
      </c>
      <c r="D120" t="s">
        <v>193</v>
      </c>
      <c r="E120" t="s">
        <v>74</v>
      </c>
      <c r="F120" t="s">
        <v>77</v>
      </c>
      <c r="G120" t="s">
        <v>76</v>
      </c>
      <c r="H120">
        <v>64.115804334565809</v>
      </c>
      <c r="I120">
        <v>4</v>
      </c>
      <c r="J120">
        <v>8</v>
      </c>
      <c r="K120">
        <v>8</v>
      </c>
      <c r="L120">
        <v>0</v>
      </c>
      <c r="M120">
        <v>7</v>
      </c>
      <c r="N120">
        <v>8</v>
      </c>
      <c r="O120">
        <v>-1</v>
      </c>
      <c r="P120">
        <v>9</v>
      </c>
      <c r="Q120">
        <v>6</v>
      </c>
      <c r="R120">
        <v>3</v>
      </c>
      <c r="S120">
        <v>8</v>
      </c>
      <c r="T120">
        <v>9</v>
      </c>
      <c r="U120">
        <v>-1</v>
      </c>
      <c r="V120">
        <v>9</v>
      </c>
      <c r="W120">
        <v>8</v>
      </c>
      <c r="X120">
        <v>1</v>
      </c>
      <c r="Y120">
        <v>7</v>
      </c>
      <c r="Z120">
        <v>7</v>
      </c>
      <c r="AA120">
        <v>0</v>
      </c>
      <c r="AB120">
        <v>8</v>
      </c>
      <c r="AC120">
        <v>7</v>
      </c>
      <c r="AD120">
        <v>1</v>
      </c>
      <c r="AE120">
        <v>6</v>
      </c>
      <c r="AF120">
        <v>7</v>
      </c>
      <c r="AG120">
        <v>-1</v>
      </c>
      <c r="AH120">
        <v>8</v>
      </c>
      <c r="AI120">
        <v>7</v>
      </c>
      <c r="AJ120">
        <v>1</v>
      </c>
      <c r="AK120" t="s">
        <v>1628</v>
      </c>
      <c r="AL120" t="s">
        <v>1629</v>
      </c>
      <c r="AM120" t="s">
        <v>1630</v>
      </c>
      <c r="AN120" t="s">
        <v>1631</v>
      </c>
      <c r="AO120" t="s">
        <v>1632</v>
      </c>
      <c r="AP120" t="s">
        <v>1633</v>
      </c>
      <c r="AQ120" t="s">
        <v>1634</v>
      </c>
      <c r="AR120" t="s">
        <v>1635</v>
      </c>
      <c r="AS120" t="s">
        <v>1636</v>
      </c>
    </row>
    <row r="121" spans="1:45" x14ac:dyDescent="0.45">
      <c r="A121">
        <v>120</v>
      </c>
      <c r="B121">
        <v>161</v>
      </c>
      <c r="C121" t="s">
        <v>72</v>
      </c>
      <c r="D121" t="s">
        <v>79</v>
      </c>
      <c r="E121" t="s">
        <v>80</v>
      </c>
      <c r="F121" t="s">
        <v>77</v>
      </c>
      <c r="G121" t="s">
        <v>76</v>
      </c>
      <c r="H121">
        <v>25.663526697818767</v>
      </c>
      <c r="I121">
        <v>3</v>
      </c>
      <c r="J121">
        <v>7</v>
      </c>
      <c r="K121">
        <v>6</v>
      </c>
      <c r="L121">
        <v>1</v>
      </c>
      <c r="M121">
        <v>8</v>
      </c>
      <c r="N121">
        <v>6</v>
      </c>
      <c r="O121">
        <v>2</v>
      </c>
      <c r="P121">
        <v>9</v>
      </c>
      <c r="Q121">
        <v>6</v>
      </c>
      <c r="R121">
        <v>3</v>
      </c>
      <c r="S121">
        <v>9</v>
      </c>
      <c r="T121">
        <v>6</v>
      </c>
      <c r="U121">
        <v>3</v>
      </c>
      <c r="V121">
        <v>7</v>
      </c>
      <c r="W121">
        <v>6</v>
      </c>
      <c r="X121">
        <v>1</v>
      </c>
      <c r="Y121">
        <v>8</v>
      </c>
      <c r="Z121">
        <v>6</v>
      </c>
      <c r="AA121">
        <v>2</v>
      </c>
      <c r="AB121">
        <v>6</v>
      </c>
      <c r="AC121">
        <v>6</v>
      </c>
      <c r="AD121">
        <v>0</v>
      </c>
      <c r="AE121">
        <v>7</v>
      </c>
      <c r="AF121">
        <v>6</v>
      </c>
      <c r="AG121">
        <v>1</v>
      </c>
      <c r="AH121">
        <v>9</v>
      </c>
      <c r="AI121">
        <v>6</v>
      </c>
      <c r="AJ121">
        <v>3</v>
      </c>
      <c r="AK121" t="s">
        <v>1637</v>
      </c>
      <c r="AL121" t="s">
        <v>1638</v>
      </c>
      <c r="AM121" t="s">
        <v>1639</v>
      </c>
      <c r="AN121" t="s">
        <v>1640</v>
      </c>
      <c r="AO121" t="s">
        <v>1641</v>
      </c>
      <c r="AP121" t="s">
        <v>1642</v>
      </c>
      <c r="AQ121" t="s">
        <v>1643</v>
      </c>
      <c r="AR121" t="s">
        <v>1644</v>
      </c>
      <c r="AS121" t="s">
        <v>1645</v>
      </c>
    </row>
    <row r="122" spans="1:45" x14ac:dyDescent="0.45">
      <c r="A122">
        <v>121</v>
      </c>
      <c r="B122">
        <v>162</v>
      </c>
      <c r="C122" t="s">
        <v>78</v>
      </c>
      <c r="D122" t="s">
        <v>191</v>
      </c>
      <c r="E122" t="s">
        <v>74</v>
      </c>
      <c r="F122" t="s">
        <v>75</v>
      </c>
      <c r="G122" t="s">
        <v>162</v>
      </c>
      <c r="H122">
        <v>181.12453379527199</v>
      </c>
      <c r="I122">
        <v>4</v>
      </c>
      <c r="J122">
        <v>7</v>
      </c>
      <c r="K122">
        <v>1</v>
      </c>
      <c r="L122">
        <v>6</v>
      </c>
      <c r="M122">
        <v>8</v>
      </c>
      <c r="N122">
        <v>1</v>
      </c>
      <c r="O122">
        <v>7</v>
      </c>
      <c r="P122">
        <v>6</v>
      </c>
      <c r="Q122">
        <v>1</v>
      </c>
      <c r="R122">
        <v>5</v>
      </c>
      <c r="S122">
        <v>9</v>
      </c>
      <c r="T122">
        <v>5</v>
      </c>
      <c r="U122">
        <v>4</v>
      </c>
      <c r="V122">
        <v>7</v>
      </c>
      <c r="W122">
        <v>1</v>
      </c>
      <c r="X122">
        <v>6</v>
      </c>
      <c r="Y122">
        <v>8</v>
      </c>
      <c r="Z122">
        <v>1</v>
      </c>
      <c r="AA122">
        <v>7</v>
      </c>
      <c r="AB122">
        <v>7</v>
      </c>
      <c r="AC122">
        <v>1</v>
      </c>
      <c r="AD122">
        <v>6</v>
      </c>
      <c r="AE122">
        <v>6</v>
      </c>
      <c r="AF122">
        <v>1</v>
      </c>
      <c r="AG122">
        <v>5</v>
      </c>
      <c r="AH122">
        <v>9</v>
      </c>
      <c r="AI122">
        <v>5</v>
      </c>
      <c r="AJ122">
        <v>4</v>
      </c>
      <c r="AK122" t="s">
        <v>1646</v>
      </c>
      <c r="AL122" t="s">
        <v>1647</v>
      </c>
      <c r="AM122" t="s">
        <v>1648</v>
      </c>
      <c r="AN122" t="s">
        <v>1649</v>
      </c>
      <c r="AO122" t="s">
        <v>1650</v>
      </c>
      <c r="AP122" t="s">
        <v>1651</v>
      </c>
      <c r="AQ122" t="s">
        <v>1652</v>
      </c>
      <c r="AR122" t="s">
        <v>1653</v>
      </c>
      <c r="AS122" t="s">
        <v>1654</v>
      </c>
    </row>
    <row r="123" spans="1:45" x14ac:dyDescent="0.45">
      <c r="A123">
        <v>122</v>
      </c>
      <c r="B123">
        <v>163</v>
      </c>
      <c r="C123" t="s">
        <v>78</v>
      </c>
      <c r="D123" t="s">
        <v>79</v>
      </c>
      <c r="E123" t="s">
        <v>74</v>
      </c>
      <c r="F123" t="s">
        <v>77</v>
      </c>
      <c r="G123" t="s">
        <v>76</v>
      </c>
      <c r="H123">
        <v>210.09545177990483</v>
      </c>
      <c r="I123">
        <v>0</v>
      </c>
      <c r="J123">
        <v>9</v>
      </c>
      <c r="K123">
        <v>4</v>
      </c>
      <c r="L123">
        <v>5</v>
      </c>
      <c r="M123">
        <v>8</v>
      </c>
      <c r="N123">
        <v>4</v>
      </c>
      <c r="O123">
        <v>4</v>
      </c>
      <c r="P123">
        <v>9</v>
      </c>
      <c r="Q123">
        <v>2</v>
      </c>
      <c r="R123">
        <v>7</v>
      </c>
      <c r="S123">
        <v>8</v>
      </c>
      <c r="T123">
        <v>5</v>
      </c>
      <c r="U123">
        <v>3</v>
      </c>
      <c r="V123">
        <v>7</v>
      </c>
      <c r="W123">
        <v>1</v>
      </c>
      <c r="X123">
        <v>6</v>
      </c>
      <c r="Y123">
        <v>8</v>
      </c>
      <c r="Z123">
        <v>1</v>
      </c>
      <c r="AA123">
        <v>7</v>
      </c>
      <c r="AB123">
        <v>7</v>
      </c>
      <c r="AC123">
        <v>1</v>
      </c>
      <c r="AD123">
        <v>6</v>
      </c>
      <c r="AE123">
        <v>8</v>
      </c>
      <c r="AF123">
        <v>4</v>
      </c>
      <c r="AG123">
        <v>4</v>
      </c>
      <c r="AH123">
        <v>9</v>
      </c>
      <c r="AI123">
        <v>4</v>
      </c>
      <c r="AJ123">
        <v>5</v>
      </c>
      <c r="AK123" t="s">
        <v>1655</v>
      </c>
      <c r="AL123" t="s">
        <v>1656</v>
      </c>
      <c r="AM123" t="s">
        <v>1657</v>
      </c>
      <c r="AN123" t="s">
        <v>1658</v>
      </c>
      <c r="AO123" t="s">
        <v>1659</v>
      </c>
      <c r="AP123" t="s">
        <v>1660</v>
      </c>
      <c r="AQ123" t="s">
        <v>1661</v>
      </c>
      <c r="AR123" t="s">
        <v>687</v>
      </c>
      <c r="AS123" t="s">
        <v>1662</v>
      </c>
    </row>
    <row r="124" spans="1:45" x14ac:dyDescent="0.45">
      <c r="A124">
        <v>123</v>
      </c>
      <c r="B124">
        <v>164</v>
      </c>
      <c r="C124" t="s">
        <v>72</v>
      </c>
      <c r="D124" t="s">
        <v>189</v>
      </c>
      <c r="E124" t="s">
        <v>74</v>
      </c>
      <c r="F124" t="s">
        <v>77</v>
      </c>
      <c r="G124" t="s">
        <v>76</v>
      </c>
      <c r="H124">
        <v>12</v>
      </c>
      <c r="I124">
        <v>0</v>
      </c>
      <c r="J124">
        <v>8</v>
      </c>
      <c r="K124">
        <v>7</v>
      </c>
      <c r="L124">
        <v>1</v>
      </c>
      <c r="M124">
        <v>9</v>
      </c>
      <c r="N124">
        <v>7</v>
      </c>
      <c r="O124">
        <v>2</v>
      </c>
      <c r="P124">
        <v>8</v>
      </c>
      <c r="Q124">
        <v>7</v>
      </c>
      <c r="R124">
        <v>1</v>
      </c>
      <c r="S124">
        <v>9</v>
      </c>
      <c r="T124">
        <v>7</v>
      </c>
      <c r="U124">
        <v>2</v>
      </c>
      <c r="V124">
        <v>8</v>
      </c>
      <c r="W124">
        <v>7</v>
      </c>
      <c r="X124">
        <v>1</v>
      </c>
      <c r="Y124">
        <v>9</v>
      </c>
      <c r="Z124">
        <v>7</v>
      </c>
      <c r="AA124">
        <v>2</v>
      </c>
      <c r="AB124">
        <v>8</v>
      </c>
      <c r="AC124">
        <v>7</v>
      </c>
      <c r="AD124">
        <v>1</v>
      </c>
      <c r="AE124">
        <v>9</v>
      </c>
      <c r="AF124">
        <v>7</v>
      </c>
      <c r="AG124">
        <v>2</v>
      </c>
      <c r="AH124">
        <v>8</v>
      </c>
      <c r="AI124">
        <v>8</v>
      </c>
      <c r="AJ124">
        <v>0</v>
      </c>
      <c r="AK124" t="s">
        <v>432</v>
      </c>
      <c r="AL124" t="s">
        <v>433</v>
      </c>
      <c r="AM124" t="s">
        <v>434</v>
      </c>
      <c r="AN124" t="s">
        <v>435</v>
      </c>
      <c r="AO124" t="s">
        <v>436</v>
      </c>
      <c r="AP124" t="s">
        <v>437</v>
      </c>
      <c r="AQ124" t="s">
        <v>438</v>
      </c>
      <c r="AR124" t="s">
        <v>439</v>
      </c>
      <c r="AS124" t="s">
        <v>440</v>
      </c>
    </row>
    <row r="125" spans="1:45" x14ac:dyDescent="0.45">
      <c r="A125">
        <v>124</v>
      </c>
      <c r="B125">
        <v>165</v>
      </c>
      <c r="C125" t="s">
        <v>72</v>
      </c>
      <c r="D125" t="s">
        <v>191</v>
      </c>
      <c r="E125" t="s">
        <v>74</v>
      </c>
      <c r="F125" t="s">
        <v>75</v>
      </c>
      <c r="G125" t="s">
        <v>76</v>
      </c>
      <c r="H125">
        <v>41.047689617750216</v>
      </c>
      <c r="I125">
        <v>1</v>
      </c>
      <c r="J125">
        <v>5</v>
      </c>
      <c r="K125">
        <v>10</v>
      </c>
      <c r="L125">
        <v>-5</v>
      </c>
      <c r="M125">
        <v>6</v>
      </c>
      <c r="N125">
        <v>9</v>
      </c>
      <c r="O125">
        <v>-3</v>
      </c>
      <c r="P125">
        <v>7</v>
      </c>
      <c r="Q125">
        <v>10</v>
      </c>
      <c r="R125">
        <v>-3</v>
      </c>
      <c r="S125">
        <v>8</v>
      </c>
      <c r="T125">
        <v>10</v>
      </c>
      <c r="U125">
        <v>-2</v>
      </c>
      <c r="V125">
        <v>6</v>
      </c>
      <c r="W125">
        <v>10</v>
      </c>
      <c r="X125">
        <v>-4</v>
      </c>
      <c r="Y125">
        <v>8</v>
      </c>
      <c r="Z125">
        <v>8</v>
      </c>
      <c r="AA125">
        <v>0</v>
      </c>
      <c r="AB125">
        <v>6</v>
      </c>
      <c r="AC125">
        <v>9</v>
      </c>
      <c r="AD125">
        <v>-3</v>
      </c>
      <c r="AE125">
        <v>7</v>
      </c>
      <c r="AF125">
        <v>9</v>
      </c>
      <c r="AG125">
        <v>-2</v>
      </c>
      <c r="AH125">
        <v>9</v>
      </c>
      <c r="AI125">
        <v>9</v>
      </c>
      <c r="AJ125">
        <v>0</v>
      </c>
      <c r="AK125" t="s">
        <v>1663</v>
      </c>
      <c r="AL125" t="s">
        <v>1664</v>
      </c>
      <c r="AM125" t="s">
        <v>1665</v>
      </c>
      <c r="AN125" t="s">
        <v>1666</v>
      </c>
      <c r="AO125" t="s">
        <v>1667</v>
      </c>
      <c r="AP125" t="s">
        <v>1668</v>
      </c>
      <c r="AQ125" t="s">
        <v>1669</v>
      </c>
      <c r="AR125" t="s">
        <v>1670</v>
      </c>
      <c r="AS125" t="s">
        <v>1671</v>
      </c>
    </row>
    <row r="126" spans="1:45" x14ac:dyDescent="0.45">
      <c r="A126">
        <v>125</v>
      </c>
      <c r="B126">
        <v>166</v>
      </c>
      <c r="C126" t="s">
        <v>72</v>
      </c>
      <c r="D126" t="s">
        <v>189</v>
      </c>
      <c r="E126" t="s">
        <v>74</v>
      </c>
      <c r="F126" t="s">
        <v>77</v>
      </c>
      <c r="G126" t="s">
        <v>76</v>
      </c>
      <c r="H126">
        <v>13.213746170526317</v>
      </c>
      <c r="I126">
        <v>2</v>
      </c>
      <c r="J126">
        <v>8</v>
      </c>
      <c r="K126">
        <v>10</v>
      </c>
      <c r="L126">
        <v>-2</v>
      </c>
      <c r="M126">
        <v>9</v>
      </c>
      <c r="N126">
        <v>10</v>
      </c>
      <c r="O126">
        <v>-1</v>
      </c>
      <c r="P126">
        <v>8</v>
      </c>
      <c r="Q126">
        <v>10</v>
      </c>
      <c r="R126">
        <v>-2</v>
      </c>
      <c r="S126">
        <v>9</v>
      </c>
      <c r="T126">
        <v>10</v>
      </c>
      <c r="U126">
        <v>-1</v>
      </c>
      <c r="V126">
        <v>8</v>
      </c>
      <c r="W126">
        <v>10</v>
      </c>
      <c r="X126">
        <v>-2</v>
      </c>
      <c r="Y126">
        <v>9</v>
      </c>
      <c r="Z126">
        <v>10</v>
      </c>
      <c r="AA126">
        <v>-1</v>
      </c>
      <c r="AB126">
        <v>8</v>
      </c>
      <c r="AC126">
        <v>10</v>
      </c>
      <c r="AD126">
        <v>-2</v>
      </c>
      <c r="AE126">
        <v>7</v>
      </c>
      <c r="AF126">
        <v>10</v>
      </c>
      <c r="AG126">
        <v>-3</v>
      </c>
      <c r="AH126">
        <v>8</v>
      </c>
      <c r="AI126">
        <v>10</v>
      </c>
      <c r="AJ126">
        <v>-2</v>
      </c>
      <c r="AK126" t="s">
        <v>441</v>
      </c>
      <c r="AL126" t="s">
        <v>442</v>
      </c>
      <c r="AM126" t="s">
        <v>1672</v>
      </c>
      <c r="AN126" t="s">
        <v>1673</v>
      </c>
      <c r="AO126" t="s">
        <v>1674</v>
      </c>
      <c r="AP126" t="s">
        <v>1675</v>
      </c>
      <c r="AQ126" t="s">
        <v>1676</v>
      </c>
      <c r="AR126" t="s">
        <v>1677</v>
      </c>
      <c r="AS126" t="s">
        <v>1678</v>
      </c>
    </row>
    <row r="127" spans="1:45" x14ac:dyDescent="0.45">
      <c r="A127">
        <v>126</v>
      </c>
      <c r="B127">
        <v>167</v>
      </c>
      <c r="C127" t="s">
        <v>78</v>
      </c>
      <c r="D127" t="s">
        <v>81</v>
      </c>
      <c r="E127" t="s">
        <v>74</v>
      </c>
      <c r="F127" t="s">
        <v>77</v>
      </c>
      <c r="G127" t="s">
        <v>76</v>
      </c>
      <c r="H127">
        <v>24.996805599134536</v>
      </c>
      <c r="I127">
        <v>0</v>
      </c>
      <c r="J127">
        <v>7</v>
      </c>
      <c r="K127">
        <v>8</v>
      </c>
      <c r="L127">
        <v>-1</v>
      </c>
      <c r="M127">
        <v>8</v>
      </c>
      <c r="N127">
        <v>8</v>
      </c>
      <c r="O127">
        <v>0</v>
      </c>
      <c r="P127">
        <v>9</v>
      </c>
      <c r="Q127">
        <v>5</v>
      </c>
      <c r="R127">
        <v>4</v>
      </c>
      <c r="S127">
        <v>9</v>
      </c>
      <c r="T127">
        <v>8</v>
      </c>
      <c r="U127">
        <v>1</v>
      </c>
      <c r="V127">
        <v>6</v>
      </c>
      <c r="W127">
        <v>8</v>
      </c>
      <c r="X127">
        <v>-2</v>
      </c>
      <c r="Y127">
        <v>8</v>
      </c>
      <c r="Z127">
        <v>8</v>
      </c>
      <c r="AA127">
        <v>0</v>
      </c>
      <c r="AB127">
        <v>7</v>
      </c>
      <c r="AC127">
        <v>7</v>
      </c>
      <c r="AD127">
        <v>0</v>
      </c>
      <c r="AE127">
        <v>6</v>
      </c>
      <c r="AF127">
        <v>7</v>
      </c>
      <c r="AG127">
        <v>-1</v>
      </c>
      <c r="AH127">
        <v>9</v>
      </c>
      <c r="AI127">
        <v>8</v>
      </c>
      <c r="AJ127">
        <v>1</v>
      </c>
      <c r="AK127" t="s">
        <v>1679</v>
      </c>
      <c r="AL127" t="s">
        <v>1680</v>
      </c>
      <c r="AM127" t="s">
        <v>1681</v>
      </c>
      <c r="AN127" t="s">
        <v>1682</v>
      </c>
      <c r="AO127" t="s">
        <v>1683</v>
      </c>
      <c r="AP127" t="s">
        <v>1684</v>
      </c>
      <c r="AQ127" t="s">
        <v>1685</v>
      </c>
      <c r="AR127" t="s">
        <v>1686</v>
      </c>
      <c r="AS127" t="s">
        <v>1687</v>
      </c>
    </row>
    <row r="128" spans="1:45" x14ac:dyDescent="0.45">
      <c r="A128">
        <v>127</v>
      </c>
      <c r="B128">
        <v>168</v>
      </c>
      <c r="C128" t="s">
        <v>72</v>
      </c>
      <c r="D128" t="s">
        <v>79</v>
      </c>
      <c r="E128" t="s">
        <v>74</v>
      </c>
      <c r="F128" t="s">
        <v>77</v>
      </c>
      <c r="G128" t="s">
        <v>76</v>
      </c>
      <c r="H128">
        <v>137.79734230505227</v>
      </c>
      <c r="I128">
        <v>4</v>
      </c>
      <c r="J128">
        <v>8</v>
      </c>
      <c r="K128">
        <v>1</v>
      </c>
      <c r="L128">
        <v>7</v>
      </c>
      <c r="M128">
        <v>7</v>
      </c>
      <c r="N128">
        <v>1</v>
      </c>
      <c r="O128">
        <v>6</v>
      </c>
      <c r="P128">
        <v>6</v>
      </c>
      <c r="Q128">
        <v>1</v>
      </c>
      <c r="R128">
        <v>5</v>
      </c>
      <c r="S128">
        <v>9</v>
      </c>
      <c r="T128">
        <v>5</v>
      </c>
      <c r="U128">
        <v>4</v>
      </c>
      <c r="V128">
        <v>7</v>
      </c>
      <c r="W128">
        <v>1</v>
      </c>
      <c r="X128">
        <v>6</v>
      </c>
      <c r="Y128">
        <v>9</v>
      </c>
      <c r="Z128">
        <v>1</v>
      </c>
      <c r="AA128">
        <v>8</v>
      </c>
      <c r="AB128">
        <v>7</v>
      </c>
      <c r="AC128">
        <v>1</v>
      </c>
      <c r="AD128">
        <v>6</v>
      </c>
      <c r="AE128">
        <v>6</v>
      </c>
      <c r="AF128">
        <v>5</v>
      </c>
      <c r="AG128">
        <v>1</v>
      </c>
      <c r="AH128">
        <v>8</v>
      </c>
      <c r="AI128">
        <v>5</v>
      </c>
      <c r="AJ128">
        <v>3</v>
      </c>
      <c r="AK128" t="s">
        <v>443</v>
      </c>
      <c r="AL128" t="s">
        <v>444</v>
      </c>
      <c r="AM128" t="s">
        <v>1688</v>
      </c>
      <c r="AN128" t="s">
        <v>1689</v>
      </c>
      <c r="AO128" t="s">
        <v>1690</v>
      </c>
      <c r="AP128" t="s">
        <v>1691</v>
      </c>
      <c r="AQ128" t="s">
        <v>1692</v>
      </c>
      <c r="AR128" t="s">
        <v>1693</v>
      </c>
      <c r="AS128" t="s">
        <v>1694</v>
      </c>
    </row>
    <row r="129" spans="1:45" x14ac:dyDescent="0.45">
      <c r="A129">
        <v>128</v>
      </c>
      <c r="B129">
        <v>169</v>
      </c>
      <c r="C129" t="s">
        <v>78</v>
      </c>
      <c r="D129" t="s">
        <v>191</v>
      </c>
      <c r="E129" t="s">
        <v>74</v>
      </c>
      <c r="F129" t="s">
        <v>77</v>
      </c>
      <c r="G129" t="s">
        <v>76</v>
      </c>
      <c r="H129">
        <v>159.61985604609188</v>
      </c>
      <c r="I129">
        <v>4</v>
      </c>
      <c r="J129">
        <v>7</v>
      </c>
      <c r="K129">
        <v>6</v>
      </c>
      <c r="L129">
        <v>1</v>
      </c>
      <c r="M129">
        <v>6</v>
      </c>
      <c r="N129">
        <v>6</v>
      </c>
      <c r="O129">
        <v>0</v>
      </c>
      <c r="P129">
        <v>9</v>
      </c>
      <c r="Q129">
        <v>6</v>
      </c>
      <c r="R129">
        <v>3</v>
      </c>
      <c r="S129">
        <v>9</v>
      </c>
      <c r="T129">
        <v>8</v>
      </c>
      <c r="U129">
        <v>1</v>
      </c>
      <c r="V129">
        <v>8</v>
      </c>
      <c r="W129">
        <v>6</v>
      </c>
      <c r="X129">
        <v>2</v>
      </c>
      <c r="Y129">
        <v>9</v>
      </c>
      <c r="Z129">
        <v>3</v>
      </c>
      <c r="AA129">
        <v>6</v>
      </c>
      <c r="AB129">
        <v>8</v>
      </c>
      <c r="AC129">
        <v>5</v>
      </c>
      <c r="AD129">
        <v>3</v>
      </c>
      <c r="AE129">
        <v>7</v>
      </c>
      <c r="AF129">
        <v>5</v>
      </c>
      <c r="AG129">
        <v>2</v>
      </c>
      <c r="AH129">
        <v>9</v>
      </c>
      <c r="AI129">
        <v>4</v>
      </c>
      <c r="AJ129">
        <v>5</v>
      </c>
      <c r="AK129" t="s">
        <v>679</v>
      </c>
      <c r="AL129" t="s">
        <v>680</v>
      </c>
      <c r="AM129" t="s">
        <v>1695</v>
      </c>
      <c r="AN129" t="s">
        <v>1696</v>
      </c>
      <c r="AO129" t="s">
        <v>1697</v>
      </c>
      <c r="AP129" t="s">
        <v>1698</v>
      </c>
      <c r="AQ129" t="s">
        <v>1699</v>
      </c>
      <c r="AR129" t="s">
        <v>1700</v>
      </c>
      <c r="AS129" t="s">
        <v>1701</v>
      </c>
    </row>
    <row r="130" spans="1:45" x14ac:dyDescent="0.45">
      <c r="A130">
        <v>129</v>
      </c>
      <c r="B130">
        <v>170</v>
      </c>
      <c r="C130" t="s">
        <v>78</v>
      </c>
      <c r="D130" t="s">
        <v>191</v>
      </c>
      <c r="E130" t="s">
        <v>74</v>
      </c>
      <c r="F130" t="s">
        <v>75</v>
      </c>
      <c r="G130" t="s">
        <v>76</v>
      </c>
      <c r="H130">
        <v>247.19604490785346</v>
      </c>
      <c r="I130">
        <v>3</v>
      </c>
      <c r="J130">
        <v>7</v>
      </c>
      <c r="K130">
        <v>6</v>
      </c>
      <c r="L130">
        <v>1</v>
      </c>
      <c r="M130">
        <v>6</v>
      </c>
      <c r="N130">
        <v>6</v>
      </c>
      <c r="O130">
        <v>0</v>
      </c>
      <c r="P130">
        <v>8</v>
      </c>
      <c r="Q130">
        <v>4</v>
      </c>
      <c r="R130">
        <v>4</v>
      </c>
      <c r="S130">
        <v>9</v>
      </c>
      <c r="T130">
        <v>5</v>
      </c>
      <c r="U130">
        <v>4</v>
      </c>
      <c r="V130">
        <v>7</v>
      </c>
      <c r="W130">
        <v>5</v>
      </c>
      <c r="X130">
        <v>2</v>
      </c>
      <c r="Y130">
        <v>9</v>
      </c>
      <c r="Z130">
        <v>1</v>
      </c>
      <c r="AA130">
        <v>8</v>
      </c>
      <c r="AB130">
        <v>8</v>
      </c>
      <c r="AC130">
        <v>5</v>
      </c>
      <c r="AD130">
        <v>3</v>
      </c>
      <c r="AE130">
        <v>6</v>
      </c>
      <c r="AF130">
        <v>4</v>
      </c>
      <c r="AG130">
        <v>2</v>
      </c>
      <c r="AH130">
        <v>9</v>
      </c>
      <c r="AI130">
        <v>5</v>
      </c>
      <c r="AJ130">
        <v>4</v>
      </c>
      <c r="AK130" t="s">
        <v>1702</v>
      </c>
      <c r="AL130" t="s">
        <v>1703</v>
      </c>
      <c r="AM130" t="s">
        <v>1704</v>
      </c>
      <c r="AN130" t="s">
        <v>1705</v>
      </c>
      <c r="AO130" t="s">
        <v>1706</v>
      </c>
      <c r="AP130" t="s">
        <v>1707</v>
      </c>
      <c r="AQ130" t="s">
        <v>1708</v>
      </c>
      <c r="AR130" t="s">
        <v>1709</v>
      </c>
      <c r="AS130" t="s">
        <v>1710</v>
      </c>
    </row>
    <row r="131" spans="1:45" x14ac:dyDescent="0.45">
      <c r="A131">
        <v>130</v>
      </c>
      <c r="B131">
        <v>171</v>
      </c>
      <c r="C131" t="s">
        <v>72</v>
      </c>
      <c r="D131" t="s">
        <v>193</v>
      </c>
      <c r="E131" t="s">
        <v>74</v>
      </c>
      <c r="F131" t="s">
        <v>75</v>
      </c>
      <c r="G131" t="s">
        <v>76</v>
      </c>
      <c r="H131">
        <v>97.463060900714908</v>
      </c>
      <c r="I131">
        <v>2</v>
      </c>
      <c r="J131">
        <v>6</v>
      </c>
      <c r="K131">
        <v>5</v>
      </c>
      <c r="L131">
        <v>1</v>
      </c>
      <c r="M131">
        <v>6</v>
      </c>
      <c r="N131">
        <v>5</v>
      </c>
      <c r="O131">
        <v>1</v>
      </c>
      <c r="P131">
        <v>9</v>
      </c>
      <c r="Q131">
        <v>1</v>
      </c>
      <c r="R131">
        <v>8</v>
      </c>
      <c r="S131">
        <v>8</v>
      </c>
      <c r="T131">
        <v>4</v>
      </c>
      <c r="U131">
        <v>4</v>
      </c>
      <c r="V131">
        <v>7</v>
      </c>
      <c r="W131">
        <v>2</v>
      </c>
      <c r="X131">
        <v>5</v>
      </c>
      <c r="Y131">
        <v>8</v>
      </c>
      <c r="Z131">
        <v>1</v>
      </c>
      <c r="AA131">
        <v>7</v>
      </c>
      <c r="AB131">
        <v>7</v>
      </c>
      <c r="AC131">
        <v>1</v>
      </c>
      <c r="AD131">
        <v>6</v>
      </c>
      <c r="AE131">
        <v>8</v>
      </c>
      <c r="AF131">
        <v>1</v>
      </c>
      <c r="AG131">
        <v>7</v>
      </c>
      <c r="AH131">
        <v>9</v>
      </c>
      <c r="AI131">
        <v>5</v>
      </c>
      <c r="AJ131">
        <v>4</v>
      </c>
      <c r="AK131" t="s">
        <v>1711</v>
      </c>
      <c r="AL131" t="s">
        <v>1712</v>
      </c>
      <c r="AM131" t="s">
        <v>1713</v>
      </c>
      <c r="AN131" t="s">
        <v>1714</v>
      </c>
      <c r="AO131" t="s">
        <v>1715</v>
      </c>
      <c r="AP131" t="s">
        <v>1716</v>
      </c>
      <c r="AQ131" t="s">
        <v>1717</v>
      </c>
      <c r="AR131" t="s">
        <v>1718</v>
      </c>
      <c r="AS131" t="s">
        <v>1719</v>
      </c>
    </row>
    <row r="132" spans="1:45" x14ac:dyDescent="0.45">
      <c r="A132">
        <v>131</v>
      </c>
      <c r="B132">
        <v>172</v>
      </c>
      <c r="C132" t="s">
        <v>72</v>
      </c>
      <c r="D132" t="s">
        <v>73</v>
      </c>
      <c r="E132" t="s">
        <v>74</v>
      </c>
      <c r="F132" t="s">
        <v>75</v>
      </c>
      <c r="G132" t="s">
        <v>76</v>
      </c>
      <c r="H132">
        <v>99.222990346484991</v>
      </c>
      <c r="I132">
        <v>1</v>
      </c>
      <c r="J132">
        <v>6</v>
      </c>
      <c r="K132">
        <v>8</v>
      </c>
      <c r="L132">
        <v>-2</v>
      </c>
      <c r="M132">
        <v>6</v>
      </c>
      <c r="N132">
        <v>9</v>
      </c>
      <c r="O132">
        <v>-3</v>
      </c>
      <c r="P132">
        <v>8</v>
      </c>
      <c r="Q132">
        <v>5</v>
      </c>
      <c r="R132">
        <v>3</v>
      </c>
      <c r="S132">
        <v>9</v>
      </c>
      <c r="T132">
        <v>5</v>
      </c>
      <c r="U132">
        <v>4</v>
      </c>
      <c r="V132">
        <v>7</v>
      </c>
      <c r="W132">
        <v>5</v>
      </c>
      <c r="X132">
        <v>2</v>
      </c>
      <c r="Y132">
        <v>9</v>
      </c>
      <c r="Z132">
        <v>4</v>
      </c>
      <c r="AA132">
        <v>5</v>
      </c>
      <c r="AB132">
        <v>8</v>
      </c>
      <c r="AC132">
        <v>5</v>
      </c>
      <c r="AD132">
        <v>3</v>
      </c>
      <c r="AE132">
        <v>7</v>
      </c>
      <c r="AF132">
        <v>5</v>
      </c>
      <c r="AG132">
        <v>2</v>
      </c>
      <c r="AH132">
        <v>9</v>
      </c>
      <c r="AI132">
        <v>5</v>
      </c>
      <c r="AJ132">
        <v>4</v>
      </c>
      <c r="AK132" t="s">
        <v>1720</v>
      </c>
      <c r="AL132" t="s">
        <v>1721</v>
      </c>
      <c r="AM132" t="s">
        <v>1722</v>
      </c>
      <c r="AN132" t="s">
        <v>1723</v>
      </c>
      <c r="AO132" t="s">
        <v>1724</v>
      </c>
      <c r="AP132" t="s">
        <v>1725</v>
      </c>
      <c r="AQ132" t="s">
        <v>1726</v>
      </c>
      <c r="AR132" t="s">
        <v>1727</v>
      </c>
      <c r="AS132" t="s">
        <v>1728</v>
      </c>
    </row>
    <row r="133" spans="1:45" x14ac:dyDescent="0.45">
      <c r="A133">
        <v>132</v>
      </c>
      <c r="B133">
        <v>173</v>
      </c>
      <c r="C133" t="s">
        <v>78</v>
      </c>
      <c r="D133" t="s">
        <v>189</v>
      </c>
      <c r="E133" t="s">
        <v>74</v>
      </c>
      <c r="F133" t="s">
        <v>77</v>
      </c>
      <c r="G133" t="s">
        <v>76</v>
      </c>
      <c r="H133">
        <v>15.268705496420361</v>
      </c>
      <c r="I133">
        <v>0</v>
      </c>
      <c r="J133">
        <v>6</v>
      </c>
      <c r="K133">
        <v>9</v>
      </c>
      <c r="L133">
        <v>-3</v>
      </c>
      <c r="M133">
        <v>7</v>
      </c>
      <c r="N133">
        <v>9</v>
      </c>
      <c r="O133">
        <v>-2</v>
      </c>
      <c r="P133">
        <v>8</v>
      </c>
      <c r="Q133">
        <v>9</v>
      </c>
      <c r="R133">
        <v>-1</v>
      </c>
      <c r="S133">
        <v>9</v>
      </c>
      <c r="T133">
        <v>9</v>
      </c>
      <c r="U133">
        <v>0</v>
      </c>
      <c r="V133">
        <v>7</v>
      </c>
      <c r="W133">
        <v>7</v>
      </c>
      <c r="X133">
        <v>0</v>
      </c>
      <c r="Y133">
        <v>8</v>
      </c>
      <c r="Z133">
        <v>10</v>
      </c>
      <c r="AA133">
        <v>-2</v>
      </c>
      <c r="AB133">
        <v>7</v>
      </c>
      <c r="AC133">
        <v>5</v>
      </c>
      <c r="AD133">
        <v>2</v>
      </c>
      <c r="AE133">
        <v>6</v>
      </c>
      <c r="AF133">
        <v>5</v>
      </c>
      <c r="AG133">
        <v>1</v>
      </c>
      <c r="AH133">
        <v>9</v>
      </c>
      <c r="AI133">
        <v>9</v>
      </c>
      <c r="AJ133">
        <v>0</v>
      </c>
      <c r="AK133" t="s">
        <v>1729</v>
      </c>
      <c r="AL133" t="s">
        <v>1730</v>
      </c>
      <c r="AM133" t="s">
        <v>1731</v>
      </c>
      <c r="AN133" t="s">
        <v>1732</v>
      </c>
      <c r="AO133" t="s">
        <v>1733</v>
      </c>
      <c r="AP133" t="s">
        <v>1734</v>
      </c>
      <c r="AQ133" t="s">
        <v>1735</v>
      </c>
      <c r="AR133" t="s">
        <v>1736</v>
      </c>
      <c r="AS133" t="s">
        <v>1737</v>
      </c>
    </row>
    <row r="134" spans="1:45" x14ac:dyDescent="0.45">
      <c r="A134">
        <v>133</v>
      </c>
      <c r="B134">
        <v>174</v>
      </c>
      <c r="C134" t="s">
        <v>78</v>
      </c>
      <c r="D134" t="s">
        <v>81</v>
      </c>
      <c r="E134" t="s">
        <v>74</v>
      </c>
      <c r="F134" t="s">
        <v>190</v>
      </c>
      <c r="G134" t="s">
        <v>76</v>
      </c>
      <c r="H134">
        <v>40.779172389044575</v>
      </c>
      <c r="I134">
        <v>0</v>
      </c>
      <c r="J134">
        <v>6</v>
      </c>
      <c r="K134">
        <v>5</v>
      </c>
      <c r="L134">
        <v>1</v>
      </c>
      <c r="M134">
        <v>6</v>
      </c>
      <c r="N134">
        <v>5</v>
      </c>
      <c r="O134">
        <v>1</v>
      </c>
      <c r="P134">
        <v>8</v>
      </c>
      <c r="Q134">
        <v>5</v>
      </c>
      <c r="R134">
        <v>3</v>
      </c>
      <c r="S134">
        <v>9</v>
      </c>
      <c r="T134">
        <v>5</v>
      </c>
      <c r="U134">
        <v>4</v>
      </c>
      <c r="V134">
        <v>7</v>
      </c>
      <c r="W134">
        <v>5</v>
      </c>
      <c r="X134">
        <v>2</v>
      </c>
      <c r="Y134">
        <v>8</v>
      </c>
      <c r="Z134">
        <v>5</v>
      </c>
      <c r="AA134">
        <v>3</v>
      </c>
      <c r="AB134">
        <v>7</v>
      </c>
      <c r="AC134">
        <v>5</v>
      </c>
      <c r="AD134">
        <v>2</v>
      </c>
      <c r="AE134">
        <v>8</v>
      </c>
      <c r="AF134">
        <v>5</v>
      </c>
      <c r="AG134">
        <v>3</v>
      </c>
      <c r="AH134">
        <v>9</v>
      </c>
      <c r="AI134">
        <v>5</v>
      </c>
      <c r="AJ134">
        <v>4</v>
      </c>
      <c r="AK134" t="s">
        <v>445</v>
      </c>
      <c r="AL134" t="s">
        <v>747</v>
      </c>
      <c r="AM134" t="s">
        <v>748</v>
      </c>
      <c r="AN134" t="s">
        <v>749</v>
      </c>
      <c r="AO134" t="s">
        <v>750</v>
      </c>
      <c r="AP134" t="s">
        <v>1738</v>
      </c>
      <c r="AQ134" t="s">
        <v>1739</v>
      </c>
      <c r="AR134" t="s">
        <v>1740</v>
      </c>
      <c r="AS134" t="s">
        <v>1741</v>
      </c>
    </row>
    <row r="135" spans="1:45" x14ac:dyDescent="0.45">
      <c r="A135">
        <v>134</v>
      </c>
      <c r="B135">
        <v>175</v>
      </c>
      <c r="C135" t="s">
        <v>72</v>
      </c>
      <c r="D135" t="s">
        <v>189</v>
      </c>
      <c r="E135" t="s">
        <v>74</v>
      </c>
      <c r="F135" t="s">
        <v>77</v>
      </c>
      <c r="G135" t="s">
        <v>76</v>
      </c>
      <c r="H135">
        <v>20.199505970710106</v>
      </c>
      <c r="I135">
        <v>0</v>
      </c>
      <c r="J135">
        <v>7</v>
      </c>
      <c r="K135">
        <v>9</v>
      </c>
      <c r="L135">
        <v>-2</v>
      </c>
      <c r="M135">
        <v>7</v>
      </c>
      <c r="N135">
        <v>9</v>
      </c>
      <c r="O135">
        <v>-2</v>
      </c>
      <c r="P135">
        <v>9</v>
      </c>
      <c r="Q135">
        <v>5</v>
      </c>
      <c r="R135">
        <v>4</v>
      </c>
      <c r="S135">
        <v>8</v>
      </c>
      <c r="T135">
        <v>9</v>
      </c>
      <c r="U135">
        <v>-1</v>
      </c>
      <c r="V135">
        <v>7</v>
      </c>
      <c r="W135">
        <v>8</v>
      </c>
      <c r="X135">
        <v>-1</v>
      </c>
      <c r="Y135">
        <v>8</v>
      </c>
      <c r="Z135">
        <v>10</v>
      </c>
      <c r="AA135">
        <v>-2</v>
      </c>
      <c r="AB135">
        <v>8</v>
      </c>
      <c r="AC135">
        <v>5</v>
      </c>
      <c r="AD135">
        <v>3</v>
      </c>
      <c r="AE135">
        <v>7</v>
      </c>
      <c r="AF135">
        <v>5</v>
      </c>
      <c r="AG135">
        <v>2</v>
      </c>
      <c r="AH135">
        <v>8</v>
      </c>
      <c r="AI135">
        <v>7</v>
      </c>
      <c r="AJ135">
        <v>1</v>
      </c>
      <c r="AK135" t="s">
        <v>446</v>
      </c>
      <c r="AL135" t="s">
        <v>1742</v>
      </c>
      <c r="AM135" t="s">
        <v>1743</v>
      </c>
      <c r="AN135" t="s">
        <v>1744</v>
      </c>
      <c r="AO135" t="s">
        <v>1745</v>
      </c>
      <c r="AP135" t="s">
        <v>1746</v>
      </c>
      <c r="AQ135" t="s">
        <v>1747</v>
      </c>
      <c r="AR135" t="s">
        <v>1748</v>
      </c>
      <c r="AS135" t="s">
        <v>1749</v>
      </c>
    </row>
    <row r="136" spans="1:45" x14ac:dyDescent="0.45">
      <c r="A136">
        <v>135</v>
      </c>
      <c r="B136">
        <v>176</v>
      </c>
      <c r="C136" t="s">
        <v>78</v>
      </c>
      <c r="D136" t="s">
        <v>189</v>
      </c>
      <c r="E136" t="s">
        <v>74</v>
      </c>
      <c r="F136" t="s">
        <v>77</v>
      </c>
      <c r="G136" t="s">
        <v>76</v>
      </c>
      <c r="H136">
        <v>14.325720764134783</v>
      </c>
      <c r="I136">
        <v>0</v>
      </c>
      <c r="J136">
        <v>6</v>
      </c>
      <c r="K136">
        <v>5</v>
      </c>
      <c r="L136">
        <v>1</v>
      </c>
      <c r="M136">
        <v>8</v>
      </c>
      <c r="N136">
        <v>5</v>
      </c>
      <c r="O136">
        <v>3</v>
      </c>
      <c r="P136">
        <v>7</v>
      </c>
      <c r="Q136">
        <v>5</v>
      </c>
      <c r="R136">
        <v>2</v>
      </c>
      <c r="S136">
        <v>8</v>
      </c>
      <c r="T136">
        <v>6</v>
      </c>
      <c r="U136">
        <v>2</v>
      </c>
      <c r="V136">
        <v>7</v>
      </c>
      <c r="W136">
        <v>6</v>
      </c>
      <c r="X136">
        <v>1</v>
      </c>
      <c r="Y136">
        <v>8</v>
      </c>
      <c r="Z136">
        <v>6</v>
      </c>
      <c r="AA136">
        <v>2</v>
      </c>
      <c r="AB136">
        <v>7</v>
      </c>
      <c r="AC136">
        <v>6</v>
      </c>
      <c r="AD136">
        <v>1</v>
      </c>
      <c r="AE136">
        <v>8</v>
      </c>
      <c r="AF136">
        <v>6</v>
      </c>
      <c r="AG136">
        <v>2</v>
      </c>
      <c r="AH136">
        <v>9</v>
      </c>
      <c r="AI136">
        <v>6</v>
      </c>
      <c r="AJ136">
        <v>3</v>
      </c>
      <c r="AK136" t="s">
        <v>1750</v>
      </c>
      <c r="AL136" t="s">
        <v>1751</v>
      </c>
      <c r="AM136" t="s">
        <v>1752</v>
      </c>
      <c r="AN136" t="s">
        <v>1753</v>
      </c>
      <c r="AO136" t="s">
        <v>1754</v>
      </c>
      <c r="AP136" t="s">
        <v>1755</v>
      </c>
      <c r="AQ136" t="s">
        <v>1756</v>
      </c>
      <c r="AR136" t="s">
        <v>1757</v>
      </c>
      <c r="AS136" t="s">
        <v>1758</v>
      </c>
    </row>
    <row r="137" spans="1:45" x14ac:dyDescent="0.45">
      <c r="A137">
        <v>136</v>
      </c>
      <c r="B137">
        <v>177</v>
      </c>
      <c r="C137" t="s">
        <v>72</v>
      </c>
      <c r="D137" t="s">
        <v>193</v>
      </c>
      <c r="E137" t="s">
        <v>74</v>
      </c>
      <c r="F137" t="s">
        <v>77</v>
      </c>
      <c r="G137" t="s">
        <v>162</v>
      </c>
      <c r="H137">
        <v>12</v>
      </c>
      <c r="I137">
        <v>0</v>
      </c>
      <c r="J137">
        <v>6</v>
      </c>
      <c r="K137">
        <v>8</v>
      </c>
      <c r="L137">
        <v>-2</v>
      </c>
      <c r="M137">
        <v>7</v>
      </c>
      <c r="N137">
        <v>8</v>
      </c>
      <c r="O137">
        <v>-1</v>
      </c>
      <c r="P137">
        <v>9</v>
      </c>
      <c r="Q137">
        <v>8</v>
      </c>
      <c r="R137">
        <v>1</v>
      </c>
      <c r="S137">
        <v>8</v>
      </c>
      <c r="T137">
        <v>8</v>
      </c>
      <c r="U137">
        <v>0</v>
      </c>
      <c r="V137">
        <v>9</v>
      </c>
      <c r="W137">
        <v>10</v>
      </c>
      <c r="X137">
        <v>-1</v>
      </c>
      <c r="Y137">
        <v>8</v>
      </c>
      <c r="Z137">
        <v>10</v>
      </c>
      <c r="AA137">
        <v>-2</v>
      </c>
      <c r="AB137">
        <v>9</v>
      </c>
      <c r="AC137">
        <v>10</v>
      </c>
      <c r="AD137">
        <v>-1</v>
      </c>
      <c r="AE137">
        <v>7</v>
      </c>
      <c r="AF137">
        <v>10</v>
      </c>
      <c r="AG137">
        <v>-3</v>
      </c>
      <c r="AH137">
        <v>9</v>
      </c>
      <c r="AI137">
        <v>10</v>
      </c>
      <c r="AJ137">
        <v>-1</v>
      </c>
      <c r="AK137" t="s">
        <v>447</v>
      </c>
      <c r="AL137" t="s">
        <v>448</v>
      </c>
      <c r="AM137" t="s">
        <v>449</v>
      </c>
      <c r="AN137" t="s">
        <v>450</v>
      </c>
      <c r="AO137" t="s">
        <v>451</v>
      </c>
      <c r="AP137" t="s">
        <v>452</v>
      </c>
      <c r="AQ137" t="s">
        <v>453</v>
      </c>
      <c r="AR137" t="s">
        <v>454</v>
      </c>
      <c r="AS137" t="s">
        <v>455</v>
      </c>
    </row>
    <row r="138" spans="1:45" x14ac:dyDescent="0.45">
      <c r="A138">
        <v>137</v>
      </c>
      <c r="B138">
        <v>178</v>
      </c>
      <c r="C138" t="s">
        <v>78</v>
      </c>
      <c r="D138" t="s">
        <v>191</v>
      </c>
      <c r="E138" t="s">
        <v>74</v>
      </c>
      <c r="F138" t="s">
        <v>77</v>
      </c>
      <c r="G138" t="s">
        <v>76</v>
      </c>
      <c r="H138">
        <v>216.32615820100276</v>
      </c>
      <c r="I138">
        <v>4</v>
      </c>
      <c r="J138">
        <v>7</v>
      </c>
      <c r="K138">
        <v>8</v>
      </c>
      <c r="L138">
        <v>-1</v>
      </c>
      <c r="M138">
        <v>8</v>
      </c>
      <c r="N138">
        <v>8</v>
      </c>
      <c r="O138">
        <v>0</v>
      </c>
      <c r="P138">
        <v>6</v>
      </c>
      <c r="Q138">
        <v>8</v>
      </c>
      <c r="R138">
        <v>-2</v>
      </c>
      <c r="S138">
        <v>9</v>
      </c>
      <c r="T138">
        <v>8</v>
      </c>
      <c r="U138">
        <v>1</v>
      </c>
      <c r="V138">
        <v>7</v>
      </c>
      <c r="W138">
        <v>8</v>
      </c>
      <c r="X138">
        <v>-1</v>
      </c>
      <c r="Y138">
        <v>8</v>
      </c>
      <c r="Z138">
        <v>8</v>
      </c>
      <c r="AA138">
        <v>0</v>
      </c>
      <c r="AB138">
        <v>6</v>
      </c>
      <c r="AC138">
        <v>5</v>
      </c>
      <c r="AD138">
        <v>1</v>
      </c>
      <c r="AE138">
        <v>8</v>
      </c>
      <c r="AF138">
        <v>7</v>
      </c>
      <c r="AG138">
        <v>1</v>
      </c>
      <c r="AH138">
        <v>9</v>
      </c>
      <c r="AI138">
        <v>8</v>
      </c>
      <c r="AJ138">
        <v>1</v>
      </c>
      <c r="AK138" t="s">
        <v>1759</v>
      </c>
      <c r="AL138" t="s">
        <v>1760</v>
      </c>
      <c r="AM138" t="s">
        <v>1761</v>
      </c>
      <c r="AN138" t="s">
        <v>1762</v>
      </c>
      <c r="AO138" t="s">
        <v>1763</v>
      </c>
      <c r="AP138" t="s">
        <v>1764</v>
      </c>
      <c r="AQ138" t="s">
        <v>1765</v>
      </c>
      <c r="AR138" t="s">
        <v>1766</v>
      </c>
      <c r="AS138" t="s">
        <v>1767</v>
      </c>
    </row>
    <row r="139" spans="1:45" x14ac:dyDescent="0.45">
      <c r="A139">
        <v>138</v>
      </c>
      <c r="B139">
        <v>179</v>
      </c>
      <c r="C139" t="s">
        <v>72</v>
      </c>
      <c r="D139" t="s">
        <v>81</v>
      </c>
      <c r="E139" t="s">
        <v>74</v>
      </c>
      <c r="F139" t="s">
        <v>75</v>
      </c>
      <c r="G139" t="s">
        <v>76</v>
      </c>
      <c r="H139">
        <v>15.140784211430701</v>
      </c>
      <c r="I139">
        <v>0</v>
      </c>
      <c r="J139">
        <v>7</v>
      </c>
      <c r="K139">
        <v>8</v>
      </c>
      <c r="L139">
        <v>-1</v>
      </c>
      <c r="M139">
        <v>6</v>
      </c>
      <c r="N139">
        <v>9</v>
      </c>
      <c r="O139">
        <v>-3</v>
      </c>
      <c r="P139">
        <v>9</v>
      </c>
      <c r="Q139">
        <v>7</v>
      </c>
      <c r="R139">
        <v>2</v>
      </c>
      <c r="S139">
        <v>9</v>
      </c>
      <c r="T139">
        <v>7</v>
      </c>
      <c r="U139">
        <v>2</v>
      </c>
      <c r="V139">
        <v>6</v>
      </c>
      <c r="W139">
        <v>6</v>
      </c>
      <c r="X139">
        <v>0</v>
      </c>
      <c r="Y139">
        <v>7</v>
      </c>
      <c r="Z139">
        <v>6</v>
      </c>
      <c r="AA139">
        <v>1</v>
      </c>
      <c r="AB139">
        <v>6</v>
      </c>
      <c r="AC139">
        <v>2</v>
      </c>
      <c r="AD139">
        <v>4</v>
      </c>
      <c r="AE139">
        <v>7</v>
      </c>
      <c r="AF139">
        <v>5</v>
      </c>
      <c r="AG139">
        <v>2</v>
      </c>
      <c r="AH139">
        <v>8</v>
      </c>
      <c r="AI139">
        <v>6</v>
      </c>
      <c r="AJ139">
        <v>2</v>
      </c>
      <c r="AK139" t="s">
        <v>1768</v>
      </c>
      <c r="AL139" t="s">
        <v>1769</v>
      </c>
      <c r="AM139" t="s">
        <v>1770</v>
      </c>
      <c r="AN139" t="s">
        <v>1771</v>
      </c>
      <c r="AO139" t="s">
        <v>1772</v>
      </c>
      <c r="AP139" t="s">
        <v>1773</v>
      </c>
      <c r="AQ139" t="s">
        <v>1774</v>
      </c>
      <c r="AR139" t="s">
        <v>1775</v>
      </c>
      <c r="AS139" t="s">
        <v>1776</v>
      </c>
    </row>
    <row r="140" spans="1:45" x14ac:dyDescent="0.45">
      <c r="A140">
        <v>139</v>
      </c>
      <c r="B140">
        <v>180</v>
      </c>
      <c r="C140" t="s">
        <v>72</v>
      </c>
      <c r="D140" t="s">
        <v>79</v>
      </c>
      <c r="E140" t="s">
        <v>74</v>
      </c>
      <c r="F140" t="s">
        <v>75</v>
      </c>
      <c r="G140" t="s">
        <v>76</v>
      </c>
      <c r="H140">
        <v>146.83240846076191</v>
      </c>
      <c r="I140">
        <v>2</v>
      </c>
      <c r="J140">
        <v>6</v>
      </c>
      <c r="K140">
        <v>5</v>
      </c>
      <c r="L140">
        <v>1</v>
      </c>
      <c r="M140">
        <v>6</v>
      </c>
      <c r="N140">
        <v>4</v>
      </c>
      <c r="O140">
        <v>2</v>
      </c>
      <c r="P140">
        <v>7</v>
      </c>
      <c r="Q140">
        <v>7</v>
      </c>
      <c r="R140">
        <v>0</v>
      </c>
      <c r="S140">
        <v>9</v>
      </c>
      <c r="T140">
        <v>6</v>
      </c>
      <c r="U140">
        <v>3</v>
      </c>
      <c r="V140">
        <v>6</v>
      </c>
      <c r="W140">
        <v>3</v>
      </c>
      <c r="X140">
        <v>3</v>
      </c>
      <c r="Y140">
        <v>8</v>
      </c>
      <c r="Z140">
        <v>4</v>
      </c>
      <c r="AA140">
        <v>4</v>
      </c>
      <c r="AB140">
        <v>7</v>
      </c>
      <c r="AC140">
        <v>4</v>
      </c>
      <c r="AD140">
        <v>3</v>
      </c>
      <c r="AE140">
        <v>8</v>
      </c>
      <c r="AF140">
        <v>5</v>
      </c>
      <c r="AG140">
        <v>3</v>
      </c>
      <c r="AH140">
        <v>9</v>
      </c>
      <c r="AI140">
        <v>5</v>
      </c>
      <c r="AJ140">
        <v>4</v>
      </c>
      <c r="AK140" t="s">
        <v>1777</v>
      </c>
      <c r="AL140" t="s">
        <v>1778</v>
      </c>
      <c r="AM140" t="s">
        <v>1779</v>
      </c>
      <c r="AN140" t="s">
        <v>1780</v>
      </c>
      <c r="AO140" t="s">
        <v>1781</v>
      </c>
      <c r="AP140" t="s">
        <v>1782</v>
      </c>
      <c r="AQ140" t="s">
        <v>1783</v>
      </c>
      <c r="AR140" t="s">
        <v>1784</v>
      </c>
      <c r="AS140" t="s">
        <v>1785</v>
      </c>
    </row>
    <row r="141" spans="1:45" x14ac:dyDescent="0.45">
      <c r="A141">
        <v>140</v>
      </c>
      <c r="B141">
        <v>181</v>
      </c>
      <c r="C141" t="s">
        <v>72</v>
      </c>
      <c r="D141" t="s">
        <v>73</v>
      </c>
      <c r="E141" t="s">
        <v>74</v>
      </c>
      <c r="F141" t="s">
        <v>77</v>
      </c>
      <c r="G141" t="s">
        <v>76</v>
      </c>
      <c r="H141">
        <v>27.096377940677293</v>
      </c>
      <c r="I141">
        <v>1</v>
      </c>
      <c r="J141">
        <v>7</v>
      </c>
      <c r="K141">
        <v>10</v>
      </c>
      <c r="L141">
        <v>-3</v>
      </c>
      <c r="M141">
        <v>6</v>
      </c>
      <c r="N141">
        <v>9</v>
      </c>
      <c r="O141">
        <v>-3</v>
      </c>
      <c r="P141">
        <v>7</v>
      </c>
      <c r="Q141">
        <v>9</v>
      </c>
      <c r="R141">
        <v>-2</v>
      </c>
      <c r="S141">
        <v>9</v>
      </c>
      <c r="T141">
        <v>9</v>
      </c>
      <c r="U141">
        <v>0</v>
      </c>
      <c r="V141">
        <v>8</v>
      </c>
      <c r="W141">
        <v>8</v>
      </c>
      <c r="X141">
        <v>0</v>
      </c>
      <c r="Y141">
        <v>9</v>
      </c>
      <c r="Z141">
        <v>8</v>
      </c>
      <c r="AA141">
        <v>1</v>
      </c>
      <c r="AB141">
        <v>8</v>
      </c>
      <c r="AC141">
        <v>8</v>
      </c>
      <c r="AD141">
        <v>0</v>
      </c>
      <c r="AE141">
        <v>7</v>
      </c>
      <c r="AF141">
        <v>8</v>
      </c>
      <c r="AG141">
        <v>-1</v>
      </c>
      <c r="AH141">
        <v>9</v>
      </c>
      <c r="AI141">
        <v>10</v>
      </c>
      <c r="AJ141">
        <v>-1</v>
      </c>
      <c r="AK141" t="s">
        <v>1786</v>
      </c>
      <c r="AL141" t="s">
        <v>1787</v>
      </c>
      <c r="AM141" t="s">
        <v>1788</v>
      </c>
      <c r="AN141" t="s">
        <v>1789</v>
      </c>
      <c r="AO141" t="s">
        <v>1790</v>
      </c>
      <c r="AP141" t="s">
        <v>1791</v>
      </c>
      <c r="AQ141" t="s">
        <v>1792</v>
      </c>
      <c r="AR141" t="s">
        <v>1793</v>
      </c>
      <c r="AS141" t="s">
        <v>1794</v>
      </c>
    </row>
    <row r="142" spans="1:45" x14ac:dyDescent="0.45">
      <c r="A142">
        <v>141</v>
      </c>
      <c r="B142">
        <v>182</v>
      </c>
      <c r="C142" t="s">
        <v>78</v>
      </c>
      <c r="D142" t="s">
        <v>73</v>
      </c>
      <c r="E142" t="s">
        <v>74</v>
      </c>
      <c r="F142" t="s">
        <v>77</v>
      </c>
      <c r="G142" t="s">
        <v>76</v>
      </c>
      <c r="H142">
        <v>28.971869558930631</v>
      </c>
      <c r="I142">
        <v>1</v>
      </c>
      <c r="J142">
        <v>9</v>
      </c>
      <c r="K142">
        <v>8</v>
      </c>
      <c r="L142">
        <v>1</v>
      </c>
      <c r="M142">
        <v>8</v>
      </c>
      <c r="N142">
        <v>7</v>
      </c>
      <c r="O142">
        <v>1</v>
      </c>
      <c r="P142">
        <v>9</v>
      </c>
      <c r="Q142">
        <v>6</v>
      </c>
      <c r="R142">
        <v>3</v>
      </c>
      <c r="S142">
        <v>8</v>
      </c>
      <c r="T142">
        <v>6</v>
      </c>
      <c r="U142">
        <v>2</v>
      </c>
      <c r="V142">
        <v>7</v>
      </c>
      <c r="W142">
        <v>5</v>
      </c>
      <c r="X142">
        <v>2</v>
      </c>
      <c r="Y142">
        <v>9</v>
      </c>
      <c r="Z142">
        <v>5</v>
      </c>
      <c r="AA142">
        <v>4</v>
      </c>
      <c r="AB142">
        <v>6</v>
      </c>
      <c r="AC142">
        <v>3</v>
      </c>
      <c r="AD142">
        <v>3</v>
      </c>
      <c r="AE142">
        <v>7</v>
      </c>
      <c r="AF142">
        <v>3</v>
      </c>
      <c r="AG142">
        <v>4</v>
      </c>
      <c r="AH142">
        <v>8</v>
      </c>
      <c r="AI142">
        <v>5</v>
      </c>
      <c r="AJ142">
        <v>3</v>
      </c>
      <c r="AK142" t="s">
        <v>1795</v>
      </c>
      <c r="AL142" t="s">
        <v>1796</v>
      </c>
      <c r="AM142" t="s">
        <v>1797</v>
      </c>
      <c r="AN142" t="s">
        <v>1798</v>
      </c>
      <c r="AO142" t="s">
        <v>1799</v>
      </c>
      <c r="AP142" t="s">
        <v>1800</v>
      </c>
      <c r="AQ142" t="s">
        <v>1801</v>
      </c>
      <c r="AR142" t="s">
        <v>1802</v>
      </c>
      <c r="AS142" t="s">
        <v>1803</v>
      </c>
    </row>
    <row r="143" spans="1:45" x14ac:dyDescent="0.45">
      <c r="A143">
        <v>142</v>
      </c>
      <c r="B143">
        <v>183</v>
      </c>
      <c r="C143" t="s">
        <v>78</v>
      </c>
      <c r="D143" t="s">
        <v>79</v>
      </c>
      <c r="E143" t="s">
        <v>74</v>
      </c>
      <c r="F143" t="s">
        <v>75</v>
      </c>
      <c r="G143" t="s">
        <v>76</v>
      </c>
      <c r="H143">
        <v>12</v>
      </c>
      <c r="I143">
        <v>1</v>
      </c>
      <c r="J143">
        <v>8</v>
      </c>
      <c r="K143">
        <v>5</v>
      </c>
      <c r="L143">
        <v>3</v>
      </c>
      <c r="M143">
        <v>9</v>
      </c>
      <c r="N143">
        <v>6</v>
      </c>
      <c r="O143">
        <v>3</v>
      </c>
      <c r="P143">
        <v>8</v>
      </c>
      <c r="Q143">
        <v>5</v>
      </c>
      <c r="R143">
        <v>3</v>
      </c>
      <c r="S143">
        <v>9</v>
      </c>
      <c r="T143">
        <v>7</v>
      </c>
      <c r="U143">
        <v>2</v>
      </c>
      <c r="V143">
        <v>8</v>
      </c>
      <c r="W143">
        <v>6</v>
      </c>
      <c r="X143">
        <v>2</v>
      </c>
      <c r="Y143">
        <v>9</v>
      </c>
      <c r="Z143">
        <v>6</v>
      </c>
      <c r="AA143">
        <v>3</v>
      </c>
      <c r="AB143">
        <v>8</v>
      </c>
      <c r="AC143">
        <v>6</v>
      </c>
      <c r="AD143">
        <v>2</v>
      </c>
      <c r="AE143">
        <v>9</v>
      </c>
      <c r="AF143">
        <v>7</v>
      </c>
      <c r="AG143">
        <v>2</v>
      </c>
      <c r="AH143">
        <v>9</v>
      </c>
      <c r="AI143">
        <v>7</v>
      </c>
      <c r="AJ143">
        <v>2</v>
      </c>
      <c r="AK143" t="s">
        <v>456</v>
      </c>
      <c r="AL143" t="s">
        <v>457</v>
      </c>
      <c r="AM143" t="s">
        <v>458</v>
      </c>
      <c r="AN143" t="s">
        <v>459</v>
      </c>
      <c r="AO143" t="s">
        <v>460</v>
      </c>
      <c r="AP143" t="s">
        <v>461</v>
      </c>
      <c r="AQ143" t="s">
        <v>462</v>
      </c>
      <c r="AR143" t="s">
        <v>463</v>
      </c>
      <c r="AS143" t="s">
        <v>464</v>
      </c>
    </row>
    <row r="144" spans="1:45" x14ac:dyDescent="0.45">
      <c r="A144">
        <v>143</v>
      </c>
      <c r="B144">
        <v>184</v>
      </c>
      <c r="C144" t="s">
        <v>78</v>
      </c>
      <c r="D144" t="s">
        <v>73</v>
      </c>
      <c r="E144" t="s">
        <v>74</v>
      </c>
      <c r="F144" t="s">
        <v>75</v>
      </c>
      <c r="G144" t="s">
        <v>76</v>
      </c>
      <c r="H144">
        <v>203.84268490148614</v>
      </c>
      <c r="I144">
        <v>0</v>
      </c>
      <c r="J144">
        <v>7</v>
      </c>
      <c r="K144">
        <v>1</v>
      </c>
      <c r="L144">
        <v>6</v>
      </c>
      <c r="M144">
        <v>6</v>
      </c>
      <c r="N144">
        <v>1</v>
      </c>
      <c r="O144">
        <v>5</v>
      </c>
      <c r="P144">
        <v>9</v>
      </c>
      <c r="Q144">
        <v>8</v>
      </c>
      <c r="R144">
        <v>1</v>
      </c>
      <c r="S144">
        <v>8</v>
      </c>
      <c r="T144">
        <v>8</v>
      </c>
      <c r="U144">
        <v>0</v>
      </c>
      <c r="V144">
        <v>9</v>
      </c>
      <c r="W144">
        <v>8</v>
      </c>
      <c r="X144">
        <v>1</v>
      </c>
      <c r="Y144">
        <v>8</v>
      </c>
      <c r="Z144">
        <v>8</v>
      </c>
      <c r="AA144">
        <v>0</v>
      </c>
      <c r="AB144">
        <v>9</v>
      </c>
      <c r="AC144">
        <v>8</v>
      </c>
      <c r="AD144">
        <v>1</v>
      </c>
      <c r="AE144">
        <v>7</v>
      </c>
      <c r="AF144">
        <v>8</v>
      </c>
      <c r="AG144">
        <v>-1</v>
      </c>
      <c r="AH144">
        <v>9</v>
      </c>
      <c r="AI144">
        <v>8</v>
      </c>
      <c r="AJ144">
        <v>1</v>
      </c>
      <c r="AK144" t="s">
        <v>1804</v>
      </c>
      <c r="AL144" t="s">
        <v>1805</v>
      </c>
      <c r="AM144" t="s">
        <v>1806</v>
      </c>
      <c r="AN144" t="s">
        <v>1807</v>
      </c>
      <c r="AO144" t="s">
        <v>1808</v>
      </c>
      <c r="AP144" t="s">
        <v>1809</v>
      </c>
      <c r="AQ144" t="s">
        <v>1810</v>
      </c>
      <c r="AR144" t="s">
        <v>1811</v>
      </c>
      <c r="AS144" t="s">
        <v>1812</v>
      </c>
    </row>
    <row r="145" spans="1:45" x14ac:dyDescent="0.45">
      <c r="A145">
        <v>144</v>
      </c>
      <c r="B145">
        <v>185</v>
      </c>
      <c r="C145" t="s">
        <v>72</v>
      </c>
      <c r="D145" t="s">
        <v>191</v>
      </c>
      <c r="E145" t="s">
        <v>74</v>
      </c>
      <c r="F145" t="s">
        <v>77</v>
      </c>
      <c r="G145" t="s">
        <v>76</v>
      </c>
      <c r="H145">
        <v>56.009713937760701</v>
      </c>
      <c r="I145">
        <v>2</v>
      </c>
      <c r="J145">
        <v>9</v>
      </c>
      <c r="K145">
        <v>9</v>
      </c>
      <c r="L145">
        <v>0</v>
      </c>
      <c r="M145">
        <v>9</v>
      </c>
      <c r="N145">
        <v>9</v>
      </c>
      <c r="O145">
        <v>0</v>
      </c>
      <c r="P145">
        <v>8</v>
      </c>
      <c r="Q145">
        <v>9</v>
      </c>
      <c r="R145">
        <v>-1</v>
      </c>
      <c r="S145">
        <v>9</v>
      </c>
      <c r="T145">
        <v>9</v>
      </c>
      <c r="U145">
        <v>0</v>
      </c>
      <c r="V145">
        <v>8</v>
      </c>
      <c r="W145">
        <v>10</v>
      </c>
      <c r="X145">
        <v>-2</v>
      </c>
      <c r="Y145">
        <v>9</v>
      </c>
      <c r="Z145">
        <v>5</v>
      </c>
      <c r="AA145">
        <v>4</v>
      </c>
      <c r="AB145">
        <v>8</v>
      </c>
      <c r="AC145">
        <v>9</v>
      </c>
      <c r="AD145">
        <v>-1</v>
      </c>
      <c r="AE145">
        <v>9</v>
      </c>
      <c r="AF145">
        <v>9</v>
      </c>
      <c r="AG145">
        <v>0</v>
      </c>
      <c r="AH145">
        <v>10</v>
      </c>
      <c r="AI145">
        <v>10</v>
      </c>
      <c r="AJ145">
        <v>0</v>
      </c>
      <c r="AK145" t="s">
        <v>1813</v>
      </c>
      <c r="AL145" t="s">
        <v>1814</v>
      </c>
      <c r="AM145" t="s">
        <v>1815</v>
      </c>
      <c r="AN145" t="s">
        <v>1816</v>
      </c>
      <c r="AO145" t="s">
        <v>1817</v>
      </c>
      <c r="AP145" t="s">
        <v>1818</v>
      </c>
      <c r="AQ145" t="s">
        <v>1819</v>
      </c>
      <c r="AR145" t="s">
        <v>1820</v>
      </c>
      <c r="AS145" t="s">
        <v>1821</v>
      </c>
    </row>
    <row r="146" spans="1:45" x14ac:dyDescent="0.45">
      <c r="A146">
        <v>145</v>
      </c>
      <c r="B146">
        <v>186</v>
      </c>
      <c r="C146" t="s">
        <v>72</v>
      </c>
      <c r="D146" t="s">
        <v>79</v>
      </c>
      <c r="E146" t="s">
        <v>74</v>
      </c>
      <c r="F146" t="s">
        <v>77</v>
      </c>
      <c r="G146" t="s">
        <v>76</v>
      </c>
      <c r="H146">
        <v>53.381056109162323</v>
      </c>
      <c r="I146">
        <v>2</v>
      </c>
      <c r="J146">
        <v>5</v>
      </c>
      <c r="K146">
        <v>10</v>
      </c>
      <c r="L146">
        <v>-5</v>
      </c>
      <c r="M146">
        <v>6</v>
      </c>
      <c r="N146">
        <v>10</v>
      </c>
      <c r="O146">
        <v>-4</v>
      </c>
      <c r="P146">
        <v>8</v>
      </c>
      <c r="Q146">
        <v>9</v>
      </c>
      <c r="R146">
        <v>-1</v>
      </c>
      <c r="S146">
        <v>9</v>
      </c>
      <c r="T146">
        <v>6</v>
      </c>
      <c r="U146">
        <v>3</v>
      </c>
      <c r="V146">
        <v>7</v>
      </c>
      <c r="W146">
        <v>6</v>
      </c>
      <c r="X146">
        <v>1</v>
      </c>
      <c r="Y146">
        <v>9</v>
      </c>
      <c r="Z146">
        <v>3</v>
      </c>
      <c r="AA146">
        <v>6</v>
      </c>
      <c r="AB146">
        <v>8</v>
      </c>
      <c r="AC146">
        <v>5</v>
      </c>
      <c r="AD146">
        <v>3</v>
      </c>
      <c r="AE146">
        <v>9</v>
      </c>
      <c r="AF146">
        <v>5</v>
      </c>
      <c r="AG146">
        <v>4</v>
      </c>
      <c r="AH146">
        <v>8</v>
      </c>
      <c r="AI146">
        <v>1</v>
      </c>
      <c r="AJ146">
        <v>7</v>
      </c>
      <c r="AK146" t="s">
        <v>1822</v>
      </c>
      <c r="AL146" t="s">
        <v>1823</v>
      </c>
      <c r="AM146" t="s">
        <v>1824</v>
      </c>
      <c r="AN146" t="s">
        <v>1825</v>
      </c>
      <c r="AO146" t="s">
        <v>1826</v>
      </c>
      <c r="AP146" t="s">
        <v>1827</v>
      </c>
      <c r="AQ146" t="s">
        <v>1828</v>
      </c>
      <c r="AR146" t="s">
        <v>1829</v>
      </c>
      <c r="AS146" t="s">
        <v>1830</v>
      </c>
    </row>
    <row r="147" spans="1:45" x14ac:dyDescent="0.45">
      <c r="A147">
        <v>146</v>
      </c>
      <c r="B147">
        <v>187</v>
      </c>
      <c r="C147" t="s">
        <v>72</v>
      </c>
      <c r="D147" t="s">
        <v>79</v>
      </c>
      <c r="E147" t="s">
        <v>74</v>
      </c>
      <c r="F147" t="s">
        <v>77</v>
      </c>
      <c r="G147" t="s">
        <v>76</v>
      </c>
      <c r="H147">
        <v>93.090341062768715</v>
      </c>
      <c r="I147">
        <v>3</v>
      </c>
      <c r="J147">
        <v>7</v>
      </c>
      <c r="K147">
        <v>8</v>
      </c>
      <c r="L147">
        <v>-1</v>
      </c>
      <c r="M147">
        <v>8</v>
      </c>
      <c r="N147">
        <v>8</v>
      </c>
      <c r="O147">
        <v>0</v>
      </c>
      <c r="P147">
        <v>6</v>
      </c>
      <c r="Q147">
        <v>5</v>
      </c>
      <c r="R147">
        <v>1</v>
      </c>
      <c r="S147">
        <v>9</v>
      </c>
      <c r="T147">
        <v>5</v>
      </c>
      <c r="U147">
        <v>4</v>
      </c>
      <c r="V147">
        <v>7</v>
      </c>
      <c r="W147">
        <v>5</v>
      </c>
      <c r="X147">
        <v>2</v>
      </c>
      <c r="Y147">
        <v>9</v>
      </c>
      <c r="Z147">
        <v>3</v>
      </c>
      <c r="AA147">
        <v>6</v>
      </c>
      <c r="AB147">
        <v>7</v>
      </c>
      <c r="AC147">
        <v>5</v>
      </c>
      <c r="AD147">
        <v>2</v>
      </c>
      <c r="AE147">
        <v>8</v>
      </c>
      <c r="AF147">
        <v>5</v>
      </c>
      <c r="AG147">
        <v>3</v>
      </c>
      <c r="AH147">
        <v>9</v>
      </c>
      <c r="AI147">
        <v>5</v>
      </c>
      <c r="AJ147">
        <v>4</v>
      </c>
      <c r="AK147" t="s">
        <v>752</v>
      </c>
      <c r="AL147" t="s">
        <v>753</v>
      </c>
      <c r="AM147" t="s">
        <v>1831</v>
      </c>
      <c r="AN147" t="s">
        <v>1832</v>
      </c>
      <c r="AO147" t="s">
        <v>1833</v>
      </c>
      <c r="AP147" t="s">
        <v>1834</v>
      </c>
      <c r="AQ147" t="s">
        <v>1835</v>
      </c>
      <c r="AR147" t="s">
        <v>1836</v>
      </c>
      <c r="AS147" t="s">
        <v>1837</v>
      </c>
    </row>
    <row r="148" spans="1:45" x14ac:dyDescent="0.45">
      <c r="A148">
        <v>147</v>
      </c>
      <c r="B148">
        <v>188</v>
      </c>
      <c r="C148" t="s">
        <v>72</v>
      </c>
      <c r="D148" t="s">
        <v>193</v>
      </c>
      <c r="E148" t="s">
        <v>74</v>
      </c>
      <c r="F148" t="s">
        <v>75</v>
      </c>
      <c r="G148" t="s">
        <v>76</v>
      </c>
      <c r="H148">
        <v>122.63747376055527</v>
      </c>
      <c r="I148">
        <v>0</v>
      </c>
      <c r="J148">
        <v>8</v>
      </c>
      <c r="K148">
        <v>7</v>
      </c>
      <c r="L148">
        <v>1</v>
      </c>
      <c r="M148">
        <v>8</v>
      </c>
      <c r="N148">
        <v>7</v>
      </c>
      <c r="O148">
        <v>1</v>
      </c>
      <c r="P148">
        <v>9</v>
      </c>
      <c r="Q148">
        <v>1</v>
      </c>
      <c r="R148">
        <v>8</v>
      </c>
      <c r="S148">
        <v>9</v>
      </c>
      <c r="T148">
        <v>6</v>
      </c>
      <c r="U148">
        <v>3</v>
      </c>
      <c r="V148">
        <v>8</v>
      </c>
      <c r="W148">
        <v>3</v>
      </c>
      <c r="X148">
        <v>5</v>
      </c>
      <c r="Y148">
        <v>9</v>
      </c>
      <c r="Z148">
        <v>5</v>
      </c>
      <c r="AA148">
        <v>4</v>
      </c>
      <c r="AB148">
        <v>8</v>
      </c>
      <c r="AC148">
        <v>1</v>
      </c>
      <c r="AD148">
        <v>7</v>
      </c>
      <c r="AE148">
        <v>9</v>
      </c>
      <c r="AF148">
        <v>4</v>
      </c>
      <c r="AG148">
        <v>5</v>
      </c>
      <c r="AH148">
        <v>9</v>
      </c>
      <c r="AI148">
        <v>5</v>
      </c>
      <c r="AJ148">
        <v>4</v>
      </c>
      <c r="AK148" t="s">
        <v>754</v>
      </c>
      <c r="AL148" t="s">
        <v>1838</v>
      </c>
      <c r="AM148" t="s">
        <v>1839</v>
      </c>
      <c r="AN148" t="s">
        <v>1840</v>
      </c>
      <c r="AO148" t="s">
        <v>1841</v>
      </c>
      <c r="AP148" t="s">
        <v>1842</v>
      </c>
      <c r="AQ148" t="s">
        <v>1843</v>
      </c>
      <c r="AR148" t="s">
        <v>1844</v>
      </c>
      <c r="AS148" t="s">
        <v>1845</v>
      </c>
    </row>
    <row r="149" spans="1:45" x14ac:dyDescent="0.45">
      <c r="A149">
        <v>148</v>
      </c>
      <c r="B149">
        <v>189</v>
      </c>
      <c r="C149" t="s">
        <v>78</v>
      </c>
      <c r="D149" t="s">
        <v>81</v>
      </c>
      <c r="E149" t="s">
        <v>74</v>
      </c>
      <c r="F149" t="s">
        <v>77</v>
      </c>
      <c r="G149" t="s">
        <v>76</v>
      </c>
      <c r="H149">
        <v>19.575929224705416</v>
      </c>
      <c r="I149">
        <v>0</v>
      </c>
      <c r="J149">
        <v>9</v>
      </c>
      <c r="K149">
        <v>6</v>
      </c>
      <c r="L149">
        <v>3</v>
      </c>
      <c r="M149">
        <v>8</v>
      </c>
      <c r="N149">
        <v>6</v>
      </c>
      <c r="O149">
        <v>2</v>
      </c>
      <c r="P149">
        <v>9</v>
      </c>
      <c r="Q149">
        <v>5</v>
      </c>
      <c r="R149">
        <v>4</v>
      </c>
      <c r="S149">
        <v>8</v>
      </c>
      <c r="T149">
        <v>7</v>
      </c>
      <c r="U149">
        <v>1</v>
      </c>
      <c r="V149">
        <v>9</v>
      </c>
      <c r="W149">
        <v>5</v>
      </c>
      <c r="X149">
        <v>4</v>
      </c>
      <c r="Y149">
        <v>8</v>
      </c>
      <c r="Z149">
        <v>7</v>
      </c>
      <c r="AA149">
        <v>1</v>
      </c>
      <c r="AB149">
        <v>9</v>
      </c>
      <c r="AC149">
        <v>5</v>
      </c>
      <c r="AD149">
        <v>4</v>
      </c>
      <c r="AE149">
        <v>8</v>
      </c>
      <c r="AF149">
        <v>6</v>
      </c>
      <c r="AG149">
        <v>2</v>
      </c>
      <c r="AH149">
        <v>9</v>
      </c>
      <c r="AI149">
        <v>7</v>
      </c>
      <c r="AJ149">
        <v>2</v>
      </c>
      <c r="AK149" t="s">
        <v>1846</v>
      </c>
      <c r="AL149" t="s">
        <v>1847</v>
      </c>
      <c r="AM149" t="s">
        <v>1848</v>
      </c>
      <c r="AN149" t="s">
        <v>1849</v>
      </c>
      <c r="AO149" t="s">
        <v>1850</v>
      </c>
      <c r="AP149" t="s">
        <v>1851</v>
      </c>
      <c r="AQ149" t="s">
        <v>1852</v>
      </c>
      <c r="AR149" t="s">
        <v>1853</v>
      </c>
      <c r="AS149" t="s">
        <v>1854</v>
      </c>
    </row>
    <row r="150" spans="1:45" x14ac:dyDescent="0.45">
      <c r="A150">
        <v>149</v>
      </c>
      <c r="B150">
        <v>190</v>
      </c>
      <c r="C150" t="s">
        <v>72</v>
      </c>
      <c r="D150" t="s">
        <v>79</v>
      </c>
      <c r="E150" t="s">
        <v>74</v>
      </c>
      <c r="F150" t="s">
        <v>77</v>
      </c>
      <c r="G150" t="s">
        <v>76</v>
      </c>
      <c r="H150">
        <v>130.91660072990831</v>
      </c>
      <c r="I150">
        <v>3</v>
      </c>
      <c r="J150">
        <v>6</v>
      </c>
      <c r="K150">
        <v>10</v>
      </c>
      <c r="L150">
        <v>-4</v>
      </c>
      <c r="M150">
        <v>7</v>
      </c>
      <c r="N150">
        <v>10</v>
      </c>
      <c r="O150">
        <v>-3</v>
      </c>
      <c r="P150">
        <v>9</v>
      </c>
      <c r="Q150">
        <v>7</v>
      </c>
      <c r="R150">
        <v>2</v>
      </c>
      <c r="S150">
        <v>9</v>
      </c>
      <c r="T150">
        <v>8</v>
      </c>
      <c r="U150">
        <v>1</v>
      </c>
      <c r="V150">
        <v>8</v>
      </c>
      <c r="W150">
        <v>8</v>
      </c>
      <c r="X150">
        <v>0</v>
      </c>
      <c r="Y150">
        <v>9</v>
      </c>
      <c r="Z150">
        <v>4</v>
      </c>
      <c r="AA150">
        <v>5</v>
      </c>
      <c r="AB150">
        <v>8</v>
      </c>
      <c r="AC150">
        <v>1</v>
      </c>
      <c r="AD150">
        <v>7</v>
      </c>
      <c r="AE150">
        <v>9</v>
      </c>
      <c r="AF150">
        <v>3</v>
      </c>
      <c r="AG150">
        <v>6</v>
      </c>
      <c r="AH150">
        <v>8</v>
      </c>
      <c r="AI150">
        <v>6</v>
      </c>
      <c r="AJ150">
        <v>2</v>
      </c>
      <c r="AK150" t="s">
        <v>1855</v>
      </c>
      <c r="AL150" t="s">
        <v>1856</v>
      </c>
      <c r="AM150" t="s">
        <v>1857</v>
      </c>
      <c r="AN150" t="s">
        <v>1858</v>
      </c>
      <c r="AO150" t="s">
        <v>1859</v>
      </c>
      <c r="AP150" t="s">
        <v>1860</v>
      </c>
      <c r="AQ150" t="s">
        <v>1861</v>
      </c>
      <c r="AR150" t="s">
        <v>1862</v>
      </c>
      <c r="AS150" t="s">
        <v>1863</v>
      </c>
    </row>
    <row r="151" spans="1:45" x14ac:dyDescent="0.45">
      <c r="A151">
        <v>150</v>
      </c>
      <c r="B151">
        <v>191</v>
      </c>
      <c r="C151" t="s">
        <v>72</v>
      </c>
      <c r="D151" t="s">
        <v>79</v>
      </c>
      <c r="E151" t="s">
        <v>74</v>
      </c>
      <c r="F151" t="s">
        <v>77</v>
      </c>
      <c r="G151" t="s">
        <v>76</v>
      </c>
      <c r="H151">
        <v>64.91024447298237</v>
      </c>
      <c r="I151">
        <v>2</v>
      </c>
      <c r="J151">
        <v>7</v>
      </c>
      <c r="K151">
        <v>7</v>
      </c>
      <c r="L151">
        <v>0</v>
      </c>
      <c r="M151">
        <v>6</v>
      </c>
      <c r="N151">
        <v>10</v>
      </c>
      <c r="O151">
        <v>-4</v>
      </c>
      <c r="P151">
        <v>8</v>
      </c>
      <c r="Q151">
        <v>5</v>
      </c>
      <c r="R151">
        <v>3</v>
      </c>
      <c r="S151">
        <v>9</v>
      </c>
      <c r="T151">
        <v>7</v>
      </c>
      <c r="U151">
        <v>2</v>
      </c>
      <c r="V151">
        <v>7</v>
      </c>
      <c r="W151">
        <v>7</v>
      </c>
      <c r="X151">
        <v>0</v>
      </c>
      <c r="Y151">
        <v>9</v>
      </c>
      <c r="Z151">
        <v>7</v>
      </c>
      <c r="AA151">
        <v>2</v>
      </c>
      <c r="AB151">
        <v>6</v>
      </c>
      <c r="AC151">
        <v>7</v>
      </c>
      <c r="AD151">
        <v>-1</v>
      </c>
      <c r="AE151">
        <v>7</v>
      </c>
      <c r="AF151">
        <v>7</v>
      </c>
      <c r="AG151">
        <v>0</v>
      </c>
      <c r="AH151">
        <v>8</v>
      </c>
      <c r="AI151">
        <v>10</v>
      </c>
      <c r="AJ151">
        <v>-2</v>
      </c>
      <c r="AK151" t="s">
        <v>1864</v>
      </c>
      <c r="AL151" t="s">
        <v>1865</v>
      </c>
      <c r="AM151" t="s">
        <v>1866</v>
      </c>
      <c r="AN151" t="s">
        <v>1867</v>
      </c>
      <c r="AO151" t="s">
        <v>1868</v>
      </c>
      <c r="AP151" t="s">
        <v>1869</v>
      </c>
      <c r="AQ151" t="s">
        <v>1870</v>
      </c>
      <c r="AR151" t="s">
        <v>1871</v>
      </c>
      <c r="AS151" t="s">
        <v>1872</v>
      </c>
    </row>
    <row r="152" spans="1:45" x14ac:dyDescent="0.45">
      <c r="A152">
        <v>151</v>
      </c>
      <c r="B152">
        <v>192</v>
      </c>
      <c r="C152" t="s">
        <v>72</v>
      </c>
      <c r="D152" t="s">
        <v>73</v>
      </c>
      <c r="E152" t="s">
        <v>74</v>
      </c>
      <c r="F152" t="s">
        <v>77</v>
      </c>
      <c r="G152" t="s">
        <v>76</v>
      </c>
      <c r="H152">
        <v>99.654731348476687</v>
      </c>
      <c r="I152">
        <v>2</v>
      </c>
      <c r="J152">
        <v>7</v>
      </c>
      <c r="K152">
        <v>8</v>
      </c>
      <c r="L152">
        <v>-1</v>
      </c>
      <c r="M152">
        <v>9</v>
      </c>
      <c r="N152">
        <v>8</v>
      </c>
      <c r="O152">
        <v>1</v>
      </c>
      <c r="P152">
        <v>8</v>
      </c>
      <c r="Q152">
        <v>8</v>
      </c>
      <c r="R152">
        <v>0</v>
      </c>
      <c r="S152">
        <v>9</v>
      </c>
      <c r="T152">
        <v>8</v>
      </c>
      <c r="U152">
        <v>1</v>
      </c>
      <c r="V152">
        <v>7</v>
      </c>
      <c r="W152">
        <v>8</v>
      </c>
      <c r="X152">
        <v>-1</v>
      </c>
      <c r="Y152">
        <v>8</v>
      </c>
      <c r="Z152">
        <v>8</v>
      </c>
      <c r="AA152">
        <v>0</v>
      </c>
      <c r="AB152">
        <v>6</v>
      </c>
      <c r="AC152">
        <v>8</v>
      </c>
      <c r="AD152">
        <v>-2</v>
      </c>
      <c r="AE152">
        <v>9</v>
      </c>
      <c r="AF152">
        <v>8</v>
      </c>
      <c r="AG152">
        <v>1</v>
      </c>
      <c r="AH152">
        <v>8</v>
      </c>
      <c r="AI152">
        <v>8</v>
      </c>
      <c r="AJ152">
        <v>0</v>
      </c>
      <c r="AK152" t="s">
        <v>1873</v>
      </c>
      <c r="AL152" t="s">
        <v>1874</v>
      </c>
      <c r="AM152" t="s">
        <v>1875</v>
      </c>
      <c r="AN152" t="s">
        <v>1876</v>
      </c>
      <c r="AO152" t="s">
        <v>1877</v>
      </c>
      <c r="AP152" t="s">
        <v>1878</v>
      </c>
      <c r="AQ152" t="s">
        <v>1879</v>
      </c>
      <c r="AR152" t="s">
        <v>1880</v>
      </c>
      <c r="AS152" t="s">
        <v>1881</v>
      </c>
    </row>
    <row r="153" spans="1:45" x14ac:dyDescent="0.45">
      <c r="A153">
        <v>152</v>
      </c>
      <c r="B153">
        <v>193</v>
      </c>
      <c r="C153" t="s">
        <v>72</v>
      </c>
      <c r="D153" t="s">
        <v>79</v>
      </c>
      <c r="E153" t="s">
        <v>74</v>
      </c>
      <c r="F153" t="s">
        <v>75</v>
      </c>
      <c r="G153" t="s">
        <v>76</v>
      </c>
      <c r="H153">
        <v>75.496027824512325</v>
      </c>
      <c r="I153">
        <v>2</v>
      </c>
      <c r="J153">
        <v>6</v>
      </c>
      <c r="K153">
        <v>10</v>
      </c>
      <c r="L153">
        <v>-4</v>
      </c>
      <c r="M153">
        <v>7</v>
      </c>
      <c r="N153">
        <v>10</v>
      </c>
      <c r="O153">
        <v>-3</v>
      </c>
      <c r="P153">
        <v>8</v>
      </c>
      <c r="Q153">
        <v>10</v>
      </c>
      <c r="R153">
        <v>-2</v>
      </c>
      <c r="S153">
        <v>9</v>
      </c>
      <c r="T153">
        <v>10</v>
      </c>
      <c r="U153">
        <v>-1</v>
      </c>
      <c r="V153">
        <v>8</v>
      </c>
      <c r="W153">
        <v>10</v>
      </c>
      <c r="X153">
        <v>-2</v>
      </c>
      <c r="Y153">
        <v>9</v>
      </c>
      <c r="Z153">
        <v>10</v>
      </c>
      <c r="AA153">
        <v>-1</v>
      </c>
      <c r="AB153">
        <v>8</v>
      </c>
      <c r="AC153">
        <v>10</v>
      </c>
      <c r="AD153">
        <v>-2</v>
      </c>
      <c r="AE153">
        <v>7</v>
      </c>
      <c r="AF153">
        <v>10</v>
      </c>
      <c r="AG153">
        <v>-3</v>
      </c>
      <c r="AH153">
        <v>9</v>
      </c>
      <c r="AI153">
        <v>10</v>
      </c>
      <c r="AJ153">
        <v>-1</v>
      </c>
      <c r="AK153" t="s">
        <v>1882</v>
      </c>
      <c r="AL153" t="s">
        <v>1883</v>
      </c>
      <c r="AM153" t="s">
        <v>1884</v>
      </c>
      <c r="AN153" t="s">
        <v>1885</v>
      </c>
      <c r="AO153" t="s">
        <v>1886</v>
      </c>
      <c r="AP153" t="s">
        <v>1887</v>
      </c>
      <c r="AQ153" t="s">
        <v>1888</v>
      </c>
      <c r="AR153" t="s">
        <v>1889</v>
      </c>
      <c r="AS153" t="s">
        <v>1890</v>
      </c>
    </row>
    <row r="154" spans="1:45" x14ac:dyDescent="0.45">
      <c r="A154">
        <v>153</v>
      </c>
      <c r="B154">
        <v>194</v>
      </c>
      <c r="C154" t="s">
        <v>78</v>
      </c>
      <c r="D154" t="s">
        <v>73</v>
      </c>
      <c r="E154" t="s">
        <v>74</v>
      </c>
      <c r="F154" t="s">
        <v>77</v>
      </c>
      <c r="G154" t="s">
        <v>76</v>
      </c>
      <c r="H154">
        <v>12</v>
      </c>
      <c r="I154">
        <v>1</v>
      </c>
      <c r="J154">
        <v>10</v>
      </c>
      <c r="K154">
        <v>7</v>
      </c>
      <c r="L154">
        <v>3</v>
      </c>
      <c r="M154">
        <v>2</v>
      </c>
      <c r="N154">
        <v>7</v>
      </c>
      <c r="O154">
        <v>-5</v>
      </c>
      <c r="P154">
        <v>10</v>
      </c>
      <c r="Q154">
        <v>5</v>
      </c>
      <c r="R154">
        <v>5</v>
      </c>
      <c r="S154">
        <v>10</v>
      </c>
      <c r="T154">
        <v>7</v>
      </c>
      <c r="U154">
        <v>3</v>
      </c>
      <c r="V154">
        <v>10</v>
      </c>
      <c r="W154">
        <v>7</v>
      </c>
      <c r="X154">
        <v>3</v>
      </c>
      <c r="Y154">
        <v>10</v>
      </c>
      <c r="Z154">
        <v>7</v>
      </c>
      <c r="AA154">
        <v>3</v>
      </c>
      <c r="AB154">
        <v>10</v>
      </c>
      <c r="AC154">
        <v>7</v>
      </c>
      <c r="AD154">
        <v>3</v>
      </c>
      <c r="AE154">
        <v>10</v>
      </c>
      <c r="AF154">
        <v>7</v>
      </c>
      <c r="AG154">
        <v>3</v>
      </c>
      <c r="AH154">
        <v>10</v>
      </c>
      <c r="AI154">
        <v>7</v>
      </c>
      <c r="AJ154">
        <v>3</v>
      </c>
      <c r="AK154" t="s">
        <v>465</v>
      </c>
      <c r="AL154" t="s">
        <v>466</v>
      </c>
      <c r="AM154" t="s">
        <v>467</v>
      </c>
      <c r="AN154" t="s">
        <v>468</v>
      </c>
      <c r="AO154" t="s">
        <v>469</v>
      </c>
      <c r="AP154" t="s">
        <v>470</v>
      </c>
      <c r="AQ154" t="s">
        <v>471</v>
      </c>
      <c r="AR154" t="s">
        <v>472</v>
      </c>
      <c r="AS154" t="s">
        <v>473</v>
      </c>
    </row>
    <row r="155" spans="1:45" x14ac:dyDescent="0.45">
      <c r="A155">
        <v>154</v>
      </c>
      <c r="B155">
        <v>195</v>
      </c>
      <c r="C155" t="s">
        <v>72</v>
      </c>
      <c r="D155" t="s">
        <v>81</v>
      </c>
      <c r="E155" t="s">
        <v>74</v>
      </c>
      <c r="F155" t="s">
        <v>77</v>
      </c>
      <c r="G155" t="s">
        <v>76</v>
      </c>
      <c r="H155">
        <v>12</v>
      </c>
      <c r="I155">
        <v>2</v>
      </c>
      <c r="J155">
        <v>6</v>
      </c>
      <c r="K155">
        <v>7</v>
      </c>
      <c r="L155">
        <v>-1</v>
      </c>
      <c r="M155">
        <v>7</v>
      </c>
      <c r="N155">
        <v>8</v>
      </c>
      <c r="O155">
        <v>-1</v>
      </c>
      <c r="P155">
        <v>9</v>
      </c>
      <c r="Q155">
        <v>8</v>
      </c>
      <c r="R155">
        <v>1</v>
      </c>
      <c r="S155">
        <v>8</v>
      </c>
      <c r="T155">
        <v>8</v>
      </c>
      <c r="U155">
        <v>0</v>
      </c>
      <c r="V155">
        <v>9</v>
      </c>
      <c r="W155">
        <v>6</v>
      </c>
      <c r="X155">
        <v>3</v>
      </c>
      <c r="Y155">
        <v>8</v>
      </c>
      <c r="Z155">
        <v>8</v>
      </c>
      <c r="AA155">
        <v>0</v>
      </c>
      <c r="AB155">
        <v>9</v>
      </c>
      <c r="AC155">
        <v>5</v>
      </c>
      <c r="AD155">
        <v>4</v>
      </c>
      <c r="AE155">
        <v>8</v>
      </c>
      <c r="AF155">
        <v>8</v>
      </c>
      <c r="AG155">
        <v>0</v>
      </c>
      <c r="AH155">
        <v>9</v>
      </c>
      <c r="AI155">
        <v>8</v>
      </c>
      <c r="AJ155">
        <v>1</v>
      </c>
      <c r="AK155" t="s">
        <v>474</v>
      </c>
      <c r="AL155" t="s">
        <v>475</v>
      </c>
      <c r="AM155" t="s">
        <v>476</v>
      </c>
      <c r="AN155" t="s">
        <v>477</v>
      </c>
      <c r="AO155" t="s">
        <v>478</v>
      </c>
      <c r="AP155" t="s">
        <v>479</v>
      </c>
      <c r="AQ155" t="s">
        <v>480</v>
      </c>
      <c r="AR155" t="s">
        <v>201</v>
      </c>
      <c r="AS155" t="s">
        <v>481</v>
      </c>
    </row>
    <row r="156" spans="1:45" x14ac:dyDescent="0.45">
      <c r="A156">
        <v>155</v>
      </c>
      <c r="B156">
        <v>196</v>
      </c>
      <c r="C156" t="s">
        <v>72</v>
      </c>
      <c r="D156" t="s">
        <v>73</v>
      </c>
      <c r="E156" t="s">
        <v>74</v>
      </c>
      <c r="F156" t="s">
        <v>75</v>
      </c>
      <c r="G156" t="s">
        <v>76</v>
      </c>
      <c r="H156">
        <v>49.56805591050923</v>
      </c>
      <c r="I156">
        <v>1</v>
      </c>
      <c r="J156">
        <v>7</v>
      </c>
      <c r="K156">
        <v>10</v>
      </c>
      <c r="L156">
        <v>-3</v>
      </c>
      <c r="M156">
        <v>8</v>
      </c>
      <c r="N156">
        <v>10</v>
      </c>
      <c r="O156">
        <v>-2</v>
      </c>
      <c r="P156">
        <v>7</v>
      </c>
      <c r="Q156">
        <v>10</v>
      </c>
      <c r="R156">
        <v>-3</v>
      </c>
      <c r="S156">
        <v>9</v>
      </c>
      <c r="T156">
        <v>10</v>
      </c>
      <c r="U156">
        <v>-1</v>
      </c>
      <c r="V156">
        <v>6</v>
      </c>
      <c r="W156">
        <v>10</v>
      </c>
      <c r="X156">
        <v>-4</v>
      </c>
      <c r="Y156">
        <v>8</v>
      </c>
      <c r="Z156">
        <v>10</v>
      </c>
      <c r="AA156">
        <v>-2</v>
      </c>
      <c r="AB156">
        <v>6</v>
      </c>
      <c r="AC156">
        <v>10</v>
      </c>
      <c r="AD156">
        <v>-4</v>
      </c>
      <c r="AE156">
        <v>7</v>
      </c>
      <c r="AF156">
        <v>10</v>
      </c>
      <c r="AG156">
        <v>-3</v>
      </c>
      <c r="AH156">
        <v>8</v>
      </c>
      <c r="AI156">
        <v>10</v>
      </c>
      <c r="AJ156">
        <v>-2</v>
      </c>
      <c r="AK156" t="s">
        <v>1891</v>
      </c>
      <c r="AL156" t="s">
        <v>1892</v>
      </c>
      <c r="AM156" t="s">
        <v>1893</v>
      </c>
      <c r="AN156" t="s">
        <v>1894</v>
      </c>
      <c r="AO156" t="s">
        <v>1895</v>
      </c>
      <c r="AP156" t="s">
        <v>1896</v>
      </c>
      <c r="AQ156" t="s">
        <v>1897</v>
      </c>
      <c r="AR156" t="s">
        <v>1898</v>
      </c>
      <c r="AS156" t="s">
        <v>1899</v>
      </c>
    </row>
    <row r="157" spans="1:45" x14ac:dyDescent="0.45">
      <c r="A157">
        <v>156</v>
      </c>
      <c r="B157">
        <v>197</v>
      </c>
      <c r="C157" t="s">
        <v>72</v>
      </c>
      <c r="D157" t="s">
        <v>73</v>
      </c>
      <c r="E157" t="s">
        <v>74</v>
      </c>
      <c r="F157" t="s">
        <v>75</v>
      </c>
      <c r="G157" t="s">
        <v>76</v>
      </c>
      <c r="H157">
        <v>25.572093263662541</v>
      </c>
      <c r="I157">
        <v>1</v>
      </c>
      <c r="J157">
        <v>7</v>
      </c>
      <c r="K157">
        <v>10</v>
      </c>
      <c r="L157">
        <v>-3</v>
      </c>
      <c r="M157">
        <v>6</v>
      </c>
      <c r="N157">
        <v>10</v>
      </c>
      <c r="O157">
        <v>-4</v>
      </c>
      <c r="P157">
        <v>8</v>
      </c>
      <c r="Q157">
        <v>10</v>
      </c>
      <c r="R157">
        <v>-2</v>
      </c>
      <c r="S157">
        <v>9</v>
      </c>
      <c r="T157">
        <v>10</v>
      </c>
      <c r="U157">
        <v>-1</v>
      </c>
      <c r="V157">
        <v>8</v>
      </c>
      <c r="W157">
        <v>10</v>
      </c>
      <c r="X157">
        <v>-2</v>
      </c>
      <c r="Y157">
        <v>9</v>
      </c>
      <c r="Z157">
        <v>10</v>
      </c>
      <c r="AA157">
        <v>-1</v>
      </c>
      <c r="AB157">
        <v>8</v>
      </c>
      <c r="AC157">
        <v>10</v>
      </c>
      <c r="AD157">
        <v>-2</v>
      </c>
      <c r="AE157">
        <v>7</v>
      </c>
      <c r="AF157">
        <v>10</v>
      </c>
      <c r="AG157">
        <v>-3</v>
      </c>
      <c r="AH157">
        <v>9</v>
      </c>
      <c r="AI157">
        <v>10</v>
      </c>
      <c r="AJ157">
        <v>-1</v>
      </c>
      <c r="AK157" t="s">
        <v>1900</v>
      </c>
      <c r="AL157" t="s">
        <v>1901</v>
      </c>
      <c r="AM157" t="s">
        <v>1902</v>
      </c>
      <c r="AN157" t="s">
        <v>1903</v>
      </c>
      <c r="AO157" t="s">
        <v>1904</v>
      </c>
      <c r="AP157" t="s">
        <v>1905</v>
      </c>
      <c r="AQ157" t="s">
        <v>1906</v>
      </c>
      <c r="AR157" t="s">
        <v>1907</v>
      </c>
      <c r="AS157" t="s">
        <v>1908</v>
      </c>
    </row>
    <row r="158" spans="1:45" x14ac:dyDescent="0.45">
      <c r="A158">
        <v>157</v>
      </c>
      <c r="B158">
        <v>198</v>
      </c>
      <c r="C158" t="s">
        <v>78</v>
      </c>
      <c r="D158" t="s">
        <v>73</v>
      </c>
      <c r="E158" t="s">
        <v>74</v>
      </c>
      <c r="F158" t="s">
        <v>77</v>
      </c>
      <c r="G158" t="s">
        <v>76</v>
      </c>
      <c r="H158">
        <v>97.632638972926856</v>
      </c>
      <c r="I158">
        <v>4</v>
      </c>
      <c r="J158">
        <v>7</v>
      </c>
      <c r="K158">
        <v>10</v>
      </c>
      <c r="L158">
        <v>-3</v>
      </c>
      <c r="M158">
        <v>8</v>
      </c>
      <c r="N158">
        <v>10</v>
      </c>
      <c r="O158">
        <v>-2</v>
      </c>
      <c r="P158">
        <v>7</v>
      </c>
      <c r="Q158">
        <v>1</v>
      </c>
      <c r="R158">
        <v>6</v>
      </c>
      <c r="S158">
        <v>9</v>
      </c>
      <c r="T158">
        <v>10</v>
      </c>
      <c r="U158">
        <v>-1</v>
      </c>
      <c r="V158">
        <v>8</v>
      </c>
      <c r="W158">
        <v>1</v>
      </c>
      <c r="X158">
        <v>7</v>
      </c>
      <c r="Y158">
        <v>9</v>
      </c>
      <c r="Z158">
        <v>1</v>
      </c>
      <c r="AA158">
        <v>8</v>
      </c>
      <c r="AB158">
        <v>8</v>
      </c>
      <c r="AC158">
        <v>1</v>
      </c>
      <c r="AD158">
        <v>7</v>
      </c>
      <c r="AE158">
        <v>9</v>
      </c>
      <c r="AF158">
        <v>1</v>
      </c>
      <c r="AG158">
        <v>8</v>
      </c>
      <c r="AH158">
        <v>8</v>
      </c>
      <c r="AI158">
        <v>6</v>
      </c>
      <c r="AJ158">
        <v>2</v>
      </c>
      <c r="AK158" t="s">
        <v>482</v>
      </c>
      <c r="AL158" t="s">
        <v>483</v>
      </c>
      <c r="AM158" t="s">
        <v>484</v>
      </c>
      <c r="AN158" t="s">
        <v>755</v>
      </c>
      <c r="AO158" t="s">
        <v>756</v>
      </c>
      <c r="AP158" t="s">
        <v>1909</v>
      </c>
      <c r="AQ158" t="s">
        <v>1910</v>
      </c>
      <c r="AR158" t="s">
        <v>1911</v>
      </c>
      <c r="AS158" t="s">
        <v>1912</v>
      </c>
    </row>
    <row r="159" spans="1:45" x14ac:dyDescent="0.45">
      <c r="A159">
        <v>158</v>
      </c>
      <c r="B159">
        <v>199</v>
      </c>
      <c r="C159" t="s">
        <v>72</v>
      </c>
      <c r="D159" t="s">
        <v>73</v>
      </c>
      <c r="E159" t="s">
        <v>74</v>
      </c>
      <c r="F159" t="s">
        <v>77</v>
      </c>
      <c r="G159" t="s">
        <v>76</v>
      </c>
      <c r="H159">
        <v>97.283298324113588</v>
      </c>
      <c r="I159">
        <v>2</v>
      </c>
      <c r="J159">
        <v>7</v>
      </c>
      <c r="K159">
        <v>7</v>
      </c>
      <c r="L159">
        <v>0</v>
      </c>
      <c r="M159">
        <v>6</v>
      </c>
      <c r="N159">
        <v>8</v>
      </c>
      <c r="O159">
        <v>-2</v>
      </c>
      <c r="P159">
        <v>8</v>
      </c>
      <c r="Q159">
        <v>6</v>
      </c>
      <c r="R159">
        <v>2</v>
      </c>
      <c r="S159">
        <v>9</v>
      </c>
      <c r="T159">
        <v>6</v>
      </c>
      <c r="U159">
        <v>3</v>
      </c>
      <c r="V159">
        <v>7</v>
      </c>
      <c r="W159">
        <v>7</v>
      </c>
      <c r="X159">
        <v>0</v>
      </c>
      <c r="Y159">
        <v>8</v>
      </c>
      <c r="Z159">
        <v>5</v>
      </c>
      <c r="AA159">
        <v>3</v>
      </c>
      <c r="AB159">
        <v>7</v>
      </c>
      <c r="AC159">
        <v>6</v>
      </c>
      <c r="AD159">
        <v>1</v>
      </c>
      <c r="AE159">
        <v>6</v>
      </c>
      <c r="AF159">
        <v>7</v>
      </c>
      <c r="AG159">
        <v>-1</v>
      </c>
      <c r="AH159">
        <v>9</v>
      </c>
      <c r="AI159">
        <v>7</v>
      </c>
      <c r="AJ159">
        <v>2</v>
      </c>
      <c r="AK159" t="s">
        <v>1913</v>
      </c>
      <c r="AL159" t="s">
        <v>1914</v>
      </c>
      <c r="AM159" t="s">
        <v>1915</v>
      </c>
      <c r="AN159" t="s">
        <v>1916</v>
      </c>
      <c r="AO159" t="s">
        <v>1917</v>
      </c>
      <c r="AP159" t="s">
        <v>1918</v>
      </c>
      <c r="AQ159" t="s">
        <v>1919</v>
      </c>
      <c r="AR159" t="s">
        <v>1920</v>
      </c>
      <c r="AS159" t="s">
        <v>1921</v>
      </c>
    </row>
    <row r="160" spans="1:45" x14ac:dyDescent="0.45">
      <c r="A160">
        <v>159</v>
      </c>
      <c r="B160">
        <v>200</v>
      </c>
      <c r="C160" t="s">
        <v>78</v>
      </c>
      <c r="D160" t="s">
        <v>79</v>
      </c>
      <c r="E160" t="s">
        <v>74</v>
      </c>
      <c r="F160" t="s">
        <v>77</v>
      </c>
      <c r="G160" t="s">
        <v>76</v>
      </c>
      <c r="H160">
        <v>38.827297441976498</v>
      </c>
      <c r="I160">
        <v>0</v>
      </c>
      <c r="J160">
        <v>8</v>
      </c>
      <c r="K160">
        <v>2</v>
      </c>
      <c r="L160">
        <v>6</v>
      </c>
      <c r="M160">
        <v>8</v>
      </c>
      <c r="N160">
        <v>7</v>
      </c>
      <c r="O160">
        <v>1</v>
      </c>
      <c r="P160">
        <v>9</v>
      </c>
      <c r="Q160">
        <v>10</v>
      </c>
      <c r="R160">
        <v>-1</v>
      </c>
      <c r="S160">
        <v>9</v>
      </c>
      <c r="T160">
        <v>2</v>
      </c>
      <c r="U160">
        <v>7</v>
      </c>
      <c r="V160">
        <v>8</v>
      </c>
      <c r="W160">
        <v>10</v>
      </c>
      <c r="X160">
        <v>-2</v>
      </c>
      <c r="Y160">
        <v>9</v>
      </c>
      <c r="Z160">
        <v>5</v>
      </c>
      <c r="AA160">
        <v>4</v>
      </c>
      <c r="AB160">
        <v>8</v>
      </c>
      <c r="AC160">
        <v>10</v>
      </c>
      <c r="AD160">
        <v>-2</v>
      </c>
      <c r="AE160">
        <v>9</v>
      </c>
      <c r="AF160">
        <v>3</v>
      </c>
      <c r="AG160">
        <v>6</v>
      </c>
      <c r="AH160">
        <v>8</v>
      </c>
      <c r="AI160">
        <v>3</v>
      </c>
      <c r="AJ160">
        <v>5</v>
      </c>
      <c r="AK160" t="s">
        <v>1922</v>
      </c>
      <c r="AL160" t="s">
        <v>1923</v>
      </c>
      <c r="AM160" t="s">
        <v>1924</v>
      </c>
      <c r="AN160" t="s">
        <v>1925</v>
      </c>
      <c r="AO160" t="s">
        <v>1926</v>
      </c>
      <c r="AP160" t="s">
        <v>1927</v>
      </c>
      <c r="AQ160" t="s">
        <v>1928</v>
      </c>
      <c r="AR160" t="s">
        <v>1929</v>
      </c>
      <c r="AS160" t="s">
        <v>1930</v>
      </c>
    </row>
    <row r="161" spans="1:45" x14ac:dyDescent="0.45">
      <c r="A161">
        <v>160</v>
      </c>
      <c r="B161">
        <v>201</v>
      </c>
      <c r="C161" t="s">
        <v>72</v>
      </c>
      <c r="D161" t="s">
        <v>73</v>
      </c>
      <c r="E161" t="s">
        <v>74</v>
      </c>
      <c r="F161" t="s">
        <v>75</v>
      </c>
      <c r="G161" t="s">
        <v>76</v>
      </c>
      <c r="H161">
        <v>40.738305352137964</v>
      </c>
      <c r="I161">
        <v>0</v>
      </c>
      <c r="J161">
        <v>7</v>
      </c>
      <c r="K161">
        <v>9</v>
      </c>
      <c r="L161">
        <v>-2</v>
      </c>
      <c r="M161">
        <v>6</v>
      </c>
      <c r="N161">
        <v>9</v>
      </c>
      <c r="O161">
        <v>-3</v>
      </c>
      <c r="P161">
        <v>8</v>
      </c>
      <c r="Q161">
        <v>10</v>
      </c>
      <c r="R161">
        <v>-2</v>
      </c>
      <c r="S161">
        <v>9</v>
      </c>
      <c r="T161">
        <v>2</v>
      </c>
      <c r="U161">
        <v>7</v>
      </c>
      <c r="V161">
        <v>8</v>
      </c>
      <c r="W161">
        <v>9</v>
      </c>
      <c r="X161">
        <v>-1</v>
      </c>
      <c r="Y161">
        <v>9</v>
      </c>
      <c r="Z161">
        <v>9</v>
      </c>
      <c r="AA161">
        <v>0</v>
      </c>
      <c r="AB161">
        <v>8</v>
      </c>
      <c r="AC161">
        <v>6</v>
      </c>
      <c r="AD161">
        <v>2</v>
      </c>
      <c r="AE161">
        <v>9</v>
      </c>
      <c r="AF161">
        <v>8</v>
      </c>
      <c r="AG161">
        <v>1</v>
      </c>
      <c r="AH161">
        <v>9</v>
      </c>
      <c r="AI161">
        <v>10</v>
      </c>
      <c r="AJ161">
        <v>-1</v>
      </c>
      <c r="AK161" t="s">
        <v>1931</v>
      </c>
      <c r="AL161" t="s">
        <v>1932</v>
      </c>
      <c r="AM161" t="s">
        <v>1933</v>
      </c>
      <c r="AN161" t="s">
        <v>1934</v>
      </c>
      <c r="AO161" t="s">
        <v>1935</v>
      </c>
      <c r="AP161" t="s">
        <v>1936</v>
      </c>
      <c r="AQ161" t="s">
        <v>1937</v>
      </c>
      <c r="AR161" t="s">
        <v>1938</v>
      </c>
      <c r="AS161" t="s">
        <v>1517</v>
      </c>
    </row>
    <row r="162" spans="1:45" x14ac:dyDescent="0.45">
      <c r="A162">
        <v>161</v>
      </c>
      <c r="B162">
        <v>202</v>
      </c>
      <c r="C162" t="s">
        <v>72</v>
      </c>
      <c r="D162" t="s">
        <v>73</v>
      </c>
      <c r="E162" t="s">
        <v>74</v>
      </c>
      <c r="F162" t="s">
        <v>77</v>
      </c>
      <c r="G162" t="s">
        <v>76</v>
      </c>
      <c r="H162">
        <v>16.63015973239985</v>
      </c>
      <c r="I162">
        <v>0</v>
      </c>
      <c r="J162">
        <v>7</v>
      </c>
      <c r="K162">
        <v>7</v>
      </c>
      <c r="L162">
        <v>0</v>
      </c>
      <c r="M162">
        <v>8</v>
      </c>
      <c r="N162">
        <v>5</v>
      </c>
      <c r="O162">
        <v>3</v>
      </c>
      <c r="P162">
        <v>9</v>
      </c>
      <c r="Q162">
        <v>7</v>
      </c>
      <c r="R162">
        <v>2</v>
      </c>
      <c r="S162">
        <v>8</v>
      </c>
      <c r="T162">
        <v>5</v>
      </c>
      <c r="U162">
        <v>3</v>
      </c>
      <c r="V162">
        <v>9</v>
      </c>
      <c r="W162">
        <v>3</v>
      </c>
      <c r="X162">
        <v>6</v>
      </c>
      <c r="Y162">
        <v>9</v>
      </c>
      <c r="Z162">
        <v>4</v>
      </c>
      <c r="AA162">
        <v>5</v>
      </c>
      <c r="AB162">
        <v>9</v>
      </c>
      <c r="AC162">
        <v>1</v>
      </c>
      <c r="AD162">
        <v>8</v>
      </c>
      <c r="AE162">
        <v>9</v>
      </c>
      <c r="AF162">
        <v>5</v>
      </c>
      <c r="AG162">
        <v>4</v>
      </c>
      <c r="AH162">
        <v>9</v>
      </c>
      <c r="AI162">
        <v>5</v>
      </c>
      <c r="AJ162">
        <v>4</v>
      </c>
      <c r="AK162" t="s">
        <v>1939</v>
      </c>
      <c r="AL162" t="s">
        <v>1940</v>
      </c>
      <c r="AM162" t="s">
        <v>1941</v>
      </c>
      <c r="AN162" t="s">
        <v>1942</v>
      </c>
      <c r="AO162" t="s">
        <v>1943</v>
      </c>
      <c r="AP162" t="s">
        <v>1944</v>
      </c>
      <c r="AQ162" t="s">
        <v>1945</v>
      </c>
      <c r="AR162" t="s">
        <v>1946</v>
      </c>
      <c r="AS162" t="s">
        <v>1947</v>
      </c>
    </row>
    <row r="163" spans="1:45" x14ac:dyDescent="0.45">
      <c r="A163">
        <v>162</v>
      </c>
      <c r="B163">
        <v>203</v>
      </c>
      <c r="C163" t="s">
        <v>72</v>
      </c>
      <c r="D163" t="s">
        <v>81</v>
      </c>
      <c r="E163" t="s">
        <v>74</v>
      </c>
      <c r="F163" t="s">
        <v>77</v>
      </c>
      <c r="G163" t="s">
        <v>76</v>
      </c>
      <c r="H163">
        <v>12</v>
      </c>
      <c r="I163">
        <v>0</v>
      </c>
      <c r="J163">
        <v>8</v>
      </c>
      <c r="K163">
        <v>3</v>
      </c>
      <c r="L163">
        <v>5</v>
      </c>
      <c r="M163">
        <v>8</v>
      </c>
      <c r="N163">
        <v>8</v>
      </c>
      <c r="O163">
        <v>0</v>
      </c>
      <c r="P163">
        <v>9</v>
      </c>
      <c r="Q163">
        <v>4</v>
      </c>
      <c r="R163">
        <v>5</v>
      </c>
      <c r="S163">
        <v>9</v>
      </c>
      <c r="T163">
        <v>5</v>
      </c>
      <c r="U163">
        <v>4</v>
      </c>
      <c r="V163">
        <v>8</v>
      </c>
      <c r="W163">
        <v>5</v>
      </c>
      <c r="X163">
        <v>3</v>
      </c>
      <c r="Y163">
        <v>9</v>
      </c>
      <c r="Z163">
        <v>5</v>
      </c>
      <c r="AA163">
        <v>4</v>
      </c>
      <c r="AB163">
        <v>8</v>
      </c>
      <c r="AC163">
        <v>5</v>
      </c>
      <c r="AD163">
        <v>3</v>
      </c>
      <c r="AE163">
        <v>9</v>
      </c>
      <c r="AF163">
        <v>5</v>
      </c>
      <c r="AG163">
        <v>4</v>
      </c>
      <c r="AH163">
        <v>8</v>
      </c>
      <c r="AI163">
        <v>5</v>
      </c>
      <c r="AJ163">
        <v>3</v>
      </c>
      <c r="AK163" t="s">
        <v>485</v>
      </c>
      <c r="AL163" t="s">
        <v>486</v>
      </c>
      <c r="AM163" t="s">
        <v>487</v>
      </c>
      <c r="AN163" t="s">
        <v>488</v>
      </c>
      <c r="AO163" t="s">
        <v>489</v>
      </c>
      <c r="AP163" t="s">
        <v>490</v>
      </c>
      <c r="AQ163" t="s">
        <v>491</v>
      </c>
      <c r="AR163" t="s">
        <v>492</v>
      </c>
      <c r="AS163" t="s">
        <v>493</v>
      </c>
    </row>
    <row r="164" spans="1:45" x14ac:dyDescent="0.45">
      <c r="A164">
        <v>163</v>
      </c>
      <c r="B164">
        <v>204</v>
      </c>
      <c r="C164" t="s">
        <v>72</v>
      </c>
      <c r="D164" t="s">
        <v>81</v>
      </c>
      <c r="E164" t="s">
        <v>74</v>
      </c>
      <c r="F164" t="s">
        <v>77</v>
      </c>
      <c r="G164" t="s">
        <v>76</v>
      </c>
      <c r="H164">
        <v>15.86806195917138</v>
      </c>
      <c r="I164">
        <v>0</v>
      </c>
      <c r="J164">
        <v>8</v>
      </c>
      <c r="K164">
        <v>10</v>
      </c>
      <c r="L164">
        <v>-2</v>
      </c>
      <c r="M164">
        <v>7</v>
      </c>
      <c r="N164">
        <v>10</v>
      </c>
      <c r="O164">
        <v>-3</v>
      </c>
      <c r="P164">
        <v>9</v>
      </c>
      <c r="Q164">
        <v>10</v>
      </c>
      <c r="R164">
        <v>-1</v>
      </c>
      <c r="S164">
        <v>9</v>
      </c>
      <c r="T164">
        <v>10</v>
      </c>
      <c r="U164">
        <v>-1</v>
      </c>
      <c r="V164">
        <v>8</v>
      </c>
      <c r="W164">
        <v>10</v>
      </c>
      <c r="X164">
        <v>-2</v>
      </c>
      <c r="Y164">
        <v>9</v>
      </c>
      <c r="Z164">
        <v>10</v>
      </c>
      <c r="AA164">
        <v>-1</v>
      </c>
      <c r="AB164">
        <v>8</v>
      </c>
      <c r="AC164">
        <v>10</v>
      </c>
      <c r="AD164">
        <v>-2</v>
      </c>
      <c r="AE164">
        <v>9</v>
      </c>
      <c r="AF164">
        <v>10</v>
      </c>
      <c r="AG164">
        <v>-1</v>
      </c>
      <c r="AH164">
        <v>8</v>
      </c>
      <c r="AI164">
        <v>10</v>
      </c>
      <c r="AJ164">
        <v>-2</v>
      </c>
      <c r="AK164" t="s">
        <v>1948</v>
      </c>
      <c r="AL164" t="s">
        <v>1949</v>
      </c>
      <c r="AM164" t="s">
        <v>1950</v>
      </c>
      <c r="AN164" t="s">
        <v>1951</v>
      </c>
      <c r="AO164" t="s">
        <v>1952</v>
      </c>
      <c r="AP164" t="s">
        <v>1953</v>
      </c>
      <c r="AQ164" t="s">
        <v>1954</v>
      </c>
      <c r="AR164" t="s">
        <v>1955</v>
      </c>
      <c r="AS164" t="s">
        <v>1956</v>
      </c>
    </row>
    <row r="165" spans="1:45" x14ac:dyDescent="0.45">
      <c r="A165">
        <v>164</v>
      </c>
      <c r="B165">
        <v>205</v>
      </c>
      <c r="C165" t="s">
        <v>72</v>
      </c>
      <c r="D165" t="s">
        <v>79</v>
      </c>
      <c r="E165" t="s">
        <v>74</v>
      </c>
      <c r="F165" t="s">
        <v>77</v>
      </c>
      <c r="G165" t="s">
        <v>76</v>
      </c>
      <c r="H165">
        <v>41.885458473778684</v>
      </c>
      <c r="I165">
        <v>2</v>
      </c>
      <c r="J165">
        <v>7</v>
      </c>
      <c r="K165">
        <v>8</v>
      </c>
      <c r="L165">
        <v>-1</v>
      </c>
      <c r="M165">
        <v>6</v>
      </c>
      <c r="N165">
        <v>9</v>
      </c>
      <c r="O165">
        <v>-3</v>
      </c>
      <c r="P165">
        <v>8</v>
      </c>
      <c r="Q165">
        <v>9</v>
      </c>
      <c r="R165">
        <v>-1</v>
      </c>
      <c r="S165">
        <v>9</v>
      </c>
      <c r="T165">
        <v>9</v>
      </c>
      <c r="U165">
        <v>0</v>
      </c>
      <c r="V165">
        <v>8</v>
      </c>
      <c r="W165">
        <v>5</v>
      </c>
      <c r="X165">
        <v>3</v>
      </c>
      <c r="Y165">
        <v>9</v>
      </c>
      <c r="Z165">
        <v>7</v>
      </c>
      <c r="AA165">
        <v>2</v>
      </c>
      <c r="AB165">
        <v>8</v>
      </c>
      <c r="AC165">
        <v>5</v>
      </c>
      <c r="AD165">
        <v>3</v>
      </c>
      <c r="AE165">
        <v>7</v>
      </c>
      <c r="AF165">
        <v>7</v>
      </c>
      <c r="AG165">
        <v>0</v>
      </c>
      <c r="AH165">
        <v>8</v>
      </c>
      <c r="AI165">
        <v>7</v>
      </c>
      <c r="AJ165">
        <v>1</v>
      </c>
      <c r="AK165" t="s">
        <v>758</v>
      </c>
      <c r="AL165" t="s">
        <v>759</v>
      </c>
      <c r="AM165" t="s">
        <v>760</v>
      </c>
      <c r="AN165" t="s">
        <v>1957</v>
      </c>
      <c r="AO165" t="s">
        <v>1958</v>
      </c>
      <c r="AP165" t="s">
        <v>1959</v>
      </c>
      <c r="AQ165" t="s">
        <v>1960</v>
      </c>
      <c r="AR165" t="s">
        <v>1961</v>
      </c>
      <c r="AS165" t="s">
        <v>1962</v>
      </c>
    </row>
    <row r="166" spans="1:45" x14ac:dyDescent="0.45">
      <c r="A166">
        <v>165</v>
      </c>
      <c r="B166">
        <v>206</v>
      </c>
      <c r="C166" t="s">
        <v>72</v>
      </c>
      <c r="D166" t="s">
        <v>73</v>
      </c>
      <c r="E166" t="s">
        <v>74</v>
      </c>
      <c r="F166" t="s">
        <v>75</v>
      </c>
      <c r="G166" t="s">
        <v>76</v>
      </c>
      <c r="H166">
        <v>38.429560461167455</v>
      </c>
      <c r="I166">
        <v>0</v>
      </c>
      <c r="J166">
        <v>2</v>
      </c>
      <c r="K166">
        <v>5</v>
      </c>
      <c r="L166">
        <v>-3</v>
      </c>
      <c r="M166">
        <v>3</v>
      </c>
      <c r="N166">
        <v>5</v>
      </c>
      <c r="O166">
        <v>-2</v>
      </c>
      <c r="P166">
        <v>7</v>
      </c>
      <c r="Q166">
        <v>6</v>
      </c>
      <c r="R166">
        <v>1</v>
      </c>
      <c r="S166">
        <v>9</v>
      </c>
      <c r="T166">
        <v>6</v>
      </c>
      <c r="U166">
        <v>3</v>
      </c>
      <c r="V166">
        <v>6</v>
      </c>
      <c r="W166">
        <v>6</v>
      </c>
      <c r="X166">
        <v>0</v>
      </c>
      <c r="Y166">
        <v>9</v>
      </c>
      <c r="Z166">
        <v>6</v>
      </c>
      <c r="AA166">
        <v>3</v>
      </c>
      <c r="AB166">
        <v>7</v>
      </c>
      <c r="AC166">
        <v>5</v>
      </c>
      <c r="AD166">
        <v>2</v>
      </c>
      <c r="AE166">
        <v>8</v>
      </c>
      <c r="AF166">
        <v>7</v>
      </c>
      <c r="AG166">
        <v>1</v>
      </c>
      <c r="AH166">
        <v>9</v>
      </c>
      <c r="AI166">
        <v>8</v>
      </c>
      <c r="AJ166">
        <v>1</v>
      </c>
      <c r="AK166" t="s">
        <v>494</v>
      </c>
      <c r="AL166" t="s">
        <v>495</v>
      </c>
      <c r="AM166" t="s">
        <v>1963</v>
      </c>
      <c r="AN166" t="s">
        <v>1964</v>
      </c>
      <c r="AO166" t="s">
        <v>1965</v>
      </c>
      <c r="AP166" t="s">
        <v>1966</v>
      </c>
      <c r="AQ166" t="s">
        <v>1967</v>
      </c>
      <c r="AR166" t="s">
        <v>1968</v>
      </c>
      <c r="AS166" t="s">
        <v>1969</v>
      </c>
    </row>
    <row r="167" spans="1:45" x14ac:dyDescent="0.45">
      <c r="A167">
        <v>166</v>
      </c>
      <c r="B167">
        <v>207</v>
      </c>
      <c r="C167" t="s">
        <v>72</v>
      </c>
      <c r="D167" t="s">
        <v>73</v>
      </c>
      <c r="E167" t="s">
        <v>74</v>
      </c>
      <c r="F167" t="s">
        <v>75</v>
      </c>
      <c r="G167" t="s">
        <v>76</v>
      </c>
      <c r="H167">
        <v>33.145320198862713</v>
      </c>
      <c r="I167">
        <v>1</v>
      </c>
      <c r="J167">
        <v>8</v>
      </c>
      <c r="K167">
        <v>10</v>
      </c>
      <c r="L167">
        <v>-2</v>
      </c>
      <c r="M167">
        <v>9</v>
      </c>
      <c r="N167">
        <v>8</v>
      </c>
      <c r="O167">
        <v>1</v>
      </c>
      <c r="P167">
        <v>9</v>
      </c>
      <c r="Q167">
        <v>10</v>
      </c>
      <c r="R167">
        <v>-1</v>
      </c>
      <c r="S167">
        <v>8</v>
      </c>
      <c r="T167">
        <v>10</v>
      </c>
      <c r="U167">
        <v>-2</v>
      </c>
      <c r="V167">
        <v>9</v>
      </c>
      <c r="W167">
        <v>10</v>
      </c>
      <c r="X167">
        <v>-1</v>
      </c>
      <c r="Y167">
        <v>8</v>
      </c>
      <c r="Z167">
        <v>10</v>
      </c>
      <c r="AA167">
        <v>-2</v>
      </c>
      <c r="AB167">
        <v>9</v>
      </c>
      <c r="AC167">
        <v>10</v>
      </c>
      <c r="AD167">
        <v>-1</v>
      </c>
      <c r="AE167">
        <v>8</v>
      </c>
      <c r="AF167">
        <v>10</v>
      </c>
      <c r="AG167">
        <v>-2</v>
      </c>
      <c r="AH167">
        <v>8</v>
      </c>
      <c r="AI167">
        <v>8</v>
      </c>
      <c r="AJ167">
        <v>0</v>
      </c>
      <c r="AK167" t="s">
        <v>1970</v>
      </c>
      <c r="AL167" t="s">
        <v>1971</v>
      </c>
      <c r="AM167" t="s">
        <v>1972</v>
      </c>
      <c r="AN167" t="s">
        <v>1973</v>
      </c>
      <c r="AO167" t="s">
        <v>1974</v>
      </c>
      <c r="AP167" t="s">
        <v>1975</v>
      </c>
      <c r="AQ167" t="s">
        <v>1976</v>
      </c>
      <c r="AR167" t="s">
        <v>1977</v>
      </c>
      <c r="AS167" t="s">
        <v>1978</v>
      </c>
    </row>
    <row r="168" spans="1:45" x14ac:dyDescent="0.45">
      <c r="A168">
        <v>167</v>
      </c>
      <c r="B168">
        <v>208</v>
      </c>
      <c r="C168" t="s">
        <v>78</v>
      </c>
      <c r="D168" t="s">
        <v>73</v>
      </c>
      <c r="E168" t="s">
        <v>74</v>
      </c>
      <c r="F168" t="s">
        <v>75</v>
      </c>
      <c r="G168" t="s">
        <v>76</v>
      </c>
      <c r="H168">
        <v>73.373727280298127</v>
      </c>
      <c r="I168">
        <v>0</v>
      </c>
      <c r="J168">
        <v>7</v>
      </c>
      <c r="K168">
        <v>5</v>
      </c>
      <c r="L168">
        <v>2</v>
      </c>
      <c r="M168">
        <v>6</v>
      </c>
      <c r="N168">
        <v>8</v>
      </c>
      <c r="O168">
        <v>-2</v>
      </c>
      <c r="P168">
        <v>8</v>
      </c>
      <c r="Q168">
        <v>5</v>
      </c>
      <c r="R168">
        <v>3</v>
      </c>
      <c r="S168">
        <v>9</v>
      </c>
      <c r="T168">
        <v>8</v>
      </c>
      <c r="U168">
        <v>1</v>
      </c>
      <c r="V168">
        <v>7</v>
      </c>
      <c r="W168">
        <v>4</v>
      </c>
      <c r="X168">
        <v>3</v>
      </c>
      <c r="Y168">
        <v>9</v>
      </c>
      <c r="Z168">
        <v>5</v>
      </c>
      <c r="AA168">
        <v>4</v>
      </c>
      <c r="AB168">
        <v>7</v>
      </c>
      <c r="AC168">
        <v>1</v>
      </c>
      <c r="AD168">
        <v>6</v>
      </c>
      <c r="AE168">
        <v>8</v>
      </c>
      <c r="AF168">
        <v>5</v>
      </c>
      <c r="AG168">
        <v>3</v>
      </c>
      <c r="AH168">
        <v>9</v>
      </c>
      <c r="AI168">
        <v>5</v>
      </c>
      <c r="AJ168">
        <v>4</v>
      </c>
      <c r="AK168" t="s">
        <v>643</v>
      </c>
      <c r="AL168" t="s">
        <v>1979</v>
      </c>
      <c r="AM168" t="s">
        <v>517</v>
      </c>
      <c r="AN168" t="s">
        <v>1980</v>
      </c>
      <c r="AO168" t="s">
        <v>1981</v>
      </c>
      <c r="AP168" t="s">
        <v>1982</v>
      </c>
      <c r="AQ168" t="s">
        <v>1983</v>
      </c>
      <c r="AR168" t="s">
        <v>1984</v>
      </c>
      <c r="AS168" t="s">
        <v>1985</v>
      </c>
    </row>
    <row r="169" spans="1:45" x14ac:dyDescent="0.45">
      <c r="A169">
        <v>168</v>
      </c>
      <c r="B169">
        <v>209</v>
      </c>
      <c r="C169" t="s">
        <v>72</v>
      </c>
      <c r="D169" t="s">
        <v>81</v>
      </c>
      <c r="E169" t="s">
        <v>74</v>
      </c>
      <c r="F169" t="s">
        <v>77</v>
      </c>
      <c r="G169" t="s">
        <v>76</v>
      </c>
      <c r="H169">
        <v>20.655452261962822</v>
      </c>
      <c r="I169">
        <v>0</v>
      </c>
      <c r="J169">
        <v>5</v>
      </c>
      <c r="K169">
        <v>7</v>
      </c>
      <c r="L169">
        <v>-2</v>
      </c>
      <c r="M169">
        <v>6</v>
      </c>
      <c r="N169">
        <v>7</v>
      </c>
      <c r="O169">
        <v>-1</v>
      </c>
      <c r="P169">
        <v>8</v>
      </c>
      <c r="Q169">
        <v>8</v>
      </c>
      <c r="R169">
        <v>0</v>
      </c>
      <c r="S169">
        <v>9</v>
      </c>
      <c r="T169">
        <v>8</v>
      </c>
      <c r="U169">
        <v>1</v>
      </c>
      <c r="V169">
        <v>8</v>
      </c>
      <c r="W169">
        <v>7</v>
      </c>
      <c r="X169">
        <v>1</v>
      </c>
      <c r="Y169">
        <v>9</v>
      </c>
      <c r="Z169">
        <v>8</v>
      </c>
      <c r="AA169">
        <v>1</v>
      </c>
      <c r="AB169">
        <v>8</v>
      </c>
      <c r="AC169">
        <v>8</v>
      </c>
      <c r="AD169">
        <v>0</v>
      </c>
      <c r="AE169">
        <v>7</v>
      </c>
      <c r="AF169">
        <v>8</v>
      </c>
      <c r="AG169">
        <v>-1</v>
      </c>
      <c r="AH169">
        <v>9</v>
      </c>
      <c r="AI169">
        <v>9</v>
      </c>
      <c r="AJ169">
        <v>0</v>
      </c>
      <c r="AK169" t="s">
        <v>1986</v>
      </c>
      <c r="AL169" t="s">
        <v>1987</v>
      </c>
      <c r="AM169" t="s">
        <v>1988</v>
      </c>
      <c r="AN169" t="s">
        <v>1989</v>
      </c>
      <c r="AO169" t="s">
        <v>1990</v>
      </c>
      <c r="AP169" t="s">
        <v>1991</v>
      </c>
      <c r="AQ169" t="s">
        <v>1992</v>
      </c>
      <c r="AR169" t="s">
        <v>1993</v>
      </c>
      <c r="AS169" t="s">
        <v>1994</v>
      </c>
    </row>
    <row r="170" spans="1:45" x14ac:dyDescent="0.45">
      <c r="A170">
        <v>169</v>
      </c>
      <c r="B170">
        <v>210</v>
      </c>
      <c r="C170" t="s">
        <v>78</v>
      </c>
      <c r="D170" t="s">
        <v>79</v>
      </c>
      <c r="E170" t="s">
        <v>74</v>
      </c>
      <c r="F170" t="s">
        <v>77</v>
      </c>
      <c r="G170" t="s">
        <v>76</v>
      </c>
      <c r="H170">
        <v>36.237678039537457</v>
      </c>
      <c r="I170">
        <v>0</v>
      </c>
      <c r="J170">
        <v>8</v>
      </c>
      <c r="K170">
        <v>8</v>
      </c>
      <c r="L170">
        <v>0</v>
      </c>
      <c r="M170">
        <v>8</v>
      </c>
      <c r="N170">
        <v>8</v>
      </c>
      <c r="O170">
        <v>0</v>
      </c>
      <c r="P170">
        <v>9</v>
      </c>
      <c r="Q170">
        <v>7</v>
      </c>
      <c r="R170">
        <v>2</v>
      </c>
      <c r="S170">
        <v>9</v>
      </c>
      <c r="T170">
        <v>8</v>
      </c>
      <c r="U170">
        <v>1</v>
      </c>
      <c r="V170">
        <v>8</v>
      </c>
      <c r="W170">
        <v>7</v>
      </c>
      <c r="X170">
        <v>1</v>
      </c>
      <c r="Y170">
        <v>9</v>
      </c>
      <c r="Z170">
        <v>7</v>
      </c>
      <c r="AA170">
        <v>2</v>
      </c>
      <c r="AB170">
        <v>8</v>
      </c>
      <c r="AC170">
        <v>7</v>
      </c>
      <c r="AD170">
        <v>1</v>
      </c>
      <c r="AE170">
        <v>8</v>
      </c>
      <c r="AF170">
        <v>8</v>
      </c>
      <c r="AG170">
        <v>0</v>
      </c>
      <c r="AH170">
        <v>9</v>
      </c>
      <c r="AI170">
        <v>8</v>
      </c>
      <c r="AJ170">
        <v>1</v>
      </c>
      <c r="AK170" t="s">
        <v>1995</v>
      </c>
      <c r="AL170" t="s">
        <v>1996</v>
      </c>
      <c r="AM170" t="s">
        <v>1997</v>
      </c>
      <c r="AN170" t="s">
        <v>1998</v>
      </c>
      <c r="AO170" t="s">
        <v>1999</v>
      </c>
      <c r="AP170" t="s">
        <v>2000</v>
      </c>
      <c r="AQ170" t="s">
        <v>2001</v>
      </c>
      <c r="AR170" t="s">
        <v>2002</v>
      </c>
      <c r="AS170" t="s">
        <v>2003</v>
      </c>
    </row>
    <row r="171" spans="1:45" x14ac:dyDescent="0.45">
      <c r="A171">
        <v>170</v>
      </c>
      <c r="B171">
        <v>211</v>
      </c>
      <c r="C171" t="s">
        <v>78</v>
      </c>
      <c r="D171" t="s">
        <v>81</v>
      </c>
      <c r="E171" t="s">
        <v>74</v>
      </c>
      <c r="F171" t="s">
        <v>77</v>
      </c>
      <c r="G171" t="s">
        <v>162</v>
      </c>
      <c r="H171">
        <v>16.832813501636757</v>
      </c>
      <c r="I171">
        <v>0</v>
      </c>
      <c r="J171">
        <v>6</v>
      </c>
      <c r="K171">
        <v>5</v>
      </c>
      <c r="L171">
        <v>1</v>
      </c>
      <c r="M171">
        <v>8</v>
      </c>
      <c r="N171">
        <v>8</v>
      </c>
      <c r="O171">
        <v>0</v>
      </c>
      <c r="P171">
        <v>9</v>
      </c>
      <c r="Q171">
        <v>7</v>
      </c>
      <c r="R171">
        <v>2</v>
      </c>
      <c r="S171">
        <v>8</v>
      </c>
      <c r="T171">
        <v>8</v>
      </c>
      <c r="U171">
        <v>0</v>
      </c>
      <c r="V171">
        <v>7</v>
      </c>
      <c r="W171">
        <v>1</v>
      </c>
      <c r="X171">
        <v>6</v>
      </c>
      <c r="Y171">
        <v>9</v>
      </c>
      <c r="Z171">
        <v>2</v>
      </c>
      <c r="AA171">
        <v>7</v>
      </c>
      <c r="AB171">
        <v>7</v>
      </c>
      <c r="AC171">
        <v>3</v>
      </c>
      <c r="AD171">
        <v>4</v>
      </c>
      <c r="AE171">
        <v>8</v>
      </c>
      <c r="AF171">
        <v>3</v>
      </c>
      <c r="AG171">
        <v>5</v>
      </c>
      <c r="AH171">
        <v>9</v>
      </c>
      <c r="AI171">
        <v>7</v>
      </c>
      <c r="AJ171">
        <v>2</v>
      </c>
      <c r="AK171" t="s">
        <v>2004</v>
      </c>
      <c r="AL171" t="s">
        <v>2005</v>
      </c>
      <c r="AM171" t="s">
        <v>2006</v>
      </c>
      <c r="AN171" t="s">
        <v>2007</v>
      </c>
      <c r="AO171" t="s">
        <v>2008</v>
      </c>
      <c r="AP171" t="s">
        <v>2009</v>
      </c>
      <c r="AQ171" t="s">
        <v>2010</v>
      </c>
      <c r="AR171" t="s">
        <v>2011</v>
      </c>
      <c r="AS171" t="s">
        <v>2012</v>
      </c>
    </row>
    <row r="172" spans="1:45" x14ac:dyDescent="0.45">
      <c r="A172">
        <v>171</v>
      </c>
      <c r="B172">
        <v>212</v>
      </c>
      <c r="C172" t="s">
        <v>78</v>
      </c>
      <c r="D172" t="s">
        <v>189</v>
      </c>
      <c r="E172" t="s">
        <v>74</v>
      </c>
      <c r="F172" t="s">
        <v>77</v>
      </c>
      <c r="G172" t="s">
        <v>76</v>
      </c>
      <c r="H172">
        <v>12</v>
      </c>
      <c r="I172">
        <v>0</v>
      </c>
      <c r="J172">
        <v>6</v>
      </c>
      <c r="K172">
        <v>6</v>
      </c>
      <c r="L172">
        <v>0</v>
      </c>
      <c r="M172">
        <v>8</v>
      </c>
      <c r="N172">
        <v>7</v>
      </c>
      <c r="O172">
        <v>1</v>
      </c>
      <c r="P172">
        <v>7</v>
      </c>
      <c r="Q172">
        <v>5</v>
      </c>
      <c r="R172">
        <v>2</v>
      </c>
      <c r="S172">
        <v>9</v>
      </c>
      <c r="T172">
        <v>7</v>
      </c>
      <c r="U172">
        <v>2</v>
      </c>
      <c r="V172">
        <v>8</v>
      </c>
      <c r="W172">
        <v>7</v>
      </c>
      <c r="X172">
        <v>1</v>
      </c>
      <c r="Y172">
        <v>7</v>
      </c>
      <c r="Z172">
        <v>7</v>
      </c>
      <c r="AA172">
        <v>0</v>
      </c>
      <c r="AB172">
        <v>8</v>
      </c>
      <c r="AC172">
        <v>5</v>
      </c>
      <c r="AD172">
        <v>3</v>
      </c>
      <c r="AE172">
        <v>7</v>
      </c>
      <c r="AF172">
        <v>7</v>
      </c>
      <c r="AG172">
        <v>0</v>
      </c>
      <c r="AH172">
        <v>9</v>
      </c>
      <c r="AI172">
        <v>7</v>
      </c>
      <c r="AJ172">
        <v>2</v>
      </c>
      <c r="AK172" t="s">
        <v>496</v>
      </c>
      <c r="AL172" t="s">
        <v>497</v>
      </c>
      <c r="AM172" t="s">
        <v>498</v>
      </c>
      <c r="AN172" t="s">
        <v>499</v>
      </c>
      <c r="AO172" t="s">
        <v>500</v>
      </c>
      <c r="AP172" t="s">
        <v>501</v>
      </c>
      <c r="AQ172" t="s">
        <v>502</v>
      </c>
      <c r="AR172" t="s">
        <v>503</v>
      </c>
      <c r="AS172" t="s">
        <v>504</v>
      </c>
    </row>
    <row r="173" spans="1:45" x14ac:dyDescent="0.45">
      <c r="A173">
        <v>172</v>
      </c>
      <c r="B173">
        <v>213</v>
      </c>
      <c r="C173" t="s">
        <v>78</v>
      </c>
      <c r="D173" t="s">
        <v>191</v>
      </c>
      <c r="E173" t="s">
        <v>74</v>
      </c>
      <c r="F173" t="s">
        <v>75</v>
      </c>
      <c r="G173" t="s">
        <v>76</v>
      </c>
      <c r="H173">
        <v>167.27835404196111</v>
      </c>
      <c r="I173">
        <v>4</v>
      </c>
      <c r="J173">
        <v>7</v>
      </c>
      <c r="K173">
        <v>8</v>
      </c>
      <c r="L173">
        <v>-1</v>
      </c>
      <c r="M173">
        <v>6</v>
      </c>
      <c r="N173">
        <v>8</v>
      </c>
      <c r="O173">
        <v>-2</v>
      </c>
      <c r="P173">
        <v>7</v>
      </c>
      <c r="Q173">
        <v>8</v>
      </c>
      <c r="R173">
        <v>-1</v>
      </c>
      <c r="S173">
        <v>8</v>
      </c>
      <c r="T173">
        <v>9</v>
      </c>
      <c r="U173">
        <v>-1</v>
      </c>
      <c r="V173">
        <v>6</v>
      </c>
      <c r="W173">
        <v>9</v>
      </c>
      <c r="X173">
        <v>-3</v>
      </c>
      <c r="Y173">
        <v>9</v>
      </c>
      <c r="Z173">
        <v>5</v>
      </c>
      <c r="AA173">
        <v>4</v>
      </c>
      <c r="AB173">
        <v>8</v>
      </c>
      <c r="AC173">
        <v>5</v>
      </c>
      <c r="AD173">
        <v>3</v>
      </c>
      <c r="AE173">
        <v>7</v>
      </c>
      <c r="AF173">
        <v>8</v>
      </c>
      <c r="AG173">
        <v>-1</v>
      </c>
      <c r="AH173">
        <v>9</v>
      </c>
      <c r="AI173">
        <v>6</v>
      </c>
      <c r="AJ173">
        <v>3</v>
      </c>
      <c r="AK173" t="s">
        <v>2013</v>
      </c>
      <c r="AL173" t="s">
        <v>2014</v>
      </c>
      <c r="AM173" t="s">
        <v>2015</v>
      </c>
      <c r="AN173" t="s">
        <v>2016</v>
      </c>
      <c r="AO173" t="s">
        <v>2017</v>
      </c>
      <c r="AP173" t="s">
        <v>2018</v>
      </c>
      <c r="AQ173" t="s">
        <v>2019</v>
      </c>
      <c r="AR173" t="s">
        <v>2020</v>
      </c>
      <c r="AS173" t="s">
        <v>2021</v>
      </c>
    </row>
    <row r="174" spans="1:45" x14ac:dyDescent="0.45">
      <c r="A174">
        <v>173</v>
      </c>
      <c r="B174">
        <v>214</v>
      </c>
      <c r="C174" t="s">
        <v>72</v>
      </c>
      <c r="D174" t="s">
        <v>79</v>
      </c>
      <c r="E174" t="s">
        <v>74</v>
      </c>
      <c r="F174" t="s">
        <v>77</v>
      </c>
      <c r="G174" t="s">
        <v>76</v>
      </c>
      <c r="H174">
        <v>88.032191317746083</v>
      </c>
      <c r="I174">
        <v>3</v>
      </c>
      <c r="J174">
        <v>9</v>
      </c>
      <c r="K174">
        <v>5</v>
      </c>
      <c r="L174">
        <v>4</v>
      </c>
      <c r="M174">
        <v>8</v>
      </c>
      <c r="N174">
        <v>5</v>
      </c>
      <c r="O174">
        <v>3</v>
      </c>
      <c r="P174">
        <v>9</v>
      </c>
      <c r="Q174">
        <v>4</v>
      </c>
      <c r="R174">
        <v>5</v>
      </c>
      <c r="S174">
        <v>8</v>
      </c>
      <c r="T174">
        <v>6</v>
      </c>
      <c r="U174">
        <v>2</v>
      </c>
      <c r="V174">
        <v>9</v>
      </c>
      <c r="W174">
        <v>5</v>
      </c>
      <c r="X174">
        <v>4</v>
      </c>
      <c r="Y174">
        <v>8</v>
      </c>
      <c r="Z174">
        <v>4</v>
      </c>
      <c r="AA174">
        <v>4</v>
      </c>
      <c r="AB174">
        <v>9</v>
      </c>
      <c r="AC174">
        <v>4</v>
      </c>
      <c r="AD174">
        <v>5</v>
      </c>
      <c r="AE174">
        <v>8</v>
      </c>
      <c r="AF174">
        <v>5</v>
      </c>
      <c r="AG174">
        <v>3</v>
      </c>
      <c r="AH174">
        <v>9</v>
      </c>
      <c r="AI174">
        <v>5</v>
      </c>
      <c r="AJ174">
        <v>4</v>
      </c>
      <c r="AK174" t="s">
        <v>2022</v>
      </c>
      <c r="AL174" t="s">
        <v>2023</v>
      </c>
      <c r="AM174" t="s">
        <v>2024</v>
      </c>
      <c r="AN174" t="s">
        <v>2025</v>
      </c>
      <c r="AO174" t="s">
        <v>2026</v>
      </c>
      <c r="AP174" t="s">
        <v>2027</v>
      </c>
      <c r="AQ174" t="s">
        <v>2028</v>
      </c>
      <c r="AR174" t="s">
        <v>2029</v>
      </c>
      <c r="AS174" t="s">
        <v>2030</v>
      </c>
    </row>
    <row r="175" spans="1:45" x14ac:dyDescent="0.45">
      <c r="A175">
        <v>174</v>
      </c>
      <c r="B175">
        <v>215</v>
      </c>
      <c r="C175" t="s">
        <v>72</v>
      </c>
      <c r="D175" t="s">
        <v>81</v>
      </c>
      <c r="E175" t="s">
        <v>74</v>
      </c>
      <c r="F175" t="s">
        <v>77</v>
      </c>
      <c r="G175" t="s">
        <v>76</v>
      </c>
      <c r="H175">
        <v>36.664878031042349</v>
      </c>
      <c r="I175">
        <v>1</v>
      </c>
      <c r="J175">
        <v>6</v>
      </c>
      <c r="K175">
        <v>6</v>
      </c>
      <c r="L175">
        <v>0</v>
      </c>
      <c r="M175">
        <v>7</v>
      </c>
      <c r="N175">
        <v>6</v>
      </c>
      <c r="O175">
        <v>1</v>
      </c>
      <c r="P175">
        <v>8</v>
      </c>
      <c r="Q175">
        <v>6</v>
      </c>
      <c r="R175">
        <v>2</v>
      </c>
      <c r="S175">
        <v>9</v>
      </c>
      <c r="T175">
        <v>6</v>
      </c>
      <c r="U175">
        <v>3</v>
      </c>
      <c r="V175">
        <v>7</v>
      </c>
      <c r="W175">
        <v>7</v>
      </c>
      <c r="X175">
        <v>0</v>
      </c>
      <c r="Y175">
        <v>9</v>
      </c>
      <c r="Z175">
        <v>7</v>
      </c>
      <c r="AA175">
        <v>2</v>
      </c>
      <c r="AB175">
        <v>8</v>
      </c>
      <c r="AC175">
        <v>5</v>
      </c>
      <c r="AD175">
        <v>3</v>
      </c>
      <c r="AE175">
        <v>9</v>
      </c>
      <c r="AF175">
        <v>7</v>
      </c>
      <c r="AG175">
        <v>2</v>
      </c>
      <c r="AH175">
        <v>8</v>
      </c>
      <c r="AI175">
        <v>6</v>
      </c>
      <c r="AJ175">
        <v>2</v>
      </c>
      <c r="AK175" t="s">
        <v>761</v>
      </c>
      <c r="AL175" t="s">
        <v>762</v>
      </c>
      <c r="AM175" t="s">
        <v>2031</v>
      </c>
      <c r="AN175" t="s">
        <v>2032</v>
      </c>
      <c r="AO175" t="s">
        <v>2033</v>
      </c>
      <c r="AP175" t="s">
        <v>2034</v>
      </c>
      <c r="AQ175" t="s">
        <v>2035</v>
      </c>
      <c r="AR175" t="s">
        <v>2036</v>
      </c>
      <c r="AS175" t="s">
        <v>2037</v>
      </c>
    </row>
    <row r="176" spans="1:45" x14ac:dyDescent="0.45">
      <c r="A176">
        <v>175</v>
      </c>
      <c r="B176">
        <v>216</v>
      </c>
      <c r="C176" t="s">
        <v>72</v>
      </c>
      <c r="D176" t="s">
        <v>191</v>
      </c>
      <c r="E176" t="s">
        <v>74</v>
      </c>
      <c r="F176" t="s">
        <v>75</v>
      </c>
      <c r="G176" t="s">
        <v>76</v>
      </c>
      <c r="H176">
        <v>164.9346824019967</v>
      </c>
      <c r="I176">
        <v>3</v>
      </c>
      <c r="J176">
        <v>6</v>
      </c>
      <c r="K176">
        <v>4</v>
      </c>
      <c r="L176">
        <v>2</v>
      </c>
      <c r="M176">
        <v>7</v>
      </c>
      <c r="N176">
        <v>5</v>
      </c>
      <c r="O176">
        <v>2</v>
      </c>
      <c r="P176">
        <v>8</v>
      </c>
      <c r="Q176">
        <v>4</v>
      </c>
      <c r="R176">
        <v>4</v>
      </c>
      <c r="S176">
        <v>9</v>
      </c>
      <c r="T176">
        <v>6</v>
      </c>
      <c r="U176">
        <v>3</v>
      </c>
      <c r="V176">
        <v>7</v>
      </c>
      <c r="W176">
        <v>4</v>
      </c>
      <c r="X176">
        <v>3</v>
      </c>
      <c r="Y176">
        <v>9</v>
      </c>
      <c r="Z176">
        <v>4</v>
      </c>
      <c r="AA176">
        <v>5</v>
      </c>
      <c r="AB176">
        <v>8</v>
      </c>
      <c r="AC176">
        <v>4</v>
      </c>
      <c r="AD176">
        <v>4</v>
      </c>
      <c r="AE176">
        <v>9</v>
      </c>
      <c r="AF176">
        <v>5</v>
      </c>
      <c r="AG176">
        <v>4</v>
      </c>
      <c r="AH176">
        <v>9</v>
      </c>
      <c r="AI176">
        <v>4</v>
      </c>
      <c r="AJ176">
        <v>5</v>
      </c>
      <c r="AK176" t="s">
        <v>2038</v>
      </c>
      <c r="AL176" t="s">
        <v>2039</v>
      </c>
      <c r="AM176" t="s">
        <v>2040</v>
      </c>
      <c r="AN176" t="s">
        <v>2041</v>
      </c>
      <c r="AO176" t="s">
        <v>2042</v>
      </c>
      <c r="AP176" t="s">
        <v>2043</v>
      </c>
      <c r="AQ176" t="s">
        <v>2044</v>
      </c>
      <c r="AR176" t="s">
        <v>2045</v>
      </c>
      <c r="AS176" t="s">
        <v>2046</v>
      </c>
    </row>
    <row r="177" spans="1:45" x14ac:dyDescent="0.45">
      <c r="A177">
        <v>176</v>
      </c>
      <c r="B177">
        <v>217</v>
      </c>
      <c r="C177" t="s">
        <v>72</v>
      </c>
      <c r="D177" t="s">
        <v>193</v>
      </c>
      <c r="E177" t="s">
        <v>80</v>
      </c>
      <c r="F177" t="s">
        <v>75</v>
      </c>
      <c r="G177" t="s">
        <v>76</v>
      </c>
      <c r="H177">
        <v>200.91230723985751</v>
      </c>
      <c r="I177">
        <v>0</v>
      </c>
      <c r="J177">
        <v>7</v>
      </c>
      <c r="K177">
        <v>2</v>
      </c>
      <c r="L177">
        <v>5</v>
      </c>
      <c r="M177">
        <v>8</v>
      </c>
      <c r="N177">
        <v>4</v>
      </c>
      <c r="O177">
        <v>4</v>
      </c>
      <c r="P177">
        <v>9</v>
      </c>
      <c r="Q177">
        <v>3</v>
      </c>
      <c r="R177">
        <v>6</v>
      </c>
      <c r="S177">
        <v>8</v>
      </c>
      <c r="T177">
        <v>5</v>
      </c>
      <c r="U177">
        <v>3</v>
      </c>
      <c r="V177">
        <v>9</v>
      </c>
      <c r="W177">
        <v>4</v>
      </c>
      <c r="X177">
        <v>5</v>
      </c>
      <c r="Y177">
        <v>8</v>
      </c>
      <c r="Z177">
        <v>1</v>
      </c>
      <c r="AA177">
        <v>7</v>
      </c>
      <c r="AB177">
        <v>9</v>
      </c>
      <c r="AC177">
        <v>1</v>
      </c>
      <c r="AD177">
        <v>8</v>
      </c>
      <c r="AE177">
        <v>7</v>
      </c>
      <c r="AF177">
        <v>4</v>
      </c>
      <c r="AG177">
        <v>3</v>
      </c>
      <c r="AH177">
        <v>9</v>
      </c>
      <c r="AI177">
        <v>4</v>
      </c>
      <c r="AJ177">
        <v>5</v>
      </c>
      <c r="AK177" t="s">
        <v>2047</v>
      </c>
      <c r="AL177" t="s">
        <v>2048</v>
      </c>
      <c r="AM177" t="s">
        <v>2049</v>
      </c>
      <c r="AN177" t="s">
        <v>2050</v>
      </c>
      <c r="AO177" t="s">
        <v>2051</v>
      </c>
      <c r="AP177" t="s">
        <v>2052</v>
      </c>
      <c r="AQ177" t="s">
        <v>2053</v>
      </c>
      <c r="AR177" t="s">
        <v>2054</v>
      </c>
      <c r="AS177" t="s">
        <v>2055</v>
      </c>
    </row>
    <row r="178" spans="1:45" x14ac:dyDescent="0.45">
      <c r="A178">
        <v>177</v>
      </c>
      <c r="B178">
        <v>218</v>
      </c>
      <c r="C178" t="s">
        <v>72</v>
      </c>
      <c r="D178" t="s">
        <v>191</v>
      </c>
      <c r="E178" t="s">
        <v>74</v>
      </c>
      <c r="F178" t="s">
        <v>75</v>
      </c>
      <c r="G178" t="s">
        <v>76</v>
      </c>
      <c r="H178">
        <v>87.086821540864065</v>
      </c>
      <c r="I178">
        <v>2</v>
      </c>
      <c r="J178">
        <v>6</v>
      </c>
      <c r="K178">
        <v>4</v>
      </c>
      <c r="L178">
        <v>2</v>
      </c>
      <c r="M178">
        <v>7</v>
      </c>
      <c r="N178">
        <v>4</v>
      </c>
      <c r="O178">
        <v>3</v>
      </c>
      <c r="P178">
        <v>8</v>
      </c>
      <c r="Q178">
        <v>3</v>
      </c>
      <c r="R178">
        <v>5</v>
      </c>
      <c r="S178">
        <v>9</v>
      </c>
      <c r="T178">
        <v>5</v>
      </c>
      <c r="U178">
        <v>4</v>
      </c>
      <c r="V178">
        <v>6</v>
      </c>
      <c r="W178">
        <v>3</v>
      </c>
      <c r="X178">
        <v>3</v>
      </c>
      <c r="Y178">
        <v>9</v>
      </c>
      <c r="Z178">
        <v>2</v>
      </c>
      <c r="AA178">
        <v>7</v>
      </c>
      <c r="AB178">
        <v>7</v>
      </c>
      <c r="AC178">
        <v>1</v>
      </c>
      <c r="AD178">
        <v>6</v>
      </c>
      <c r="AE178">
        <v>6</v>
      </c>
      <c r="AF178">
        <v>1</v>
      </c>
      <c r="AG178">
        <v>5</v>
      </c>
      <c r="AH178">
        <v>9</v>
      </c>
      <c r="AI178">
        <v>1</v>
      </c>
      <c r="AJ178">
        <v>8</v>
      </c>
      <c r="AK178" t="s">
        <v>2056</v>
      </c>
      <c r="AL178" t="s">
        <v>2057</v>
      </c>
      <c r="AM178" t="s">
        <v>2058</v>
      </c>
      <c r="AN178" t="s">
        <v>2059</v>
      </c>
      <c r="AO178" t="s">
        <v>2060</v>
      </c>
      <c r="AP178" t="s">
        <v>2061</v>
      </c>
      <c r="AQ178" t="s">
        <v>2062</v>
      </c>
      <c r="AR178" t="s">
        <v>2063</v>
      </c>
      <c r="AS178" t="s">
        <v>2064</v>
      </c>
    </row>
    <row r="179" spans="1:45" x14ac:dyDescent="0.45">
      <c r="A179">
        <v>178</v>
      </c>
      <c r="B179">
        <v>219</v>
      </c>
      <c r="C179" t="s">
        <v>72</v>
      </c>
      <c r="D179" t="s">
        <v>193</v>
      </c>
      <c r="E179" t="s">
        <v>74</v>
      </c>
      <c r="F179" t="s">
        <v>77</v>
      </c>
      <c r="G179" t="s">
        <v>76</v>
      </c>
      <c r="H179">
        <v>44.822563117470658</v>
      </c>
      <c r="I179">
        <v>4</v>
      </c>
      <c r="J179">
        <v>6</v>
      </c>
      <c r="K179">
        <v>6</v>
      </c>
      <c r="L179">
        <v>0</v>
      </c>
      <c r="M179">
        <v>6</v>
      </c>
      <c r="N179">
        <v>7</v>
      </c>
      <c r="O179">
        <v>-1</v>
      </c>
      <c r="P179">
        <v>7</v>
      </c>
      <c r="Q179">
        <v>6</v>
      </c>
      <c r="R179">
        <v>1</v>
      </c>
      <c r="S179">
        <v>8</v>
      </c>
      <c r="T179">
        <v>6</v>
      </c>
      <c r="U179">
        <v>2</v>
      </c>
      <c r="V179">
        <v>9</v>
      </c>
      <c r="W179">
        <v>6</v>
      </c>
      <c r="X179">
        <v>3</v>
      </c>
      <c r="Y179">
        <v>9</v>
      </c>
      <c r="Z179">
        <v>7</v>
      </c>
      <c r="AA179">
        <v>2</v>
      </c>
      <c r="AB179">
        <v>9</v>
      </c>
      <c r="AC179">
        <v>5</v>
      </c>
      <c r="AD179">
        <v>4</v>
      </c>
      <c r="AE179">
        <v>8</v>
      </c>
      <c r="AF179">
        <v>6</v>
      </c>
      <c r="AG179">
        <v>2</v>
      </c>
      <c r="AH179">
        <v>9</v>
      </c>
      <c r="AI179">
        <v>7</v>
      </c>
      <c r="AJ179">
        <v>2</v>
      </c>
      <c r="AK179" t="s">
        <v>2065</v>
      </c>
      <c r="AL179" t="s">
        <v>2066</v>
      </c>
      <c r="AM179" t="s">
        <v>2067</v>
      </c>
      <c r="AN179" t="s">
        <v>2068</v>
      </c>
      <c r="AO179" t="s">
        <v>2069</v>
      </c>
      <c r="AP179" t="s">
        <v>2070</v>
      </c>
      <c r="AQ179" t="s">
        <v>2071</v>
      </c>
      <c r="AR179" t="s">
        <v>2072</v>
      </c>
      <c r="AS179" t="s">
        <v>2073</v>
      </c>
    </row>
    <row r="180" spans="1:45" x14ac:dyDescent="0.45">
      <c r="A180">
        <v>179</v>
      </c>
      <c r="B180">
        <v>220</v>
      </c>
      <c r="C180" t="s">
        <v>72</v>
      </c>
      <c r="D180" t="s">
        <v>73</v>
      </c>
      <c r="E180" t="s">
        <v>74</v>
      </c>
      <c r="F180" t="s">
        <v>75</v>
      </c>
      <c r="G180" t="s">
        <v>76</v>
      </c>
      <c r="H180">
        <v>26.706149250357065</v>
      </c>
      <c r="I180">
        <v>1</v>
      </c>
      <c r="J180">
        <v>7</v>
      </c>
      <c r="K180">
        <v>7</v>
      </c>
      <c r="L180">
        <v>0</v>
      </c>
      <c r="M180">
        <v>8</v>
      </c>
      <c r="N180">
        <v>7</v>
      </c>
      <c r="O180">
        <v>1</v>
      </c>
      <c r="P180">
        <v>6</v>
      </c>
      <c r="Q180">
        <v>7</v>
      </c>
      <c r="R180">
        <v>-1</v>
      </c>
      <c r="S180">
        <v>9</v>
      </c>
      <c r="T180">
        <v>8</v>
      </c>
      <c r="U180">
        <v>1</v>
      </c>
      <c r="V180">
        <v>7</v>
      </c>
      <c r="W180">
        <v>7</v>
      </c>
      <c r="X180">
        <v>0</v>
      </c>
      <c r="Y180">
        <v>8</v>
      </c>
      <c r="Z180">
        <v>8</v>
      </c>
      <c r="AA180">
        <v>0</v>
      </c>
      <c r="AB180">
        <v>8</v>
      </c>
      <c r="AC180">
        <v>7</v>
      </c>
      <c r="AD180">
        <v>1</v>
      </c>
      <c r="AE180">
        <v>7</v>
      </c>
      <c r="AF180">
        <v>7</v>
      </c>
      <c r="AG180">
        <v>0</v>
      </c>
      <c r="AH180">
        <v>8</v>
      </c>
      <c r="AI180">
        <v>8</v>
      </c>
      <c r="AJ180">
        <v>0</v>
      </c>
      <c r="AK180" t="s">
        <v>2074</v>
      </c>
      <c r="AL180" t="s">
        <v>2075</v>
      </c>
      <c r="AM180" t="s">
        <v>2076</v>
      </c>
      <c r="AN180" t="s">
        <v>2077</v>
      </c>
      <c r="AO180" t="s">
        <v>2078</v>
      </c>
      <c r="AP180" t="s">
        <v>2079</v>
      </c>
      <c r="AQ180" t="s">
        <v>2080</v>
      </c>
      <c r="AR180" t="s">
        <v>2081</v>
      </c>
      <c r="AS180" t="s">
        <v>2082</v>
      </c>
    </row>
    <row r="181" spans="1:45" x14ac:dyDescent="0.45">
      <c r="A181">
        <v>180</v>
      </c>
      <c r="B181">
        <v>221</v>
      </c>
      <c r="C181" t="s">
        <v>72</v>
      </c>
      <c r="D181" t="s">
        <v>79</v>
      </c>
      <c r="E181" t="s">
        <v>74</v>
      </c>
      <c r="F181" t="s">
        <v>77</v>
      </c>
      <c r="G181" t="s">
        <v>76</v>
      </c>
      <c r="H181">
        <v>62.297021569555554</v>
      </c>
      <c r="I181">
        <v>1</v>
      </c>
      <c r="J181">
        <v>6</v>
      </c>
      <c r="K181">
        <v>5</v>
      </c>
      <c r="L181">
        <v>1</v>
      </c>
      <c r="M181">
        <v>7</v>
      </c>
      <c r="N181">
        <v>5</v>
      </c>
      <c r="O181">
        <v>2</v>
      </c>
      <c r="P181">
        <v>9</v>
      </c>
      <c r="Q181">
        <v>5</v>
      </c>
      <c r="R181">
        <v>4</v>
      </c>
      <c r="S181">
        <v>8</v>
      </c>
      <c r="T181">
        <v>7</v>
      </c>
      <c r="U181">
        <v>1</v>
      </c>
      <c r="V181">
        <v>7</v>
      </c>
      <c r="W181">
        <v>5</v>
      </c>
      <c r="X181">
        <v>2</v>
      </c>
      <c r="Y181">
        <v>9</v>
      </c>
      <c r="Z181">
        <v>6</v>
      </c>
      <c r="AA181">
        <v>3</v>
      </c>
      <c r="AB181">
        <v>8</v>
      </c>
      <c r="AC181">
        <v>5</v>
      </c>
      <c r="AD181">
        <v>3</v>
      </c>
      <c r="AE181">
        <v>7</v>
      </c>
      <c r="AF181">
        <v>7</v>
      </c>
      <c r="AG181">
        <v>0</v>
      </c>
      <c r="AH181">
        <v>8</v>
      </c>
      <c r="AI181">
        <v>7</v>
      </c>
      <c r="AJ181">
        <v>1</v>
      </c>
      <c r="AK181" t="s">
        <v>2083</v>
      </c>
      <c r="AL181" t="s">
        <v>2084</v>
      </c>
      <c r="AM181" t="s">
        <v>2085</v>
      </c>
      <c r="AN181" t="s">
        <v>2086</v>
      </c>
      <c r="AO181" t="s">
        <v>2087</v>
      </c>
      <c r="AP181" t="s">
        <v>2088</v>
      </c>
      <c r="AQ181" t="s">
        <v>2089</v>
      </c>
      <c r="AR181" t="s">
        <v>2090</v>
      </c>
      <c r="AS181" t="s">
        <v>2091</v>
      </c>
    </row>
    <row r="182" spans="1:45" x14ac:dyDescent="0.45">
      <c r="A182">
        <v>181</v>
      </c>
      <c r="B182">
        <v>222</v>
      </c>
      <c r="C182" t="s">
        <v>72</v>
      </c>
      <c r="D182" t="s">
        <v>73</v>
      </c>
      <c r="E182" t="s">
        <v>74</v>
      </c>
      <c r="F182" t="s">
        <v>75</v>
      </c>
      <c r="G182" t="s">
        <v>76</v>
      </c>
      <c r="H182">
        <v>66.381772253002708</v>
      </c>
      <c r="I182">
        <v>2</v>
      </c>
      <c r="J182">
        <v>8</v>
      </c>
      <c r="K182">
        <v>6</v>
      </c>
      <c r="L182">
        <v>2</v>
      </c>
      <c r="M182">
        <v>8</v>
      </c>
      <c r="N182">
        <v>7</v>
      </c>
      <c r="O182">
        <v>1</v>
      </c>
      <c r="P182">
        <v>7</v>
      </c>
      <c r="Q182">
        <v>7</v>
      </c>
      <c r="R182">
        <v>0</v>
      </c>
      <c r="S182">
        <v>9</v>
      </c>
      <c r="T182">
        <v>8</v>
      </c>
      <c r="U182">
        <v>1</v>
      </c>
      <c r="V182">
        <v>8</v>
      </c>
      <c r="W182">
        <v>8</v>
      </c>
      <c r="X182">
        <v>0</v>
      </c>
      <c r="Y182">
        <v>9</v>
      </c>
      <c r="Z182">
        <v>7</v>
      </c>
      <c r="AA182">
        <v>2</v>
      </c>
      <c r="AB182">
        <v>8</v>
      </c>
      <c r="AC182">
        <v>5</v>
      </c>
      <c r="AD182">
        <v>3</v>
      </c>
      <c r="AE182">
        <v>7</v>
      </c>
      <c r="AF182">
        <v>7</v>
      </c>
      <c r="AG182">
        <v>0</v>
      </c>
      <c r="AH182">
        <v>9</v>
      </c>
      <c r="AI182">
        <v>7</v>
      </c>
      <c r="AJ182">
        <v>2</v>
      </c>
      <c r="AK182" t="s">
        <v>2092</v>
      </c>
      <c r="AL182" t="s">
        <v>2093</v>
      </c>
      <c r="AM182" t="s">
        <v>2094</v>
      </c>
      <c r="AN182" t="s">
        <v>2095</v>
      </c>
      <c r="AO182" t="s">
        <v>2096</v>
      </c>
      <c r="AP182" t="s">
        <v>2097</v>
      </c>
      <c r="AQ182" t="s">
        <v>2098</v>
      </c>
      <c r="AR182" t="s">
        <v>2099</v>
      </c>
      <c r="AS182" t="s">
        <v>2100</v>
      </c>
    </row>
    <row r="183" spans="1:45" x14ac:dyDescent="0.45">
      <c r="A183">
        <v>182</v>
      </c>
      <c r="B183">
        <v>223</v>
      </c>
      <c r="C183" t="s">
        <v>72</v>
      </c>
      <c r="D183" t="s">
        <v>81</v>
      </c>
      <c r="E183" t="s">
        <v>74</v>
      </c>
      <c r="F183" t="s">
        <v>77</v>
      </c>
      <c r="G183" t="s">
        <v>76</v>
      </c>
      <c r="H183">
        <v>29.04912485721059</v>
      </c>
      <c r="I183">
        <v>0</v>
      </c>
      <c r="J183">
        <v>7</v>
      </c>
      <c r="K183">
        <v>8</v>
      </c>
      <c r="L183">
        <v>-1</v>
      </c>
      <c r="M183">
        <v>6</v>
      </c>
      <c r="N183">
        <v>8</v>
      </c>
      <c r="O183">
        <v>-2</v>
      </c>
      <c r="P183">
        <v>8</v>
      </c>
      <c r="Q183">
        <v>5</v>
      </c>
      <c r="R183">
        <v>3</v>
      </c>
      <c r="S183">
        <v>9</v>
      </c>
      <c r="T183">
        <v>8</v>
      </c>
      <c r="U183">
        <v>1</v>
      </c>
      <c r="V183">
        <v>8</v>
      </c>
      <c r="W183">
        <v>6</v>
      </c>
      <c r="X183">
        <v>2</v>
      </c>
      <c r="Y183">
        <v>9</v>
      </c>
      <c r="Z183">
        <v>8</v>
      </c>
      <c r="AA183">
        <v>1</v>
      </c>
      <c r="AB183">
        <v>8</v>
      </c>
      <c r="AC183">
        <v>6</v>
      </c>
      <c r="AD183">
        <v>2</v>
      </c>
      <c r="AE183">
        <v>6</v>
      </c>
      <c r="AF183">
        <v>7</v>
      </c>
      <c r="AG183">
        <v>-1</v>
      </c>
      <c r="AH183">
        <v>9</v>
      </c>
      <c r="AI183">
        <v>7</v>
      </c>
      <c r="AJ183">
        <v>2</v>
      </c>
      <c r="AK183" t="s">
        <v>763</v>
      </c>
      <c r="AL183" t="s">
        <v>764</v>
      </c>
      <c r="AM183" t="s">
        <v>2101</v>
      </c>
      <c r="AN183" t="s">
        <v>2102</v>
      </c>
      <c r="AO183" t="s">
        <v>2103</v>
      </c>
      <c r="AP183" t="s">
        <v>2104</v>
      </c>
      <c r="AQ183" t="s">
        <v>2105</v>
      </c>
      <c r="AR183" t="s">
        <v>2106</v>
      </c>
      <c r="AS183" t="s">
        <v>2107</v>
      </c>
    </row>
    <row r="184" spans="1:45" x14ac:dyDescent="0.45">
      <c r="A184">
        <v>183</v>
      </c>
      <c r="B184">
        <v>224</v>
      </c>
      <c r="C184" t="s">
        <v>78</v>
      </c>
      <c r="D184" t="s">
        <v>193</v>
      </c>
      <c r="E184" t="s">
        <v>74</v>
      </c>
      <c r="F184" t="s">
        <v>75</v>
      </c>
      <c r="G184" t="s">
        <v>76</v>
      </c>
      <c r="H184">
        <v>103.07788778142726</v>
      </c>
      <c r="I184">
        <v>3</v>
      </c>
      <c r="J184">
        <v>9</v>
      </c>
      <c r="K184">
        <v>2</v>
      </c>
      <c r="L184">
        <v>7</v>
      </c>
      <c r="M184">
        <v>8</v>
      </c>
      <c r="N184">
        <v>5</v>
      </c>
      <c r="O184">
        <v>3</v>
      </c>
      <c r="P184">
        <v>9</v>
      </c>
      <c r="Q184">
        <v>3</v>
      </c>
      <c r="R184">
        <v>6</v>
      </c>
      <c r="S184">
        <v>8</v>
      </c>
      <c r="T184">
        <v>5</v>
      </c>
      <c r="U184">
        <v>3</v>
      </c>
      <c r="V184">
        <v>9</v>
      </c>
      <c r="W184">
        <v>3</v>
      </c>
      <c r="X184">
        <v>6</v>
      </c>
      <c r="Y184">
        <v>8</v>
      </c>
      <c r="Z184">
        <v>2</v>
      </c>
      <c r="AA184">
        <v>6</v>
      </c>
      <c r="AB184">
        <v>9</v>
      </c>
      <c r="AC184">
        <v>1</v>
      </c>
      <c r="AD184">
        <v>8</v>
      </c>
      <c r="AE184">
        <v>8</v>
      </c>
      <c r="AF184">
        <v>5</v>
      </c>
      <c r="AG184">
        <v>3</v>
      </c>
      <c r="AH184">
        <v>9</v>
      </c>
      <c r="AI184">
        <v>5</v>
      </c>
      <c r="AJ184">
        <v>4</v>
      </c>
      <c r="AK184" t="s">
        <v>505</v>
      </c>
      <c r="AL184" t="s">
        <v>506</v>
      </c>
      <c r="AM184" t="s">
        <v>2108</v>
      </c>
      <c r="AN184" t="s">
        <v>2109</v>
      </c>
      <c r="AO184" t="s">
        <v>2110</v>
      </c>
      <c r="AP184" t="s">
        <v>2111</v>
      </c>
      <c r="AQ184" t="s">
        <v>2112</v>
      </c>
      <c r="AR184" t="s">
        <v>2113</v>
      </c>
      <c r="AS184" t="s">
        <v>2114</v>
      </c>
    </row>
    <row r="185" spans="1:45" x14ac:dyDescent="0.45">
      <c r="A185">
        <v>184</v>
      </c>
      <c r="B185">
        <v>225</v>
      </c>
      <c r="C185" t="s">
        <v>78</v>
      </c>
      <c r="D185" t="s">
        <v>189</v>
      </c>
      <c r="E185" t="s">
        <v>74</v>
      </c>
      <c r="F185" t="s">
        <v>77</v>
      </c>
      <c r="G185" t="s">
        <v>76</v>
      </c>
      <c r="H185">
        <v>13.118534696209883</v>
      </c>
      <c r="I185">
        <v>0</v>
      </c>
      <c r="J185">
        <v>7</v>
      </c>
      <c r="K185">
        <v>6</v>
      </c>
      <c r="L185">
        <v>1</v>
      </c>
      <c r="M185">
        <v>6</v>
      </c>
      <c r="N185">
        <v>6</v>
      </c>
      <c r="O185">
        <v>0</v>
      </c>
      <c r="P185">
        <v>8</v>
      </c>
      <c r="Q185">
        <v>5</v>
      </c>
      <c r="R185">
        <v>3</v>
      </c>
      <c r="S185">
        <v>8</v>
      </c>
      <c r="T185">
        <v>9</v>
      </c>
      <c r="U185">
        <v>-1</v>
      </c>
      <c r="V185">
        <v>9</v>
      </c>
      <c r="W185">
        <v>7</v>
      </c>
      <c r="X185">
        <v>2</v>
      </c>
      <c r="Y185">
        <v>8</v>
      </c>
      <c r="Z185">
        <v>8</v>
      </c>
      <c r="AA185">
        <v>0</v>
      </c>
      <c r="AB185">
        <v>9</v>
      </c>
      <c r="AC185">
        <v>5</v>
      </c>
      <c r="AD185">
        <v>4</v>
      </c>
      <c r="AE185">
        <v>8</v>
      </c>
      <c r="AF185">
        <v>7</v>
      </c>
      <c r="AG185">
        <v>1</v>
      </c>
      <c r="AH185">
        <v>9</v>
      </c>
      <c r="AI185">
        <v>7</v>
      </c>
      <c r="AJ185">
        <v>2</v>
      </c>
      <c r="AK185" t="s">
        <v>2115</v>
      </c>
      <c r="AL185" t="s">
        <v>2116</v>
      </c>
      <c r="AM185" t="s">
        <v>2117</v>
      </c>
      <c r="AN185" t="s">
        <v>2118</v>
      </c>
      <c r="AO185" t="s">
        <v>2119</v>
      </c>
      <c r="AP185" t="s">
        <v>2120</v>
      </c>
      <c r="AQ185" t="s">
        <v>2121</v>
      </c>
      <c r="AR185" t="s">
        <v>2122</v>
      </c>
      <c r="AS185" t="s">
        <v>2123</v>
      </c>
    </row>
    <row r="186" spans="1:45" x14ac:dyDescent="0.45">
      <c r="A186">
        <v>185</v>
      </c>
      <c r="B186">
        <v>226</v>
      </c>
      <c r="C186" t="s">
        <v>72</v>
      </c>
      <c r="D186" t="s">
        <v>79</v>
      </c>
      <c r="E186" t="s">
        <v>80</v>
      </c>
      <c r="F186" t="s">
        <v>77</v>
      </c>
      <c r="G186" t="s">
        <v>162</v>
      </c>
      <c r="H186">
        <v>39.81870042598301</v>
      </c>
      <c r="I186">
        <v>3</v>
      </c>
      <c r="J186">
        <v>6</v>
      </c>
      <c r="K186">
        <v>7</v>
      </c>
      <c r="L186">
        <v>-1</v>
      </c>
      <c r="M186">
        <v>8</v>
      </c>
      <c r="N186">
        <v>7</v>
      </c>
      <c r="O186">
        <v>1</v>
      </c>
      <c r="P186">
        <v>9</v>
      </c>
      <c r="Q186">
        <v>6</v>
      </c>
      <c r="R186">
        <v>3</v>
      </c>
      <c r="S186">
        <v>8</v>
      </c>
      <c r="T186">
        <v>8</v>
      </c>
      <c r="U186">
        <v>0</v>
      </c>
      <c r="V186">
        <v>7</v>
      </c>
      <c r="W186">
        <v>5</v>
      </c>
      <c r="X186">
        <v>2</v>
      </c>
      <c r="Y186">
        <v>8</v>
      </c>
      <c r="Z186">
        <v>5</v>
      </c>
      <c r="AA186">
        <v>3</v>
      </c>
      <c r="AB186">
        <v>7</v>
      </c>
      <c r="AC186">
        <v>5</v>
      </c>
      <c r="AD186">
        <v>2</v>
      </c>
      <c r="AE186">
        <v>8</v>
      </c>
      <c r="AF186">
        <v>6</v>
      </c>
      <c r="AG186">
        <v>2</v>
      </c>
      <c r="AH186">
        <v>7</v>
      </c>
      <c r="AI186">
        <v>5</v>
      </c>
      <c r="AJ186">
        <v>2</v>
      </c>
      <c r="AK186" t="s">
        <v>2124</v>
      </c>
      <c r="AL186" t="s">
        <v>2125</v>
      </c>
      <c r="AM186" t="s">
        <v>2126</v>
      </c>
      <c r="AN186" t="s">
        <v>2127</v>
      </c>
      <c r="AO186" t="s">
        <v>2128</v>
      </c>
      <c r="AP186" t="s">
        <v>2129</v>
      </c>
      <c r="AQ186" t="s">
        <v>2130</v>
      </c>
      <c r="AR186" t="s">
        <v>2131</v>
      </c>
      <c r="AS186" t="s">
        <v>2132</v>
      </c>
    </row>
    <row r="187" spans="1:45" x14ac:dyDescent="0.45">
      <c r="A187">
        <v>186</v>
      </c>
      <c r="B187">
        <v>227</v>
      </c>
      <c r="C187" t="s">
        <v>72</v>
      </c>
      <c r="D187" t="s">
        <v>193</v>
      </c>
      <c r="E187" t="s">
        <v>74</v>
      </c>
      <c r="F187" t="s">
        <v>77</v>
      </c>
      <c r="G187" t="s">
        <v>162</v>
      </c>
      <c r="H187">
        <v>15.283385198639611</v>
      </c>
      <c r="I187">
        <v>0</v>
      </c>
      <c r="J187">
        <v>5</v>
      </c>
      <c r="K187">
        <v>7</v>
      </c>
      <c r="L187">
        <v>-2</v>
      </c>
      <c r="M187">
        <v>6</v>
      </c>
      <c r="N187">
        <v>7</v>
      </c>
      <c r="O187">
        <v>-1</v>
      </c>
      <c r="P187">
        <v>8</v>
      </c>
      <c r="Q187">
        <v>5</v>
      </c>
      <c r="R187">
        <v>3</v>
      </c>
      <c r="S187">
        <v>9</v>
      </c>
      <c r="T187">
        <v>7</v>
      </c>
      <c r="U187">
        <v>2</v>
      </c>
      <c r="V187">
        <v>7</v>
      </c>
      <c r="W187">
        <v>5</v>
      </c>
      <c r="X187">
        <v>2</v>
      </c>
      <c r="Y187">
        <v>9</v>
      </c>
      <c r="Z187">
        <v>5</v>
      </c>
      <c r="AA187">
        <v>4</v>
      </c>
      <c r="AB187">
        <v>8</v>
      </c>
      <c r="AC187">
        <v>5</v>
      </c>
      <c r="AD187">
        <v>3</v>
      </c>
      <c r="AE187">
        <v>7</v>
      </c>
      <c r="AF187">
        <v>5</v>
      </c>
      <c r="AG187">
        <v>2</v>
      </c>
      <c r="AH187">
        <v>9</v>
      </c>
      <c r="AI187">
        <v>6</v>
      </c>
      <c r="AJ187">
        <v>3</v>
      </c>
      <c r="AK187" t="s">
        <v>765</v>
      </c>
      <c r="AL187" t="s">
        <v>2133</v>
      </c>
      <c r="AM187" t="s">
        <v>2134</v>
      </c>
      <c r="AN187" t="s">
        <v>2135</v>
      </c>
      <c r="AO187" t="s">
        <v>2136</v>
      </c>
      <c r="AP187" t="s">
        <v>2137</v>
      </c>
      <c r="AQ187" t="s">
        <v>2138</v>
      </c>
      <c r="AR187" t="s">
        <v>2139</v>
      </c>
      <c r="AS187" t="s">
        <v>2140</v>
      </c>
    </row>
    <row r="188" spans="1:45" x14ac:dyDescent="0.45">
      <c r="A188">
        <v>187</v>
      </c>
      <c r="B188">
        <v>228</v>
      </c>
      <c r="C188" t="s">
        <v>78</v>
      </c>
      <c r="D188" t="s">
        <v>79</v>
      </c>
      <c r="E188" t="s">
        <v>74</v>
      </c>
      <c r="F188" t="s">
        <v>75</v>
      </c>
      <c r="G188" t="s">
        <v>76</v>
      </c>
      <c r="H188">
        <v>46.93172428703781</v>
      </c>
      <c r="I188">
        <v>2</v>
      </c>
      <c r="J188">
        <v>7</v>
      </c>
      <c r="K188">
        <v>6</v>
      </c>
      <c r="L188">
        <v>1</v>
      </c>
      <c r="M188">
        <v>6</v>
      </c>
      <c r="N188">
        <v>7</v>
      </c>
      <c r="O188">
        <v>-1</v>
      </c>
      <c r="P188">
        <v>8</v>
      </c>
      <c r="Q188">
        <v>6</v>
      </c>
      <c r="R188">
        <v>2</v>
      </c>
      <c r="S188">
        <v>9</v>
      </c>
      <c r="T188">
        <v>7</v>
      </c>
      <c r="U188">
        <v>2</v>
      </c>
      <c r="V188">
        <v>8</v>
      </c>
      <c r="W188">
        <v>6</v>
      </c>
      <c r="X188">
        <v>2</v>
      </c>
      <c r="Y188">
        <v>9</v>
      </c>
      <c r="Z188">
        <v>6</v>
      </c>
      <c r="AA188">
        <v>3</v>
      </c>
      <c r="AB188">
        <v>8</v>
      </c>
      <c r="AC188">
        <v>5</v>
      </c>
      <c r="AD188">
        <v>3</v>
      </c>
      <c r="AE188">
        <v>7</v>
      </c>
      <c r="AF188">
        <v>5</v>
      </c>
      <c r="AG188">
        <v>2</v>
      </c>
      <c r="AH188">
        <v>9</v>
      </c>
      <c r="AI188">
        <v>6</v>
      </c>
      <c r="AJ188">
        <v>3</v>
      </c>
      <c r="AK188" t="s">
        <v>2141</v>
      </c>
      <c r="AL188" t="s">
        <v>2142</v>
      </c>
      <c r="AM188" t="s">
        <v>2143</v>
      </c>
      <c r="AN188" t="s">
        <v>2144</v>
      </c>
      <c r="AO188" t="s">
        <v>2145</v>
      </c>
      <c r="AP188" t="s">
        <v>2146</v>
      </c>
      <c r="AQ188" t="s">
        <v>2147</v>
      </c>
      <c r="AR188" t="s">
        <v>2148</v>
      </c>
      <c r="AS188" t="s">
        <v>2149</v>
      </c>
    </row>
    <row r="189" spans="1:45" x14ac:dyDescent="0.45">
      <c r="A189">
        <v>188</v>
      </c>
      <c r="B189">
        <v>229</v>
      </c>
      <c r="C189" t="s">
        <v>78</v>
      </c>
      <c r="D189" t="s">
        <v>81</v>
      </c>
      <c r="E189" t="s">
        <v>74</v>
      </c>
      <c r="F189" t="s">
        <v>77</v>
      </c>
      <c r="G189" t="s">
        <v>76</v>
      </c>
      <c r="H189">
        <v>23.279394241536629</v>
      </c>
      <c r="I189">
        <v>1</v>
      </c>
      <c r="J189">
        <v>8</v>
      </c>
      <c r="K189">
        <v>5</v>
      </c>
      <c r="L189">
        <v>3</v>
      </c>
      <c r="M189">
        <v>9</v>
      </c>
      <c r="N189">
        <v>5</v>
      </c>
      <c r="O189">
        <v>4</v>
      </c>
      <c r="P189">
        <v>8</v>
      </c>
      <c r="Q189">
        <v>4</v>
      </c>
      <c r="R189">
        <v>4</v>
      </c>
      <c r="S189">
        <v>9</v>
      </c>
      <c r="T189">
        <v>6</v>
      </c>
      <c r="U189">
        <v>3</v>
      </c>
      <c r="V189">
        <v>8</v>
      </c>
      <c r="W189">
        <v>5</v>
      </c>
      <c r="X189">
        <v>3</v>
      </c>
      <c r="Y189">
        <v>9</v>
      </c>
      <c r="Z189">
        <v>5</v>
      </c>
      <c r="AA189">
        <v>4</v>
      </c>
      <c r="AB189">
        <v>8</v>
      </c>
      <c r="AC189">
        <v>5</v>
      </c>
      <c r="AD189">
        <v>3</v>
      </c>
      <c r="AE189">
        <v>9</v>
      </c>
      <c r="AF189">
        <v>5</v>
      </c>
      <c r="AG189">
        <v>4</v>
      </c>
      <c r="AH189">
        <v>9</v>
      </c>
      <c r="AI189">
        <v>5</v>
      </c>
      <c r="AJ189">
        <v>4</v>
      </c>
      <c r="AK189" t="s">
        <v>2150</v>
      </c>
      <c r="AL189" t="s">
        <v>2151</v>
      </c>
      <c r="AM189" t="s">
        <v>2152</v>
      </c>
      <c r="AN189" t="s">
        <v>2153</v>
      </c>
      <c r="AO189" t="s">
        <v>2154</v>
      </c>
      <c r="AP189" t="s">
        <v>2155</v>
      </c>
      <c r="AQ189" t="s">
        <v>2156</v>
      </c>
      <c r="AR189" t="s">
        <v>2157</v>
      </c>
      <c r="AS189" t="s">
        <v>2158</v>
      </c>
    </row>
    <row r="190" spans="1:45" x14ac:dyDescent="0.45">
      <c r="A190">
        <v>189</v>
      </c>
      <c r="B190">
        <v>230</v>
      </c>
      <c r="C190" t="s">
        <v>78</v>
      </c>
      <c r="D190" t="s">
        <v>79</v>
      </c>
      <c r="E190" t="s">
        <v>74</v>
      </c>
      <c r="F190" t="s">
        <v>77</v>
      </c>
      <c r="G190" t="s">
        <v>76</v>
      </c>
      <c r="H190">
        <v>48.639861751403579</v>
      </c>
      <c r="I190">
        <v>2</v>
      </c>
      <c r="J190">
        <v>6</v>
      </c>
      <c r="K190">
        <v>8</v>
      </c>
      <c r="L190">
        <v>-2</v>
      </c>
      <c r="M190">
        <v>7</v>
      </c>
      <c r="N190">
        <v>8</v>
      </c>
      <c r="O190">
        <v>-1</v>
      </c>
      <c r="P190">
        <v>8</v>
      </c>
      <c r="Q190">
        <v>5</v>
      </c>
      <c r="R190">
        <v>3</v>
      </c>
      <c r="S190">
        <v>9</v>
      </c>
      <c r="T190">
        <v>7</v>
      </c>
      <c r="U190">
        <v>2</v>
      </c>
      <c r="V190">
        <v>8</v>
      </c>
      <c r="W190">
        <v>6</v>
      </c>
      <c r="X190">
        <v>2</v>
      </c>
      <c r="Y190">
        <v>9</v>
      </c>
      <c r="Z190">
        <v>8</v>
      </c>
      <c r="AA190">
        <v>1</v>
      </c>
      <c r="AB190">
        <v>7</v>
      </c>
      <c r="AC190">
        <v>5</v>
      </c>
      <c r="AD190">
        <v>2</v>
      </c>
      <c r="AE190">
        <v>8</v>
      </c>
      <c r="AF190">
        <v>7</v>
      </c>
      <c r="AG190">
        <v>1</v>
      </c>
      <c r="AH190">
        <v>9</v>
      </c>
      <c r="AI190">
        <v>8</v>
      </c>
      <c r="AJ190">
        <v>1</v>
      </c>
      <c r="AK190" t="s">
        <v>2159</v>
      </c>
      <c r="AL190" t="s">
        <v>2160</v>
      </c>
      <c r="AM190" t="s">
        <v>2161</v>
      </c>
      <c r="AN190" t="s">
        <v>2162</v>
      </c>
      <c r="AO190" t="s">
        <v>2163</v>
      </c>
      <c r="AP190" t="s">
        <v>2164</v>
      </c>
      <c r="AQ190" t="s">
        <v>2165</v>
      </c>
      <c r="AR190" t="s">
        <v>2166</v>
      </c>
      <c r="AS190" t="s">
        <v>2167</v>
      </c>
    </row>
    <row r="191" spans="1:45" x14ac:dyDescent="0.45">
      <c r="A191">
        <v>190</v>
      </c>
      <c r="B191">
        <v>231</v>
      </c>
      <c r="C191" t="s">
        <v>78</v>
      </c>
      <c r="D191" t="s">
        <v>81</v>
      </c>
      <c r="E191" t="s">
        <v>74</v>
      </c>
      <c r="F191" t="s">
        <v>75</v>
      </c>
      <c r="G191" t="s">
        <v>76</v>
      </c>
      <c r="H191">
        <v>30.116307536128566</v>
      </c>
      <c r="I191">
        <v>0</v>
      </c>
      <c r="J191">
        <v>7</v>
      </c>
      <c r="K191">
        <v>7</v>
      </c>
      <c r="L191">
        <v>0</v>
      </c>
      <c r="M191">
        <v>6</v>
      </c>
      <c r="N191">
        <v>7</v>
      </c>
      <c r="O191">
        <v>-1</v>
      </c>
      <c r="P191">
        <v>8</v>
      </c>
      <c r="Q191">
        <v>7</v>
      </c>
      <c r="R191">
        <v>1</v>
      </c>
      <c r="S191">
        <v>7</v>
      </c>
      <c r="T191">
        <v>8</v>
      </c>
      <c r="U191">
        <v>-1</v>
      </c>
      <c r="V191">
        <v>9</v>
      </c>
      <c r="W191">
        <v>3</v>
      </c>
      <c r="X191">
        <v>6</v>
      </c>
      <c r="Y191">
        <v>8</v>
      </c>
      <c r="Z191">
        <v>3</v>
      </c>
      <c r="AA191">
        <v>5</v>
      </c>
      <c r="AB191">
        <v>9</v>
      </c>
      <c r="AC191">
        <v>2</v>
      </c>
      <c r="AD191">
        <v>7</v>
      </c>
      <c r="AE191">
        <v>7</v>
      </c>
      <c r="AF191">
        <v>3</v>
      </c>
      <c r="AG191">
        <v>4</v>
      </c>
      <c r="AH191">
        <v>9</v>
      </c>
      <c r="AI191">
        <v>8</v>
      </c>
      <c r="AJ191">
        <v>1</v>
      </c>
      <c r="AK191" t="s">
        <v>2168</v>
      </c>
      <c r="AL191" t="s">
        <v>2169</v>
      </c>
      <c r="AM191" t="s">
        <v>2170</v>
      </c>
      <c r="AN191" t="s">
        <v>2171</v>
      </c>
      <c r="AO191" t="s">
        <v>2172</v>
      </c>
      <c r="AP191" t="s">
        <v>2173</v>
      </c>
      <c r="AQ191" t="s">
        <v>2174</v>
      </c>
      <c r="AR191" t="s">
        <v>2175</v>
      </c>
      <c r="AS191" t="s">
        <v>2176</v>
      </c>
    </row>
    <row r="192" spans="1:45" x14ac:dyDescent="0.45">
      <c r="A192">
        <v>191</v>
      </c>
      <c r="B192">
        <v>232</v>
      </c>
      <c r="C192" t="s">
        <v>78</v>
      </c>
      <c r="D192" t="s">
        <v>73</v>
      </c>
      <c r="E192" t="s">
        <v>74</v>
      </c>
      <c r="F192" t="s">
        <v>75</v>
      </c>
      <c r="G192" t="s">
        <v>76</v>
      </c>
      <c r="H192">
        <v>68.771751337108086</v>
      </c>
      <c r="I192">
        <v>3</v>
      </c>
      <c r="J192">
        <v>8</v>
      </c>
      <c r="K192">
        <v>7</v>
      </c>
      <c r="L192">
        <v>1</v>
      </c>
      <c r="M192">
        <v>7</v>
      </c>
      <c r="N192">
        <v>7</v>
      </c>
      <c r="O192">
        <v>0</v>
      </c>
      <c r="P192">
        <v>9</v>
      </c>
      <c r="Q192">
        <v>6</v>
      </c>
      <c r="R192">
        <v>3</v>
      </c>
      <c r="S192">
        <v>8</v>
      </c>
      <c r="T192">
        <v>8</v>
      </c>
      <c r="U192">
        <v>0</v>
      </c>
      <c r="V192">
        <v>9</v>
      </c>
      <c r="W192">
        <v>7</v>
      </c>
      <c r="X192">
        <v>2</v>
      </c>
      <c r="Y192">
        <v>8</v>
      </c>
      <c r="Z192">
        <v>8</v>
      </c>
      <c r="AA192">
        <v>0</v>
      </c>
      <c r="AB192">
        <v>9</v>
      </c>
      <c r="AC192">
        <v>7</v>
      </c>
      <c r="AD192">
        <v>2</v>
      </c>
      <c r="AE192">
        <v>7</v>
      </c>
      <c r="AF192">
        <v>7</v>
      </c>
      <c r="AG192">
        <v>0</v>
      </c>
      <c r="AH192">
        <v>9</v>
      </c>
      <c r="AI192">
        <v>7</v>
      </c>
      <c r="AJ192">
        <v>2</v>
      </c>
      <c r="AK192" t="s">
        <v>2177</v>
      </c>
      <c r="AL192" t="s">
        <v>2178</v>
      </c>
      <c r="AM192" t="s">
        <v>2179</v>
      </c>
      <c r="AN192" t="s">
        <v>2180</v>
      </c>
      <c r="AO192" t="s">
        <v>2181</v>
      </c>
      <c r="AP192" t="s">
        <v>2182</v>
      </c>
      <c r="AQ192" t="s">
        <v>2183</v>
      </c>
      <c r="AR192" t="s">
        <v>2184</v>
      </c>
      <c r="AS192" t="s">
        <v>2185</v>
      </c>
    </row>
    <row r="193" spans="1:45" x14ac:dyDescent="0.45">
      <c r="A193">
        <v>192</v>
      </c>
      <c r="B193">
        <v>233</v>
      </c>
      <c r="C193" t="s">
        <v>72</v>
      </c>
      <c r="D193" t="s">
        <v>189</v>
      </c>
      <c r="E193" t="s">
        <v>74</v>
      </c>
      <c r="F193" t="s">
        <v>77</v>
      </c>
      <c r="G193" t="s">
        <v>76</v>
      </c>
      <c r="H193">
        <v>18.636331126654493</v>
      </c>
      <c r="I193">
        <v>0</v>
      </c>
      <c r="J193">
        <v>7</v>
      </c>
      <c r="K193">
        <v>8</v>
      </c>
      <c r="L193">
        <v>-1</v>
      </c>
      <c r="M193">
        <v>6</v>
      </c>
      <c r="N193">
        <v>8</v>
      </c>
      <c r="O193">
        <v>-2</v>
      </c>
      <c r="P193">
        <v>9</v>
      </c>
      <c r="Q193">
        <v>9</v>
      </c>
      <c r="R193">
        <v>0</v>
      </c>
      <c r="S193">
        <v>8</v>
      </c>
      <c r="T193">
        <v>9</v>
      </c>
      <c r="U193">
        <v>-1</v>
      </c>
      <c r="V193">
        <v>9</v>
      </c>
      <c r="W193">
        <v>9</v>
      </c>
      <c r="X193">
        <v>0</v>
      </c>
      <c r="Y193">
        <v>10</v>
      </c>
      <c r="Z193">
        <v>9</v>
      </c>
      <c r="AA193">
        <v>1</v>
      </c>
      <c r="AB193">
        <v>9</v>
      </c>
      <c r="AC193">
        <v>8</v>
      </c>
      <c r="AD193">
        <v>1</v>
      </c>
      <c r="AE193">
        <v>8</v>
      </c>
      <c r="AF193">
        <v>8</v>
      </c>
      <c r="AG193">
        <v>0</v>
      </c>
      <c r="AH193">
        <v>9</v>
      </c>
      <c r="AI193">
        <v>9</v>
      </c>
      <c r="AJ193">
        <v>0</v>
      </c>
      <c r="AK193" t="s">
        <v>2186</v>
      </c>
      <c r="AL193" t="s">
        <v>2187</v>
      </c>
      <c r="AM193" t="s">
        <v>2188</v>
      </c>
      <c r="AN193" t="s">
        <v>2189</v>
      </c>
      <c r="AO193" t="s">
        <v>2190</v>
      </c>
      <c r="AP193" t="s">
        <v>2191</v>
      </c>
      <c r="AQ193" t="s">
        <v>688</v>
      </c>
      <c r="AR193" t="s">
        <v>2192</v>
      </c>
      <c r="AS193" t="s">
        <v>2193</v>
      </c>
    </row>
    <row r="194" spans="1:45" x14ac:dyDescent="0.45">
      <c r="A194">
        <v>193</v>
      </c>
      <c r="B194">
        <v>234</v>
      </c>
      <c r="C194" t="s">
        <v>72</v>
      </c>
      <c r="D194" t="s">
        <v>79</v>
      </c>
      <c r="E194" t="s">
        <v>74</v>
      </c>
      <c r="F194" t="s">
        <v>77</v>
      </c>
      <c r="G194" t="s">
        <v>76</v>
      </c>
      <c r="H194">
        <v>27.825111441310725</v>
      </c>
      <c r="I194">
        <v>2</v>
      </c>
      <c r="J194">
        <v>6</v>
      </c>
      <c r="K194">
        <v>1</v>
      </c>
      <c r="L194">
        <v>5</v>
      </c>
      <c r="M194">
        <v>7</v>
      </c>
      <c r="N194">
        <v>1</v>
      </c>
      <c r="O194">
        <v>6</v>
      </c>
      <c r="P194">
        <v>9</v>
      </c>
      <c r="Q194">
        <v>7</v>
      </c>
      <c r="R194">
        <v>2</v>
      </c>
      <c r="S194">
        <v>8</v>
      </c>
      <c r="T194">
        <v>5</v>
      </c>
      <c r="U194">
        <v>3</v>
      </c>
      <c r="V194">
        <v>7</v>
      </c>
      <c r="W194">
        <v>5</v>
      </c>
      <c r="X194">
        <v>2</v>
      </c>
      <c r="Y194">
        <v>9</v>
      </c>
      <c r="Z194">
        <v>7</v>
      </c>
      <c r="AA194">
        <v>2</v>
      </c>
      <c r="AB194">
        <v>6</v>
      </c>
      <c r="AC194">
        <v>2</v>
      </c>
      <c r="AD194">
        <v>4</v>
      </c>
      <c r="AE194">
        <v>8</v>
      </c>
      <c r="AF194">
        <v>5</v>
      </c>
      <c r="AG194">
        <v>3</v>
      </c>
      <c r="AH194">
        <v>9</v>
      </c>
      <c r="AI194">
        <v>5</v>
      </c>
      <c r="AJ194">
        <v>4</v>
      </c>
      <c r="AK194" t="s">
        <v>2194</v>
      </c>
      <c r="AL194" t="s">
        <v>2195</v>
      </c>
      <c r="AM194" t="s">
        <v>2196</v>
      </c>
      <c r="AN194" t="s">
        <v>2197</v>
      </c>
      <c r="AO194" t="s">
        <v>2198</v>
      </c>
      <c r="AP194" t="s">
        <v>2199</v>
      </c>
      <c r="AQ194" t="s">
        <v>2200</v>
      </c>
      <c r="AR194" t="s">
        <v>2201</v>
      </c>
      <c r="AS194" t="s">
        <v>2202</v>
      </c>
    </row>
    <row r="195" spans="1:45" x14ac:dyDescent="0.45">
      <c r="A195">
        <v>194</v>
      </c>
      <c r="B195">
        <v>235</v>
      </c>
      <c r="C195" t="s">
        <v>72</v>
      </c>
      <c r="D195" t="s">
        <v>73</v>
      </c>
      <c r="E195" t="s">
        <v>74</v>
      </c>
      <c r="F195" t="s">
        <v>77</v>
      </c>
      <c r="G195" t="s">
        <v>76</v>
      </c>
      <c r="H195">
        <v>18.082461690557448</v>
      </c>
      <c r="I195">
        <v>1</v>
      </c>
      <c r="J195">
        <v>5</v>
      </c>
      <c r="K195">
        <v>10</v>
      </c>
      <c r="L195">
        <v>-5</v>
      </c>
      <c r="M195">
        <v>7</v>
      </c>
      <c r="N195">
        <v>10</v>
      </c>
      <c r="O195">
        <v>-3</v>
      </c>
      <c r="P195">
        <v>9</v>
      </c>
      <c r="Q195">
        <v>6</v>
      </c>
      <c r="R195">
        <v>3</v>
      </c>
      <c r="S195">
        <v>9</v>
      </c>
      <c r="T195">
        <v>4</v>
      </c>
      <c r="U195">
        <v>5</v>
      </c>
      <c r="V195">
        <v>8</v>
      </c>
      <c r="W195">
        <v>8</v>
      </c>
      <c r="X195">
        <v>0</v>
      </c>
      <c r="Y195">
        <v>9</v>
      </c>
      <c r="Z195">
        <v>3</v>
      </c>
      <c r="AA195">
        <v>6</v>
      </c>
      <c r="AB195">
        <v>8</v>
      </c>
      <c r="AC195">
        <v>10</v>
      </c>
      <c r="AD195">
        <v>-2</v>
      </c>
      <c r="AE195">
        <v>9</v>
      </c>
      <c r="AF195">
        <v>10</v>
      </c>
      <c r="AG195">
        <v>-1</v>
      </c>
      <c r="AH195">
        <v>8</v>
      </c>
      <c r="AI195">
        <v>10</v>
      </c>
      <c r="AJ195">
        <v>-2</v>
      </c>
      <c r="AK195" t="s">
        <v>2203</v>
      </c>
      <c r="AL195" t="s">
        <v>2204</v>
      </c>
      <c r="AM195" t="s">
        <v>2205</v>
      </c>
      <c r="AN195" t="s">
        <v>2206</v>
      </c>
      <c r="AO195" t="s">
        <v>2207</v>
      </c>
      <c r="AP195" t="s">
        <v>2208</v>
      </c>
      <c r="AQ195" t="s">
        <v>2209</v>
      </c>
      <c r="AR195" t="s">
        <v>2210</v>
      </c>
      <c r="AS195" t="s">
        <v>2211</v>
      </c>
    </row>
    <row r="196" spans="1:45" x14ac:dyDescent="0.45">
      <c r="A196">
        <v>195</v>
      </c>
      <c r="B196">
        <v>236</v>
      </c>
      <c r="C196" t="s">
        <v>72</v>
      </c>
      <c r="D196" t="s">
        <v>81</v>
      </c>
      <c r="E196" t="s">
        <v>74</v>
      </c>
      <c r="F196" t="s">
        <v>77</v>
      </c>
      <c r="G196" t="s">
        <v>76</v>
      </c>
      <c r="H196">
        <v>14.025094621683548</v>
      </c>
      <c r="I196">
        <v>1</v>
      </c>
      <c r="J196">
        <v>8</v>
      </c>
      <c r="K196">
        <v>9</v>
      </c>
      <c r="L196">
        <v>-1</v>
      </c>
      <c r="M196">
        <v>9</v>
      </c>
      <c r="N196">
        <v>9</v>
      </c>
      <c r="O196">
        <v>0</v>
      </c>
      <c r="P196">
        <v>8</v>
      </c>
      <c r="Q196">
        <v>5</v>
      </c>
      <c r="R196">
        <v>3</v>
      </c>
      <c r="S196">
        <v>9</v>
      </c>
      <c r="T196">
        <v>5</v>
      </c>
      <c r="U196">
        <v>4</v>
      </c>
      <c r="V196">
        <v>8</v>
      </c>
      <c r="W196">
        <v>7</v>
      </c>
      <c r="X196">
        <v>1</v>
      </c>
      <c r="Y196">
        <v>9</v>
      </c>
      <c r="Z196">
        <v>7</v>
      </c>
      <c r="AA196">
        <v>2</v>
      </c>
      <c r="AB196">
        <v>8</v>
      </c>
      <c r="AC196">
        <v>8</v>
      </c>
      <c r="AD196">
        <v>0</v>
      </c>
      <c r="AE196">
        <v>9</v>
      </c>
      <c r="AF196">
        <v>8</v>
      </c>
      <c r="AG196">
        <v>1</v>
      </c>
      <c r="AH196">
        <v>9</v>
      </c>
      <c r="AI196">
        <v>8</v>
      </c>
      <c r="AJ196">
        <v>1</v>
      </c>
      <c r="AK196" t="s">
        <v>2212</v>
      </c>
      <c r="AL196" t="s">
        <v>2213</v>
      </c>
      <c r="AM196" t="s">
        <v>2214</v>
      </c>
      <c r="AN196" t="s">
        <v>2215</v>
      </c>
      <c r="AO196" t="s">
        <v>2216</v>
      </c>
      <c r="AP196" t="s">
        <v>2217</v>
      </c>
      <c r="AQ196" t="s">
        <v>2218</v>
      </c>
      <c r="AR196" t="s">
        <v>2219</v>
      </c>
      <c r="AS196" t="s">
        <v>2220</v>
      </c>
    </row>
    <row r="197" spans="1:45" x14ac:dyDescent="0.45">
      <c r="A197">
        <v>196</v>
      </c>
      <c r="B197">
        <v>237</v>
      </c>
      <c r="C197" t="s">
        <v>78</v>
      </c>
      <c r="D197" t="s">
        <v>79</v>
      </c>
      <c r="E197" t="s">
        <v>74</v>
      </c>
      <c r="F197" t="s">
        <v>77</v>
      </c>
      <c r="G197" t="s">
        <v>76</v>
      </c>
      <c r="H197">
        <v>16.550863679909991</v>
      </c>
      <c r="I197">
        <v>2</v>
      </c>
      <c r="J197">
        <v>6</v>
      </c>
      <c r="K197">
        <v>9</v>
      </c>
      <c r="L197">
        <v>-3</v>
      </c>
      <c r="M197">
        <v>8</v>
      </c>
      <c r="N197">
        <v>9</v>
      </c>
      <c r="O197">
        <v>-1</v>
      </c>
      <c r="P197">
        <v>7</v>
      </c>
      <c r="Q197">
        <v>9</v>
      </c>
      <c r="R197">
        <v>-2</v>
      </c>
      <c r="S197">
        <v>9</v>
      </c>
      <c r="T197">
        <v>9</v>
      </c>
      <c r="U197">
        <v>0</v>
      </c>
      <c r="V197">
        <v>8</v>
      </c>
      <c r="W197">
        <v>9</v>
      </c>
      <c r="X197">
        <v>-1</v>
      </c>
      <c r="Y197">
        <v>9</v>
      </c>
      <c r="Z197">
        <v>9</v>
      </c>
      <c r="AA197">
        <v>0</v>
      </c>
      <c r="AB197">
        <v>8</v>
      </c>
      <c r="AC197">
        <v>9</v>
      </c>
      <c r="AD197">
        <v>-1</v>
      </c>
      <c r="AE197">
        <v>9</v>
      </c>
      <c r="AF197">
        <v>9</v>
      </c>
      <c r="AG197">
        <v>0</v>
      </c>
      <c r="AH197">
        <v>8</v>
      </c>
      <c r="AI197">
        <v>9</v>
      </c>
      <c r="AJ197">
        <v>-1</v>
      </c>
      <c r="AK197" t="s">
        <v>2221</v>
      </c>
      <c r="AL197" t="s">
        <v>2222</v>
      </c>
      <c r="AM197" t="s">
        <v>2223</v>
      </c>
      <c r="AN197" t="s">
        <v>2224</v>
      </c>
      <c r="AO197" t="s">
        <v>2225</v>
      </c>
      <c r="AP197" t="s">
        <v>2226</v>
      </c>
      <c r="AQ197" t="s">
        <v>2227</v>
      </c>
      <c r="AR197" t="s">
        <v>2228</v>
      </c>
      <c r="AS197" t="s">
        <v>2229</v>
      </c>
    </row>
    <row r="198" spans="1:45" x14ac:dyDescent="0.45">
      <c r="A198">
        <v>197</v>
      </c>
      <c r="B198">
        <v>238</v>
      </c>
      <c r="C198" t="s">
        <v>72</v>
      </c>
      <c r="D198" t="s">
        <v>79</v>
      </c>
      <c r="E198" t="s">
        <v>74</v>
      </c>
      <c r="F198" t="s">
        <v>75</v>
      </c>
      <c r="G198" t="s">
        <v>76</v>
      </c>
      <c r="H198">
        <v>13.432072342390809</v>
      </c>
      <c r="I198">
        <v>3</v>
      </c>
      <c r="J198">
        <v>9</v>
      </c>
      <c r="K198">
        <v>9</v>
      </c>
      <c r="L198">
        <v>0</v>
      </c>
      <c r="M198">
        <v>8</v>
      </c>
      <c r="N198">
        <v>10</v>
      </c>
      <c r="O198">
        <v>-2</v>
      </c>
      <c r="P198">
        <v>9</v>
      </c>
      <c r="Q198">
        <v>10</v>
      </c>
      <c r="R198">
        <v>-1</v>
      </c>
      <c r="S198">
        <v>9</v>
      </c>
      <c r="T198">
        <v>9</v>
      </c>
      <c r="U198">
        <v>0</v>
      </c>
      <c r="V198">
        <v>8</v>
      </c>
      <c r="W198">
        <v>10</v>
      </c>
      <c r="X198">
        <v>-2</v>
      </c>
      <c r="Y198">
        <v>9</v>
      </c>
      <c r="Z198">
        <v>10</v>
      </c>
      <c r="AA198">
        <v>-1</v>
      </c>
      <c r="AB198">
        <v>8</v>
      </c>
      <c r="AC198">
        <v>10</v>
      </c>
      <c r="AD198">
        <v>-2</v>
      </c>
      <c r="AE198">
        <v>9</v>
      </c>
      <c r="AF198">
        <v>9</v>
      </c>
      <c r="AG198">
        <v>0</v>
      </c>
      <c r="AH198">
        <v>8</v>
      </c>
      <c r="AI198">
        <v>10</v>
      </c>
      <c r="AJ198">
        <v>-2</v>
      </c>
      <c r="AK198" t="s">
        <v>681</v>
      </c>
      <c r="AL198" t="s">
        <v>682</v>
      </c>
      <c r="AM198" t="s">
        <v>2230</v>
      </c>
      <c r="AN198" t="s">
        <v>2231</v>
      </c>
      <c r="AO198" t="s">
        <v>2232</v>
      </c>
      <c r="AP198" t="s">
        <v>2233</v>
      </c>
      <c r="AQ198" t="s">
        <v>2234</v>
      </c>
      <c r="AR198" t="s">
        <v>2235</v>
      </c>
      <c r="AS198" t="s">
        <v>2236</v>
      </c>
    </row>
    <row r="199" spans="1:45" x14ac:dyDescent="0.45">
      <c r="A199">
        <v>198</v>
      </c>
      <c r="B199">
        <v>239</v>
      </c>
      <c r="C199" t="s">
        <v>72</v>
      </c>
      <c r="D199" t="s">
        <v>79</v>
      </c>
      <c r="E199" t="s">
        <v>74</v>
      </c>
      <c r="F199" t="s">
        <v>75</v>
      </c>
      <c r="G199" t="s">
        <v>76</v>
      </c>
      <c r="H199">
        <v>15.39142868056393</v>
      </c>
      <c r="I199">
        <v>2</v>
      </c>
      <c r="J199">
        <v>9</v>
      </c>
      <c r="K199">
        <v>5</v>
      </c>
      <c r="L199">
        <v>4</v>
      </c>
      <c r="M199">
        <v>8</v>
      </c>
      <c r="N199">
        <v>5</v>
      </c>
      <c r="O199">
        <v>3</v>
      </c>
      <c r="P199">
        <v>7</v>
      </c>
      <c r="Q199">
        <v>5</v>
      </c>
      <c r="R199">
        <v>2</v>
      </c>
      <c r="S199">
        <v>8</v>
      </c>
      <c r="T199">
        <v>5</v>
      </c>
      <c r="U199">
        <v>3</v>
      </c>
      <c r="V199">
        <v>9</v>
      </c>
      <c r="W199">
        <v>5</v>
      </c>
      <c r="X199">
        <v>4</v>
      </c>
      <c r="Y199">
        <v>8</v>
      </c>
      <c r="Z199">
        <v>5</v>
      </c>
      <c r="AA199">
        <v>3</v>
      </c>
      <c r="AB199">
        <v>9</v>
      </c>
      <c r="AC199">
        <v>5</v>
      </c>
      <c r="AD199">
        <v>4</v>
      </c>
      <c r="AE199">
        <v>8</v>
      </c>
      <c r="AF199">
        <v>4</v>
      </c>
      <c r="AG199">
        <v>4</v>
      </c>
      <c r="AH199">
        <v>9</v>
      </c>
      <c r="AI199">
        <v>5</v>
      </c>
      <c r="AJ199">
        <v>4</v>
      </c>
      <c r="AK199" t="s">
        <v>2237</v>
      </c>
      <c r="AL199" t="s">
        <v>2238</v>
      </c>
      <c r="AM199" t="s">
        <v>2239</v>
      </c>
      <c r="AN199" t="s">
        <v>2240</v>
      </c>
      <c r="AO199" t="s">
        <v>2241</v>
      </c>
      <c r="AP199" t="s">
        <v>2242</v>
      </c>
      <c r="AQ199" t="s">
        <v>2243</v>
      </c>
      <c r="AR199" t="s">
        <v>2244</v>
      </c>
      <c r="AS199" t="s">
        <v>2245</v>
      </c>
    </row>
    <row r="200" spans="1:45" x14ac:dyDescent="0.45">
      <c r="A200">
        <v>199</v>
      </c>
      <c r="B200">
        <v>240</v>
      </c>
      <c r="C200" t="s">
        <v>72</v>
      </c>
      <c r="D200" t="s">
        <v>193</v>
      </c>
      <c r="E200" t="s">
        <v>74</v>
      </c>
      <c r="F200" t="s">
        <v>75</v>
      </c>
      <c r="G200" t="s">
        <v>162</v>
      </c>
      <c r="H200">
        <v>12</v>
      </c>
      <c r="I200">
        <v>1</v>
      </c>
      <c r="J200">
        <v>8</v>
      </c>
      <c r="K200">
        <v>9</v>
      </c>
      <c r="L200">
        <v>-1</v>
      </c>
      <c r="M200">
        <v>7</v>
      </c>
      <c r="N200">
        <v>8</v>
      </c>
      <c r="O200">
        <v>-1</v>
      </c>
      <c r="P200">
        <v>9</v>
      </c>
      <c r="Q200">
        <v>9</v>
      </c>
      <c r="R200">
        <v>0</v>
      </c>
      <c r="S200">
        <v>8</v>
      </c>
      <c r="T200">
        <v>9</v>
      </c>
      <c r="U200">
        <v>-1</v>
      </c>
      <c r="V200">
        <v>9</v>
      </c>
      <c r="W200">
        <v>8</v>
      </c>
      <c r="X200">
        <v>1</v>
      </c>
      <c r="Y200">
        <v>8</v>
      </c>
      <c r="Z200">
        <v>9</v>
      </c>
      <c r="AA200">
        <v>-1</v>
      </c>
      <c r="AB200">
        <v>7</v>
      </c>
      <c r="AC200">
        <v>10</v>
      </c>
      <c r="AD200">
        <v>-3</v>
      </c>
      <c r="AE200">
        <v>6</v>
      </c>
      <c r="AF200">
        <v>9</v>
      </c>
      <c r="AG200">
        <v>-3</v>
      </c>
      <c r="AH200">
        <v>8</v>
      </c>
      <c r="AI200">
        <v>10</v>
      </c>
      <c r="AJ200">
        <v>-2</v>
      </c>
      <c r="AK200" t="s">
        <v>507</v>
      </c>
      <c r="AL200" t="s">
        <v>508</v>
      </c>
      <c r="AM200" t="s">
        <v>509</v>
      </c>
      <c r="AN200" t="s">
        <v>510</v>
      </c>
      <c r="AO200" t="s">
        <v>511</v>
      </c>
      <c r="AP200" t="s">
        <v>512</v>
      </c>
      <c r="AQ200" t="s">
        <v>513</v>
      </c>
      <c r="AR200" t="s">
        <v>514</v>
      </c>
      <c r="AS200" t="s">
        <v>515</v>
      </c>
    </row>
    <row r="201" spans="1:45" x14ac:dyDescent="0.45">
      <c r="A201">
        <v>200</v>
      </c>
      <c r="B201">
        <v>241</v>
      </c>
      <c r="C201" t="s">
        <v>78</v>
      </c>
      <c r="D201" t="s">
        <v>191</v>
      </c>
      <c r="E201" t="s">
        <v>74</v>
      </c>
      <c r="F201" t="s">
        <v>77</v>
      </c>
      <c r="G201" t="s">
        <v>76</v>
      </c>
      <c r="H201">
        <v>96.639919317847458</v>
      </c>
      <c r="I201">
        <v>3</v>
      </c>
      <c r="J201">
        <v>9</v>
      </c>
      <c r="K201">
        <v>4</v>
      </c>
      <c r="L201">
        <v>5</v>
      </c>
      <c r="M201">
        <v>8</v>
      </c>
      <c r="N201">
        <v>4</v>
      </c>
      <c r="O201">
        <v>4</v>
      </c>
      <c r="P201">
        <v>9</v>
      </c>
      <c r="Q201">
        <v>3</v>
      </c>
      <c r="R201">
        <v>6</v>
      </c>
      <c r="S201">
        <v>8</v>
      </c>
      <c r="T201">
        <v>5</v>
      </c>
      <c r="U201">
        <v>3</v>
      </c>
      <c r="V201">
        <v>9</v>
      </c>
      <c r="W201">
        <v>4</v>
      </c>
      <c r="X201">
        <v>5</v>
      </c>
      <c r="Y201">
        <v>8</v>
      </c>
      <c r="Z201">
        <v>5</v>
      </c>
      <c r="AA201">
        <v>3</v>
      </c>
      <c r="AB201">
        <v>9</v>
      </c>
      <c r="AC201">
        <v>1</v>
      </c>
      <c r="AD201">
        <v>8</v>
      </c>
      <c r="AE201">
        <v>8</v>
      </c>
      <c r="AF201">
        <v>5</v>
      </c>
      <c r="AG201">
        <v>3</v>
      </c>
      <c r="AH201">
        <v>9</v>
      </c>
      <c r="AI201">
        <v>5</v>
      </c>
      <c r="AJ201">
        <v>4</v>
      </c>
      <c r="AK201" t="s">
        <v>766</v>
      </c>
      <c r="AL201" t="s">
        <v>2246</v>
      </c>
      <c r="AM201" t="s">
        <v>2247</v>
      </c>
      <c r="AN201" t="s">
        <v>2248</v>
      </c>
      <c r="AO201" t="s">
        <v>2249</v>
      </c>
      <c r="AP201" t="s">
        <v>2250</v>
      </c>
      <c r="AQ201" t="s">
        <v>2251</v>
      </c>
      <c r="AR201" t="s">
        <v>2252</v>
      </c>
      <c r="AS201" t="s">
        <v>2253</v>
      </c>
    </row>
    <row r="202" spans="1:45" x14ac:dyDescent="0.45">
      <c r="A202">
        <v>201</v>
      </c>
      <c r="B202">
        <v>242</v>
      </c>
      <c r="C202" t="s">
        <v>72</v>
      </c>
      <c r="D202" t="s">
        <v>193</v>
      </c>
      <c r="E202" t="s">
        <v>74</v>
      </c>
      <c r="F202" t="s">
        <v>75</v>
      </c>
      <c r="G202" t="s">
        <v>76</v>
      </c>
      <c r="H202">
        <v>53.180528659307889</v>
      </c>
      <c r="I202">
        <v>1</v>
      </c>
      <c r="J202">
        <v>6</v>
      </c>
      <c r="K202">
        <v>5</v>
      </c>
      <c r="L202">
        <v>1</v>
      </c>
      <c r="M202">
        <v>5</v>
      </c>
      <c r="N202">
        <v>5</v>
      </c>
      <c r="O202">
        <v>0</v>
      </c>
      <c r="P202">
        <v>9</v>
      </c>
      <c r="Q202">
        <v>1</v>
      </c>
      <c r="R202">
        <v>8</v>
      </c>
      <c r="S202">
        <v>9</v>
      </c>
      <c r="T202">
        <v>5</v>
      </c>
      <c r="U202">
        <v>4</v>
      </c>
      <c r="V202">
        <v>7</v>
      </c>
      <c r="W202">
        <v>4</v>
      </c>
      <c r="X202">
        <v>3</v>
      </c>
      <c r="Y202">
        <v>8</v>
      </c>
      <c r="Z202">
        <v>2</v>
      </c>
      <c r="AA202">
        <v>6</v>
      </c>
      <c r="AB202">
        <v>7</v>
      </c>
      <c r="AC202">
        <v>2</v>
      </c>
      <c r="AD202">
        <v>5</v>
      </c>
      <c r="AE202">
        <v>6</v>
      </c>
      <c r="AF202">
        <v>5</v>
      </c>
      <c r="AG202">
        <v>1</v>
      </c>
      <c r="AH202">
        <v>9</v>
      </c>
      <c r="AI202">
        <v>4</v>
      </c>
      <c r="AJ202">
        <v>5</v>
      </c>
      <c r="AK202" t="s">
        <v>767</v>
      </c>
      <c r="AL202" t="s">
        <v>768</v>
      </c>
      <c r="AM202" t="s">
        <v>769</v>
      </c>
      <c r="AN202" t="s">
        <v>2254</v>
      </c>
      <c r="AO202" t="s">
        <v>2255</v>
      </c>
      <c r="AP202" t="s">
        <v>2256</v>
      </c>
      <c r="AQ202" t="s">
        <v>2257</v>
      </c>
      <c r="AR202" t="s">
        <v>2258</v>
      </c>
      <c r="AS202" t="s">
        <v>2259</v>
      </c>
    </row>
    <row r="203" spans="1:45" x14ac:dyDescent="0.45">
      <c r="A203">
        <v>202</v>
      </c>
      <c r="B203">
        <v>243</v>
      </c>
      <c r="C203" t="s">
        <v>72</v>
      </c>
      <c r="D203" t="s">
        <v>79</v>
      </c>
      <c r="E203" t="s">
        <v>74</v>
      </c>
      <c r="F203" t="s">
        <v>77</v>
      </c>
      <c r="G203" t="s">
        <v>76</v>
      </c>
      <c r="H203">
        <v>81.766804428251689</v>
      </c>
      <c r="I203">
        <v>4</v>
      </c>
      <c r="J203">
        <v>7</v>
      </c>
      <c r="K203">
        <v>6</v>
      </c>
      <c r="L203">
        <v>1</v>
      </c>
      <c r="M203">
        <v>8</v>
      </c>
      <c r="N203">
        <v>8</v>
      </c>
      <c r="O203">
        <v>0</v>
      </c>
      <c r="P203">
        <v>9</v>
      </c>
      <c r="Q203">
        <v>8</v>
      </c>
      <c r="R203">
        <v>1</v>
      </c>
      <c r="S203">
        <v>10</v>
      </c>
      <c r="T203">
        <v>9</v>
      </c>
      <c r="U203">
        <v>1</v>
      </c>
      <c r="V203">
        <v>9</v>
      </c>
      <c r="W203">
        <v>7</v>
      </c>
      <c r="X203">
        <v>2</v>
      </c>
      <c r="Y203">
        <v>8</v>
      </c>
      <c r="Z203">
        <v>7</v>
      </c>
      <c r="AA203">
        <v>1</v>
      </c>
      <c r="AB203">
        <v>9</v>
      </c>
      <c r="AC203">
        <v>7</v>
      </c>
      <c r="AD203">
        <v>2</v>
      </c>
      <c r="AE203">
        <v>8</v>
      </c>
      <c r="AF203">
        <v>8</v>
      </c>
      <c r="AG203">
        <v>0</v>
      </c>
      <c r="AH203">
        <v>9</v>
      </c>
      <c r="AI203">
        <v>8</v>
      </c>
      <c r="AJ203">
        <v>1</v>
      </c>
      <c r="AK203" t="s">
        <v>516</v>
      </c>
      <c r="AL203" t="s">
        <v>770</v>
      </c>
      <c r="AM203" t="s">
        <v>2260</v>
      </c>
      <c r="AN203" t="s">
        <v>2261</v>
      </c>
      <c r="AO203" t="s">
        <v>2262</v>
      </c>
      <c r="AP203" t="s">
        <v>2263</v>
      </c>
      <c r="AQ203" t="s">
        <v>2264</v>
      </c>
      <c r="AR203" t="s">
        <v>2265</v>
      </c>
      <c r="AS203" t="s">
        <v>2266</v>
      </c>
    </row>
    <row r="204" spans="1:45" x14ac:dyDescent="0.45">
      <c r="A204">
        <v>203</v>
      </c>
      <c r="B204">
        <v>244</v>
      </c>
      <c r="C204" t="s">
        <v>72</v>
      </c>
      <c r="D204" t="s">
        <v>191</v>
      </c>
      <c r="E204" t="s">
        <v>74</v>
      </c>
      <c r="F204" t="s">
        <v>75</v>
      </c>
      <c r="G204" t="s">
        <v>76</v>
      </c>
      <c r="H204">
        <v>108.41927328505672</v>
      </c>
      <c r="I204">
        <v>3</v>
      </c>
      <c r="J204">
        <v>8</v>
      </c>
      <c r="K204">
        <v>5</v>
      </c>
      <c r="L204">
        <v>3</v>
      </c>
      <c r="M204">
        <v>8</v>
      </c>
      <c r="N204">
        <v>5</v>
      </c>
      <c r="O204">
        <v>3</v>
      </c>
      <c r="P204">
        <v>9</v>
      </c>
      <c r="Q204">
        <v>5</v>
      </c>
      <c r="R204">
        <v>4</v>
      </c>
      <c r="S204">
        <v>9</v>
      </c>
      <c r="T204">
        <v>5</v>
      </c>
      <c r="U204">
        <v>4</v>
      </c>
      <c r="V204">
        <v>8</v>
      </c>
      <c r="W204">
        <v>5</v>
      </c>
      <c r="X204">
        <v>3</v>
      </c>
      <c r="Y204">
        <v>9</v>
      </c>
      <c r="Z204">
        <v>5</v>
      </c>
      <c r="AA204">
        <v>4</v>
      </c>
      <c r="AB204">
        <v>8</v>
      </c>
      <c r="AC204">
        <v>5</v>
      </c>
      <c r="AD204">
        <v>3</v>
      </c>
      <c r="AE204">
        <v>7</v>
      </c>
      <c r="AF204">
        <v>5</v>
      </c>
      <c r="AG204">
        <v>2</v>
      </c>
      <c r="AH204">
        <v>9</v>
      </c>
      <c r="AI204">
        <v>5</v>
      </c>
      <c r="AJ204">
        <v>4</v>
      </c>
      <c r="AK204" t="s">
        <v>2267</v>
      </c>
      <c r="AL204" t="s">
        <v>2268</v>
      </c>
      <c r="AM204" t="s">
        <v>2269</v>
      </c>
      <c r="AN204" t="s">
        <v>2270</v>
      </c>
      <c r="AO204" t="s">
        <v>2271</v>
      </c>
      <c r="AP204" t="s">
        <v>2272</v>
      </c>
      <c r="AQ204" t="s">
        <v>2273</v>
      </c>
      <c r="AR204" t="s">
        <v>2274</v>
      </c>
      <c r="AS204" t="s">
        <v>2275</v>
      </c>
    </row>
    <row r="205" spans="1:45" x14ac:dyDescent="0.45">
      <c r="A205">
        <v>204</v>
      </c>
      <c r="B205">
        <v>245</v>
      </c>
      <c r="C205" t="s">
        <v>72</v>
      </c>
      <c r="D205" t="s">
        <v>73</v>
      </c>
      <c r="E205" t="s">
        <v>74</v>
      </c>
      <c r="F205" t="s">
        <v>77</v>
      </c>
      <c r="G205" t="s">
        <v>76</v>
      </c>
      <c r="H205">
        <v>38.764103884941036</v>
      </c>
      <c r="I205">
        <v>1</v>
      </c>
      <c r="J205">
        <v>8</v>
      </c>
      <c r="K205">
        <v>7</v>
      </c>
      <c r="L205">
        <v>1</v>
      </c>
      <c r="M205">
        <v>9</v>
      </c>
      <c r="N205">
        <v>7</v>
      </c>
      <c r="O205">
        <v>2</v>
      </c>
      <c r="P205">
        <v>8</v>
      </c>
      <c r="Q205">
        <v>7</v>
      </c>
      <c r="R205">
        <v>1</v>
      </c>
      <c r="S205">
        <v>9</v>
      </c>
      <c r="T205">
        <v>8</v>
      </c>
      <c r="U205">
        <v>1</v>
      </c>
      <c r="V205">
        <v>8</v>
      </c>
      <c r="W205">
        <v>7</v>
      </c>
      <c r="X205">
        <v>1</v>
      </c>
      <c r="Y205">
        <v>9</v>
      </c>
      <c r="Z205">
        <v>7</v>
      </c>
      <c r="AA205">
        <v>2</v>
      </c>
      <c r="AB205">
        <v>8</v>
      </c>
      <c r="AC205">
        <v>7</v>
      </c>
      <c r="AD205">
        <v>1</v>
      </c>
      <c r="AE205">
        <v>9</v>
      </c>
      <c r="AF205">
        <v>7</v>
      </c>
      <c r="AG205">
        <v>2</v>
      </c>
      <c r="AH205">
        <v>10</v>
      </c>
      <c r="AI205">
        <v>7</v>
      </c>
      <c r="AJ205">
        <v>3</v>
      </c>
      <c r="AK205" t="s">
        <v>2276</v>
      </c>
      <c r="AL205" t="s">
        <v>2277</v>
      </c>
      <c r="AM205" t="s">
        <v>2278</v>
      </c>
      <c r="AN205" t="s">
        <v>2279</v>
      </c>
      <c r="AO205" t="s">
        <v>2280</v>
      </c>
      <c r="AP205" t="s">
        <v>2281</v>
      </c>
      <c r="AQ205" t="s">
        <v>2282</v>
      </c>
      <c r="AR205" t="s">
        <v>777</v>
      </c>
      <c r="AS205" t="s">
        <v>2283</v>
      </c>
    </row>
    <row r="206" spans="1:45" x14ac:dyDescent="0.45">
      <c r="A206">
        <v>205</v>
      </c>
      <c r="B206">
        <v>246</v>
      </c>
      <c r="C206" t="s">
        <v>72</v>
      </c>
      <c r="D206" t="s">
        <v>73</v>
      </c>
      <c r="E206" t="s">
        <v>74</v>
      </c>
      <c r="F206" t="s">
        <v>75</v>
      </c>
      <c r="G206" t="s">
        <v>76</v>
      </c>
      <c r="H206">
        <v>25.324684121839315</v>
      </c>
      <c r="I206">
        <v>0</v>
      </c>
      <c r="J206">
        <v>9</v>
      </c>
      <c r="K206">
        <v>3</v>
      </c>
      <c r="L206">
        <v>6</v>
      </c>
      <c r="M206">
        <v>8</v>
      </c>
      <c r="N206">
        <v>1</v>
      </c>
      <c r="O206">
        <v>7</v>
      </c>
      <c r="P206">
        <v>9</v>
      </c>
      <c r="Q206">
        <v>1</v>
      </c>
      <c r="R206">
        <v>8</v>
      </c>
      <c r="S206">
        <v>8</v>
      </c>
      <c r="T206">
        <v>5</v>
      </c>
      <c r="U206">
        <v>3</v>
      </c>
      <c r="V206">
        <v>9</v>
      </c>
      <c r="W206">
        <v>1</v>
      </c>
      <c r="X206">
        <v>8</v>
      </c>
      <c r="Y206">
        <v>8</v>
      </c>
      <c r="Z206">
        <v>1</v>
      </c>
      <c r="AA206">
        <v>7</v>
      </c>
      <c r="AB206">
        <v>9</v>
      </c>
      <c r="AC206">
        <v>1</v>
      </c>
      <c r="AD206">
        <v>8</v>
      </c>
      <c r="AE206">
        <v>8</v>
      </c>
      <c r="AF206">
        <v>4</v>
      </c>
      <c r="AG206">
        <v>4</v>
      </c>
      <c r="AH206">
        <v>9</v>
      </c>
      <c r="AI206">
        <v>5</v>
      </c>
      <c r="AJ206">
        <v>4</v>
      </c>
      <c r="AK206" t="s">
        <v>2284</v>
      </c>
      <c r="AL206" t="s">
        <v>2285</v>
      </c>
      <c r="AM206" t="s">
        <v>2286</v>
      </c>
      <c r="AN206" t="s">
        <v>2287</v>
      </c>
      <c r="AO206" t="s">
        <v>2288</v>
      </c>
      <c r="AP206" t="s">
        <v>2289</v>
      </c>
      <c r="AQ206" t="s">
        <v>2290</v>
      </c>
      <c r="AR206" t="s">
        <v>2291</v>
      </c>
      <c r="AS206" t="s">
        <v>2292</v>
      </c>
    </row>
    <row r="207" spans="1:45" x14ac:dyDescent="0.45">
      <c r="A207">
        <v>206</v>
      </c>
      <c r="B207">
        <v>247</v>
      </c>
      <c r="C207" t="s">
        <v>72</v>
      </c>
      <c r="D207" t="s">
        <v>79</v>
      </c>
      <c r="E207" t="s">
        <v>74</v>
      </c>
      <c r="F207" t="s">
        <v>77</v>
      </c>
      <c r="G207" t="s">
        <v>76</v>
      </c>
      <c r="H207">
        <v>64.590091265394577</v>
      </c>
      <c r="I207">
        <v>1</v>
      </c>
      <c r="J207">
        <v>7</v>
      </c>
      <c r="K207">
        <v>8</v>
      </c>
      <c r="L207">
        <v>-1</v>
      </c>
      <c r="M207">
        <v>7</v>
      </c>
      <c r="N207">
        <v>8</v>
      </c>
      <c r="O207">
        <v>-1</v>
      </c>
      <c r="P207">
        <v>6</v>
      </c>
      <c r="Q207">
        <v>5</v>
      </c>
      <c r="R207">
        <v>1</v>
      </c>
      <c r="S207">
        <v>8</v>
      </c>
      <c r="T207">
        <v>7</v>
      </c>
      <c r="U207">
        <v>1</v>
      </c>
      <c r="V207">
        <v>6</v>
      </c>
      <c r="W207">
        <v>7</v>
      </c>
      <c r="X207">
        <v>-1</v>
      </c>
      <c r="Y207">
        <v>8</v>
      </c>
      <c r="Z207">
        <v>6</v>
      </c>
      <c r="AA207">
        <v>2</v>
      </c>
      <c r="AB207">
        <v>5</v>
      </c>
      <c r="AC207">
        <v>6</v>
      </c>
      <c r="AD207">
        <v>-1</v>
      </c>
      <c r="AE207">
        <v>7</v>
      </c>
      <c r="AF207">
        <v>7</v>
      </c>
      <c r="AG207">
        <v>0</v>
      </c>
      <c r="AH207">
        <v>8</v>
      </c>
      <c r="AI207">
        <v>7</v>
      </c>
      <c r="AJ207">
        <v>1</v>
      </c>
      <c r="AK207" t="s">
        <v>2293</v>
      </c>
      <c r="AL207" t="s">
        <v>2294</v>
      </c>
      <c r="AM207" t="s">
        <v>2295</v>
      </c>
      <c r="AN207" t="s">
        <v>2296</v>
      </c>
      <c r="AO207" t="s">
        <v>2297</v>
      </c>
      <c r="AP207" t="s">
        <v>2298</v>
      </c>
      <c r="AQ207" t="s">
        <v>2299</v>
      </c>
      <c r="AR207" t="s">
        <v>2300</v>
      </c>
      <c r="AS207" t="s">
        <v>2301</v>
      </c>
    </row>
    <row r="208" spans="1:45" x14ac:dyDescent="0.45">
      <c r="A208">
        <v>207</v>
      </c>
      <c r="B208">
        <v>248</v>
      </c>
      <c r="C208" t="s">
        <v>78</v>
      </c>
      <c r="D208" t="s">
        <v>73</v>
      </c>
      <c r="E208" t="s">
        <v>74</v>
      </c>
      <c r="F208" t="s">
        <v>77</v>
      </c>
      <c r="G208" t="s">
        <v>76</v>
      </c>
      <c r="H208">
        <v>54.220899937770611</v>
      </c>
      <c r="I208">
        <v>2</v>
      </c>
      <c r="J208">
        <v>6</v>
      </c>
      <c r="K208">
        <v>4</v>
      </c>
      <c r="L208">
        <v>2</v>
      </c>
      <c r="M208">
        <v>5</v>
      </c>
      <c r="N208">
        <v>3</v>
      </c>
      <c r="O208">
        <v>2</v>
      </c>
      <c r="P208">
        <v>9</v>
      </c>
      <c r="Q208">
        <v>1</v>
      </c>
      <c r="R208">
        <v>8</v>
      </c>
      <c r="S208">
        <v>8</v>
      </c>
      <c r="T208">
        <v>2</v>
      </c>
      <c r="U208">
        <v>6</v>
      </c>
      <c r="V208">
        <v>7</v>
      </c>
      <c r="W208">
        <v>1</v>
      </c>
      <c r="X208">
        <v>6</v>
      </c>
      <c r="Y208">
        <v>8</v>
      </c>
      <c r="Z208">
        <v>1</v>
      </c>
      <c r="AA208">
        <v>7</v>
      </c>
      <c r="AB208">
        <v>7</v>
      </c>
      <c r="AC208">
        <v>1</v>
      </c>
      <c r="AD208">
        <v>6</v>
      </c>
      <c r="AE208">
        <v>6</v>
      </c>
      <c r="AF208">
        <v>4</v>
      </c>
      <c r="AG208">
        <v>2</v>
      </c>
      <c r="AH208">
        <v>8</v>
      </c>
      <c r="AI208">
        <v>2</v>
      </c>
      <c r="AJ208">
        <v>6</v>
      </c>
      <c r="AK208" t="s">
        <v>771</v>
      </c>
      <c r="AL208" t="s">
        <v>2302</v>
      </c>
      <c r="AM208" t="s">
        <v>2303</v>
      </c>
      <c r="AN208" t="s">
        <v>2304</v>
      </c>
      <c r="AO208" t="s">
        <v>2305</v>
      </c>
      <c r="AP208" t="s">
        <v>2306</v>
      </c>
      <c r="AQ208" t="s">
        <v>2307</v>
      </c>
      <c r="AR208" t="s">
        <v>2308</v>
      </c>
      <c r="AS208" t="s">
        <v>2309</v>
      </c>
    </row>
    <row r="209" spans="1:45" x14ac:dyDescent="0.45">
      <c r="A209">
        <v>208</v>
      </c>
      <c r="B209">
        <v>249</v>
      </c>
      <c r="C209" t="s">
        <v>72</v>
      </c>
      <c r="D209" t="s">
        <v>73</v>
      </c>
      <c r="E209" t="s">
        <v>74</v>
      </c>
      <c r="F209" t="s">
        <v>75</v>
      </c>
      <c r="G209" t="s">
        <v>76</v>
      </c>
      <c r="H209">
        <v>46.749827958630028</v>
      </c>
      <c r="I209">
        <v>1</v>
      </c>
      <c r="J209">
        <v>6</v>
      </c>
      <c r="K209">
        <v>7</v>
      </c>
      <c r="L209">
        <v>-1</v>
      </c>
      <c r="M209">
        <v>6</v>
      </c>
      <c r="N209">
        <v>8</v>
      </c>
      <c r="O209">
        <v>-2</v>
      </c>
      <c r="P209">
        <v>8</v>
      </c>
      <c r="Q209">
        <v>6</v>
      </c>
      <c r="R209">
        <v>2</v>
      </c>
      <c r="S209">
        <v>9</v>
      </c>
      <c r="T209">
        <v>7</v>
      </c>
      <c r="U209">
        <v>2</v>
      </c>
      <c r="V209">
        <v>7</v>
      </c>
      <c r="W209">
        <v>6</v>
      </c>
      <c r="X209">
        <v>1</v>
      </c>
      <c r="Y209">
        <v>8</v>
      </c>
      <c r="Z209">
        <v>7</v>
      </c>
      <c r="AA209">
        <v>1</v>
      </c>
      <c r="AB209">
        <v>7</v>
      </c>
      <c r="AC209">
        <v>6</v>
      </c>
      <c r="AD209">
        <v>1</v>
      </c>
      <c r="AE209">
        <v>8</v>
      </c>
      <c r="AF209">
        <v>6</v>
      </c>
      <c r="AG209">
        <v>2</v>
      </c>
      <c r="AH209">
        <v>7</v>
      </c>
      <c r="AI209">
        <v>6</v>
      </c>
      <c r="AJ209">
        <v>1</v>
      </c>
      <c r="AK209" t="s">
        <v>2310</v>
      </c>
      <c r="AL209" t="s">
        <v>2311</v>
      </c>
      <c r="AM209" t="s">
        <v>2312</v>
      </c>
      <c r="AN209" t="s">
        <v>2313</v>
      </c>
      <c r="AO209" t="s">
        <v>2314</v>
      </c>
      <c r="AP209" t="s">
        <v>2315</v>
      </c>
      <c r="AQ209" t="s">
        <v>2316</v>
      </c>
      <c r="AR209" t="s">
        <v>2317</v>
      </c>
      <c r="AS209" t="s">
        <v>2318</v>
      </c>
    </row>
    <row r="210" spans="1:45" x14ac:dyDescent="0.45">
      <c r="A210">
        <v>209</v>
      </c>
      <c r="B210">
        <v>250</v>
      </c>
      <c r="C210" t="s">
        <v>72</v>
      </c>
      <c r="D210" t="s">
        <v>73</v>
      </c>
      <c r="E210" t="s">
        <v>74</v>
      </c>
      <c r="F210" t="s">
        <v>77</v>
      </c>
      <c r="G210" t="s">
        <v>76</v>
      </c>
      <c r="H210">
        <v>36.637211591419891</v>
      </c>
      <c r="I210">
        <v>0</v>
      </c>
      <c r="J210">
        <v>7</v>
      </c>
      <c r="K210">
        <v>6</v>
      </c>
      <c r="L210">
        <v>1</v>
      </c>
      <c r="M210">
        <v>6</v>
      </c>
      <c r="N210">
        <v>6</v>
      </c>
      <c r="O210">
        <v>0</v>
      </c>
      <c r="P210">
        <v>9</v>
      </c>
      <c r="Q210">
        <v>6</v>
      </c>
      <c r="R210">
        <v>3</v>
      </c>
      <c r="S210">
        <v>8</v>
      </c>
      <c r="T210">
        <v>6</v>
      </c>
      <c r="U210">
        <v>2</v>
      </c>
      <c r="V210">
        <v>9</v>
      </c>
      <c r="W210">
        <v>6</v>
      </c>
      <c r="X210">
        <v>3</v>
      </c>
      <c r="Y210">
        <v>8</v>
      </c>
      <c r="Z210">
        <v>5</v>
      </c>
      <c r="AA210">
        <v>3</v>
      </c>
      <c r="AB210">
        <v>7</v>
      </c>
      <c r="AC210">
        <v>6</v>
      </c>
      <c r="AD210">
        <v>1</v>
      </c>
      <c r="AE210">
        <v>8</v>
      </c>
      <c r="AF210">
        <v>6</v>
      </c>
      <c r="AG210">
        <v>2</v>
      </c>
      <c r="AH210">
        <v>9</v>
      </c>
      <c r="AI210">
        <v>6</v>
      </c>
      <c r="AJ210">
        <v>3</v>
      </c>
      <c r="AK210" t="s">
        <v>2319</v>
      </c>
      <c r="AL210" t="s">
        <v>2320</v>
      </c>
      <c r="AM210" t="s">
        <v>2321</v>
      </c>
      <c r="AN210" t="s">
        <v>2322</v>
      </c>
      <c r="AO210" t="s">
        <v>2323</v>
      </c>
      <c r="AP210" t="s">
        <v>2324</v>
      </c>
      <c r="AQ210" t="s">
        <v>2325</v>
      </c>
      <c r="AR210" t="s">
        <v>2326</v>
      </c>
      <c r="AS210" t="s">
        <v>2327</v>
      </c>
    </row>
    <row r="211" spans="1:45" x14ac:dyDescent="0.45">
      <c r="A211">
        <v>210</v>
      </c>
      <c r="B211">
        <v>251</v>
      </c>
      <c r="C211" t="s">
        <v>78</v>
      </c>
      <c r="D211" t="s">
        <v>73</v>
      </c>
      <c r="E211" t="s">
        <v>74</v>
      </c>
      <c r="F211" t="s">
        <v>77</v>
      </c>
      <c r="G211" t="s">
        <v>76</v>
      </c>
      <c r="H211">
        <v>30.077696527376691</v>
      </c>
      <c r="I211">
        <v>0</v>
      </c>
      <c r="J211">
        <v>7</v>
      </c>
      <c r="K211">
        <v>7</v>
      </c>
      <c r="L211">
        <v>0</v>
      </c>
      <c r="M211">
        <v>7</v>
      </c>
      <c r="N211">
        <v>7</v>
      </c>
      <c r="O211">
        <v>0</v>
      </c>
      <c r="P211">
        <v>9</v>
      </c>
      <c r="Q211">
        <v>8</v>
      </c>
      <c r="R211">
        <v>1</v>
      </c>
      <c r="S211">
        <v>8</v>
      </c>
      <c r="T211">
        <v>8</v>
      </c>
      <c r="U211">
        <v>0</v>
      </c>
      <c r="V211">
        <v>9</v>
      </c>
      <c r="W211">
        <v>8</v>
      </c>
      <c r="X211">
        <v>1</v>
      </c>
      <c r="Y211">
        <v>8</v>
      </c>
      <c r="Z211">
        <v>9</v>
      </c>
      <c r="AA211">
        <v>-1</v>
      </c>
      <c r="AB211">
        <v>9</v>
      </c>
      <c r="AC211">
        <v>8</v>
      </c>
      <c r="AD211">
        <v>1</v>
      </c>
      <c r="AE211">
        <v>7</v>
      </c>
      <c r="AF211">
        <v>8</v>
      </c>
      <c r="AG211">
        <v>-1</v>
      </c>
      <c r="AH211">
        <v>8</v>
      </c>
      <c r="AI211">
        <v>8</v>
      </c>
      <c r="AJ211">
        <v>0</v>
      </c>
      <c r="AK211" t="s">
        <v>2328</v>
      </c>
      <c r="AL211" t="s">
        <v>2329</v>
      </c>
      <c r="AM211" t="s">
        <v>2330</v>
      </c>
      <c r="AN211" t="s">
        <v>2331</v>
      </c>
      <c r="AO211" t="s">
        <v>2332</v>
      </c>
      <c r="AP211" t="s">
        <v>2333</v>
      </c>
      <c r="AQ211" t="s">
        <v>2334</v>
      </c>
      <c r="AR211" t="s">
        <v>2335</v>
      </c>
      <c r="AS211" t="s">
        <v>2336</v>
      </c>
    </row>
    <row r="212" spans="1:45" x14ac:dyDescent="0.45">
      <c r="A212">
        <v>211</v>
      </c>
      <c r="B212">
        <v>252</v>
      </c>
      <c r="C212" t="s">
        <v>72</v>
      </c>
      <c r="D212" t="s">
        <v>73</v>
      </c>
      <c r="E212" t="s">
        <v>74</v>
      </c>
      <c r="F212" t="s">
        <v>77</v>
      </c>
      <c r="G212" t="s">
        <v>76</v>
      </c>
      <c r="H212">
        <v>56.552895816583046</v>
      </c>
      <c r="I212">
        <v>1</v>
      </c>
      <c r="J212">
        <v>8</v>
      </c>
      <c r="K212">
        <v>7</v>
      </c>
      <c r="L212">
        <v>1</v>
      </c>
      <c r="M212">
        <v>9</v>
      </c>
      <c r="N212">
        <v>7</v>
      </c>
      <c r="O212">
        <v>2</v>
      </c>
      <c r="P212">
        <v>8</v>
      </c>
      <c r="Q212">
        <v>7</v>
      </c>
      <c r="R212">
        <v>1</v>
      </c>
      <c r="S212">
        <v>9</v>
      </c>
      <c r="T212">
        <v>7</v>
      </c>
      <c r="U212">
        <v>2</v>
      </c>
      <c r="V212">
        <v>8</v>
      </c>
      <c r="W212">
        <v>7</v>
      </c>
      <c r="X212">
        <v>1</v>
      </c>
      <c r="Y212">
        <v>9</v>
      </c>
      <c r="Z212">
        <v>7</v>
      </c>
      <c r="AA212">
        <v>2</v>
      </c>
      <c r="AB212">
        <v>8</v>
      </c>
      <c r="AC212">
        <v>7</v>
      </c>
      <c r="AD212">
        <v>1</v>
      </c>
      <c r="AE212">
        <v>9</v>
      </c>
      <c r="AF212">
        <v>7</v>
      </c>
      <c r="AG212">
        <v>2</v>
      </c>
      <c r="AH212">
        <v>8</v>
      </c>
      <c r="AI212">
        <v>7</v>
      </c>
      <c r="AJ212">
        <v>1</v>
      </c>
      <c r="AK212" t="s">
        <v>683</v>
      </c>
      <c r="AL212" t="s">
        <v>684</v>
      </c>
      <c r="AM212" t="s">
        <v>2337</v>
      </c>
      <c r="AN212" t="s">
        <v>2338</v>
      </c>
      <c r="AO212" t="s">
        <v>2339</v>
      </c>
      <c r="AP212" t="s">
        <v>2340</v>
      </c>
      <c r="AQ212" t="s">
        <v>2341</v>
      </c>
      <c r="AR212" t="s">
        <v>1462</v>
      </c>
      <c r="AS212" t="s">
        <v>2342</v>
      </c>
    </row>
    <row r="213" spans="1:45" x14ac:dyDescent="0.45">
      <c r="A213">
        <v>212</v>
      </c>
      <c r="B213">
        <v>253</v>
      </c>
      <c r="C213" t="s">
        <v>72</v>
      </c>
      <c r="D213" t="s">
        <v>73</v>
      </c>
      <c r="E213" t="s">
        <v>74</v>
      </c>
      <c r="F213" t="s">
        <v>77</v>
      </c>
      <c r="G213" t="s">
        <v>76</v>
      </c>
      <c r="H213">
        <v>48.306115542435258</v>
      </c>
      <c r="I213">
        <v>0</v>
      </c>
      <c r="J213">
        <v>7</v>
      </c>
      <c r="K213">
        <v>5</v>
      </c>
      <c r="L213">
        <v>2</v>
      </c>
      <c r="M213">
        <v>8</v>
      </c>
      <c r="N213">
        <v>5</v>
      </c>
      <c r="O213">
        <v>3</v>
      </c>
      <c r="P213">
        <v>6</v>
      </c>
      <c r="Q213">
        <v>1</v>
      </c>
      <c r="R213">
        <v>5</v>
      </c>
      <c r="S213">
        <v>9</v>
      </c>
      <c r="T213">
        <v>5</v>
      </c>
      <c r="U213">
        <v>4</v>
      </c>
      <c r="V213">
        <v>7</v>
      </c>
      <c r="W213">
        <v>5</v>
      </c>
      <c r="X213">
        <v>2</v>
      </c>
      <c r="Y213">
        <v>9</v>
      </c>
      <c r="Z213">
        <v>5</v>
      </c>
      <c r="AA213">
        <v>4</v>
      </c>
      <c r="AB213">
        <v>8</v>
      </c>
      <c r="AC213">
        <v>4</v>
      </c>
      <c r="AD213">
        <v>4</v>
      </c>
      <c r="AE213">
        <v>7</v>
      </c>
      <c r="AF213">
        <v>5</v>
      </c>
      <c r="AG213">
        <v>2</v>
      </c>
      <c r="AH213">
        <v>6</v>
      </c>
      <c r="AI213">
        <v>5</v>
      </c>
      <c r="AJ213">
        <v>1</v>
      </c>
      <c r="AK213" t="s">
        <v>772</v>
      </c>
      <c r="AL213" t="s">
        <v>2343</v>
      </c>
      <c r="AM213" t="s">
        <v>2344</v>
      </c>
      <c r="AN213" t="s">
        <v>2345</v>
      </c>
      <c r="AO213" t="s">
        <v>751</v>
      </c>
      <c r="AP213" t="s">
        <v>2346</v>
      </c>
      <c r="AQ213" t="s">
        <v>2347</v>
      </c>
      <c r="AR213" t="s">
        <v>2348</v>
      </c>
      <c r="AS213" t="s">
        <v>2349</v>
      </c>
    </row>
    <row r="214" spans="1:45" x14ac:dyDescent="0.45">
      <c r="A214">
        <v>213</v>
      </c>
      <c r="B214">
        <v>254</v>
      </c>
      <c r="C214" t="s">
        <v>72</v>
      </c>
      <c r="D214" t="s">
        <v>73</v>
      </c>
      <c r="E214" t="s">
        <v>74</v>
      </c>
      <c r="F214" t="s">
        <v>77</v>
      </c>
      <c r="G214" t="s">
        <v>76</v>
      </c>
      <c r="H214">
        <v>54.024649723285115</v>
      </c>
      <c r="I214">
        <v>4</v>
      </c>
      <c r="J214">
        <v>6</v>
      </c>
      <c r="K214">
        <v>7</v>
      </c>
      <c r="L214">
        <v>-1</v>
      </c>
      <c r="M214">
        <v>7</v>
      </c>
      <c r="N214">
        <v>8</v>
      </c>
      <c r="O214">
        <v>-1</v>
      </c>
      <c r="P214">
        <v>9</v>
      </c>
      <c r="Q214">
        <v>8</v>
      </c>
      <c r="R214">
        <v>1</v>
      </c>
      <c r="S214">
        <v>8</v>
      </c>
      <c r="T214">
        <v>8</v>
      </c>
      <c r="U214">
        <v>0</v>
      </c>
      <c r="V214">
        <v>7</v>
      </c>
      <c r="W214">
        <v>8</v>
      </c>
      <c r="X214">
        <v>-1</v>
      </c>
      <c r="Y214">
        <v>9</v>
      </c>
      <c r="Z214">
        <v>8</v>
      </c>
      <c r="AA214">
        <v>1</v>
      </c>
      <c r="AB214">
        <v>7</v>
      </c>
      <c r="AC214">
        <v>8</v>
      </c>
      <c r="AD214">
        <v>-1</v>
      </c>
      <c r="AE214">
        <v>8</v>
      </c>
      <c r="AF214">
        <v>8</v>
      </c>
      <c r="AG214">
        <v>0</v>
      </c>
      <c r="AH214">
        <v>9</v>
      </c>
      <c r="AI214">
        <v>8</v>
      </c>
      <c r="AJ214">
        <v>1</v>
      </c>
      <c r="AK214" t="s">
        <v>2350</v>
      </c>
      <c r="AL214" t="s">
        <v>2351</v>
      </c>
      <c r="AM214" t="s">
        <v>2352</v>
      </c>
      <c r="AN214" t="s">
        <v>2353</v>
      </c>
      <c r="AO214" t="s">
        <v>2354</v>
      </c>
      <c r="AP214" t="s">
        <v>2355</v>
      </c>
      <c r="AQ214" t="s">
        <v>2356</v>
      </c>
      <c r="AR214" t="s">
        <v>2357</v>
      </c>
      <c r="AS214" t="s">
        <v>2358</v>
      </c>
    </row>
    <row r="215" spans="1:45" x14ac:dyDescent="0.45">
      <c r="A215">
        <v>214</v>
      </c>
      <c r="B215">
        <v>255</v>
      </c>
      <c r="C215" t="s">
        <v>72</v>
      </c>
      <c r="D215" t="s">
        <v>73</v>
      </c>
      <c r="E215" t="s">
        <v>74</v>
      </c>
      <c r="F215" t="s">
        <v>75</v>
      </c>
      <c r="G215" t="s">
        <v>76</v>
      </c>
      <c r="H215">
        <v>53.821389581260028</v>
      </c>
      <c r="I215">
        <v>4</v>
      </c>
      <c r="J215">
        <v>7</v>
      </c>
      <c r="K215">
        <v>9</v>
      </c>
      <c r="L215">
        <v>-2</v>
      </c>
      <c r="M215">
        <v>6</v>
      </c>
      <c r="N215">
        <v>9</v>
      </c>
      <c r="O215">
        <v>-3</v>
      </c>
      <c r="P215">
        <v>9</v>
      </c>
      <c r="Q215">
        <v>9</v>
      </c>
      <c r="R215">
        <v>0</v>
      </c>
      <c r="S215">
        <v>8</v>
      </c>
      <c r="T215">
        <v>9</v>
      </c>
      <c r="U215">
        <v>-1</v>
      </c>
      <c r="V215">
        <v>7</v>
      </c>
      <c r="W215">
        <v>9</v>
      </c>
      <c r="X215">
        <v>-2</v>
      </c>
      <c r="Y215">
        <v>8</v>
      </c>
      <c r="Z215">
        <v>9</v>
      </c>
      <c r="AA215">
        <v>-1</v>
      </c>
      <c r="AB215">
        <v>6</v>
      </c>
      <c r="AC215">
        <v>9</v>
      </c>
      <c r="AD215">
        <v>-3</v>
      </c>
      <c r="AE215">
        <v>8</v>
      </c>
      <c r="AF215">
        <v>9</v>
      </c>
      <c r="AG215">
        <v>-1</v>
      </c>
      <c r="AH215">
        <v>9</v>
      </c>
      <c r="AI215">
        <v>9</v>
      </c>
      <c r="AJ215">
        <v>0</v>
      </c>
      <c r="AK215" t="s">
        <v>644</v>
      </c>
      <c r="AL215" t="s">
        <v>2359</v>
      </c>
      <c r="AM215" t="s">
        <v>2360</v>
      </c>
      <c r="AN215" t="s">
        <v>2361</v>
      </c>
      <c r="AO215" t="s">
        <v>2362</v>
      </c>
      <c r="AP215" t="s">
        <v>2363</v>
      </c>
      <c r="AQ215" t="s">
        <v>2364</v>
      </c>
      <c r="AR215" t="s">
        <v>2365</v>
      </c>
      <c r="AS215" t="s">
        <v>2366</v>
      </c>
    </row>
    <row r="216" spans="1:45" x14ac:dyDescent="0.45">
      <c r="A216">
        <v>215</v>
      </c>
      <c r="B216">
        <v>256</v>
      </c>
      <c r="C216" t="s">
        <v>72</v>
      </c>
      <c r="D216" t="s">
        <v>73</v>
      </c>
      <c r="E216" t="s">
        <v>74</v>
      </c>
      <c r="F216" t="s">
        <v>75</v>
      </c>
      <c r="G216" t="s">
        <v>76</v>
      </c>
      <c r="H216">
        <v>18.719199146531313</v>
      </c>
      <c r="I216">
        <v>2</v>
      </c>
      <c r="J216">
        <v>7</v>
      </c>
      <c r="K216">
        <v>5</v>
      </c>
      <c r="L216">
        <v>2</v>
      </c>
      <c r="M216">
        <v>8</v>
      </c>
      <c r="N216">
        <v>5</v>
      </c>
      <c r="O216">
        <v>3</v>
      </c>
      <c r="P216">
        <v>9</v>
      </c>
      <c r="Q216">
        <v>5</v>
      </c>
      <c r="R216">
        <v>4</v>
      </c>
      <c r="S216">
        <v>10</v>
      </c>
      <c r="T216">
        <v>5</v>
      </c>
      <c r="U216">
        <v>5</v>
      </c>
      <c r="V216">
        <v>9</v>
      </c>
      <c r="W216">
        <v>5</v>
      </c>
      <c r="X216">
        <v>4</v>
      </c>
      <c r="Y216">
        <v>9</v>
      </c>
      <c r="Z216">
        <v>5</v>
      </c>
      <c r="AA216">
        <v>4</v>
      </c>
      <c r="AB216">
        <v>8</v>
      </c>
      <c r="AC216">
        <v>5</v>
      </c>
      <c r="AD216">
        <v>3</v>
      </c>
      <c r="AE216">
        <v>7</v>
      </c>
      <c r="AF216">
        <v>5</v>
      </c>
      <c r="AG216">
        <v>2</v>
      </c>
      <c r="AH216">
        <v>9</v>
      </c>
      <c r="AI216">
        <v>5</v>
      </c>
      <c r="AJ216">
        <v>4</v>
      </c>
      <c r="AK216" t="s">
        <v>2367</v>
      </c>
      <c r="AL216" t="s">
        <v>2368</v>
      </c>
      <c r="AM216" t="s">
        <v>2369</v>
      </c>
      <c r="AN216" t="s">
        <v>2370</v>
      </c>
      <c r="AO216" t="s">
        <v>2371</v>
      </c>
      <c r="AP216" t="s">
        <v>2372</v>
      </c>
      <c r="AQ216" t="s">
        <v>2373</v>
      </c>
      <c r="AR216" t="s">
        <v>2374</v>
      </c>
      <c r="AS216" t="s">
        <v>2375</v>
      </c>
    </row>
    <row r="217" spans="1:45" x14ac:dyDescent="0.45">
      <c r="A217">
        <v>216</v>
      </c>
      <c r="B217">
        <v>257</v>
      </c>
      <c r="C217" t="s">
        <v>72</v>
      </c>
      <c r="D217" t="s">
        <v>73</v>
      </c>
      <c r="E217" t="s">
        <v>74</v>
      </c>
      <c r="F217" t="s">
        <v>75</v>
      </c>
      <c r="G217" t="s">
        <v>76</v>
      </c>
      <c r="H217">
        <v>42.400212876494244</v>
      </c>
      <c r="I217">
        <v>1</v>
      </c>
      <c r="J217">
        <v>6</v>
      </c>
      <c r="K217">
        <v>6</v>
      </c>
      <c r="L217">
        <v>0</v>
      </c>
      <c r="M217">
        <v>7</v>
      </c>
      <c r="N217">
        <v>7</v>
      </c>
      <c r="O217">
        <v>0</v>
      </c>
      <c r="P217">
        <v>9</v>
      </c>
      <c r="Q217">
        <v>7</v>
      </c>
      <c r="R217">
        <v>2</v>
      </c>
      <c r="S217">
        <v>8</v>
      </c>
      <c r="T217">
        <v>7</v>
      </c>
      <c r="U217">
        <v>1</v>
      </c>
      <c r="V217">
        <v>7</v>
      </c>
      <c r="W217">
        <v>6</v>
      </c>
      <c r="X217">
        <v>1</v>
      </c>
      <c r="Y217">
        <v>9</v>
      </c>
      <c r="Z217">
        <v>7</v>
      </c>
      <c r="AA217">
        <v>2</v>
      </c>
      <c r="AB217">
        <v>7</v>
      </c>
      <c r="AC217">
        <v>7</v>
      </c>
      <c r="AD217">
        <v>0</v>
      </c>
      <c r="AE217">
        <v>8</v>
      </c>
      <c r="AF217">
        <v>7</v>
      </c>
      <c r="AG217">
        <v>1</v>
      </c>
      <c r="AH217">
        <v>9</v>
      </c>
      <c r="AI217">
        <v>7</v>
      </c>
      <c r="AJ217">
        <v>2</v>
      </c>
      <c r="AK217" t="s">
        <v>773</v>
      </c>
      <c r="AL217" t="s">
        <v>2376</v>
      </c>
      <c r="AM217" t="s">
        <v>2377</v>
      </c>
      <c r="AN217" t="s">
        <v>2378</v>
      </c>
      <c r="AO217" t="s">
        <v>2379</v>
      </c>
      <c r="AP217" t="s">
        <v>2380</v>
      </c>
      <c r="AQ217" t="s">
        <v>2381</v>
      </c>
      <c r="AR217" t="s">
        <v>2382</v>
      </c>
      <c r="AS217" t="s">
        <v>2383</v>
      </c>
    </row>
    <row r="218" spans="1:45" x14ac:dyDescent="0.45">
      <c r="A218">
        <v>217</v>
      </c>
      <c r="B218">
        <v>258</v>
      </c>
      <c r="C218" t="s">
        <v>78</v>
      </c>
      <c r="D218" t="s">
        <v>73</v>
      </c>
      <c r="E218" t="s">
        <v>74</v>
      </c>
      <c r="F218" t="s">
        <v>77</v>
      </c>
      <c r="G218" t="s">
        <v>76</v>
      </c>
      <c r="H218">
        <v>38.912910617398488</v>
      </c>
      <c r="I218">
        <v>0</v>
      </c>
      <c r="J218">
        <v>5</v>
      </c>
      <c r="K218">
        <v>5</v>
      </c>
      <c r="L218">
        <v>0</v>
      </c>
      <c r="M218">
        <v>5</v>
      </c>
      <c r="N218">
        <v>5</v>
      </c>
      <c r="O218">
        <v>0</v>
      </c>
      <c r="P218">
        <v>8</v>
      </c>
      <c r="Q218">
        <v>5</v>
      </c>
      <c r="R218">
        <v>3</v>
      </c>
      <c r="S218">
        <v>9</v>
      </c>
      <c r="T218">
        <v>6</v>
      </c>
      <c r="U218">
        <v>3</v>
      </c>
      <c r="V218">
        <v>7</v>
      </c>
      <c r="W218">
        <v>5</v>
      </c>
      <c r="X218">
        <v>2</v>
      </c>
      <c r="Y218">
        <v>9</v>
      </c>
      <c r="Z218">
        <v>5</v>
      </c>
      <c r="AA218">
        <v>4</v>
      </c>
      <c r="AB218">
        <v>6</v>
      </c>
      <c r="AC218">
        <v>5</v>
      </c>
      <c r="AD218">
        <v>1</v>
      </c>
      <c r="AE218">
        <v>7</v>
      </c>
      <c r="AF218">
        <v>5</v>
      </c>
      <c r="AG218">
        <v>2</v>
      </c>
      <c r="AH218">
        <v>9</v>
      </c>
      <c r="AI218">
        <v>5</v>
      </c>
      <c r="AJ218">
        <v>4</v>
      </c>
      <c r="AK218" t="s">
        <v>2384</v>
      </c>
      <c r="AL218" t="s">
        <v>2385</v>
      </c>
      <c r="AM218" t="s">
        <v>2386</v>
      </c>
      <c r="AN218" t="s">
        <v>2387</v>
      </c>
      <c r="AO218" t="s">
        <v>2388</v>
      </c>
      <c r="AP218" t="s">
        <v>2389</v>
      </c>
      <c r="AQ218" t="s">
        <v>2390</v>
      </c>
      <c r="AR218" t="s">
        <v>2391</v>
      </c>
      <c r="AS218" t="s">
        <v>2392</v>
      </c>
    </row>
    <row r="219" spans="1:45" x14ac:dyDescent="0.45">
      <c r="A219">
        <v>218</v>
      </c>
      <c r="B219">
        <v>259</v>
      </c>
      <c r="C219" t="s">
        <v>72</v>
      </c>
      <c r="D219" t="s">
        <v>73</v>
      </c>
      <c r="E219" t="s">
        <v>74</v>
      </c>
      <c r="F219" t="s">
        <v>77</v>
      </c>
      <c r="G219" t="s">
        <v>76</v>
      </c>
      <c r="H219">
        <v>67.90424664424836</v>
      </c>
      <c r="I219">
        <v>3</v>
      </c>
      <c r="J219">
        <v>7</v>
      </c>
      <c r="K219">
        <v>6</v>
      </c>
      <c r="L219">
        <v>1</v>
      </c>
      <c r="M219">
        <v>8</v>
      </c>
      <c r="N219">
        <v>7</v>
      </c>
      <c r="O219">
        <v>1</v>
      </c>
      <c r="P219">
        <v>9</v>
      </c>
      <c r="Q219">
        <v>7</v>
      </c>
      <c r="R219">
        <v>2</v>
      </c>
      <c r="S219">
        <v>9</v>
      </c>
      <c r="T219">
        <v>7</v>
      </c>
      <c r="U219">
        <v>2</v>
      </c>
      <c r="V219">
        <v>10</v>
      </c>
      <c r="W219">
        <v>7</v>
      </c>
      <c r="X219">
        <v>3</v>
      </c>
      <c r="Y219">
        <v>9</v>
      </c>
      <c r="Z219">
        <v>7</v>
      </c>
      <c r="AA219">
        <v>2</v>
      </c>
      <c r="AB219">
        <v>10</v>
      </c>
      <c r="AC219">
        <v>7</v>
      </c>
      <c r="AD219">
        <v>3</v>
      </c>
      <c r="AE219">
        <v>8</v>
      </c>
      <c r="AF219">
        <v>7</v>
      </c>
      <c r="AG219">
        <v>1</v>
      </c>
      <c r="AH219">
        <v>10</v>
      </c>
      <c r="AI219">
        <v>7</v>
      </c>
      <c r="AJ219">
        <v>3</v>
      </c>
      <c r="AK219" t="s">
        <v>2393</v>
      </c>
      <c r="AL219" t="s">
        <v>2394</v>
      </c>
      <c r="AM219" t="s">
        <v>2395</v>
      </c>
      <c r="AN219" t="s">
        <v>2396</v>
      </c>
      <c r="AO219" t="s">
        <v>2397</v>
      </c>
      <c r="AP219" t="s">
        <v>2398</v>
      </c>
      <c r="AQ219" t="s">
        <v>2399</v>
      </c>
      <c r="AR219" t="s">
        <v>2400</v>
      </c>
      <c r="AS219" t="s">
        <v>2401</v>
      </c>
    </row>
    <row r="220" spans="1:45" x14ac:dyDescent="0.45">
      <c r="A220">
        <v>219</v>
      </c>
      <c r="B220">
        <v>260</v>
      </c>
      <c r="C220" t="s">
        <v>78</v>
      </c>
      <c r="D220" t="s">
        <v>193</v>
      </c>
      <c r="E220" t="s">
        <v>74</v>
      </c>
      <c r="F220" t="s">
        <v>75</v>
      </c>
      <c r="G220" t="s">
        <v>76</v>
      </c>
      <c r="H220">
        <v>182.21574814922121</v>
      </c>
      <c r="I220">
        <v>2</v>
      </c>
      <c r="J220">
        <v>5</v>
      </c>
      <c r="K220">
        <v>7</v>
      </c>
      <c r="L220">
        <v>-2</v>
      </c>
      <c r="M220">
        <v>6</v>
      </c>
      <c r="N220">
        <v>8</v>
      </c>
      <c r="O220">
        <v>-2</v>
      </c>
      <c r="P220">
        <v>8</v>
      </c>
      <c r="Q220">
        <v>8</v>
      </c>
      <c r="R220">
        <v>0</v>
      </c>
      <c r="S220">
        <v>9</v>
      </c>
      <c r="T220">
        <v>8</v>
      </c>
      <c r="U220">
        <v>1</v>
      </c>
      <c r="V220">
        <v>7</v>
      </c>
      <c r="W220">
        <v>8</v>
      </c>
      <c r="X220">
        <v>-1</v>
      </c>
      <c r="Y220">
        <v>9</v>
      </c>
      <c r="Z220">
        <v>5</v>
      </c>
      <c r="AA220">
        <v>4</v>
      </c>
      <c r="AB220">
        <v>7</v>
      </c>
      <c r="AC220">
        <v>5</v>
      </c>
      <c r="AD220">
        <v>2</v>
      </c>
      <c r="AE220">
        <v>6</v>
      </c>
      <c r="AF220">
        <v>7</v>
      </c>
      <c r="AG220">
        <v>-1</v>
      </c>
      <c r="AH220">
        <v>9</v>
      </c>
      <c r="AI220">
        <v>6</v>
      </c>
      <c r="AJ220">
        <v>3</v>
      </c>
      <c r="AK220" t="s">
        <v>2402</v>
      </c>
      <c r="AL220" t="s">
        <v>2403</v>
      </c>
      <c r="AM220" t="s">
        <v>2404</v>
      </c>
      <c r="AN220" t="s">
        <v>2405</v>
      </c>
      <c r="AO220" t="s">
        <v>2406</v>
      </c>
      <c r="AP220" t="s">
        <v>2407</v>
      </c>
      <c r="AQ220" t="s">
        <v>2408</v>
      </c>
      <c r="AR220" t="s">
        <v>2409</v>
      </c>
      <c r="AS220" t="s">
        <v>2410</v>
      </c>
    </row>
    <row r="221" spans="1:45" x14ac:dyDescent="0.45">
      <c r="A221">
        <v>220</v>
      </c>
      <c r="B221">
        <v>261</v>
      </c>
      <c r="C221" t="s">
        <v>72</v>
      </c>
      <c r="D221" t="s">
        <v>191</v>
      </c>
      <c r="E221" t="s">
        <v>74</v>
      </c>
      <c r="F221" t="s">
        <v>75</v>
      </c>
      <c r="G221" t="s">
        <v>76</v>
      </c>
      <c r="H221">
        <v>116.72238938428899</v>
      </c>
      <c r="I221">
        <v>1</v>
      </c>
      <c r="J221">
        <v>7</v>
      </c>
      <c r="K221">
        <v>10</v>
      </c>
      <c r="L221">
        <v>-3</v>
      </c>
      <c r="M221">
        <v>6</v>
      </c>
      <c r="N221">
        <v>10</v>
      </c>
      <c r="O221">
        <v>-4</v>
      </c>
      <c r="P221">
        <v>8</v>
      </c>
      <c r="Q221">
        <v>6</v>
      </c>
      <c r="R221">
        <v>2</v>
      </c>
      <c r="S221">
        <v>9</v>
      </c>
      <c r="T221">
        <v>9</v>
      </c>
      <c r="U221">
        <v>0</v>
      </c>
      <c r="V221">
        <v>7</v>
      </c>
      <c r="W221">
        <v>9</v>
      </c>
      <c r="X221">
        <v>-2</v>
      </c>
      <c r="Y221">
        <v>8</v>
      </c>
      <c r="Z221">
        <v>9</v>
      </c>
      <c r="AA221">
        <v>-1</v>
      </c>
      <c r="AB221">
        <v>6</v>
      </c>
      <c r="AC221">
        <v>9</v>
      </c>
      <c r="AD221">
        <v>-3</v>
      </c>
      <c r="AE221">
        <v>7</v>
      </c>
      <c r="AF221">
        <v>8</v>
      </c>
      <c r="AG221">
        <v>-1</v>
      </c>
      <c r="AH221">
        <v>9</v>
      </c>
      <c r="AI221">
        <v>8</v>
      </c>
      <c r="AJ221">
        <v>1</v>
      </c>
      <c r="AK221" t="s">
        <v>2411</v>
      </c>
      <c r="AL221" t="s">
        <v>2412</v>
      </c>
      <c r="AM221" t="s">
        <v>2413</v>
      </c>
      <c r="AN221" t="s">
        <v>2414</v>
      </c>
      <c r="AO221" t="s">
        <v>2415</v>
      </c>
      <c r="AP221" t="s">
        <v>2416</v>
      </c>
      <c r="AQ221" t="s">
        <v>2417</v>
      </c>
      <c r="AR221" t="s">
        <v>2418</v>
      </c>
      <c r="AS221" t="s">
        <v>2419</v>
      </c>
    </row>
    <row r="222" spans="1:45" x14ac:dyDescent="0.45">
      <c r="A222">
        <v>221</v>
      </c>
      <c r="B222">
        <v>262</v>
      </c>
      <c r="C222" t="s">
        <v>72</v>
      </c>
      <c r="D222" t="s">
        <v>79</v>
      </c>
      <c r="E222" t="s">
        <v>74</v>
      </c>
      <c r="F222" t="s">
        <v>77</v>
      </c>
      <c r="G222" t="s">
        <v>76</v>
      </c>
      <c r="H222">
        <v>55.158825873441579</v>
      </c>
      <c r="I222">
        <v>1</v>
      </c>
      <c r="J222">
        <v>7</v>
      </c>
      <c r="K222">
        <v>4</v>
      </c>
      <c r="L222">
        <v>3</v>
      </c>
      <c r="M222">
        <v>8</v>
      </c>
      <c r="N222">
        <v>4</v>
      </c>
      <c r="O222">
        <v>4</v>
      </c>
      <c r="P222">
        <v>6</v>
      </c>
      <c r="Q222">
        <v>4</v>
      </c>
      <c r="R222">
        <v>2</v>
      </c>
      <c r="S222">
        <v>9</v>
      </c>
      <c r="T222">
        <v>6</v>
      </c>
      <c r="U222">
        <v>3</v>
      </c>
      <c r="V222">
        <v>7</v>
      </c>
      <c r="W222">
        <v>5</v>
      </c>
      <c r="X222">
        <v>2</v>
      </c>
      <c r="Y222">
        <v>8</v>
      </c>
      <c r="Z222">
        <v>6</v>
      </c>
      <c r="AA222">
        <v>2</v>
      </c>
      <c r="AB222">
        <v>7</v>
      </c>
      <c r="AC222">
        <v>5</v>
      </c>
      <c r="AD222">
        <v>2</v>
      </c>
      <c r="AE222">
        <v>6</v>
      </c>
      <c r="AF222">
        <v>6</v>
      </c>
      <c r="AG222">
        <v>0</v>
      </c>
      <c r="AH222">
        <v>8</v>
      </c>
      <c r="AI222">
        <v>5</v>
      </c>
      <c r="AJ222">
        <v>3</v>
      </c>
      <c r="AK222" t="s">
        <v>774</v>
      </c>
      <c r="AL222" t="s">
        <v>775</v>
      </c>
      <c r="AM222" t="s">
        <v>2420</v>
      </c>
      <c r="AN222" t="s">
        <v>2421</v>
      </c>
      <c r="AO222" t="s">
        <v>2422</v>
      </c>
      <c r="AP222" t="s">
        <v>2423</v>
      </c>
      <c r="AQ222" t="s">
        <v>2424</v>
      </c>
      <c r="AR222" t="s">
        <v>2425</v>
      </c>
      <c r="AS222" t="s">
        <v>2426</v>
      </c>
    </row>
    <row r="223" spans="1:45" x14ac:dyDescent="0.45">
      <c r="A223">
        <v>222</v>
      </c>
      <c r="B223">
        <v>263</v>
      </c>
      <c r="C223" t="s">
        <v>72</v>
      </c>
      <c r="D223" t="s">
        <v>191</v>
      </c>
      <c r="E223" t="s">
        <v>74</v>
      </c>
      <c r="F223" t="s">
        <v>77</v>
      </c>
      <c r="G223" t="s">
        <v>76</v>
      </c>
      <c r="H223">
        <v>55.998308302406855</v>
      </c>
      <c r="I223">
        <v>2</v>
      </c>
      <c r="J223">
        <v>8</v>
      </c>
      <c r="K223">
        <v>4</v>
      </c>
      <c r="L223">
        <v>4</v>
      </c>
      <c r="M223">
        <v>8</v>
      </c>
      <c r="N223">
        <v>5</v>
      </c>
      <c r="O223">
        <v>3</v>
      </c>
      <c r="P223">
        <v>7</v>
      </c>
      <c r="Q223">
        <v>4</v>
      </c>
      <c r="R223">
        <v>3</v>
      </c>
      <c r="S223">
        <v>9</v>
      </c>
      <c r="T223">
        <v>5</v>
      </c>
      <c r="U223">
        <v>4</v>
      </c>
      <c r="V223">
        <v>6</v>
      </c>
      <c r="W223">
        <v>5</v>
      </c>
      <c r="X223">
        <v>1</v>
      </c>
      <c r="Y223">
        <v>7</v>
      </c>
      <c r="Z223">
        <v>5</v>
      </c>
      <c r="AA223">
        <v>2</v>
      </c>
      <c r="AB223">
        <v>6</v>
      </c>
      <c r="AC223">
        <v>5</v>
      </c>
      <c r="AD223">
        <v>1</v>
      </c>
      <c r="AE223">
        <v>7</v>
      </c>
      <c r="AF223">
        <v>5</v>
      </c>
      <c r="AG223">
        <v>2</v>
      </c>
      <c r="AH223">
        <v>8</v>
      </c>
      <c r="AI223">
        <v>5</v>
      </c>
      <c r="AJ223">
        <v>3</v>
      </c>
      <c r="AK223" t="s">
        <v>518</v>
      </c>
      <c r="AL223" t="s">
        <v>2427</v>
      </c>
      <c r="AM223" t="s">
        <v>2428</v>
      </c>
      <c r="AN223" t="s">
        <v>2429</v>
      </c>
      <c r="AO223" t="s">
        <v>2430</v>
      </c>
      <c r="AP223" t="s">
        <v>2431</v>
      </c>
      <c r="AQ223" t="s">
        <v>2432</v>
      </c>
      <c r="AR223" t="s">
        <v>2433</v>
      </c>
      <c r="AS223" t="s">
        <v>2434</v>
      </c>
    </row>
    <row r="224" spans="1:45" x14ac:dyDescent="0.45">
      <c r="A224">
        <v>223</v>
      </c>
      <c r="B224">
        <v>264</v>
      </c>
      <c r="C224" t="s">
        <v>78</v>
      </c>
      <c r="D224" t="s">
        <v>73</v>
      </c>
      <c r="E224" t="s">
        <v>74</v>
      </c>
      <c r="F224" t="s">
        <v>77</v>
      </c>
      <c r="G224" t="s">
        <v>76</v>
      </c>
      <c r="H224">
        <v>55.459135160250725</v>
      </c>
      <c r="I224">
        <v>2</v>
      </c>
      <c r="J224">
        <v>9</v>
      </c>
      <c r="K224">
        <v>6</v>
      </c>
      <c r="L224">
        <v>3</v>
      </c>
      <c r="M224">
        <v>8</v>
      </c>
      <c r="N224">
        <v>6</v>
      </c>
      <c r="O224">
        <v>2</v>
      </c>
      <c r="P224">
        <v>9</v>
      </c>
      <c r="Q224">
        <v>7</v>
      </c>
      <c r="R224">
        <v>2</v>
      </c>
      <c r="S224">
        <v>8</v>
      </c>
      <c r="T224">
        <v>7</v>
      </c>
      <c r="U224">
        <v>1</v>
      </c>
      <c r="V224">
        <v>9</v>
      </c>
      <c r="W224">
        <v>6</v>
      </c>
      <c r="X224">
        <v>3</v>
      </c>
      <c r="Y224">
        <v>8</v>
      </c>
      <c r="Z224">
        <v>6</v>
      </c>
      <c r="AA224">
        <v>2</v>
      </c>
      <c r="AB224">
        <v>9</v>
      </c>
      <c r="AC224">
        <v>8</v>
      </c>
      <c r="AD224">
        <v>1</v>
      </c>
      <c r="AE224">
        <v>8</v>
      </c>
      <c r="AF224">
        <v>8</v>
      </c>
      <c r="AG224">
        <v>0</v>
      </c>
      <c r="AH224">
        <v>9</v>
      </c>
      <c r="AI224">
        <v>7</v>
      </c>
      <c r="AJ224">
        <v>2</v>
      </c>
      <c r="AK224" t="s">
        <v>2435</v>
      </c>
      <c r="AL224" t="s">
        <v>2436</v>
      </c>
      <c r="AM224" t="s">
        <v>2437</v>
      </c>
      <c r="AN224" t="s">
        <v>2438</v>
      </c>
      <c r="AO224" t="s">
        <v>2439</v>
      </c>
      <c r="AP224" t="s">
        <v>2440</v>
      </c>
      <c r="AQ224" t="s">
        <v>2441</v>
      </c>
      <c r="AR224" t="s">
        <v>2442</v>
      </c>
      <c r="AS224" t="s">
        <v>2443</v>
      </c>
    </row>
    <row r="225" spans="1:45" x14ac:dyDescent="0.45">
      <c r="A225">
        <v>224</v>
      </c>
      <c r="B225">
        <v>265</v>
      </c>
      <c r="C225" t="s">
        <v>72</v>
      </c>
      <c r="D225" t="s">
        <v>73</v>
      </c>
      <c r="E225" t="s">
        <v>74</v>
      </c>
      <c r="F225" t="s">
        <v>75</v>
      </c>
      <c r="G225" t="s">
        <v>76</v>
      </c>
      <c r="H225">
        <v>63.207315378130382</v>
      </c>
      <c r="I225">
        <v>0</v>
      </c>
      <c r="J225">
        <v>9</v>
      </c>
      <c r="K225">
        <v>7</v>
      </c>
      <c r="L225">
        <v>2</v>
      </c>
      <c r="M225">
        <v>8</v>
      </c>
      <c r="N225">
        <v>7</v>
      </c>
      <c r="O225">
        <v>1</v>
      </c>
      <c r="P225">
        <v>9</v>
      </c>
      <c r="Q225">
        <v>7</v>
      </c>
      <c r="R225">
        <v>2</v>
      </c>
      <c r="S225">
        <v>8</v>
      </c>
      <c r="T225">
        <v>7</v>
      </c>
      <c r="U225">
        <v>1</v>
      </c>
      <c r="V225">
        <v>9</v>
      </c>
      <c r="W225">
        <v>7</v>
      </c>
      <c r="X225">
        <v>2</v>
      </c>
      <c r="Y225">
        <v>8</v>
      </c>
      <c r="Z225">
        <v>7</v>
      </c>
      <c r="AA225">
        <v>1</v>
      </c>
      <c r="AB225">
        <v>9</v>
      </c>
      <c r="AC225">
        <v>7</v>
      </c>
      <c r="AD225">
        <v>2</v>
      </c>
      <c r="AE225">
        <v>8</v>
      </c>
      <c r="AF225">
        <v>7</v>
      </c>
      <c r="AG225">
        <v>1</v>
      </c>
      <c r="AH225">
        <v>9</v>
      </c>
      <c r="AI225">
        <v>7</v>
      </c>
      <c r="AJ225">
        <v>2</v>
      </c>
      <c r="AK225" t="s">
        <v>519</v>
      </c>
      <c r="AL225" t="s">
        <v>2444</v>
      </c>
      <c r="AM225" t="s">
        <v>2445</v>
      </c>
      <c r="AN225" t="s">
        <v>2446</v>
      </c>
      <c r="AO225" t="s">
        <v>2447</v>
      </c>
      <c r="AP225" t="s">
        <v>2448</v>
      </c>
      <c r="AQ225" t="s">
        <v>2449</v>
      </c>
      <c r="AR225" t="s">
        <v>2450</v>
      </c>
      <c r="AS225" t="s">
        <v>2451</v>
      </c>
    </row>
    <row r="226" spans="1:45" x14ac:dyDescent="0.45">
      <c r="A226">
        <v>225</v>
      </c>
      <c r="B226">
        <v>266</v>
      </c>
      <c r="C226" t="s">
        <v>72</v>
      </c>
      <c r="D226" t="s">
        <v>73</v>
      </c>
      <c r="E226" t="s">
        <v>74</v>
      </c>
      <c r="F226" t="s">
        <v>77</v>
      </c>
      <c r="G226" t="s">
        <v>76</v>
      </c>
      <c r="H226">
        <v>46.305800017053741</v>
      </c>
      <c r="I226">
        <v>1</v>
      </c>
      <c r="J226">
        <v>7</v>
      </c>
      <c r="K226">
        <v>6</v>
      </c>
      <c r="L226">
        <v>1</v>
      </c>
      <c r="M226">
        <v>8</v>
      </c>
      <c r="N226">
        <v>6</v>
      </c>
      <c r="O226">
        <v>2</v>
      </c>
      <c r="P226">
        <v>6</v>
      </c>
      <c r="Q226">
        <v>7</v>
      </c>
      <c r="R226">
        <v>-1</v>
      </c>
      <c r="S226">
        <v>9</v>
      </c>
      <c r="T226">
        <v>7</v>
      </c>
      <c r="U226">
        <v>2</v>
      </c>
      <c r="V226">
        <v>7</v>
      </c>
      <c r="W226">
        <v>5</v>
      </c>
      <c r="X226">
        <v>2</v>
      </c>
      <c r="Y226">
        <v>8</v>
      </c>
      <c r="Z226">
        <v>6</v>
      </c>
      <c r="AA226">
        <v>2</v>
      </c>
      <c r="AB226">
        <v>7</v>
      </c>
      <c r="AC226">
        <v>6</v>
      </c>
      <c r="AD226">
        <v>1</v>
      </c>
      <c r="AE226">
        <v>8</v>
      </c>
      <c r="AF226">
        <v>6</v>
      </c>
      <c r="AG226">
        <v>2</v>
      </c>
      <c r="AH226">
        <v>9</v>
      </c>
      <c r="AI226">
        <v>7</v>
      </c>
      <c r="AJ226">
        <v>2</v>
      </c>
      <c r="AK226" t="s">
        <v>2452</v>
      </c>
      <c r="AL226" t="s">
        <v>2453</v>
      </c>
      <c r="AM226" t="s">
        <v>2454</v>
      </c>
      <c r="AN226" t="s">
        <v>2455</v>
      </c>
      <c r="AO226" t="s">
        <v>2456</v>
      </c>
      <c r="AP226" t="s">
        <v>2457</v>
      </c>
      <c r="AQ226" t="s">
        <v>2458</v>
      </c>
      <c r="AR226" t="s">
        <v>2459</v>
      </c>
      <c r="AS226" t="s">
        <v>2460</v>
      </c>
    </row>
    <row r="227" spans="1:45" x14ac:dyDescent="0.45">
      <c r="A227">
        <v>226</v>
      </c>
      <c r="B227">
        <v>267</v>
      </c>
      <c r="C227" t="s">
        <v>72</v>
      </c>
      <c r="D227" t="s">
        <v>193</v>
      </c>
      <c r="E227" t="s">
        <v>74</v>
      </c>
      <c r="F227" t="s">
        <v>75</v>
      </c>
      <c r="G227" t="s">
        <v>76</v>
      </c>
      <c r="H227">
        <v>86.845017367414869</v>
      </c>
      <c r="I227">
        <v>2</v>
      </c>
      <c r="J227">
        <v>7</v>
      </c>
      <c r="K227">
        <v>7</v>
      </c>
      <c r="L227">
        <v>0</v>
      </c>
      <c r="M227">
        <v>8</v>
      </c>
      <c r="N227">
        <v>7</v>
      </c>
      <c r="O227">
        <v>1</v>
      </c>
      <c r="P227">
        <v>9</v>
      </c>
      <c r="Q227">
        <v>6</v>
      </c>
      <c r="R227">
        <v>3</v>
      </c>
      <c r="S227">
        <v>9</v>
      </c>
      <c r="T227">
        <v>7</v>
      </c>
      <c r="U227">
        <v>2</v>
      </c>
      <c r="V227">
        <v>8</v>
      </c>
      <c r="W227">
        <v>7</v>
      </c>
      <c r="X227">
        <v>1</v>
      </c>
      <c r="Y227">
        <v>9</v>
      </c>
      <c r="Z227">
        <v>7</v>
      </c>
      <c r="AA227">
        <v>2</v>
      </c>
      <c r="AB227">
        <v>8</v>
      </c>
      <c r="AC227">
        <v>7</v>
      </c>
      <c r="AD227">
        <v>1</v>
      </c>
      <c r="AE227">
        <v>7</v>
      </c>
      <c r="AF227">
        <v>7</v>
      </c>
      <c r="AG227">
        <v>0</v>
      </c>
      <c r="AH227">
        <v>9</v>
      </c>
      <c r="AI227">
        <v>7</v>
      </c>
      <c r="AJ227">
        <v>2</v>
      </c>
      <c r="AK227" t="s">
        <v>2461</v>
      </c>
      <c r="AL227" t="s">
        <v>2462</v>
      </c>
      <c r="AM227" t="s">
        <v>2463</v>
      </c>
      <c r="AN227" t="s">
        <v>2464</v>
      </c>
      <c r="AO227" t="s">
        <v>2465</v>
      </c>
      <c r="AP227" t="s">
        <v>2466</v>
      </c>
      <c r="AQ227" t="s">
        <v>2467</v>
      </c>
      <c r="AR227" t="s">
        <v>2468</v>
      </c>
      <c r="AS227" t="s">
        <v>2469</v>
      </c>
    </row>
    <row r="228" spans="1:45" x14ac:dyDescent="0.45">
      <c r="A228">
        <v>227</v>
      </c>
      <c r="B228">
        <v>268</v>
      </c>
      <c r="C228" t="s">
        <v>72</v>
      </c>
      <c r="D228" t="s">
        <v>81</v>
      </c>
      <c r="E228" t="s">
        <v>74</v>
      </c>
      <c r="F228" t="s">
        <v>77</v>
      </c>
      <c r="G228" t="s">
        <v>76</v>
      </c>
      <c r="H228">
        <v>30.204689012446956</v>
      </c>
      <c r="I228">
        <v>0</v>
      </c>
      <c r="J228">
        <v>9</v>
      </c>
      <c r="K228">
        <v>6</v>
      </c>
      <c r="L228">
        <v>3</v>
      </c>
      <c r="M228">
        <v>8</v>
      </c>
      <c r="N228">
        <v>6</v>
      </c>
      <c r="O228">
        <v>2</v>
      </c>
      <c r="P228">
        <v>9</v>
      </c>
      <c r="Q228">
        <v>6</v>
      </c>
      <c r="R228">
        <v>3</v>
      </c>
      <c r="S228">
        <v>8</v>
      </c>
      <c r="T228">
        <v>6</v>
      </c>
      <c r="U228">
        <v>2</v>
      </c>
      <c r="V228">
        <v>9</v>
      </c>
      <c r="W228">
        <v>6</v>
      </c>
      <c r="X228">
        <v>3</v>
      </c>
      <c r="Y228">
        <v>8</v>
      </c>
      <c r="Z228">
        <v>6</v>
      </c>
      <c r="AA228">
        <v>2</v>
      </c>
      <c r="AB228">
        <v>9</v>
      </c>
      <c r="AC228">
        <v>6</v>
      </c>
      <c r="AD228">
        <v>3</v>
      </c>
      <c r="AE228">
        <v>8</v>
      </c>
      <c r="AF228">
        <v>6</v>
      </c>
      <c r="AG228">
        <v>2</v>
      </c>
      <c r="AH228">
        <v>9</v>
      </c>
      <c r="AI228">
        <v>6</v>
      </c>
      <c r="AJ228">
        <v>3</v>
      </c>
      <c r="AK228" t="s">
        <v>776</v>
      </c>
      <c r="AL228" t="s">
        <v>2470</v>
      </c>
      <c r="AM228" t="s">
        <v>2471</v>
      </c>
      <c r="AN228" t="s">
        <v>2472</v>
      </c>
      <c r="AO228" t="s">
        <v>2473</v>
      </c>
      <c r="AP228" t="s">
        <v>2474</v>
      </c>
      <c r="AQ228" t="s">
        <v>2475</v>
      </c>
      <c r="AR228" t="s">
        <v>2476</v>
      </c>
      <c r="AS228" t="s">
        <v>2477</v>
      </c>
    </row>
    <row r="229" spans="1:45" x14ac:dyDescent="0.45">
      <c r="A229">
        <v>228</v>
      </c>
      <c r="B229">
        <v>269</v>
      </c>
      <c r="C229" t="s">
        <v>72</v>
      </c>
      <c r="D229" t="s">
        <v>81</v>
      </c>
      <c r="E229" t="s">
        <v>74</v>
      </c>
      <c r="F229" t="s">
        <v>77</v>
      </c>
      <c r="G229" t="s">
        <v>76</v>
      </c>
      <c r="H229">
        <v>20.883093601344491</v>
      </c>
      <c r="I229">
        <v>2</v>
      </c>
      <c r="J229">
        <v>7</v>
      </c>
      <c r="K229">
        <v>8</v>
      </c>
      <c r="L229">
        <v>-1</v>
      </c>
      <c r="M229">
        <v>8</v>
      </c>
      <c r="N229">
        <v>9</v>
      </c>
      <c r="O229">
        <v>-1</v>
      </c>
      <c r="P229">
        <v>9</v>
      </c>
      <c r="Q229">
        <v>7</v>
      </c>
      <c r="R229">
        <v>2</v>
      </c>
      <c r="S229">
        <v>9</v>
      </c>
      <c r="T229">
        <v>8</v>
      </c>
      <c r="U229">
        <v>1</v>
      </c>
      <c r="V229">
        <v>8</v>
      </c>
      <c r="W229">
        <v>9</v>
      </c>
      <c r="X229">
        <v>-1</v>
      </c>
      <c r="Y229">
        <v>9</v>
      </c>
      <c r="Z229">
        <v>8</v>
      </c>
      <c r="AA229">
        <v>1</v>
      </c>
      <c r="AB229">
        <v>8</v>
      </c>
      <c r="AC229">
        <v>8</v>
      </c>
      <c r="AD229">
        <v>0</v>
      </c>
      <c r="AE229">
        <v>7</v>
      </c>
      <c r="AF229">
        <v>8</v>
      </c>
      <c r="AG229">
        <v>-1</v>
      </c>
      <c r="AH229">
        <v>9</v>
      </c>
      <c r="AI229">
        <v>8</v>
      </c>
      <c r="AJ229">
        <v>1</v>
      </c>
      <c r="AK229" t="s">
        <v>2478</v>
      </c>
      <c r="AL229" t="s">
        <v>2479</v>
      </c>
      <c r="AM229" t="s">
        <v>2480</v>
      </c>
      <c r="AN229" t="s">
        <v>2481</v>
      </c>
      <c r="AO229" t="s">
        <v>2482</v>
      </c>
      <c r="AP229" t="s">
        <v>2483</v>
      </c>
      <c r="AQ229" t="s">
        <v>2484</v>
      </c>
      <c r="AR229" t="s">
        <v>2485</v>
      </c>
      <c r="AS229" t="s">
        <v>2486</v>
      </c>
    </row>
    <row r="230" spans="1:45" x14ac:dyDescent="0.45">
      <c r="A230">
        <v>229</v>
      </c>
      <c r="B230">
        <v>270</v>
      </c>
      <c r="C230" t="s">
        <v>72</v>
      </c>
      <c r="D230" t="s">
        <v>73</v>
      </c>
      <c r="E230" t="s">
        <v>74</v>
      </c>
      <c r="F230" t="s">
        <v>77</v>
      </c>
      <c r="G230" t="s">
        <v>76</v>
      </c>
      <c r="H230">
        <v>58.570001333168669</v>
      </c>
      <c r="I230">
        <v>2</v>
      </c>
      <c r="J230">
        <v>7</v>
      </c>
      <c r="K230">
        <v>6</v>
      </c>
      <c r="L230">
        <v>1</v>
      </c>
      <c r="M230">
        <v>8</v>
      </c>
      <c r="N230">
        <v>6</v>
      </c>
      <c r="O230">
        <v>2</v>
      </c>
      <c r="P230">
        <v>9</v>
      </c>
      <c r="Q230">
        <v>6</v>
      </c>
      <c r="R230">
        <v>3</v>
      </c>
      <c r="S230">
        <v>9</v>
      </c>
      <c r="T230">
        <v>6</v>
      </c>
      <c r="U230">
        <v>3</v>
      </c>
      <c r="V230">
        <v>8</v>
      </c>
      <c r="W230">
        <v>6</v>
      </c>
      <c r="X230">
        <v>2</v>
      </c>
      <c r="Y230">
        <v>9</v>
      </c>
      <c r="Z230">
        <v>7</v>
      </c>
      <c r="AA230">
        <v>2</v>
      </c>
      <c r="AB230">
        <v>8</v>
      </c>
      <c r="AC230">
        <v>6</v>
      </c>
      <c r="AD230">
        <v>2</v>
      </c>
      <c r="AE230">
        <v>9</v>
      </c>
      <c r="AF230">
        <v>6</v>
      </c>
      <c r="AG230">
        <v>3</v>
      </c>
      <c r="AH230">
        <v>10</v>
      </c>
      <c r="AI230">
        <v>7</v>
      </c>
      <c r="AJ230">
        <v>3</v>
      </c>
      <c r="AK230" t="s">
        <v>685</v>
      </c>
      <c r="AL230" t="s">
        <v>2487</v>
      </c>
      <c r="AM230" t="s">
        <v>2488</v>
      </c>
      <c r="AN230" t="s">
        <v>2489</v>
      </c>
      <c r="AO230" t="s">
        <v>2490</v>
      </c>
      <c r="AP230" t="s">
        <v>2491</v>
      </c>
      <c r="AQ230" t="s">
        <v>2492</v>
      </c>
      <c r="AR230" t="s">
        <v>2493</v>
      </c>
      <c r="AS230" t="s">
        <v>2494</v>
      </c>
    </row>
    <row r="231" spans="1:45" x14ac:dyDescent="0.45">
      <c r="A231">
        <v>230</v>
      </c>
      <c r="B231">
        <v>271</v>
      </c>
      <c r="C231" t="s">
        <v>72</v>
      </c>
      <c r="D231" t="s">
        <v>79</v>
      </c>
      <c r="E231" t="s">
        <v>74</v>
      </c>
      <c r="F231" t="s">
        <v>75</v>
      </c>
      <c r="G231" t="s">
        <v>76</v>
      </c>
      <c r="H231">
        <v>74.057443540925746</v>
      </c>
      <c r="I231">
        <v>4</v>
      </c>
      <c r="J231">
        <v>8</v>
      </c>
      <c r="K231">
        <v>4</v>
      </c>
      <c r="L231">
        <v>4</v>
      </c>
      <c r="M231">
        <v>8</v>
      </c>
      <c r="N231">
        <v>5</v>
      </c>
      <c r="O231">
        <v>3</v>
      </c>
      <c r="P231">
        <v>9</v>
      </c>
      <c r="Q231">
        <v>1</v>
      </c>
      <c r="R231">
        <v>8</v>
      </c>
      <c r="S231">
        <v>10</v>
      </c>
      <c r="T231">
        <v>6</v>
      </c>
      <c r="U231">
        <v>4</v>
      </c>
      <c r="V231">
        <v>9</v>
      </c>
      <c r="W231">
        <v>4</v>
      </c>
      <c r="X231">
        <v>5</v>
      </c>
      <c r="Y231">
        <v>9</v>
      </c>
      <c r="Z231">
        <v>4</v>
      </c>
      <c r="AA231">
        <v>5</v>
      </c>
      <c r="AB231">
        <v>8</v>
      </c>
      <c r="AC231">
        <v>5</v>
      </c>
      <c r="AD231">
        <v>3</v>
      </c>
      <c r="AE231">
        <v>9</v>
      </c>
      <c r="AF231">
        <v>5</v>
      </c>
      <c r="AG231">
        <v>4</v>
      </c>
      <c r="AH231">
        <v>9</v>
      </c>
      <c r="AI231">
        <v>5</v>
      </c>
      <c r="AJ231">
        <v>4</v>
      </c>
      <c r="AK231" t="s">
        <v>520</v>
      </c>
      <c r="AL231" t="s">
        <v>778</v>
      </c>
      <c r="AM231" t="s">
        <v>779</v>
      </c>
      <c r="AN231" t="s">
        <v>780</v>
      </c>
      <c r="AO231" t="s">
        <v>781</v>
      </c>
      <c r="AP231" t="s">
        <v>2495</v>
      </c>
      <c r="AQ231" t="s">
        <v>2496</v>
      </c>
      <c r="AR231" t="s">
        <v>2497</v>
      </c>
      <c r="AS231" t="s">
        <v>2498</v>
      </c>
    </row>
    <row r="232" spans="1:45" x14ac:dyDescent="0.45">
      <c r="A232">
        <v>231</v>
      </c>
      <c r="B232">
        <v>272</v>
      </c>
      <c r="C232" t="s">
        <v>78</v>
      </c>
      <c r="D232" t="s">
        <v>193</v>
      </c>
      <c r="E232" t="s">
        <v>74</v>
      </c>
      <c r="F232" t="s">
        <v>75</v>
      </c>
      <c r="G232" t="s">
        <v>76</v>
      </c>
      <c r="H232">
        <v>147.5407463784199</v>
      </c>
      <c r="I232">
        <v>4</v>
      </c>
      <c r="J232">
        <v>7</v>
      </c>
      <c r="K232">
        <v>8</v>
      </c>
      <c r="L232">
        <v>-1</v>
      </c>
      <c r="M232">
        <v>7</v>
      </c>
      <c r="N232">
        <v>8</v>
      </c>
      <c r="O232">
        <v>-1</v>
      </c>
      <c r="P232">
        <v>6</v>
      </c>
      <c r="Q232">
        <v>8</v>
      </c>
      <c r="R232">
        <v>-2</v>
      </c>
      <c r="S232">
        <v>9</v>
      </c>
      <c r="T232">
        <v>8</v>
      </c>
      <c r="U232">
        <v>1</v>
      </c>
      <c r="V232">
        <v>7</v>
      </c>
      <c r="W232">
        <v>7</v>
      </c>
      <c r="X232">
        <v>0</v>
      </c>
      <c r="Y232">
        <v>9</v>
      </c>
      <c r="Z232">
        <v>7</v>
      </c>
      <c r="AA232">
        <v>2</v>
      </c>
      <c r="AB232">
        <v>7</v>
      </c>
      <c r="AC232">
        <v>8</v>
      </c>
      <c r="AD232">
        <v>-1</v>
      </c>
      <c r="AE232">
        <v>8</v>
      </c>
      <c r="AF232">
        <v>7</v>
      </c>
      <c r="AG232">
        <v>1</v>
      </c>
      <c r="AH232">
        <v>9</v>
      </c>
      <c r="AI232">
        <v>8</v>
      </c>
      <c r="AJ232">
        <v>1</v>
      </c>
      <c r="AK232" t="s">
        <v>521</v>
      </c>
      <c r="AL232" t="s">
        <v>522</v>
      </c>
      <c r="AM232" t="s">
        <v>782</v>
      </c>
      <c r="AN232" t="s">
        <v>783</v>
      </c>
      <c r="AO232" t="s">
        <v>784</v>
      </c>
      <c r="AP232" t="s">
        <v>785</v>
      </c>
      <c r="AQ232" t="s">
        <v>2499</v>
      </c>
      <c r="AR232" t="s">
        <v>2500</v>
      </c>
      <c r="AS232" t="s">
        <v>2501</v>
      </c>
    </row>
    <row r="233" spans="1:45" x14ac:dyDescent="0.45">
      <c r="A233">
        <v>232</v>
      </c>
      <c r="B233">
        <v>273</v>
      </c>
      <c r="C233" t="s">
        <v>78</v>
      </c>
      <c r="D233" t="s">
        <v>73</v>
      </c>
      <c r="E233" t="s">
        <v>74</v>
      </c>
      <c r="F233" t="s">
        <v>77</v>
      </c>
      <c r="G233" t="s">
        <v>76</v>
      </c>
      <c r="H233">
        <v>67.508547023844386</v>
      </c>
      <c r="I233">
        <v>2</v>
      </c>
      <c r="J233">
        <v>7</v>
      </c>
      <c r="K233">
        <v>6</v>
      </c>
      <c r="L233">
        <v>1</v>
      </c>
      <c r="M233">
        <v>8</v>
      </c>
      <c r="N233">
        <v>6</v>
      </c>
      <c r="O233">
        <v>2</v>
      </c>
      <c r="P233">
        <v>9</v>
      </c>
      <c r="Q233">
        <v>6</v>
      </c>
      <c r="R233">
        <v>3</v>
      </c>
      <c r="S233">
        <v>9</v>
      </c>
      <c r="T233">
        <v>6</v>
      </c>
      <c r="U233">
        <v>3</v>
      </c>
      <c r="V233">
        <v>7</v>
      </c>
      <c r="W233">
        <v>6</v>
      </c>
      <c r="X233">
        <v>1</v>
      </c>
      <c r="Y233">
        <v>8</v>
      </c>
      <c r="Z233">
        <v>6</v>
      </c>
      <c r="AA233">
        <v>2</v>
      </c>
      <c r="AB233">
        <v>7</v>
      </c>
      <c r="AC233">
        <v>6</v>
      </c>
      <c r="AD233">
        <v>1</v>
      </c>
      <c r="AE233">
        <v>6</v>
      </c>
      <c r="AF233">
        <v>6</v>
      </c>
      <c r="AG233">
        <v>0</v>
      </c>
      <c r="AH233">
        <v>8</v>
      </c>
      <c r="AI233">
        <v>6</v>
      </c>
      <c r="AJ233">
        <v>2</v>
      </c>
      <c r="AK233" t="s">
        <v>2502</v>
      </c>
      <c r="AL233" t="s">
        <v>2503</v>
      </c>
      <c r="AM233" t="s">
        <v>2504</v>
      </c>
      <c r="AN233" t="s">
        <v>2505</v>
      </c>
      <c r="AO233" t="s">
        <v>2506</v>
      </c>
      <c r="AP233" t="s">
        <v>2507</v>
      </c>
      <c r="AQ233" t="s">
        <v>2508</v>
      </c>
      <c r="AR233" t="s">
        <v>2509</v>
      </c>
      <c r="AS233" t="s">
        <v>2510</v>
      </c>
    </row>
    <row r="234" spans="1:45" x14ac:dyDescent="0.45">
      <c r="A234">
        <v>233</v>
      </c>
      <c r="B234">
        <v>274</v>
      </c>
      <c r="C234" t="s">
        <v>72</v>
      </c>
      <c r="D234" t="s">
        <v>79</v>
      </c>
      <c r="E234" t="s">
        <v>74</v>
      </c>
      <c r="F234" t="s">
        <v>77</v>
      </c>
      <c r="G234" t="s">
        <v>76</v>
      </c>
      <c r="H234">
        <v>15.235367395272302</v>
      </c>
      <c r="I234">
        <v>1</v>
      </c>
      <c r="J234">
        <v>3</v>
      </c>
      <c r="K234">
        <v>8</v>
      </c>
      <c r="L234">
        <v>-5</v>
      </c>
      <c r="M234">
        <v>4</v>
      </c>
      <c r="N234">
        <v>8</v>
      </c>
      <c r="O234">
        <v>-4</v>
      </c>
      <c r="P234">
        <v>7</v>
      </c>
      <c r="Q234">
        <v>8</v>
      </c>
      <c r="R234">
        <v>-1</v>
      </c>
      <c r="S234">
        <v>9</v>
      </c>
      <c r="T234">
        <v>8</v>
      </c>
      <c r="U234">
        <v>1</v>
      </c>
      <c r="V234">
        <v>8</v>
      </c>
      <c r="W234">
        <v>9</v>
      </c>
      <c r="X234">
        <v>-1</v>
      </c>
      <c r="Y234">
        <v>7</v>
      </c>
      <c r="Z234">
        <v>8</v>
      </c>
      <c r="AA234">
        <v>-1</v>
      </c>
      <c r="AB234">
        <v>8</v>
      </c>
      <c r="AC234">
        <v>8</v>
      </c>
      <c r="AD234">
        <v>0</v>
      </c>
      <c r="AE234">
        <v>6</v>
      </c>
      <c r="AF234">
        <v>8</v>
      </c>
      <c r="AG234">
        <v>-2</v>
      </c>
      <c r="AH234">
        <v>9</v>
      </c>
      <c r="AI234">
        <v>10</v>
      </c>
      <c r="AJ234">
        <v>-1</v>
      </c>
      <c r="AK234" t="s">
        <v>2511</v>
      </c>
      <c r="AL234" t="s">
        <v>2512</v>
      </c>
      <c r="AM234" t="s">
        <v>2513</v>
      </c>
      <c r="AN234" t="s">
        <v>2514</v>
      </c>
      <c r="AO234" t="s">
        <v>2515</v>
      </c>
      <c r="AP234" t="s">
        <v>2516</v>
      </c>
      <c r="AQ234" t="s">
        <v>2517</v>
      </c>
      <c r="AR234" t="s">
        <v>2518</v>
      </c>
      <c r="AS234" t="s">
        <v>2519</v>
      </c>
    </row>
    <row r="235" spans="1:45" x14ac:dyDescent="0.45">
      <c r="A235">
        <v>234</v>
      </c>
      <c r="B235">
        <v>275</v>
      </c>
      <c r="C235" t="s">
        <v>72</v>
      </c>
      <c r="D235" t="s">
        <v>191</v>
      </c>
      <c r="E235" t="s">
        <v>74</v>
      </c>
      <c r="F235" t="s">
        <v>75</v>
      </c>
      <c r="G235" t="s">
        <v>76</v>
      </c>
      <c r="H235">
        <v>94.931469239853527</v>
      </c>
      <c r="I235">
        <v>3</v>
      </c>
      <c r="J235">
        <v>6</v>
      </c>
      <c r="K235">
        <v>4</v>
      </c>
      <c r="L235">
        <v>2</v>
      </c>
      <c r="M235">
        <v>7</v>
      </c>
      <c r="N235">
        <v>4</v>
      </c>
      <c r="O235">
        <v>3</v>
      </c>
      <c r="P235">
        <v>9</v>
      </c>
      <c r="Q235">
        <v>4</v>
      </c>
      <c r="R235">
        <v>5</v>
      </c>
      <c r="S235">
        <v>10</v>
      </c>
      <c r="T235">
        <v>4</v>
      </c>
      <c r="U235">
        <v>6</v>
      </c>
      <c r="V235">
        <v>8</v>
      </c>
      <c r="W235">
        <v>1</v>
      </c>
      <c r="X235">
        <v>7</v>
      </c>
      <c r="Y235">
        <v>9</v>
      </c>
      <c r="Z235">
        <v>3</v>
      </c>
      <c r="AA235">
        <v>6</v>
      </c>
      <c r="AB235">
        <v>8</v>
      </c>
      <c r="AC235">
        <v>1</v>
      </c>
      <c r="AD235">
        <v>7</v>
      </c>
      <c r="AE235">
        <v>7</v>
      </c>
      <c r="AF235">
        <v>1</v>
      </c>
      <c r="AG235">
        <v>6</v>
      </c>
      <c r="AH235">
        <v>9</v>
      </c>
      <c r="AI235">
        <v>1</v>
      </c>
      <c r="AJ235">
        <v>8</v>
      </c>
      <c r="AK235" t="s">
        <v>2520</v>
      </c>
      <c r="AL235" t="s">
        <v>2521</v>
      </c>
      <c r="AM235" t="s">
        <v>2522</v>
      </c>
      <c r="AN235" t="s">
        <v>2523</v>
      </c>
      <c r="AO235" t="s">
        <v>2524</v>
      </c>
      <c r="AP235" t="s">
        <v>2525</v>
      </c>
      <c r="AQ235" t="s">
        <v>2526</v>
      </c>
      <c r="AR235" t="s">
        <v>2527</v>
      </c>
      <c r="AS235" t="s">
        <v>646</v>
      </c>
    </row>
    <row r="236" spans="1:45" x14ac:dyDescent="0.45">
      <c r="A236">
        <v>235</v>
      </c>
      <c r="B236">
        <v>276</v>
      </c>
      <c r="C236" t="s">
        <v>72</v>
      </c>
      <c r="D236" t="s">
        <v>73</v>
      </c>
      <c r="E236" t="s">
        <v>74</v>
      </c>
      <c r="F236" t="s">
        <v>77</v>
      </c>
      <c r="G236" t="s">
        <v>76</v>
      </c>
      <c r="H236">
        <v>35.208684615393793</v>
      </c>
      <c r="I236">
        <v>0</v>
      </c>
      <c r="J236">
        <v>7</v>
      </c>
      <c r="K236">
        <v>6</v>
      </c>
      <c r="L236">
        <v>1</v>
      </c>
      <c r="M236">
        <v>8</v>
      </c>
      <c r="N236">
        <v>6</v>
      </c>
      <c r="O236">
        <v>2</v>
      </c>
      <c r="P236">
        <v>7</v>
      </c>
      <c r="Q236">
        <v>1</v>
      </c>
      <c r="R236">
        <v>6</v>
      </c>
      <c r="S236">
        <v>9</v>
      </c>
      <c r="T236">
        <v>6</v>
      </c>
      <c r="U236">
        <v>3</v>
      </c>
      <c r="V236">
        <v>8</v>
      </c>
      <c r="W236">
        <v>5</v>
      </c>
      <c r="X236">
        <v>3</v>
      </c>
      <c r="Y236">
        <v>9</v>
      </c>
      <c r="Z236">
        <v>6</v>
      </c>
      <c r="AA236">
        <v>3</v>
      </c>
      <c r="AB236">
        <v>8</v>
      </c>
      <c r="AC236">
        <v>5</v>
      </c>
      <c r="AD236">
        <v>3</v>
      </c>
      <c r="AE236">
        <v>7</v>
      </c>
      <c r="AF236">
        <v>6</v>
      </c>
      <c r="AG236">
        <v>1</v>
      </c>
      <c r="AH236">
        <v>9</v>
      </c>
      <c r="AI236">
        <v>6</v>
      </c>
      <c r="AJ236">
        <v>3</v>
      </c>
      <c r="AK236" t="s">
        <v>2528</v>
      </c>
      <c r="AL236" t="s">
        <v>2529</v>
      </c>
      <c r="AM236" t="s">
        <v>2530</v>
      </c>
      <c r="AN236" t="s">
        <v>2531</v>
      </c>
      <c r="AO236" t="s">
        <v>2532</v>
      </c>
      <c r="AP236" t="s">
        <v>2533</v>
      </c>
      <c r="AQ236" t="s">
        <v>2534</v>
      </c>
      <c r="AR236" t="s">
        <v>2535</v>
      </c>
      <c r="AS236" t="s">
        <v>2536</v>
      </c>
    </row>
    <row r="237" spans="1:45" x14ac:dyDescent="0.45">
      <c r="A237">
        <v>236</v>
      </c>
      <c r="B237">
        <v>277</v>
      </c>
      <c r="C237" t="s">
        <v>72</v>
      </c>
      <c r="D237" t="s">
        <v>73</v>
      </c>
      <c r="E237" t="s">
        <v>74</v>
      </c>
      <c r="F237" t="s">
        <v>75</v>
      </c>
      <c r="G237" t="s">
        <v>76</v>
      </c>
      <c r="H237">
        <v>49.143140403078377</v>
      </c>
      <c r="I237">
        <v>3</v>
      </c>
      <c r="J237">
        <v>7</v>
      </c>
      <c r="K237">
        <v>7</v>
      </c>
      <c r="L237">
        <v>0</v>
      </c>
      <c r="M237">
        <v>8</v>
      </c>
      <c r="N237">
        <v>7</v>
      </c>
      <c r="O237">
        <v>1</v>
      </c>
      <c r="P237">
        <v>9</v>
      </c>
      <c r="Q237">
        <v>7</v>
      </c>
      <c r="R237">
        <v>2</v>
      </c>
      <c r="S237">
        <v>9</v>
      </c>
      <c r="T237">
        <v>7</v>
      </c>
      <c r="U237">
        <v>2</v>
      </c>
      <c r="V237">
        <v>9</v>
      </c>
      <c r="W237">
        <v>7</v>
      </c>
      <c r="X237">
        <v>2</v>
      </c>
      <c r="Y237">
        <v>9</v>
      </c>
      <c r="Z237">
        <v>7</v>
      </c>
      <c r="AA237">
        <v>2</v>
      </c>
      <c r="AB237">
        <v>8</v>
      </c>
      <c r="AC237">
        <v>7</v>
      </c>
      <c r="AD237">
        <v>1</v>
      </c>
      <c r="AE237">
        <v>9</v>
      </c>
      <c r="AF237">
        <v>7</v>
      </c>
      <c r="AG237">
        <v>2</v>
      </c>
      <c r="AH237">
        <v>9</v>
      </c>
      <c r="AI237">
        <v>7</v>
      </c>
      <c r="AJ237">
        <v>2</v>
      </c>
      <c r="AK237" t="s">
        <v>2537</v>
      </c>
      <c r="AL237" t="s">
        <v>2538</v>
      </c>
      <c r="AM237" t="s">
        <v>2539</v>
      </c>
      <c r="AN237" t="s">
        <v>2540</v>
      </c>
      <c r="AO237" t="s">
        <v>2541</v>
      </c>
      <c r="AP237" t="s">
        <v>2542</v>
      </c>
      <c r="AQ237" t="s">
        <v>2543</v>
      </c>
      <c r="AR237" t="s">
        <v>2544</v>
      </c>
      <c r="AS237" t="s">
        <v>2545</v>
      </c>
    </row>
    <row r="238" spans="1:45" x14ac:dyDescent="0.45">
      <c r="A238">
        <v>237</v>
      </c>
      <c r="B238">
        <v>278</v>
      </c>
      <c r="C238" t="s">
        <v>78</v>
      </c>
      <c r="D238" t="s">
        <v>73</v>
      </c>
      <c r="E238" t="s">
        <v>74</v>
      </c>
      <c r="F238" t="s">
        <v>75</v>
      </c>
      <c r="G238" t="s">
        <v>162</v>
      </c>
      <c r="H238">
        <v>12.923979842089576</v>
      </c>
      <c r="I238">
        <v>3</v>
      </c>
      <c r="J238">
        <v>6</v>
      </c>
      <c r="K238">
        <v>10</v>
      </c>
      <c r="L238">
        <v>-4</v>
      </c>
      <c r="M238">
        <v>7</v>
      </c>
      <c r="N238">
        <v>10</v>
      </c>
      <c r="O238">
        <v>-3</v>
      </c>
      <c r="P238">
        <v>6</v>
      </c>
      <c r="Q238">
        <v>4</v>
      </c>
      <c r="R238">
        <v>2</v>
      </c>
      <c r="S238">
        <v>7</v>
      </c>
      <c r="T238">
        <v>6</v>
      </c>
      <c r="U238">
        <v>1</v>
      </c>
      <c r="V238">
        <v>6</v>
      </c>
      <c r="W238">
        <v>3</v>
      </c>
      <c r="X238">
        <v>3</v>
      </c>
      <c r="Y238">
        <v>8</v>
      </c>
      <c r="Z238">
        <v>1</v>
      </c>
      <c r="AA238">
        <v>7</v>
      </c>
      <c r="AB238">
        <v>6</v>
      </c>
      <c r="AC238">
        <v>1</v>
      </c>
      <c r="AD238">
        <v>5</v>
      </c>
      <c r="AE238">
        <v>7</v>
      </c>
      <c r="AF238">
        <v>3</v>
      </c>
      <c r="AG238">
        <v>4</v>
      </c>
      <c r="AH238">
        <v>8</v>
      </c>
      <c r="AI238">
        <v>1</v>
      </c>
      <c r="AJ238">
        <v>7</v>
      </c>
      <c r="AK238" t="s">
        <v>645</v>
      </c>
      <c r="AL238" t="s">
        <v>787</v>
      </c>
      <c r="AM238" t="s">
        <v>2546</v>
      </c>
      <c r="AN238" t="s">
        <v>2547</v>
      </c>
      <c r="AO238" t="s">
        <v>2548</v>
      </c>
      <c r="AP238" t="s">
        <v>2549</v>
      </c>
      <c r="AQ238" t="s">
        <v>2550</v>
      </c>
      <c r="AR238" t="s">
        <v>2551</v>
      </c>
      <c r="AS238" t="s">
        <v>2552</v>
      </c>
    </row>
    <row r="239" spans="1:45" x14ac:dyDescent="0.45">
      <c r="A239">
        <v>238</v>
      </c>
      <c r="B239">
        <v>279</v>
      </c>
      <c r="C239" t="s">
        <v>72</v>
      </c>
      <c r="D239" t="s">
        <v>73</v>
      </c>
      <c r="E239" t="s">
        <v>74</v>
      </c>
      <c r="F239" t="s">
        <v>75</v>
      </c>
      <c r="G239" t="s">
        <v>76</v>
      </c>
      <c r="H239">
        <v>25.252542564087936</v>
      </c>
      <c r="I239">
        <v>1</v>
      </c>
      <c r="J239">
        <v>6</v>
      </c>
      <c r="K239">
        <v>8</v>
      </c>
      <c r="L239">
        <v>-2</v>
      </c>
      <c r="M239">
        <v>8</v>
      </c>
      <c r="N239">
        <v>10</v>
      </c>
      <c r="O239">
        <v>-2</v>
      </c>
      <c r="P239">
        <v>9</v>
      </c>
      <c r="Q239">
        <v>8</v>
      </c>
      <c r="R239">
        <v>1</v>
      </c>
      <c r="S239">
        <v>8</v>
      </c>
      <c r="T239">
        <v>10</v>
      </c>
      <c r="U239">
        <v>-2</v>
      </c>
      <c r="V239">
        <v>7</v>
      </c>
      <c r="W239">
        <v>9</v>
      </c>
      <c r="X239">
        <v>-2</v>
      </c>
      <c r="Y239">
        <v>9</v>
      </c>
      <c r="Z239">
        <v>8</v>
      </c>
      <c r="AA239">
        <v>1</v>
      </c>
      <c r="AB239">
        <v>7</v>
      </c>
      <c r="AC239">
        <v>7</v>
      </c>
      <c r="AD239">
        <v>0</v>
      </c>
      <c r="AE239">
        <v>6</v>
      </c>
      <c r="AF239">
        <v>9</v>
      </c>
      <c r="AG239">
        <v>-3</v>
      </c>
      <c r="AH239">
        <v>9</v>
      </c>
      <c r="AI239">
        <v>9</v>
      </c>
      <c r="AJ239">
        <v>0</v>
      </c>
      <c r="AK239" t="s">
        <v>2553</v>
      </c>
      <c r="AL239" t="s">
        <v>2554</v>
      </c>
      <c r="AM239" t="s">
        <v>2555</v>
      </c>
      <c r="AN239" t="s">
        <v>2556</v>
      </c>
      <c r="AO239" t="s">
        <v>2557</v>
      </c>
      <c r="AP239" t="s">
        <v>2558</v>
      </c>
      <c r="AQ239" t="s">
        <v>2559</v>
      </c>
      <c r="AR239" t="s">
        <v>2560</v>
      </c>
      <c r="AS239" t="s">
        <v>2561</v>
      </c>
    </row>
    <row r="240" spans="1:45" x14ac:dyDescent="0.45">
      <c r="A240">
        <v>239</v>
      </c>
      <c r="B240">
        <v>280</v>
      </c>
      <c r="C240" t="s">
        <v>78</v>
      </c>
      <c r="D240" t="s">
        <v>193</v>
      </c>
      <c r="E240" t="s">
        <v>74</v>
      </c>
      <c r="F240" t="s">
        <v>75</v>
      </c>
      <c r="G240" t="s">
        <v>76</v>
      </c>
      <c r="H240">
        <v>98.207445840656391</v>
      </c>
      <c r="I240">
        <v>4</v>
      </c>
      <c r="J240">
        <v>6</v>
      </c>
      <c r="K240">
        <v>6</v>
      </c>
      <c r="L240">
        <v>0</v>
      </c>
      <c r="M240">
        <v>8</v>
      </c>
      <c r="N240">
        <v>6</v>
      </c>
      <c r="O240">
        <v>2</v>
      </c>
      <c r="P240">
        <v>7</v>
      </c>
      <c r="Q240">
        <v>6</v>
      </c>
      <c r="R240">
        <v>1</v>
      </c>
      <c r="S240">
        <v>9</v>
      </c>
      <c r="T240">
        <v>6</v>
      </c>
      <c r="U240">
        <v>3</v>
      </c>
      <c r="V240">
        <v>7</v>
      </c>
      <c r="W240">
        <v>6</v>
      </c>
      <c r="X240">
        <v>1</v>
      </c>
      <c r="Y240">
        <v>7</v>
      </c>
      <c r="Z240">
        <v>6</v>
      </c>
      <c r="AA240">
        <v>1</v>
      </c>
      <c r="AB240">
        <v>6</v>
      </c>
      <c r="AC240">
        <v>6</v>
      </c>
      <c r="AD240">
        <v>0</v>
      </c>
      <c r="AE240">
        <v>7</v>
      </c>
      <c r="AF240">
        <v>7</v>
      </c>
      <c r="AG240">
        <v>0</v>
      </c>
      <c r="AH240">
        <v>9</v>
      </c>
      <c r="AI240">
        <v>6</v>
      </c>
      <c r="AJ240">
        <v>3</v>
      </c>
      <c r="AK240" t="s">
        <v>2562</v>
      </c>
      <c r="AL240" t="s">
        <v>2563</v>
      </c>
      <c r="AM240" t="s">
        <v>2564</v>
      </c>
      <c r="AN240" t="s">
        <v>2565</v>
      </c>
      <c r="AO240" t="s">
        <v>2566</v>
      </c>
      <c r="AP240" t="s">
        <v>2567</v>
      </c>
      <c r="AQ240" t="s">
        <v>2568</v>
      </c>
      <c r="AR240" t="s">
        <v>2569</v>
      </c>
      <c r="AS240" t="s">
        <v>2570</v>
      </c>
    </row>
    <row r="241" spans="1:45" x14ac:dyDescent="0.45">
      <c r="A241">
        <v>240</v>
      </c>
      <c r="B241">
        <v>281</v>
      </c>
      <c r="C241" t="s">
        <v>72</v>
      </c>
      <c r="D241" t="s">
        <v>73</v>
      </c>
      <c r="E241" t="s">
        <v>74</v>
      </c>
      <c r="F241" t="s">
        <v>77</v>
      </c>
      <c r="G241" t="s">
        <v>76</v>
      </c>
      <c r="H241">
        <v>62.752585483471158</v>
      </c>
      <c r="I241">
        <v>3</v>
      </c>
      <c r="J241">
        <v>7</v>
      </c>
      <c r="K241">
        <v>8</v>
      </c>
      <c r="L241">
        <v>-1</v>
      </c>
      <c r="M241">
        <v>8</v>
      </c>
      <c r="N241">
        <v>8</v>
      </c>
      <c r="O241">
        <v>0</v>
      </c>
      <c r="P241">
        <v>9</v>
      </c>
      <c r="Q241">
        <v>8</v>
      </c>
      <c r="R241">
        <v>1</v>
      </c>
      <c r="S241">
        <v>9</v>
      </c>
      <c r="T241">
        <v>8</v>
      </c>
      <c r="U241">
        <v>1</v>
      </c>
      <c r="V241">
        <v>8</v>
      </c>
      <c r="W241">
        <v>8</v>
      </c>
      <c r="X241">
        <v>0</v>
      </c>
      <c r="Y241">
        <v>9</v>
      </c>
      <c r="Z241">
        <v>8</v>
      </c>
      <c r="AA241">
        <v>1</v>
      </c>
      <c r="AB241">
        <v>8</v>
      </c>
      <c r="AC241">
        <v>8</v>
      </c>
      <c r="AD241">
        <v>0</v>
      </c>
      <c r="AE241">
        <v>7</v>
      </c>
      <c r="AF241">
        <v>8</v>
      </c>
      <c r="AG241">
        <v>-1</v>
      </c>
      <c r="AH241">
        <v>9</v>
      </c>
      <c r="AI241">
        <v>8</v>
      </c>
      <c r="AJ241">
        <v>1</v>
      </c>
      <c r="AK241" t="s">
        <v>2571</v>
      </c>
      <c r="AL241" t="s">
        <v>2572</v>
      </c>
      <c r="AM241" t="s">
        <v>2573</v>
      </c>
      <c r="AN241" t="s">
        <v>2574</v>
      </c>
      <c r="AO241" t="s">
        <v>2575</v>
      </c>
      <c r="AP241" t="s">
        <v>2576</v>
      </c>
      <c r="AQ241" t="s">
        <v>2577</v>
      </c>
      <c r="AR241" t="s">
        <v>2578</v>
      </c>
      <c r="AS241" t="s">
        <v>2579</v>
      </c>
    </row>
    <row r="242" spans="1:45" x14ac:dyDescent="0.45">
      <c r="A242">
        <v>241</v>
      </c>
      <c r="B242">
        <v>282</v>
      </c>
      <c r="C242" t="s">
        <v>72</v>
      </c>
      <c r="D242" t="s">
        <v>73</v>
      </c>
      <c r="E242" t="s">
        <v>74</v>
      </c>
      <c r="F242" t="s">
        <v>75</v>
      </c>
      <c r="G242" t="s">
        <v>76</v>
      </c>
      <c r="H242">
        <v>64.754924869796142</v>
      </c>
      <c r="I242">
        <v>1</v>
      </c>
      <c r="J242">
        <v>6</v>
      </c>
      <c r="K242">
        <v>7</v>
      </c>
      <c r="L242">
        <v>-1</v>
      </c>
      <c r="M242">
        <v>6</v>
      </c>
      <c r="N242">
        <v>6</v>
      </c>
      <c r="O242">
        <v>0</v>
      </c>
      <c r="P242">
        <v>9</v>
      </c>
      <c r="Q242">
        <v>7</v>
      </c>
      <c r="R242">
        <v>2</v>
      </c>
      <c r="S242">
        <v>8</v>
      </c>
      <c r="T242">
        <v>7</v>
      </c>
      <c r="U242">
        <v>1</v>
      </c>
      <c r="V242">
        <v>7</v>
      </c>
      <c r="W242">
        <v>8</v>
      </c>
      <c r="X242">
        <v>-1</v>
      </c>
      <c r="Y242">
        <v>8</v>
      </c>
      <c r="Z242">
        <v>8</v>
      </c>
      <c r="AA242">
        <v>0</v>
      </c>
      <c r="AB242">
        <v>7</v>
      </c>
      <c r="AC242">
        <v>8</v>
      </c>
      <c r="AD242">
        <v>-1</v>
      </c>
      <c r="AE242">
        <v>8</v>
      </c>
      <c r="AF242">
        <v>8</v>
      </c>
      <c r="AG242">
        <v>0</v>
      </c>
      <c r="AH242">
        <v>9</v>
      </c>
      <c r="AI242">
        <v>8</v>
      </c>
      <c r="AJ242">
        <v>1</v>
      </c>
      <c r="AK242" t="s">
        <v>2580</v>
      </c>
      <c r="AL242" t="s">
        <v>2581</v>
      </c>
      <c r="AM242" t="s">
        <v>2582</v>
      </c>
      <c r="AN242" t="s">
        <v>2583</v>
      </c>
      <c r="AO242" t="s">
        <v>2584</v>
      </c>
      <c r="AP242" t="s">
        <v>2585</v>
      </c>
      <c r="AQ242" t="s">
        <v>2586</v>
      </c>
      <c r="AR242" t="s">
        <v>2587</v>
      </c>
      <c r="AS242" t="s">
        <v>2588</v>
      </c>
    </row>
    <row r="243" spans="1:45" x14ac:dyDescent="0.45">
      <c r="A243">
        <v>242</v>
      </c>
      <c r="B243">
        <v>283</v>
      </c>
      <c r="C243" t="s">
        <v>78</v>
      </c>
      <c r="D243" t="s">
        <v>73</v>
      </c>
      <c r="E243" t="s">
        <v>74</v>
      </c>
      <c r="F243" t="s">
        <v>77</v>
      </c>
      <c r="G243" t="s">
        <v>76</v>
      </c>
      <c r="H243">
        <v>67.652674330722348</v>
      </c>
      <c r="I243">
        <v>2</v>
      </c>
      <c r="J243">
        <v>7</v>
      </c>
      <c r="K243">
        <v>6</v>
      </c>
      <c r="L243">
        <v>1</v>
      </c>
      <c r="M243">
        <v>8</v>
      </c>
      <c r="N243">
        <v>5</v>
      </c>
      <c r="O243">
        <v>3</v>
      </c>
      <c r="P243">
        <v>9</v>
      </c>
      <c r="Q243">
        <v>5</v>
      </c>
      <c r="R243">
        <v>4</v>
      </c>
      <c r="S243">
        <v>9</v>
      </c>
      <c r="T243">
        <v>7</v>
      </c>
      <c r="U243">
        <v>2</v>
      </c>
      <c r="V243">
        <v>7</v>
      </c>
      <c r="W243">
        <v>7</v>
      </c>
      <c r="X243">
        <v>0</v>
      </c>
      <c r="Y243">
        <v>9</v>
      </c>
      <c r="Z243">
        <v>7</v>
      </c>
      <c r="AA243">
        <v>2</v>
      </c>
      <c r="AB243">
        <v>7</v>
      </c>
      <c r="AC243">
        <v>7</v>
      </c>
      <c r="AD243">
        <v>0</v>
      </c>
      <c r="AE243">
        <v>8</v>
      </c>
      <c r="AF243">
        <v>8</v>
      </c>
      <c r="AG243">
        <v>0</v>
      </c>
      <c r="AH243">
        <v>7</v>
      </c>
      <c r="AI243">
        <v>8</v>
      </c>
      <c r="AJ243">
        <v>-1</v>
      </c>
      <c r="AK243" t="s">
        <v>2589</v>
      </c>
      <c r="AL243" t="s">
        <v>2590</v>
      </c>
      <c r="AM243" t="s">
        <v>2591</v>
      </c>
      <c r="AN243" t="s">
        <v>2592</v>
      </c>
      <c r="AO243" t="s">
        <v>2593</v>
      </c>
      <c r="AP243" t="s">
        <v>2594</v>
      </c>
      <c r="AQ243" t="s">
        <v>2595</v>
      </c>
      <c r="AR243" t="s">
        <v>2596</v>
      </c>
      <c r="AS243" t="s">
        <v>2597</v>
      </c>
    </row>
    <row r="244" spans="1:45" x14ac:dyDescent="0.45">
      <c r="A244">
        <v>243</v>
      </c>
      <c r="B244">
        <v>284</v>
      </c>
      <c r="C244" t="s">
        <v>78</v>
      </c>
      <c r="D244" t="s">
        <v>191</v>
      </c>
      <c r="E244" t="s">
        <v>74</v>
      </c>
      <c r="F244" t="s">
        <v>77</v>
      </c>
      <c r="G244" t="s">
        <v>76</v>
      </c>
      <c r="H244">
        <v>93.08618525769117</v>
      </c>
      <c r="I244">
        <v>2</v>
      </c>
      <c r="J244">
        <v>7</v>
      </c>
      <c r="K244">
        <v>6</v>
      </c>
      <c r="L244">
        <v>1</v>
      </c>
      <c r="M244">
        <v>8</v>
      </c>
      <c r="N244">
        <v>6</v>
      </c>
      <c r="O244">
        <v>2</v>
      </c>
      <c r="P244">
        <v>6</v>
      </c>
      <c r="Q244">
        <v>6</v>
      </c>
      <c r="R244">
        <v>0</v>
      </c>
      <c r="S244">
        <v>9</v>
      </c>
      <c r="T244">
        <v>6</v>
      </c>
      <c r="U244">
        <v>3</v>
      </c>
      <c r="V244">
        <v>7</v>
      </c>
      <c r="W244">
        <v>6</v>
      </c>
      <c r="X244">
        <v>1</v>
      </c>
      <c r="Y244">
        <v>9</v>
      </c>
      <c r="Z244">
        <v>6</v>
      </c>
      <c r="AA244">
        <v>3</v>
      </c>
      <c r="AB244">
        <v>8</v>
      </c>
      <c r="AC244">
        <v>6</v>
      </c>
      <c r="AD244">
        <v>2</v>
      </c>
      <c r="AE244">
        <v>7</v>
      </c>
      <c r="AF244">
        <v>6</v>
      </c>
      <c r="AG244">
        <v>1</v>
      </c>
      <c r="AH244">
        <v>9</v>
      </c>
      <c r="AI244">
        <v>6</v>
      </c>
      <c r="AJ244">
        <v>3</v>
      </c>
      <c r="AK244" t="s">
        <v>523</v>
      </c>
      <c r="AL244" t="s">
        <v>2598</v>
      </c>
      <c r="AM244" t="s">
        <v>2599</v>
      </c>
      <c r="AN244" t="s">
        <v>2600</v>
      </c>
      <c r="AO244" t="s">
        <v>2601</v>
      </c>
      <c r="AP244" t="s">
        <v>2602</v>
      </c>
      <c r="AQ244" t="s">
        <v>2603</v>
      </c>
      <c r="AR244" t="s">
        <v>2604</v>
      </c>
      <c r="AS244" t="s">
        <v>2605</v>
      </c>
    </row>
    <row r="245" spans="1:45" x14ac:dyDescent="0.45">
      <c r="A245">
        <v>244</v>
      </c>
      <c r="B245">
        <v>285</v>
      </c>
      <c r="C245" t="s">
        <v>72</v>
      </c>
      <c r="D245" t="s">
        <v>79</v>
      </c>
      <c r="E245" t="s">
        <v>74</v>
      </c>
      <c r="F245" t="s">
        <v>75</v>
      </c>
      <c r="G245" t="s">
        <v>76</v>
      </c>
      <c r="H245">
        <v>58.64415741914317</v>
      </c>
      <c r="I245">
        <v>3</v>
      </c>
      <c r="J245">
        <v>6</v>
      </c>
      <c r="K245">
        <v>7</v>
      </c>
      <c r="L245">
        <v>-1</v>
      </c>
      <c r="M245">
        <v>7</v>
      </c>
      <c r="N245">
        <v>6</v>
      </c>
      <c r="O245">
        <v>1</v>
      </c>
      <c r="P245">
        <v>8</v>
      </c>
      <c r="Q245">
        <v>6</v>
      </c>
      <c r="R245">
        <v>2</v>
      </c>
      <c r="S245">
        <v>9</v>
      </c>
      <c r="T245">
        <v>8</v>
      </c>
      <c r="U245">
        <v>1</v>
      </c>
      <c r="V245">
        <v>8</v>
      </c>
      <c r="W245">
        <v>6</v>
      </c>
      <c r="X245">
        <v>2</v>
      </c>
      <c r="Y245">
        <v>9</v>
      </c>
      <c r="Z245">
        <v>6</v>
      </c>
      <c r="AA245">
        <v>3</v>
      </c>
      <c r="AB245">
        <v>7</v>
      </c>
      <c r="AC245">
        <v>6</v>
      </c>
      <c r="AD245">
        <v>1</v>
      </c>
      <c r="AE245">
        <v>6</v>
      </c>
      <c r="AF245">
        <v>6</v>
      </c>
      <c r="AG245">
        <v>0</v>
      </c>
      <c r="AH245">
        <v>8</v>
      </c>
      <c r="AI245">
        <v>6</v>
      </c>
      <c r="AJ245">
        <v>2</v>
      </c>
      <c r="AK245" t="s">
        <v>2606</v>
      </c>
      <c r="AL245" t="s">
        <v>2607</v>
      </c>
      <c r="AM245" t="s">
        <v>2608</v>
      </c>
      <c r="AN245" t="s">
        <v>2609</v>
      </c>
      <c r="AO245" t="s">
        <v>2610</v>
      </c>
      <c r="AP245" t="s">
        <v>2611</v>
      </c>
      <c r="AQ245" t="s">
        <v>2612</v>
      </c>
      <c r="AR245" t="s">
        <v>2613</v>
      </c>
      <c r="AS245" t="s">
        <v>2614</v>
      </c>
    </row>
    <row r="246" spans="1:45" x14ac:dyDescent="0.45">
      <c r="A246">
        <v>245</v>
      </c>
      <c r="B246">
        <v>286</v>
      </c>
      <c r="C246" t="s">
        <v>78</v>
      </c>
      <c r="D246" t="s">
        <v>79</v>
      </c>
      <c r="E246" t="s">
        <v>74</v>
      </c>
      <c r="F246" t="s">
        <v>75</v>
      </c>
      <c r="G246" t="s">
        <v>76</v>
      </c>
      <c r="H246">
        <v>160.23119915397257</v>
      </c>
      <c r="I246">
        <v>0</v>
      </c>
      <c r="J246">
        <v>7</v>
      </c>
      <c r="K246">
        <v>4</v>
      </c>
      <c r="L246">
        <v>3</v>
      </c>
      <c r="M246">
        <v>8</v>
      </c>
      <c r="N246">
        <v>4</v>
      </c>
      <c r="O246">
        <v>4</v>
      </c>
      <c r="P246">
        <v>9</v>
      </c>
      <c r="Q246">
        <v>1</v>
      </c>
      <c r="R246">
        <v>8</v>
      </c>
      <c r="S246">
        <v>9</v>
      </c>
      <c r="T246">
        <v>4</v>
      </c>
      <c r="U246">
        <v>5</v>
      </c>
      <c r="V246">
        <v>8</v>
      </c>
      <c r="W246">
        <v>4</v>
      </c>
      <c r="X246">
        <v>4</v>
      </c>
      <c r="Y246">
        <v>9</v>
      </c>
      <c r="Z246">
        <v>4</v>
      </c>
      <c r="AA246">
        <v>5</v>
      </c>
      <c r="AB246">
        <v>8</v>
      </c>
      <c r="AC246">
        <v>5</v>
      </c>
      <c r="AD246">
        <v>3</v>
      </c>
      <c r="AE246">
        <v>9</v>
      </c>
      <c r="AF246">
        <v>5</v>
      </c>
      <c r="AG246">
        <v>4</v>
      </c>
      <c r="AH246">
        <v>10</v>
      </c>
      <c r="AI246">
        <v>5</v>
      </c>
      <c r="AJ246">
        <v>5</v>
      </c>
      <c r="AK246" t="s">
        <v>2615</v>
      </c>
      <c r="AL246" t="s">
        <v>2616</v>
      </c>
      <c r="AM246" t="s">
        <v>2617</v>
      </c>
      <c r="AN246" t="s">
        <v>2618</v>
      </c>
      <c r="AO246" t="s">
        <v>2619</v>
      </c>
      <c r="AP246" t="s">
        <v>2620</v>
      </c>
      <c r="AQ246" t="s">
        <v>2621</v>
      </c>
      <c r="AR246" t="s">
        <v>2622</v>
      </c>
      <c r="AS246" t="s">
        <v>2623</v>
      </c>
    </row>
    <row r="247" spans="1:45" x14ac:dyDescent="0.45">
      <c r="A247">
        <v>246</v>
      </c>
      <c r="B247">
        <v>287</v>
      </c>
      <c r="C247" t="s">
        <v>78</v>
      </c>
      <c r="D247" t="s">
        <v>73</v>
      </c>
      <c r="E247" t="s">
        <v>74</v>
      </c>
      <c r="F247" t="s">
        <v>77</v>
      </c>
      <c r="G247" t="s">
        <v>76</v>
      </c>
      <c r="H247">
        <v>26.20264300970296</v>
      </c>
      <c r="I247">
        <v>0</v>
      </c>
      <c r="J247">
        <v>9</v>
      </c>
      <c r="K247">
        <v>6</v>
      </c>
      <c r="L247">
        <v>3</v>
      </c>
      <c r="M247">
        <v>8</v>
      </c>
      <c r="N247">
        <v>7</v>
      </c>
      <c r="O247">
        <v>1</v>
      </c>
      <c r="P247">
        <v>9</v>
      </c>
      <c r="Q247">
        <v>7</v>
      </c>
      <c r="R247">
        <v>2</v>
      </c>
      <c r="S247">
        <v>8</v>
      </c>
      <c r="T247">
        <v>7</v>
      </c>
      <c r="U247">
        <v>1</v>
      </c>
      <c r="V247">
        <v>9</v>
      </c>
      <c r="W247">
        <v>7</v>
      </c>
      <c r="X247">
        <v>2</v>
      </c>
      <c r="Y247">
        <v>8</v>
      </c>
      <c r="Z247">
        <v>7</v>
      </c>
      <c r="AA247">
        <v>1</v>
      </c>
      <c r="AB247">
        <v>9</v>
      </c>
      <c r="AC247">
        <v>7</v>
      </c>
      <c r="AD247">
        <v>2</v>
      </c>
      <c r="AE247">
        <v>7</v>
      </c>
      <c r="AF247">
        <v>7</v>
      </c>
      <c r="AG247">
        <v>0</v>
      </c>
      <c r="AH247">
        <v>9</v>
      </c>
      <c r="AI247">
        <v>7</v>
      </c>
      <c r="AJ247">
        <v>2</v>
      </c>
      <c r="AK247" t="s">
        <v>2624</v>
      </c>
      <c r="AL247" t="s">
        <v>2625</v>
      </c>
      <c r="AM247" t="s">
        <v>2626</v>
      </c>
      <c r="AN247" t="s">
        <v>2627</v>
      </c>
      <c r="AO247" t="s">
        <v>2628</v>
      </c>
      <c r="AP247" t="s">
        <v>2629</v>
      </c>
      <c r="AQ247" t="s">
        <v>2630</v>
      </c>
      <c r="AR247" t="s">
        <v>2631</v>
      </c>
      <c r="AS247" t="s">
        <v>2632</v>
      </c>
    </row>
    <row r="248" spans="1:45" x14ac:dyDescent="0.45">
      <c r="A248">
        <v>247</v>
      </c>
      <c r="B248">
        <v>288</v>
      </c>
      <c r="C248" t="s">
        <v>72</v>
      </c>
      <c r="D248" t="s">
        <v>191</v>
      </c>
      <c r="E248" t="s">
        <v>74</v>
      </c>
      <c r="F248" t="s">
        <v>75</v>
      </c>
      <c r="G248" t="s">
        <v>76</v>
      </c>
      <c r="H248">
        <v>67.059256104593942</v>
      </c>
      <c r="I248">
        <v>4</v>
      </c>
      <c r="J248">
        <v>8</v>
      </c>
      <c r="K248">
        <v>8</v>
      </c>
      <c r="L248">
        <v>0</v>
      </c>
      <c r="M248">
        <v>9</v>
      </c>
      <c r="N248">
        <v>8</v>
      </c>
      <c r="O248">
        <v>1</v>
      </c>
      <c r="P248">
        <v>8</v>
      </c>
      <c r="Q248">
        <v>8</v>
      </c>
      <c r="R248">
        <v>0</v>
      </c>
      <c r="S248">
        <v>9</v>
      </c>
      <c r="T248">
        <v>8</v>
      </c>
      <c r="U248">
        <v>1</v>
      </c>
      <c r="V248">
        <v>8</v>
      </c>
      <c r="W248">
        <v>8</v>
      </c>
      <c r="X248">
        <v>0</v>
      </c>
      <c r="Y248">
        <v>9</v>
      </c>
      <c r="Z248">
        <v>8</v>
      </c>
      <c r="AA248">
        <v>1</v>
      </c>
      <c r="AB248">
        <v>8</v>
      </c>
      <c r="AC248">
        <v>8</v>
      </c>
      <c r="AD248">
        <v>0</v>
      </c>
      <c r="AE248">
        <v>7</v>
      </c>
      <c r="AF248">
        <v>8</v>
      </c>
      <c r="AG248">
        <v>-1</v>
      </c>
      <c r="AH248">
        <v>9</v>
      </c>
      <c r="AI248">
        <v>8</v>
      </c>
      <c r="AJ248">
        <v>1</v>
      </c>
      <c r="AK248" t="s">
        <v>2633</v>
      </c>
      <c r="AL248" t="s">
        <v>2634</v>
      </c>
      <c r="AM248" t="s">
        <v>2635</v>
      </c>
      <c r="AN248" t="s">
        <v>2636</v>
      </c>
      <c r="AO248" t="s">
        <v>2637</v>
      </c>
      <c r="AP248" t="s">
        <v>2638</v>
      </c>
      <c r="AQ248" t="s">
        <v>2639</v>
      </c>
      <c r="AR248" t="s">
        <v>2640</v>
      </c>
      <c r="AS248" t="s">
        <v>2641</v>
      </c>
    </row>
    <row r="249" spans="1:45" x14ac:dyDescent="0.45">
      <c r="A249">
        <v>248</v>
      </c>
      <c r="B249">
        <v>289</v>
      </c>
      <c r="C249" t="s">
        <v>72</v>
      </c>
      <c r="D249" t="s">
        <v>79</v>
      </c>
      <c r="E249" t="s">
        <v>74</v>
      </c>
      <c r="F249" t="s">
        <v>77</v>
      </c>
      <c r="G249" t="s">
        <v>76</v>
      </c>
      <c r="H249">
        <v>46.699044308675738</v>
      </c>
      <c r="I249">
        <v>1</v>
      </c>
      <c r="J249">
        <v>6</v>
      </c>
      <c r="K249">
        <v>7</v>
      </c>
      <c r="L249">
        <v>-1</v>
      </c>
      <c r="M249">
        <v>7</v>
      </c>
      <c r="N249">
        <v>7</v>
      </c>
      <c r="O249">
        <v>0</v>
      </c>
      <c r="P249">
        <v>5</v>
      </c>
      <c r="Q249">
        <v>7</v>
      </c>
      <c r="R249">
        <v>-2</v>
      </c>
      <c r="S249">
        <v>8</v>
      </c>
      <c r="T249">
        <v>7</v>
      </c>
      <c r="U249">
        <v>1</v>
      </c>
      <c r="V249">
        <v>6</v>
      </c>
      <c r="W249">
        <v>7</v>
      </c>
      <c r="X249">
        <v>-1</v>
      </c>
      <c r="Y249">
        <v>9</v>
      </c>
      <c r="Z249">
        <v>7</v>
      </c>
      <c r="AA249">
        <v>2</v>
      </c>
      <c r="AB249">
        <v>6</v>
      </c>
      <c r="AC249">
        <v>7</v>
      </c>
      <c r="AD249">
        <v>-1</v>
      </c>
      <c r="AE249">
        <v>8</v>
      </c>
      <c r="AF249">
        <v>7</v>
      </c>
      <c r="AG249">
        <v>1</v>
      </c>
      <c r="AH249">
        <v>7</v>
      </c>
      <c r="AI249">
        <v>7</v>
      </c>
      <c r="AJ249">
        <v>0</v>
      </c>
      <c r="AK249" t="s">
        <v>789</v>
      </c>
      <c r="AL249" t="s">
        <v>790</v>
      </c>
      <c r="AM249" t="s">
        <v>791</v>
      </c>
      <c r="AN249" t="s">
        <v>792</v>
      </c>
      <c r="AO249" t="s">
        <v>793</v>
      </c>
      <c r="AP249" t="s">
        <v>794</v>
      </c>
      <c r="AQ249" t="s">
        <v>795</v>
      </c>
      <c r="AR249" t="s">
        <v>796</v>
      </c>
      <c r="AS249" t="s">
        <v>797</v>
      </c>
    </row>
    <row r="250" spans="1:45" x14ac:dyDescent="0.45">
      <c r="A250">
        <v>249</v>
      </c>
      <c r="B250">
        <v>290</v>
      </c>
      <c r="C250" t="s">
        <v>78</v>
      </c>
      <c r="D250" t="s">
        <v>193</v>
      </c>
      <c r="E250" t="s">
        <v>74</v>
      </c>
      <c r="F250" t="s">
        <v>75</v>
      </c>
      <c r="G250" t="s">
        <v>76</v>
      </c>
      <c r="H250">
        <v>91.08033688967393</v>
      </c>
      <c r="I250">
        <v>3</v>
      </c>
      <c r="J250">
        <v>6</v>
      </c>
      <c r="K250">
        <v>9</v>
      </c>
      <c r="L250">
        <v>-3</v>
      </c>
      <c r="M250">
        <v>5</v>
      </c>
      <c r="N250">
        <v>9</v>
      </c>
      <c r="O250">
        <v>-4</v>
      </c>
      <c r="P250">
        <v>8</v>
      </c>
      <c r="Q250">
        <v>9</v>
      </c>
      <c r="R250">
        <v>-1</v>
      </c>
      <c r="S250">
        <v>9</v>
      </c>
      <c r="T250">
        <v>9</v>
      </c>
      <c r="U250">
        <v>0</v>
      </c>
      <c r="V250">
        <v>7</v>
      </c>
      <c r="W250">
        <v>9</v>
      </c>
      <c r="X250">
        <v>-2</v>
      </c>
      <c r="Y250">
        <v>8</v>
      </c>
      <c r="Z250">
        <v>9</v>
      </c>
      <c r="AA250">
        <v>-1</v>
      </c>
      <c r="AB250">
        <v>7</v>
      </c>
      <c r="AC250">
        <v>9</v>
      </c>
      <c r="AD250">
        <v>-2</v>
      </c>
      <c r="AE250">
        <v>6</v>
      </c>
      <c r="AF250">
        <v>9</v>
      </c>
      <c r="AG250">
        <v>-3</v>
      </c>
      <c r="AH250">
        <v>8</v>
      </c>
      <c r="AI250">
        <v>9</v>
      </c>
      <c r="AJ250">
        <v>-1</v>
      </c>
      <c r="AK250" t="s">
        <v>524</v>
      </c>
      <c r="AL250" t="s">
        <v>798</v>
      </c>
      <c r="AM250" t="s">
        <v>799</v>
      </c>
      <c r="AN250" t="s">
        <v>800</v>
      </c>
      <c r="AO250" t="s">
        <v>801</v>
      </c>
      <c r="AP250" t="s">
        <v>802</v>
      </c>
      <c r="AQ250" t="s">
        <v>803</v>
      </c>
      <c r="AR250" t="s">
        <v>2642</v>
      </c>
      <c r="AS250" t="s">
        <v>2643</v>
      </c>
    </row>
    <row r="251" spans="1:45" x14ac:dyDescent="0.45">
      <c r="A251">
        <v>250</v>
      </c>
      <c r="B251">
        <v>291</v>
      </c>
      <c r="C251" t="s">
        <v>72</v>
      </c>
      <c r="D251" t="s">
        <v>73</v>
      </c>
      <c r="E251" t="s">
        <v>74</v>
      </c>
      <c r="F251" t="s">
        <v>77</v>
      </c>
      <c r="G251" t="s">
        <v>76</v>
      </c>
      <c r="H251">
        <v>60.161713037313774</v>
      </c>
      <c r="I251">
        <v>3</v>
      </c>
      <c r="J251">
        <v>7</v>
      </c>
      <c r="K251">
        <v>7</v>
      </c>
      <c r="L251">
        <v>0</v>
      </c>
      <c r="M251">
        <v>6</v>
      </c>
      <c r="N251">
        <v>6</v>
      </c>
      <c r="O251">
        <v>0</v>
      </c>
      <c r="P251">
        <v>8</v>
      </c>
      <c r="Q251">
        <v>5</v>
      </c>
      <c r="R251">
        <v>3</v>
      </c>
      <c r="S251">
        <v>9</v>
      </c>
      <c r="T251">
        <v>6</v>
      </c>
      <c r="U251">
        <v>3</v>
      </c>
      <c r="V251">
        <v>7</v>
      </c>
      <c r="W251">
        <v>6</v>
      </c>
      <c r="X251">
        <v>1</v>
      </c>
      <c r="Y251">
        <v>8</v>
      </c>
      <c r="Z251">
        <v>6</v>
      </c>
      <c r="AA251">
        <v>2</v>
      </c>
      <c r="AB251">
        <v>7</v>
      </c>
      <c r="AC251">
        <v>6</v>
      </c>
      <c r="AD251">
        <v>1</v>
      </c>
      <c r="AE251">
        <v>8</v>
      </c>
      <c r="AF251">
        <v>6</v>
      </c>
      <c r="AG251">
        <v>2</v>
      </c>
      <c r="AH251">
        <v>9</v>
      </c>
      <c r="AI251">
        <v>7</v>
      </c>
      <c r="AJ251">
        <v>2</v>
      </c>
      <c r="AK251" t="s">
        <v>2644</v>
      </c>
      <c r="AL251" t="s">
        <v>2645</v>
      </c>
      <c r="AM251" t="s">
        <v>2646</v>
      </c>
      <c r="AN251" t="s">
        <v>2647</v>
      </c>
      <c r="AO251" t="s">
        <v>2648</v>
      </c>
      <c r="AP251" t="s">
        <v>2649</v>
      </c>
      <c r="AQ251" t="s">
        <v>2650</v>
      </c>
      <c r="AR251" t="s">
        <v>2651</v>
      </c>
      <c r="AS251" t="s">
        <v>2652</v>
      </c>
    </row>
    <row r="252" spans="1:45" x14ac:dyDescent="0.45">
      <c r="A252">
        <v>251</v>
      </c>
      <c r="B252">
        <v>292</v>
      </c>
      <c r="C252" t="s">
        <v>72</v>
      </c>
      <c r="D252" t="s">
        <v>73</v>
      </c>
      <c r="E252" t="s">
        <v>74</v>
      </c>
      <c r="F252" t="s">
        <v>77</v>
      </c>
      <c r="G252" t="s">
        <v>76</v>
      </c>
      <c r="H252">
        <v>32.406243853971198</v>
      </c>
      <c r="I252">
        <v>4</v>
      </c>
      <c r="J252">
        <v>7</v>
      </c>
      <c r="K252">
        <v>8</v>
      </c>
      <c r="L252">
        <v>-1</v>
      </c>
      <c r="M252">
        <v>6</v>
      </c>
      <c r="N252">
        <v>8</v>
      </c>
      <c r="O252">
        <v>-2</v>
      </c>
      <c r="P252">
        <v>9</v>
      </c>
      <c r="Q252">
        <v>8</v>
      </c>
      <c r="R252">
        <v>1</v>
      </c>
      <c r="S252">
        <v>8</v>
      </c>
      <c r="T252">
        <v>9</v>
      </c>
      <c r="U252">
        <v>-1</v>
      </c>
      <c r="V252">
        <v>7</v>
      </c>
      <c r="W252">
        <v>8</v>
      </c>
      <c r="X252">
        <v>-1</v>
      </c>
      <c r="Y252">
        <v>8</v>
      </c>
      <c r="Z252">
        <v>10</v>
      </c>
      <c r="AA252">
        <v>-2</v>
      </c>
      <c r="AB252">
        <v>6</v>
      </c>
      <c r="AC252">
        <v>7</v>
      </c>
      <c r="AD252">
        <v>-1</v>
      </c>
      <c r="AE252">
        <v>7</v>
      </c>
      <c r="AF252">
        <v>7</v>
      </c>
      <c r="AG252">
        <v>0</v>
      </c>
      <c r="AH252">
        <v>9</v>
      </c>
      <c r="AI252">
        <v>10</v>
      </c>
      <c r="AJ252">
        <v>-1</v>
      </c>
      <c r="AK252" t="s">
        <v>2653</v>
      </c>
      <c r="AL252" t="s">
        <v>2654</v>
      </c>
      <c r="AM252" t="s">
        <v>2655</v>
      </c>
      <c r="AN252" t="s">
        <v>2656</v>
      </c>
      <c r="AO252" t="s">
        <v>2657</v>
      </c>
      <c r="AP252" t="s">
        <v>2658</v>
      </c>
      <c r="AQ252" t="s">
        <v>2659</v>
      </c>
      <c r="AR252" t="s">
        <v>2660</v>
      </c>
      <c r="AS252" t="s">
        <v>2661</v>
      </c>
    </row>
    <row r="253" spans="1:45" x14ac:dyDescent="0.45">
      <c r="A253">
        <v>252</v>
      </c>
      <c r="B253">
        <v>293</v>
      </c>
      <c r="C253" t="s">
        <v>72</v>
      </c>
      <c r="D253" t="s">
        <v>191</v>
      </c>
      <c r="E253" t="s">
        <v>74</v>
      </c>
      <c r="F253" t="s">
        <v>77</v>
      </c>
      <c r="G253" t="s">
        <v>76</v>
      </c>
      <c r="H253">
        <v>60.95442128279155</v>
      </c>
      <c r="I253">
        <v>3</v>
      </c>
      <c r="J253">
        <v>6</v>
      </c>
      <c r="K253">
        <v>6</v>
      </c>
      <c r="L253">
        <v>0</v>
      </c>
      <c r="M253">
        <v>7</v>
      </c>
      <c r="N253">
        <v>6</v>
      </c>
      <c r="O253">
        <v>1</v>
      </c>
      <c r="P253">
        <v>8</v>
      </c>
      <c r="Q253">
        <v>1</v>
      </c>
      <c r="R253">
        <v>7</v>
      </c>
      <c r="S253">
        <v>9</v>
      </c>
      <c r="T253">
        <v>6</v>
      </c>
      <c r="U253">
        <v>3</v>
      </c>
      <c r="V253">
        <v>7</v>
      </c>
      <c r="W253">
        <v>5</v>
      </c>
      <c r="X253">
        <v>2</v>
      </c>
      <c r="Y253">
        <v>8</v>
      </c>
      <c r="Z253">
        <v>6</v>
      </c>
      <c r="AA253">
        <v>2</v>
      </c>
      <c r="AB253">
        <v>7</v>
      </c>
      <c r="AC253">
        <v>6</v>
      </c>
      <c r="AD253">
        <v>1</v>
      </c>
      <c r="AE253">
        <v>8</v>
      </c>
      <c r="AF253">
        <v>6</v>
      </c>
      <c r="AG253">
        <v>2</v>
      </c>
      <c r="AH253">
        <v>9</v>
      </c>
      <c r="AI253">
        <v>6</v>
      </c>
      <c r="AJ253">
        <v>3</v>
      </c>
      <c r="AK253" t="s">
        <v>804</v>
      </c>
      <c r="AL253" t="s">
        <v>2662</v>
      </c>
      <c r="AM253" t="s">
        <v>2663</v>
      </c>
      <c r="AN253" t="s">
        <v>2664</v>
      </c>
      <c r="AO253" t="s">
        <v>2665</v>
      </c>
      <c r="AP253" t="s">
        <v>2666</v>
      </c>
      <c r="AQ253" t="s">
        <v>2667</v>
      </c>
      <c r="AR253" t="s">
        <v>203</v>
      </c>
      <c r="AS253" t="s">
        <v>2668</v>
      </c>
    </row>
    <row r="254" spans="1:45" x14ac:dyDescent="0.45">
      <c r="A254">
        <v>253</v>
      </c>
      <c r="B254">
        <v>294</v>
      </c>
      <c r="C254" t="s">
        <v>78</v>
      </c>
      <c r="D254" t="s">
        <v>79</v>
      </c>
      <c r="E254" t="s">
        <v>74</v>
      </c>
      <c r="F254" t="s">
        <v>75</v>
      </c>
      <c r="G254" t="s">
        <v>76</v>
      </c>
      <c r="H254">
        <v>87.557608548001312</v>
      </c>
      <c r="I254">
        <v>4</v>
      </c>
      <c r="J254">
        <v>7</v>
      </c>
      <c r="K254">
        <v>8</v>
      </c>
      <c r="L254">
        <v>-1</v>
      </c>
      <c r="M254">
        <v>8</v>
      </c>
      <c r="N254">
        <v>8</v>
      </c>
      <c r="O254">
        <v>0</v>
      </c>
      <c r="P254">
        <v>9</v>
      </c>
      <c r="Q254">
        <v>3</v>
      </c>
      <c r="R254">
        <v>6</v>
      </c>
      <c r="S254">
        <v>10</v>
      </c>
      <c r="T254">
        <v>9</v>
      </c>
      <c r="U254">
        <v>1</v>
      </c>
      <c r="V254">
        <v>8</v>
      </c>
      <c r="W254">
        <v>8</v>
      </c>
      <c r="X254">
        <v>0</v>
      </c>
      <c r="Y254">
        <v>9</v>
      </c>
      <c r="Z254">
        <v>8</v>
      </c>
      <c r="AA254">
        <v>1</v>
      </c>
      <c r="AB254">
        <v>7</v>
      </c>
      <c r="AC254">
        <v>8</v>
      </c>
      <c r="AD254">
        <v>-1</v>
      </c>
      <c r="AE254">
        <v>8</v>
      </c>
      <c r="AF254">
        <v>8</v>
      </c>
      <c r="AG254">
        <v>0</v>
      </c>
      <c r="AH254">
        <v>9</v>
      </c>
      <c r="AI254">
        <v>8</v>
      </c>
      <c r="AJ254">
        <v>1</v>
      </c>
      <c r="AK254" t="s">
        <v>2669</v>
      </c>
      <c r="AL254" t="s">
        <v>2670</v>
      </c>
      <c r="AM254" t="s">
        <v>2671</v>
      </c>
      <c r="AN254" t="s">
        <v>2672</v>
      </c>
      <c r="AO254" t="s">
        <v>2673</v>
      </c>
      <c r="AP254" t="s">
        <v>2674</v>
      </c>
      <c r="AQ254" t="s">
        <v>2675</v>
      </c>
      <c r="AR254" t="s">
        <v>2676</v>
      </c>
      <c r="AS254" t="s">
        <v>2677</v>
      </c>
    </row>
    <row r="255" spans="1:45" x14ac:dyDescent="0.45">
      <c r="A255">
        <v>254</v>
      </c>
      <c r="B255">
        <v>295</v>
      </c>
      <c r="C255" t="s">
        <v>78</v>
      </c>
      <c r="D255" t="s">
        <v>79</v>
      </c>
      <c r="E255" t="s">
        <v>74</v>
      </c>
      <c r="F255" t="s">
        <v>75</v>
      </c>
      <c r="G255" t="s">
        <v>76</v>
      </c>
      <c r="H255">
        <v>73.395363848232748</v>
      </c>
      <c r="I255">
        <v>1</v>
      </c>
      <c r="J255">
        <v>8</v>
      </c>
      <c r="K255">
        <v>4</v>
      </c>
      <c r="L255">
        <v>4</v>
      </c>
      <c r="M255">
        <v>9</v>
      </c>
      <c r="N255">
        <v>3</v>
      </c>
      <c r="O255">
        <v>6</v>
      </c>
      <c r="P255">
        <v>8</v>
      </c>
      <c r="Q255">
        <v>1</v>
      </c>
      <c r="R255">
        <v>7</v>
      </c>
      <c r="S255">
        <v>9</v>
      </c>
      <c r="T255">
        <v>7</v>
      </c>
      <c r="U255">
        <v>2</v>
      </c>
      <c r="V255">
        <v>7</v>
      </c>
      <c r="W255">
        <v>3</v>
      </c>
      <c r="X255">
        <v>4</v>
      </c>
      <c r="Y255">
        <v>8</v>
      </c>
      <c r="Z255">
        <v>6</v>
      </c>
      <c r="AA255">
        <v>2</v>
      </c>
      <c r="AB255">
        <v>7</v>
      </c>
      <c r="AC255">
        <v>5</v>
      </c>
      <c r="AD255">
        <v>2</v>
      </c>
      <c r="AE255">
        <v>6</v>
      </c>
      <c r="AF255">
        <v>6</v>
      </c>
      <c r="AG255">
        <v>0</v>
      </c>
      <c r="AH255">
        <v>7</v>
      </c>
      <c r="AI255">
        <v>6</v>
      </c>
      <c r="AJ255">
        <v>1</v>
      </c>
      <c r="AK255" t="s">
        <v>2678</v>
      </c>
      <c r="AL255" t="s">
        <v>2679</v>
      </c>
      <c r="AM255" t="s">
        <v>2680</v>
      </c>
      <c r="AN255" t="s">
        <v>2681</v>
      </c>
      <c r="AO255" t="s">
        <v>2682</v>
      </c>
      <c r="AP255" t="s">
        <v>2683</v>
      </c>
      <c r="AQ255" t="s">
        <v>2684</v>
      </c>
      <c r="AR255" t="s">
        <v>2685</v>
      </c>
      <c r="AS255" t="s">
        <v>2686</v>
      </c>
    </row>
    <row r="256" spans="1:45" x14ac:dyDescent="0.45">
      <c r="A256">
        <v>255</v>
      </c>
      <c r="B256">
        <v>296</v>
      </c>
      <c r="C256" t="s">
        <v>72</v>
      </c>
      <c r="D256" t="s">
        <v>73</v>
      </c>
      <c r="E256" t="s">
        <v>74</v>
      </c>
      <c r="F256" t="s">
        <v>75</v>
      </c>
      <c r="G256" t="s">
        <v>76</v>
      </c>
      <c r="H256">
        <v>48.208250904428475</v>
      </c>
      <c r="I256">
        <v>1</v>
      </c>
      <c r="J256">
        <v>6</v>
      </c>
      <c r="K256">
        <v>6</v>
      </c>
      <c r="L256">
        <v>0</v>
      </c>
      <c r="M256">
        <v>7</v>
      </c>
      <c r="N256">
        <v>6</v>
      </c>
      <c r="O256">
        <v>1</v>
      </c>
      <c r="P256">
        <v>6</v>
      </c>
      <c r="Q256">
        <v>1</v>
      </c>
      <c r="R256">
        <v>5</v>
      </c>
      <c r="S256">
        <v>8</v>
      </c>
      <c r="T256">
        <v>7</v>
      </c>
      <c r="U256">
        <v>1</v>
      </c>
      <c r="V256">
        <v>7</v>
      </c>
      <c r="W256">
        <v>5</v>
      </c>
      <c r="X256">
        <v>2</v>
      </c>
      <c r="Y256">
        <v>9</v>
      </c>
      <c r="Z256">
        <v>6</v>
      </c>
      <c r="AA256">
        <v>3</v>
      </c>
      <c r="AB256">
        <v>7</v>
      </c>
      <c r="AC256">
        <v>6</v>
      </c>
      <c r="AD256">
        <v>1</v>
      </c>
      <c r="AE256">
        <v>6</v>
      </c>
      <c r="AF256">
        <v>6</v>
      </c>
      <c r="AG256">
        <v>0</v>
      </c>
      <c r="AH256">
        <v>8</v>
      </c>
      <c r="AI256">
        <v>6</v>
      </c>
      <c r="AJ256">
        <v>2</v>
      </c>
      <c r="AK256" t="s">
        <v>2687</v>
      </c>
      <c r="AL256" t="s">
        <v>2688</v>
      </c>
      <c r="AM256" t="s">
        <v>2689</v>
      </c>
      <c r="AN256" t="s">
        <v>2690</v>
      </c>
      <c r="AO256" t="s">
        <v>2691</v>
      </c>
      <c r="AP256" t="s">
        <v>2692</v>
      </c>
      <c r="AQ256" t="s">
        <v>2693</v>
      </c>
      <c r="AR256" t="s">
        <v>2694</v>
      </c>
      <c r="AS256" t="s">
        <v>2695</v>
      </c>
    </row>
    <row r="257" spans="1:45" x14ac:dyDescent="0.45">
      <c r="A257">
        <v>256</v>
      </c>
      <c r="B257">
        <v>297</v>
      </c>
      <c r="C257" t="s">
        <v>72</v>
      </c>
      <c r="D257" t="s">
        <v>191</v>
      </c>
      <c r="E257" t="s">
        <v>74</v>
      </c>
      <c r="F257" t="s">
        <v>77</v>
      </c>
      <c r="G257" t="s">
        <v>76</v>
      </c>
      <c r="H257">
        <v>150.64830970873513</v>
      </c>
      <c r="I257">
        <v>4</v>
      </c>
      <c r="J257">
        <v>7</v>
      </c>
      <c r="K257">
        <v>8</v>
      </c>
      <c r="L257">
        <v>-1</v>
      </c>
      <c r="M257">
        <v>6</v>
      </c>
      <c r="N257">
        <v>8</v>
      </c>
      <c r="O257">
        <v>-2</v>
      </c>
      <c r="P257">
        <v>8</v>
      </c>
      <c r="Q257">
        <v>5</v>
      </c>
      <c r="R257">
        <v>3</v>
      </c>
      <c r="S257">
        <v>9</v>
      </c>
      <c r="T257">
        <v>8</v>
      </c>
      <c r="U257">
        <v>1</v>
      </c>
      <c r="V257">
        <v>7</v>
      </c>
      <c r="W257">
        <v>8</v>
      </c>
      <c r="X257">
        <v>-1</v>
      </c>
      <c r="Y257">
        <v>8</v>
      </c>
      <c r="Z257">
        <v>7</v>
      </c>
      <c r="AA257">
        <v>1</v>
      </c>
      <c r="AB257">
        <v>6</v>
      </c>
      <c r="AC257">
        <v>7</v>
      </c>
      <c r="AD257">
        <v>-1</v>
      </c>
      <c r="AE257">
        <v>7</v>
      </c>
      <c r="AF257">
        <v>7</v>
      </c>
      <c r="AG257">
        <v>0</v>
      </c>
      <c r="AH257">
        <v>9</v>
      </c>
      <c r="AI257">
        <v>7</v>
      </c>
      <c r="AJ257">
        <v>2</v>
      </c>
      <c r="AK257" t="s">
        <v>2696</v>
      </c>
      <c r="AL257" t="s">
        <v>2697</v>
      </c>
      <c r="AM257" t="s">
        <v>2698</v>
      </c>
      <c r="AN257" t="s">
        <v>2699</v>
      </c>
      <c r="AO257" t="s">
        <v>2700</v>
      </c>
      <c r="AP257" t="s">
        <v>2701</v>
      </c>
      <c r="AQ257" t="s">
        <v>2702</v>
      </c>
      <c r="AR257" t="s">
        <v>2703</v>
      </c>
      <c r="AS257" t="s">
        <v>2704</v>
      </c>
    </row>
    <row r="258" spans="1:45" x14ac:dyDescent="0.45">
      <c r="A258">
        <v>257</v>
      </c>
      <c r="B258">
        <v>298</v>
      </c>
      <c r="C258" t="s">
        <v>72</v>
      </c>
      <c r="D258" t="s">
        <v>81</v>
      </c>
      <c r="E258" t="s">
        <v>74</v>
      </c>
      <c r="F258" t="s">
        <v>77</v>
      </c>
      <c r="G258" t="s">
        <v>76</v>
      </c>
      <c r="H258">
        <v>36.872721405883112</v>
      </c>
      <c r="I258">
        <v>1</v>
      </c>
      <c r="J258">
        <v>4</v>
      </c>
      <c r="K258">
        <v>7</v>
      </c>
      <c r="L258">
        <v>-3</v>
      </c>
      <c r="M258">
        <v>5</v>
      </c>
      <c r="N258">
        <v>8</v>
      </c>
      <c r="O258">
        <v>-3</v>
      </c>
      <c r="P258">
        <v>7</v>
      </c>
      <c r="Q258">
        <v>4</v>
      </c>
      <c r="R258">
        <v>3</v>
      </c>
      <c r="S258">
        <v>9</v>
      </c>
      <c r="T258">
        <v>8</v>
      </c>
      <c r="U258">
        <v>1</v>
      </c>
      <c r="V258">
        <v>6</v>
      </c>
      <c r="W258">
        <v>5</v>
      </c>
      <c r="X258">
        <v>1</v>
      </c>
      <c r="Y258">
        <v>8</v>
      </c>
      <c r="Z258">
        <v>7</v>
      </c>
      <c r="AA258">
        <v>1</v>
      </c>
      <c r="AB258">
        <v>7</v>
      </c>
      <c r="AC258">
        <v>5</v>
      </c>
      <c r="AD258">
        <v>2</v>
      </c>
      <c r="AE258">
        <v>9</v>
      </c>
      <c r="AF258">
        <v>6</v>
      </c>
      <c r="AG258">
        <v>3</v>
      </c>
      <c r="AH258">
        <v>8</v>
      </c>
      <c r="AI258">
        <v>6</v>
      </c>
      <c r="AJ258">
        <v>2</v>
      </c>
      <c r="AK258" t="s">
        <v>2705</v>
      </c>
      <c r="AL258" t="s">
        <v>2706</v>
      </c>
      <c r="AM258" t="s">
        <v>2707</v>
      </c>
      <c r="AN258" t="s">
        <v>2708</v>
      </c>
      <c r="AO258" t="s">
        <v>2709</v>
      </c>
      <c r="AP258" t="s">
        <v>2710</v>
      </c>
      <c r="AQ258" t="s">
        <v>2711</v>
      </c>
      <c r="AR258" t="s">
        <v>2712</v>
      </c>
      <c r="AS258" t="s">
        <v>2713</v>
      </c>
    </row>
    <row r="259" spans="1:45" x14ac:dyDescent="0.45">
      <c r="A259">
        <v>258</v>
      </c>
      <c r="B259">
        <v>299</v>
      </c>
      <c r="C259" t="s">
        <v>78</v>
      </c>
      <c r="D259" t="s">
        <v>79</v>
      </c>
      <c r="E259" t="s">
        <v>74</v>
      </c>
      <c r="F259" t="s">
        <v>77</v>
      </c>
      <c r="G259" t="s">
        <v>76</v>
      </c>
      <c r="H259">
        <v>64.686544718428408</v>
      </c>
      <c r="I259">
        <v>2</v>
      </c>
      <c r="J259">
        <v>7</v>
      </c>
      <c r="K259">
        <v>6</v>
      </c>
      <c r="L259">
        <v>1</v>
      </c>
      <c r="M259">
        <v>7</v>
      </c>
      <c r="N259">
        <v>7</v>
      </c>
      <c r="O259">
        <v>0</v>
      </c>
      <c r="P259">
        <v>9</v>
      </c>
      <c r="Q259">
        <v>2</v>
      </c>
      <c r="R259">
        <v>7</v>
      </c>
      <c r="S259">
        <v>8</v>
      </c>
      <c r="T259">
        <v>7</v>
      </c>
      <c r="U259">
        <v>1</v>
      </c>
      <c r="V259">
        <v>6</v>
      </c>
      <c r="W259">
        <v>5</v>
      </c>
      <c r="X259">
        <v>1</v>
      </c>
      <c r="Y259">
        <v>8</v>
      </c>
      <c r="Z259">
        <v>5</v>
      </c>
      <c r="AA259">
        <v>3</v>
      </c>
      <c r="AB259">
        <v>5</v>
      </c>
      <c r="AC259">
        <v>5</v>
      </c>
      <c r="AD259">
        <v>0</v>
      </c>
      <c r="AE259">
        <v>7</v>
      </c>
      <c r="AF259">
        <v>6</v>
      </c>
      <c r="AG259">
        <v>1</v>
      </c>
      <c r="AH259">
        <v>9</v>
      </c>
      <c r="AI259">
        <v>5</v>
      </c>
      <c r="AJ259">
        <v>4</v>
      </c>
      <c r="AK259" t="s">
        <v>2714</v>
      </c>
      <c r="AL259" t="s">
        <v>2715</v>
      </c>
      <c r="AM259" t="s">
        <v>2716</v>
      </c>
      <c r="AN259" t="s">
        <v>2717</v>
      </c>
      <c r="AO259" t="s">
        <v>2718</v>
      </c>
      <c r="AP259" t="s">
        <v>2719</v>
      </c>
      <c r="AQ259" t="s">
        <v>2720</v>
      </c>
      <c r="AR259" t="s">
        <v>2721</v>
      </c>
      <c r="AS259" t="s">
        <v>2722</v>
      </c>
    </row>
    <row r="260" spans="1:45" x14ac:dyDescent="0.45">
      <c r="A260">
        <v>259</v>
      </c>
      <c r="B260">
        <v>300</v>
      </c>
      <c r="C260" t="s">
        <v>78</v>
      </c>
      <c r="D260" t="s">
        <v>191</v>
      </c>
      <c r="E260" t="s">
        <v>74</v>
      </c>
      <c r="F260" t="s">
        <v>75</v>
      </c>
      <c r="G260" t="s">
        <v>76</v>
      </c>
      <c r="H260">
        <v>184.12683194829077</v>
      </c>
      <c r="I260">
        <v>4</v>
      </c>
      <c r="J260">
        <v>6</v>
      </c>
      <c r="K260">
        <v>2</v>
      </c>
      <c r="L260">
        <v>4</v>
      </c>
      <c r="M260">
        <v>7</v>
      </c>
      <c r="N260">
        <v>1</v>
      </c>
      <c r="O260">
        <v>6</v>
      </c>
      <c r="P260">
        <v>9</v>
      </c>
      <c r="Q260">
        <v>1</v>
      </c>
      <c r="R260">
        <v>8</v>
      </c>
      <c r="S260">
        <v>8</v>
      </c>
      <c r="T260">
        <v>6</v>
      </c>
      <c r="U260">
        <v>2</v>
      </c>
      <c r="V260">
        <v>5</v>
      </c>
      <c r="W260">
        <v>2</v>
      </c>
      <c r="X260">
        <v>3</v>
      </c>
      <c r="Y260">
        <v>8</v>
      </c>
      <c r="Z260">
        <v>3</v>
      </c>
      <c r="AA260">
        <v>5</v>
      </c>
      <c r="AB260">
        <v>4</v>
      </c>
      <c r="AC260">
        <v>1</v>
      </c>
      <c r="AD260">
        <v>3</v>
      </c>
      <c r="AE260">
        <v>6</v>
      </c>
      <c r="AF260">
        <v>5</v>
      </c>
      <c r="AG260">
        <v>1</v>
      </c>
      <c r="AH260">
        <v>8</v>
      </c>
      <c r="AI260">
        <v>4</v>
      </c>
      <c r="AJ260">
        <v>4</v>
      </c>
      <c r="AK260" t="s">
        <v>647</v>
      </c>
      <c r="AL260" t="s">
        <v>2723</v>
      </c>
      <c r="AM260" t="s">
        <v>2724</v>
      </c>
      <c r="AN260" t="s">
        <v>2725</v>
      </c>
      <c r="AO260" t="s">
        <v>2726</v>
      </c>
      <c r="AP260" t="s">
        <v>2727</v>
      </c>
      <c r="AQ260" t="s">
        <v>2728</v>
      </c>
      <c r="AR260" t="s">
        <v>2729</v>
      </c>
      <c r="AS260" t="s">
        <v>2730</v>
      </c>
    </row>
    <row r="261" spans="1:45" x14ac:dyDescent="0.45">
      <c r="A261">
        <v>260</v>
      </c>
      <c r="B261">
        <v>301</v>
      </c>
      <c r="C261" t="s">
        <v>72</v>
      </c>
      <c r="D261" t="s">
        <v>73</v>
      </c>
      <c r="E261" t="s">
        <v>80</v>
      </c>
      <c r="F261" t="s">
        <v>77</v>
      </c>
      <c r="G261" t="s">
        <v>76</v>
      </c>
      <c r="H261">
        <v>45.176598438441665</v>
      </c>
      <c r="I261">
        <v>2</v>
      </c>
      <c r="J261">
        <v>6</v>
      </c>
      <c r="K261">
        <v>6</v>
      </c>
      <c r="L261">
        <v>0</v>
      </c>
      <c r="M261">
        <v>5</v>
      </c>
      <c r="N261">
        <v>6</v>
      </c>
      <c r="O261">
        <v>-1</v>
      </c>
      <c r="P261">
        <v>7</v>
      </c>
      <c r="Q261">
        <v>7</v>
      </c>
      <c r="R261">
        <v>0</v>
      </c>
      <c r="S261">
        <v>8</v>
      </c>
      <c r="T261">
        <v>6</v>
      </c>
      <c r="U261">
        <v>2</v>
      </c>
      <c r="V261">
        <v>7</v>
      </c>
      <c r="W261">
        <v>5</v>
      </c>
      <c r="X261">
        <v>2</v>
      </c>
      <c r="Y261">
        <v>9</v>
      </c>
      <c r="Z261">
        <v>6</v>
      </c>
      <c r="AA261">
        <v>3</v>
      </c>
      <c r="AB261">
        <v>7</v>
      </c>
      <c r="AC261">
        <v>5</v>
      </c>
      <c r="AD261">
        <v>2</v>
      </c>
      <c r="AE261">
        <v>8</v>
      </c>
      <c r="AF261">
        <v>6</v>
      </c>
      <c r="AG261">
        <v>2</v>
      </c>
      <c r="AH261">
        <v>9</v>
      </c>
      <c r="AI261">
        <v>6</v>
      </c>
      <c r="AJ261">
        <v>3</v>
      </c>
      <c r="AK261" t="s">
        <v>2731</v>
      </c>
      <c r="AL261" t="s">
        <v>2732</v>
      </c>
      <c r="AM261" t="s">
        <v>2733</v>
      </c>
      <c r="AN261" t="s">
        <v>2734</v>
      </c>
      <c r="AO261" t="s">
        <v>2735</v>
      </c>
      <c r="AP261" t="s">
        <v>2736</v>
      </c>
      <c r="AQ261" t="s">
        <v>2737</v>
      </c>
      <c r="AR261" t="s">
        <v>2738</v>
      </c>
      <c r="AS261" t="s">
        <v>2739</v>
      </c>
    </row>
    <row r="262" spans="1:45" x14ac:dyDescent="0.45">
      <c r="A262">
        <v>261</v>
      </c>
      <c r="B262">
        <v>302</v>
      </c>
      <c r="C262" t="s">
        <v>78</v>
      </c>
      <c r="D262" t="s">
        <v>73</v>
      </c>
      <c r="E262" t="s">
        <v>74</v>
      </c>
      <c r="F262" t="s">
        <v>77</v>
      </c>
      <c r="G262" t="s">
        <v>76</v>
      </c>
      <c r="H262">
        <v>44.639762601834903</v>
      </c>
      <c r="I262">
        <v>1</v>
      </c>
      <c r="J262">
        <v>7</v>
      </c>
      <c r="K262">
        <v>6</v>
      </c>
      <c r="L262">
        <v>1</v>
      </c>
      <c r="M262">
        <v>6</v>
      </c>
      <c r="N262">
        <v>7</v>
      </c>
      <c r="O262">
        <v>-1</v>
      </c>
      <c r="P262">
        <v>9</v>
      </c>
      <c r="Q262">
        <v>1</v>
      </c>
      <c r="R262">
        <v>8</v>
      </c>
      <c r="S262">
        <v>8</v>
      </c>
      <c r="T262">
        <v>9</v>
      </c>
      <c r="U262">
        <v>-1</v>
      </c>
      <c r="V262">
        <v>7</v>
      </c>
      <c r="W262">
        <v>5</v>
      </c>
      <c r="X262">
        <v>2</v>
      </c>
      <c r="Y262">
        <v>8</v>
      </c>
      <c r="Z262">
        <v>4</v>
      </c>
      <c r="AA262">
        <v>4</v>
      </c>
      <c r="AB262">
        <v>6</v>
      </c>
      <c r="AC262">
        <v>4</v>
      </c>
      <c r="AD262">
        <v>2</v>
      </c>
      <c r="AE262">
        <v>7</v>
      </c>
      <c r="AF262">
        <v>5</v>
      </c>
      <c r="AG262">
        <v>2</v>
      </c>
      <c r="AH262">
        <v>9</v>
      </c>
      <c r="AI262">
        <v>5</v>
      </c>
      <c r="AJ262">
        <v>4</v>
      </c>
      <c r="AK262" t="s">
        <v>2740</v>
      </c>
      <c r="AL262" t="s">
        <v>2741</v>
      </c>
      <c r="AM262" t="s">
        <v>2742</v>
      </c>
      <c r="AN262" t="s">
        <v>2743</v>
      </c>
      <c r="AO262" t="s">
        <v>2744</v>
      </c>
      <c r="AP262" t="s">
        <v>2745</v>
      </c>
      <c r="AQ262" t="s">
        <v>2746</v>
      </c>
      <c r="AR262" t="s">
        <v>2747</v>
      </c>
      <c r="AS262" t="s">
        <v>2748</v>
      </c>
    </row>
    <row r="263" spans="1:45" x14ac:dyDescent="0.45">
      <c r="A263">
        <v>262</v>
      </c>
      <c r="B263">
        <v>303</v>
      </c>
      <c r="C263" t="s">
        <v>78</v>
      </c>
      <c r="D263" t="s">
        <v>73</v>
      </c>
      <c r="E263" t="s">
        <v>74</v>
      </c>
      <c r="F263" t="s">
        <v>77</v>
      </c>
      <c r="G263" t="s">
        <v>76</v>
      </c>
      <c r="H263">
        <v>68.000404351217739</v>
      </c>
      <c r="I263">
        <v>4</v>
      </c>
      <c r="J263">
        <v>4</v>
      </c>
      <c r="K263">
        <v>9</v>
      </c>
      <c r="L263">
        <v>-5</v>
      </c>
      <c r="M263">
        <v>5</v>
      </c>
      <c r="N263">
        <v>9</v>
      </c>
      <c r="O263">
        <v>-4</v>
      </c>
      <c r="P263">
        <v>6</v>
      </c>
      <c r="Q263">
        <v>8</v>
      </c>
      <c r="R263">
        <v>-2</v>
      </c>
      <c r="S263">
        <v>8</v>
      </c>
      <c r="T263">
        <v>9</v>
      </c>
      <c r="U263">
        <v>-1</v>
      </c>
      <c r="V263">
        <v>7</v>
      </c>
      <c r="W263">
        <v>8</v>
      </c>
      <c r="X263">
        <v>-1</v>
      </c>
      <c r="Y263">
        <v>9</v>
      </c>
      <c r="Z263">
        <v>9</v>
      </c>
      <c r="AA263">
        <v>0</v>
      </c>
      <c r="AB263">
        <v>7</v>
      </c>
      <c r="AC263">
        <v>9</v>
      </c>
      <c r="AD263">
        <v>-2</v>
      </c>
      <c r="AE263">
        <v>8</v>
      </c>
      <c r="AF263">
        <v>8</v>
      </c>
      <c r="AG263">
        <v>0</v>
      </c>
      <c r="AH263">
        <v>9</v>
      </c>
      <c r="AI263">
        <v>8</v>
      </c>
      <c r="AJ263">
        <v>1</v>
      </c>
      <c r="AK263" t="s">
        <v>805</v>
      </c>
      <c r="AL263" t="s">
        <v>2749</v>
      </c>
      <c r="AM263" t="s">
        <v>2750</v>
      </c>
      <c r="AN263" t="s">
        <v>2751</v>
      </c>
      <c r="AO263" t="s">
        <v>2752</v>
      </c>
      <c r="AP263" t="s">
        <v>2753</v>
      </c>
      <c r="AQ263" t="s">
        <v>2754</v>
      </c>
      <c r="AR263" t="s">
        <v>2755</v>
      </c>
      <c r="AS263" t="s">
        <v>2756</v>
      </c>
    </row>
    <row r="264" spans="1:45" x14ac:dyDescent="0.45">
      <c r="A264">
        <v>263</v>
      </c>
      <c r="B264">
        <v>304</v>
      </c>
      <c r="C264" t="s">
        <v>78</v>
      </c>
      <c r="D264" t="s">
        <v>73</v>
      </c>
      <c r="E264" t="s">
        <v>74</v>
      </c>
      <c r="F264" t="s">
        <v>75</v>
      </c>
      <c r="G264" t="s">
        <v>76</v>
      </c>
      <c r="H264">
        <v>92.592868479061394</v>
      </c>
      <c r="I264">
        <v>3</v>
      </c>
      <c r="J264">
        <v>7</v>
      </c>
      <c r="K264">
        <v>8</v>
      </c>
      <c r="L264">
        <v>-1</v>
      </c>
      <c r="M264">
        <v>6</v>
      </c>
      <c r="N264">
        <v>8</v>
      </c>
      <c r="O264">
        <v>-2</v>
      </c>
      <c r="P264">
        <v>8</v>
      </c>
      <c r="Q264">
        <v>5</v>
      </c>
      <c r="R264">
        <v>3</v>
      </c>
      <c r="S264">
        <v>9</v>
      </c>
      <c r="T264">
        <v>7</v>
      </c>
      <c r="U264">
        <v>2</v>
      </c>
      <c r="V264">
        <v>8</v>
      </c>
      <c r="W264">
        <v>7</v>
      </c>
      <c r="X264">
        <v>1</v>
      </c>
      <c r="Y264">
        <v>9</v>
      </c>
      <c r="Z264">
        <v>5</v>
      </c>
      <c r="AA264">
        <v>4</v>
      </c>
      <c r="AB264">
        <v>8</v>
      </c>
      <c r="AC264">
        <v>5</v>
      </c>
      <c r="AD264">
        <v>3</v>
      </c>
      <c r="AE264">
        <v>7</v>
      </c>
      <c r="AF264">
        <v>6</v>
      </c>
      <c r="AG264">
        <v>1</v>
      </c>
      <c r="AH264">
        <v>9</v>
      </c>
      <c r="AI264">
        <v>6</v>
      </c>
      <c r="AJ264">
        <v>3</v>
      </c>
      <c r="AK264" t="s">
        <v>648</v>
      </c>
      <c r="AL264" t="s">
        <v>686</v>
      </c>
      <c r="AM264" t="s">
        <v>2757</v>
      </c>
      <c r="AN264" t="s">
        <v>2322</v>
      </c>
      <c r="AO264" t="s">
        <v>2758</v>
      </c>
      <c r="AP264" t="s">
        <v>2759</v>
      </c>
      <c r="AQ264" t="s">
        <v>2760</v>
      </c>
      <c r="AR264" t="s">
        <v>2761</v>
      </c>
      <c r="AS264" t="s">
        <v>2762</v>
      </c>
    </row>
    <row r="265" spans="1:45" x14ac:dyDescent="0.45">
      <c r="A265">
        <v>264</v>
      </c>
      <c r="B265">
        <v>305</v>
      </c>
      <c r="C265" t="s">
        <v>78</v>
      </c>
      <c r="D265" t="s">
        <v>79</v>
      </c>
      <c r="E265" t="s">
        <v>74</v>
      </c>
      <c r="F265" t="s">
        <v>75</v>
      </c>
      <c r="G265" t="s">
        <v>76</v>
      </c>
      <c r="H265">
        <v>111.11560768180053</v>
      </c>
      <c r="I265">
        <v>3</v>
      </c>
      <c r="J265">
        <v>6</v>
      </c>
      <c r="K265">
        <v>7</v>
      </c>
      <c r="L265">
        <v>-1</v>
      </c>
      <c r="M265">
        <v>6</v>
      </c>
      <c r="N265">
        <v>7</v>
      </c>
      <c r="O265">
        <v>-1</v>
      </c>
      <c r="P265">
        <v>8</v>
      </c>
      <c r="Q265">
        <v>7</v>
      </c>
      <c r="R265">
        <v>1</v>
      </c>
      <c r="S265">
        <v>9</v>
      </c>
      <c r="T265">
        <v>8</v>
      </c>
      <c r="U265">
        <v>1</v>
      </c>
      <c r="V265">
        <v>7</v>
      </c>
      <c r="W265">
        <v>7</v>
      </c>
      <c r="X265">
        <v>0</v>
      </c>
      <c r="Y265">
        <v>8</v>
      </c>
      <c r="Z265">
        <v>7</v>
      </c>
      <c r="AA265">
        <v>1</v>
      </c>
      <c r="AB265">
        <v>7</v>
      </c>
      <c r="AC265">
        <v>7</v>
      </c>
      <c r="AD265">
        <v>0</v>
      </c>
      <c r="AE265">
        <v>8</v>
      </c>
      <c r="AF265">
        <v>7</v>
      </c>
      <c r="AG265">
        <v>1</v>
      </c>
      <c r="AH265">
        <v>8</v>
      </c>
      <c r="AI265">
        <v>7</v>
      </c>
      <c r="AJ265">
        <v>1</v>
      </c>
      <c r="AK265" t="s">
        <v>2763</v>
      </c>
      <c r="AL265" t="s">
        <v>2764</v>
      </c>
      <c r="AM265" t="s">
        <v>2765</v>
      </c>
      <c r="AN265" t="s">
        <v>2766</v>
      </c>
      <c r="AO265" t="s">
        <v>2767</v>
      </c>
      <c r="AP265" t="s">
        <v>2768</v>
      </c>
      <c r="AQ265" t="s">
        <v>2769</v>
      </c>
      <c r="AR265" t="s">
        <v>2770</v>
      </c>
      <c r="AS265" t="s">
        <v>2771</v>
      </c>
    </row>
    <row r="266" spans="1:45" x14ac:dyDescent="0.45">
      <c r="A266">
        <v>265</v>
      </c>
      <c r="B266">
        <v>306</v>
      </c>
      <c r="C266" t="s">
        <v>72</v>
      </c>
      <c r="D266" t="s">
        <v>73</v>
      </c>
      <c r="E266" t="s">
        <v>74</v>
      </c>
      <c r="F266" t="s">
        <v>77</v>
      </c>
      <c r="G266" t="s">
        <v>76</v>
      </c>
      <c r="H266">
        <v>23.471752547275287</v>
      </c>
      <c r="I266">
        <v>0</v>
      </c>
      <c r="J266">
        <v>6</v>
      </c>
      <c r="K266">
        <v>6</v>
      </c>
      <c r="L266">
        <v>0</v>
      </c>
      <c r="M266">
        <v>7</v>
      </c>
      <c r="N266">
        <v>5</v>
      </c>
      <c r="O266">
        <v>2</v>
      </c>
      <c r="P266">
        <v>9</v>
      </c>
      <c r="Q266">
        <v>5</v>
      </c>
      <c r="R266">
        <v>4</v>
      </c>
      <c r="S266">
        <v>8</v>
      </c>
      <c r="T266">
        <v>7</v>
      </c>
      <c r="U266">
        <v>1</v>
      </c>
      <c r="V266">
        <v>7</v>
      </c>
      <c r="W266">
        <v>6</v>
      </c>
      <c r="X266">
        <v>1</v>
      </c>
      <c r="Y266">
        <v>9</v>
      </c>
      <c r="Z266">
        <v>7</v>
      </c>
      <c r="AA266">
        <v>2</v>
      </c>
      <c r="AB266">
        <v>7</v>
      </c>
      <c r="AC266">
        <v>5</v>
      </c>
      <c r="AD266">
        <v>2</v>
      </c>
      <c r="AE266">
        <v>8</v>
      </c>
      <c r="AF266">
        <v>6</v>
      </c>
      <c r="AG266">
        <v>2</v>
      </c>
      <c r="AH266">
        <v>9</v>
      </c>
      <c r="AI266">
        <v>6</v>
      </c>
      <c r="AJ266">
        <v>3</v>
      </c>
      <c r="AK266" t="s">
        <v>2772</v>
      </c>
      <c r="AL266" t="s">
        <v>2773</v>
      </c>
      <c r="AM266" t="s">
        <v>2774</v>
      </c>
      <c r="AN266" t="s">
        <v>2775</v>
      </c>
      <c r="AO266" t="s">
        <v>2776</v>
      </c>
      <c r="AP266" t="s">
        <v>2777</v>
      </c>
      <c r="AQ266" t="s">
        <v>2778</v>
      </c>
      <c r="AR266" t="s">
        <v>2779</v>
      </c>
      <c r="AS266" t="s">
        <v>2780</v>
      </c>
    </row>
    <row r="267" spans="1:45" x14ac:dyDescent="0.45">
      <c r="A267">
        <v>266</v>
      </c>
      <c r="B267">
        <v>307</v>
      </c>
      <c r="C267" t="s">
        <v>72</v>
      </c>
      <c r="D267" t="s">
        <v>191</v>
      </c>
      <c r="E267" t="s">
        <v>74</v>
      </c>
      <c r="F267" t="s">
        <v>77</v>
      </c>
      <c r="G267" t="s">
        <v>76</v>
      </c>
      <c r="H267">
        <v>50.519403846977397</v>
      </c>
      <c r="I267">
        <v>3</v>
      </c>
      <c r="J267">
        <v>8</v>
      </c>
      <c r="K267">
        <v>7</v>
      </c>
      <c r="L267">
        <v>1</v>
      </c>
      <c r="M267">
        <v>7</v>
      </c>
      <c r="N267">
        <v>6</v>
      </c>
      <c r="O267">
        <v>1</v>
      </c>
      <c r="P267">
        <v>9</v>
      </c>
      <c r="Q267">
        <v>6</v>
      </c>
      <c r="R267">
        <v>3</v>
      </c>
      <c r="S267">
        <v>8</v>
      </c>
      <c r="T267">
        <v>6</v>
      </c>
      <c r="U267">
        <v>2</v>
      </c>
      <c r="V267">
        <v>9</v>
      </c>
      <c r="W267">
        <v>7</v>
      </c>
      <c r="X267">
        <v>2</v>
      </c>
      <c r="Y267">
        <v>8</v>
      </c>
      <c r="Z267">
        <v>7</v>
      </c>
      <c r="AA267">
        <v>1</v>
      </c>
      <c r="AB267">
        <v>9</v>
      </c>
      <c r="AC267">
        <v>7</v>
      </c>
      <c r="AD267">
        <v>2</v>
      </c>
      <c r="AE267">
        <v>8</v>
      </c>
      <c r="AF267">
        <v>7</v>
      </c>
      <c r="AG267">
        <v>1</v>
      </c>
      <c r="AH267">
        <v>9</v>
      </c>
      <c r="AI267">
        <v>7</v>
      </c>
      <c r="AJ267">
        <v>2</v>
      </c>
      <c r="AK267" t="s">
        <v>526</v>
      </c>
      <c r="AL267" t="s">
        <v>806</v>
      </c>
      <c r="AM267" t="s">
        <v>807</v>
      </c>
      <c r="AN267" t="s">
        <v>808</v>
      </c>
      <c r="AO267" t="s">
        <v>2781</v>
      </c>
      <c r="AP267" t="s">
        <v>2782</v>
      </c>
      <c r="AQ267" t="s">
        <v>2783</v>
      </c>
      <c r="AR267" t="s">
        <v>2784</v>
      </c>
      <c r="AS267" t="s">
        <v>2785</v>
      </c>
    </row>
    <row r="268" spans="1:45" x14ac:dyDescent="0.45">
      <c r="A268">
        <v>267</v>
      </c>
      <c r="B268">
        <v>308</v>
      </c>
      <c r="C268" t="s">
        <v>78</v>
      </c>
      <c r="D268" t="s">
        <v>79</v>
      </c>
      <c r="E268" t="s">
        <v>74</v>
      </c>
      <c r="F268" t="s">
        <v>75</v>
      </c>
      <c r="G268" t="s">
        <v>76</v>
      </c>
      <c r="H268">
        <v>52.569711452697604</v>
      </c>
      <c r="I268">
        <v>2</v>
      </c>
      <c r="J268">
        <v>8</v>
      </c>
      <c r="K268">
        <v>6</v>
      </c>
      <c r="L268">
        <v>2</v>
      </c>
      <c r="M268">
        <v>9</v>
      </c>
      <c r="N268">
        <v>7</v>
      </c>
      <c r="O268">
        <v>2</v>
      </c>
      <c r="P268">
        <v>8</v>
      </c>
      <c r="Q268">
        <v>7</v>
      </c>
      <c r="R268">
        <v>1</v>
      </c>
      <c r="S268">
        <v>9</v>
      </c>
      <c r="T268">
        <v>6</v>
      </c>
      <c r="U268">
        <v>3</v>
      </c>
      <c r="V268">
        <v>8</v>
      </c>
      <c r="W268">
        <v>6</v>
      </c>
      <c r="X268">
        <v>2</v>
      </c>
      <c r="Y268">
        <v>9</v>
      </c>
      <c r="Z268">
        <v>6</v>
      </c>
      <c r="AA268">
        <v>3</v>
      </c>
      <c r="AB268">
        <v>8</v>
      </c>
      <c r="AC268">
        <v>6</v>
      </c>
      <c r="AD268">
        <v>2</v>
      </c>
      <c r="AE268">
        <v>9</v>
      </c>
      <c r="AF268">
        <v>7</v>
      </c>
      <c r="AG268">
        <v>2</v>
      </c>
      <c r="AH268">
        <v>9</v>
      </c>
      <c r="AI268">
        <v>7</v>
      </c>
      <c r="AJ268">
        <v>2</v>
      </c>
      <c r="AK268" t="s">
        <v>809</v>
      </c>
      <c r="AL268" t="s">
        <v>2786</v>
      </c>
      <c r="AM268" t="s">
        <v>2787</v>
      </c>
      <c r="AN268" t="s">
        <v>2788</v>
      </c>
      <c r="AO268" t="s">
        <v>2789</v>
      </c>
      <c r="AP268" t="s">
        <v>2790</v>
      </c>
      <c r="AQ268" t="s">
        <v>2791</v>
      </c>
      <c r="AR268" t="s">
        <v>2792</v>
      </c>
      <c r="AS268" t="s">
        <v>2793</v>
      </c>
    </row>
    <row r="269" spans="1:45" x14ac:dyDescent="0.45">
      <c r="A269">
        <v>268</v>
      </c>
      <c r="B269">
        <v>309</v>
      </c>
      <c r="C269" t="s">
        <v>72</v>
      </c>
      <c r="D269" t="s">
        <v>81</v>
      </c>
      <c r="E269" t="s">
        <v>74</v>
      </c>
      <c r="F269" t="s">
        <v>77</v>
      </c>
      <c r="G269" t="s">
        <v>76</v>
      </c>
      <c r="H269">
        <v>28.91998346010287</v>
      </c>
      <c r="I269">
        <v>2</v>
      </c>
      <c r="J269">
        <v>6</v>
      </c>
      <c r="K269">
        <v>7</v>
      </c>
      <c r="L269">
        <v>-1</v>
      </c>
      <c r="M269">
        <v>7</v>
      </c>
      <c r="N269">
        <v>7</v>
      </c>
      <c r="O269">
        <v>0</v>
      </c>
      <c r="P269">
        <v>9</v>
      </c>
      <c r="Q269">
        <v>2</v>
      </c>
      <c r="R269">
        <v>7</v>
      </c>
      <c r="S269">
        <v>8</v>
      </c>
      <c r="T269">
        <v>7</v>
      </c>
      <c r="U269">
        <v>1</v>
      </c>
      <c r="V269">
        <v>9</v>
      </c>
      <c r="W269">
        <v>7</v>
      </c>
      <c r="X269">
        <v>2</v>
      </c>
      <c r="Y269">
        <v>8</v>
      </c>
      <c r="Z269">
        <v>7</v>
      </c>
      <c r="AA269">
        <v>1</v>
      </c>
      <c r="AB269">
        <v>9</v>
      </c>
      <c r="AC269">
        <v>7</v>
      </c>
      <c r="AD269">
        <v>2</v>
      </c>
      <c r="AE269">
        <v>7</v>
      </c>
      <c r="AF269">
        <v>7</v>
      </c>
      <c r="AG269">
        <v>0</v>
      </c>
      <c r="AH269">
        <v>8</v>
      </c>
      <c r="AI269">
        <v>7</v>
      </c>
      <c r="AJ269">
        <v>1</v>
      </c>
      <c r="AK269" t="s">
        <v>2794</v>
      </c>
      <c r="AL269" t="s">
        <v>2795</v>
      </c>
      <c r="AM269" t="s">
        <v>2796</v>
      </c>
      <c r="AN269" t="s">
        <v>2797</v>
      </c>
      <c r="AO269" t="s">
        <v>2798</v>
      </c>
      <c r="AP269" t="s">
        <v>2799</v>
      </c>
      <c r="AQ269" t="s">
        <v>2800</v>
      </c>
      <c r="AR269" t="s">
        <v>2801</v>
      </c>
      <c r="AS269" t="s">
        <v>2802</v>
      </c>
    </row>
    <row r="270" spans="1:45" x14ac:dyDescent="0.45">
      <c r="A270">
        <v>269</v>
      </c>
      <c r="B270">
        <v>310</v>
      </c>
      <c r="C270" t="s">
        <v>78</v>
      </c>
      <c r="D270" t="s">
        <v>79</v>
      </c>
      <c r="E270" t="s">
        <v>74</v>
      </c>
      <c r="F270" t="s">
        <v>75</v>
      </c>
      <c r="G270" t="s">
        <v>76</v>
      </c>
      <c r="H270">
        <v>86.24176125121042</v>
      </c>
      <c r="I270">
        <v>4</v>
      </c>
      <c r="J270">
        <v>8</v>
      </c>
      <c r="K270">
        <v>4</v>
      </c>
      <c r="L270">
        <v>4</v>
      </c>
      <c r="M270">
        <v>8</v>
      </c>
      <c r="N270">
        <v>5</v>
      </c>
      <c r="O270">
        <v>3</v>
      </c>
      <c r="P270">
        <v>9</v>
      </c>
      <c r="Q270">
        <v>2</v>
      </c>
      <c r="R270">
        <v>7</v>
      </c>
      <c r="S270">
        <v>9</v>
      </c>
      <c r="T270">
        <v>6</v>
      </c>
      <c r="U270">
        <v>3</v>
      </c>
      <c r="V270">
        <v>9</v>
      </c>
      <c r="W270">
        <v>3</v>
      </c>
      <c r="X270">
        <v>6</v>
      </c>
      <c r="Y270">
        <v>9</v>
      </c>
      <c r="Z270">
        <v>3</v>
      </c>
      <c r="AA270">
        <v>6</v>
      </c>
      <c r="AB270">
        <v>9</v>
      </c>
      <c r="AC270">
        <v>1</v>
      </c>
      <c r="AD270">
        <v>8</v>
      </c>
      <c r="AE270">
        <v>9</v>
      </c>
      <c r="AF270">
        <v>3</v>
      </c>
      <c r="AG270">
        <v>6</v>
      </c>
      <c r="AH270">
        <v>9</v>
      </c>
      <c r="AI270">
        <v>1</v>
      </c>
      <c r="AJ270">
        <v>8</v>
      </c>
      <c r="AK270" t="s">
        <v>2803</v>
      </c>
      <c r="AL270" t="s">
        <v>2804</v>
      </c>
      <c r="AM270" t="s">
        <v>2805</v>
      </c>
      <c r="AN270" t="s">
        <v>2806</v>
      </c>
      <c r="AO270" t="s">
        <v>2807</v>
      </c>
      <c r="AP270" t="s">
        <v>2808</v>
      </c>
      <c r="AQ270" t="s">
        <v>2809</v>
      </c>
      <c r="AR270" t="s">
        <v>2810</v>
      </c>
      <c r="AS270" t="s">
        <v>2811</v>
      </c>
    </row>
    <row r="271" spans="1:45" x14ac:dyDescent="0.45">
      <c r="A271">
        <v>270</v>
      </c>
      <c r="B271">
        <v>311</v>
      </c>
      <c r="C271" t="s">
        <v>72</v>
      </c>
      <c r="D271" t="s">
        <v>73</v>
      </c>
      <c r="E271" t="s">
        <v>74</v>
      </c>
      <c r="F271" t="s">
        <v>75</v>
      </c>
      <c r="G271" t="s">
        <v>162</v>
      </c>
      <c r="H271">
        <v>67.77050871738534</v>
      </c>
      <c r="I271">
        <v>0</v>
      </c>
      <c r="J271">
        <v>5</v>
      </c>
      <c r="K271">
        <v>8</v>
      </c>
      <c r="L271">
        <v>-3</v>
      </c>
      <c r="M271">
        <v>6</v>
      </c>
      <c r="N271">
        <v>8</v>
      </c>
      <c r="O271">
        <v>-2</v>
      </c>
      <c r="P271">
        <v>8</v>
      </c>
      <c r="Q271">
        <v>3</v>
      </c>
      <c r="R271">
        <v>5</v>
      </c>
      <c r="S271">
        <v>9</v>
      </c>
      <c r="T271">
        <v>8</v>
      </c>
      <c r="U271">
        <v>1</v>
      </c>
      <c r="V271">
        <v>7</v>
      </c>
      <c r="W271">
        <v>3</v>
      </c>
      <c r="X271">
        <v>4</v>
      </c>
      <c r="Y271">
        <v>8</v>
      </c>
      <c r="Z271">
        <v>1</v>
      </c>
      <c r="AA271">
        <v>7</v>
      </c>
      <c r="AB271">
        <v>7</v>
      </c>
      <c r="AC271">
        <v>8</v>
      </c>
      <c r="AD271">
        <v>-1</v>
      </c>
      <c r="AE271">
        <v>6</v>
      </c>
      <c r="AF271">
        <v>6</v>
      </c>
      <c r="AG271">
        <v>0</v>
      </c>
      <c r="AH271">
        <v>8</v>
      </c>
      <c r="AI271">
        <v>7</v>
      </c>
      <c r="AJ271">
        <v>1</v>
      </c>
      <c r="AK271" t="s">
        <v>2812</v>
      </c>
      <c r="AL271" t="s">
        <v>2813</v>
      </c>
      <c r="AM271" t="s">
        <v>2814</v>
      </c>
      <c r="AN271" t="s">
        <v>2815</v>
      </c>
      <c r="AO271" t="s">
        <v>2816</v>
      </c>
      <c r="AP271" t="s">
        <v>2817</v>
      </c>
      <c r="AQ271" t="s">
        <v>2818</v>
      </c>
      <c r="AR271" t="s">
        <v>2819</v>
      </c>
      <c r="AS271" t="s">
        <v>2820</v>
      </c>
    </row>
    <row r="272" spans="1:45" x14ac:dyDescent="0.45">
      <c r="A272">
        <v>271</v>
      </c>
      <c r="B272">
        <v>312</v>
      </c>
      <c r="C272" t="s">
        <v>72</v>
      </c>
      <c r="D272" t="s">
        <v>73</v>
      </c>
      <c r="E272" t="s">
        <v>74</v>
      </c>
      <c r="F272" t="s">
        <v>75</v>
      </c>
      <c r="G272" t="s">
        <v>76</v>
      </c>
      <c r="H272">
        <v>56.8895451578394</v>
      </c>
      <c r="I272">
        <v>2</v>
      </c>
      <c r="J272">
        <v>8</v>
      </c>
      <c r="K272">
        <v>7</v>
      </c>
      <c r="L272">
        <v>1</v>
      </c>
      <c r="M272">
        <v>7</v>
      </c>
      <c r="N272">
        <v>7</v>
      </c>
      <c r="O272">
        <v>0</v>
      </c>
      <c r="P272">
        <v>9</v>
      </c>
      <c r="Q272">
        <v>4</v>
      </c>
      <c r="R272">
        <v>5</v>
      </c>
      <c r="S272">
        <v>8</v>
      </c>
      <c r="T272">
        <v>7</v>
      </c>
      <c r="U272">
        <v>1</v>
      </c>
      <c r="V272">
        <v>9</v>
      </c>
      <c r="W272">
        <v>7</v>
      </c>
      <c r="X272">
        <v>2</v>
      </c>
      <c r="Y272">
        <v>8</v>
      </c>
      <c r="Z272">
        <v>6</v>
      </c>
      <c r="AA272">
        <v>2</v>
      </c>
      <c r="AB272">
        <v>9</v>
      </c>
      <c r="AC272">
        <v>5</v>
      </c>
      <c r="AD272">
        <v>4</v>
      </c>
      <c r="AE272">
        <v>8</v>
      </c>
      <c r="AF272">
        <v>7</v>
      </c>
      <c r="AG272">
        <v>1</v>
      </c>
      <c r="AH272">
        <v>9</v>
      </c>
      <c r="AI272">
        <v>6</v>
      </c>
      <c r="AJ272">
        <v>3</v>
      </c>
      <c r="AK272" t="s">
        <v>2821</v>
      </c>
      <c r="AL272" t="s">
        <v>2822</v>
      </c>
      <c r="AM272" t="s">
        <v>2823</v>
      </c>
      <c r="AN272" t="s">
        <v>2824</v>
      </c>
      <c r="AO272" t="s">
        <v>2825</v>
      </c>
      <c r="AP272" t="s">
        <v>2826</v>
      </c>
      <c r="AQ272" t="s">
        <v>2827</v>
      </c>
      <c r="AR272" t="s">
        <v>2828</v>
      </c>
      <c r="AS272" t="s">
        <v>2829</v>
      </c>
    </row>
    <row r="273" spans="1:45" x14ac:dyDescent="0.45">
      <c r="A273">
        <v>272</v>
      </c>
      <c r="B273">
        <v>313</v>
      </c>
      <c r="C273" t="s">
        <v>78</v>
      </c>
      <c r="D273" t="s">
        <v>73</v>
      </c>
      <c r="E273" t="s">
        <v>74</v>
      </c>
      <c r="F273" t="s">
        <v>77</v>
      </c>
      <c r="G273" t="s">
        <v>76</v>
      </c>
      <c r="H273">
        <v>36.279781845072534</v>
      </c>
      <c r="I273">
        <v>1</v>
      </c>
      <c r="J273">
        <v>8</v>
      </c>
      <c r="K273">
        <v>7</v>
      </c>
      <c r="L273">
        <v>1</v>
      </c>
      <c r="M273">
        <v>9</v>
      </c>
      <c r="N273">
        <v>8</v>
      </c>
      <c r="O273">
        <v>1</v>
      </c>
      <c r="P273">
        <v>8</v>
      </c>
      <c r="Q273">
        <v>2</v>
      </c>
      <c r="R273">
        <v>6</v>
      </c>
      <c r="S273">
        <v>9</v>
      </c>
      <c r="T273">
        <v>6</v>
      </c>
      <c r="U273">
        <v>3</v>
      </c>
      <c r="V273">
        <v>8</v>
      </c>
      <c r="W273">
        <v>6</v>
      </c>
      <c r="X273">
        <v>2</v>
      </c>
      <c r="Y273">
        <v>9</v>
      </c>
      <c r="Z273">
        <v>6</v>
      </c>
      <c r="AA273">
        <v>3</v>
      </c>
      <c r="AB273">
        <v>8</v>
      </c>
      <c r="AC273">
        <v>5</v>
      </c>
      <c r="AD273">
        <v>3</v>
      </c>
      <c r="AE273">
        <v>9</v>
      </c>
      <c r="AF273">
        <v>5</v>
      </c>
      <c r="AG273">
        <v>4</v>
      </c>
      <c r="AH273">
        <v>9</v>
      </c>
      <c r="AI273">
        <v>6</v>
      </c>
      <c r="AJ273">
        <v>3</v>
      </c>
      <c r="AK273" t="s">
        <v>2830</v>
      </c>
      <c r="AL273" t="s">
        <v>2831</v>
      </c>
      <c r="AM273" t="s">
        <v>2832</v>
      </c>
      <c r="AN273" t="s">
        <v>2833</v>
      </c>
      <c r="AO273" t="s">
        <v>2834</v>
      </c>
      <c r="AP273" t="s">
        <v>2835</v>
      </c>
      <c r="AQ273" t="s">
        <v>2836</v>
      </c>
      <c r="AR273" t="s">
        <v>2837</v>
      </c>
      <c r="AS273" t="s">
        <v>2838</v>
      </c>
    </row>
    <row r="274" spans="1:45" x14ac:dyDescent="0.45">
      <c r="A274">
        <v>273</v>
      </c>
      <c r="B274">
        <v>314</v>
      </c>
      <c r="C274" t="s">
        <v>72</v>
      </c>
      <c r="D274" t="s">
        <v>191</v>
      </c>
      <c r="E274" t="s">
        <v>74</v>
      </c>
      <c r="F274" t="s">
        <v>75</v>
      </c>
      <c r="G274" t="s">
        <v>76</v>
      </c>
      <c r="H274">
        <v>70.906460480728072</v>
      </c>
      <c r="I274">
        <v>4</v>
      </c>
      <c r="J274">
        <v>9</v>
      </c>
      <c r="K274">
        <v>3</v>
      </c>
      <c r="L274">
        <v>6</v>
      </c>
      <c r="M274">
        <v>8</v>
      </c>
      <c r="N274">
        <v>3</v>
      </c>
      <c r="O274">
        <v>5</v>
      </c>
      <c r="P274">
        <v>9</v>
      </c>
      <c r="Q274">
        <v>1</v>
      </c>
      <c r="R274">
        <v>8</v>
      </c>
      <c r="S274">
        <v>8</v>
      </c>
      <c r="T274">
        <v>6</v>
      </c>
      <c r="U274">
        <v>2</v>
      </c>
      <c r="V274">
        <v>7</v>
      </c>
      <c r="W274">
        <v>1</v>
      </c>
      <c r="X274">
        <v>6</v>
      </c>
      <c r="Y274">
        <v>9</v>
      </c>
      <c r="Z274">
        <v>1</v>
      </c>
      <c r="AA274">
        <v>8</v>
      </c>
      <c r="AB274">
        <v>8</v>
      </c>
      <c r="AC274">
        <v>1</v>
      </c>
      <c r="AD274">
        <v>7</v>
      </c>
      <c r="AE274">
        <v>9</v>
      </c>
      <c r="AF274">
        <v>1</v>
      </c>
      <c r="AG274">
        <v>8</v>
      </c>
      <c r="AH274">
        <v>8</v>
      </c>
      <c r="AI274">
        <v>1</v>
      </c>
      <c r="AJ274">
        <v>7</v>
      </c>
      <c r="AK274" t="s">
        <v>2839</v>
      </c>
      <c r="AL274" t="s">
        <v>2840</v>
      </c>
      <c r="AM274" t="s">
        <v>2841</v>
      </c>
      <c r="AN274" t="s">
        <v>2842</v>
      </c>
      <c r="AO274" t="s">
        <v>2843</v>
      </c>
      <c r="AP274" t="s">
        <v>2844</v>
      </c>
      <c r="AQ274" t="s">
        <v>2845</v>
      </c>
      <c r="AR274" t="s">
        <v>2846</v>
      </c>
      <c r="AS274" t="s">
        <v>2847</v>
      </c>
    </row>
    <row r="275" spans="1:45" x14ac:dyDescent="0.45">
      <c r="A275">
        <v>274</v>
      </c>
      <c r="B275">
        <v>315</v>
      </c>
      <c r="C275" t="s">
        <v>72</v>
      </c>
      <c r="D275" t="s">
        <v>73</v>
      </c>
      <c r="E275" t="s">
        <v>74</v>
      </c>
      <c r="F275" t="s">
        <v>77</v>
      </c>
      <c r="G275" t="s">
        <v>76</v>
      </c>
      <c r="H275">
        <v>66.585178249267827</v>
      </c>
      <c r="I275">
        <v>2</v>
      </c>
      <c r="J275">
        <v>7</v>
      </c>
      <c r="K275">
        <v>6</v>
      </c>
      <c r="L275">
        <v>1</v>
      </c>
      <c r="M275">
        <v>8</v>
      </c>
      <c r="N275">
        <v>6</v>
      </c>
      <c r="O275">
        <v>2</v>
      </c>
      <c r="P275">
        <v>6</v>
      </c>
      <c r="Q275">
        <v>5</v>
      </c>
      <c r="R275">
        <v>1</v>
      </c>
      <c r="S275">
        <v>9</v>
      </c>
      <c r="T275">
        <v>6</v>
      </c>
      <c r="U275">
        <v>3</v>
      </c>
      <c r="V275">
        <v>7</v>
      </c>
      <c r="W275">
        <v>6</v>
      </c>
      <c r="X275">
        <v>1</v>
      </c>
      <c r="Y275">
        <v>8</v>
      </c>
      <c r="Z275">
        <v>6</v>
      </c>
      <c r="AA275">
        <v>2</v>
      </c>
      <c r="AB275">
        <v>7</v>
      </c>
      <c r="AC275">
        <v>6</v>
      </c>
      <c r="AD275">
        <v>1</v>
      </c>
      <c r="AE275">
        <v>8</v>
      </c>
      <c r="AF275">
        <v>6</v>
      </c>
      <c r="AG275">
        <v>2</v>
      </c>
      <c r="AH275">
        <v>9</v>
      </c>
      <c r="AI275">
        <v>6</v>
      </c>
      <c r="AJ275">
        <v>3</v>
      </c>
      <c r="AK275" t="s">
        <v>2848</v>
      </c>
      <c r="AL275" t="s">
        <v>2849</v>
      </c>
      <c r="AM275" t="s">
        <v>2850</v>
      </c>
      <c r="AN275" t="s">
        <v>2851</v>
      </c>
      <c r="AO275" t="s">
        <v>2852</v>
      </c>
      <c r="AP275" t="s">
        <v>2853</v>
      </c>
      <c r="AQ275" t="s">
        <v>2854</v>
      </c>
      <c r="AR275" t="s">
        <v>2855</v>
      </c>
      <c r="AS275" t="s">
        <v>2856</v>
      </c>
    </row>
    <row r="276" spans="1:45" x14ac:dyDescent="0.45">
      <c r="A276">
        <v>275</v>
      </c>
      <c r="B276">
        <v>316</v>
      </c>
      <c r="C276" t="s">
        <v>72</v>
      </c>
      <c r="D276" t="s">
        <v>79</v>
      </c>
      <c r="E276" t="s">
        <v>74</v>
      </c>
      <c r="F276" t="s">
        <v>75</v>
      </c>
      <c r="G276" t="s">
        <v>76</v>
      </c>
      <c r="H276">
        <v>57.93954691548533</v>
      </c>
      <c r="I276">
        <v>2</v>
      </c>
      <c r="J276">
        <v>7</v>
      </c>
      <c r="K276">
        <v>8</v>
      </c>
      <c r="L276">
        <v>-1</v>
      </c>
      <c r="M276">
        <v>6</v>
      </c>
      <c r="N276">
        <v>9</v>
      </c>
      <c r="O276">
        <v>-3</v>
      </c>
      <c r="P276">
        <v>8</v>
      </c>
      <c r="Q276">
        <v>5</v>
      </c>
      <c r="R276">
        <v>3</v>
      </c>
      <c r="S276">
        <v>9</v>
      </c>
      <c r="T276">
        <v>7</v>
      </c>
      <c r="U276">
        <v>2</v>
      </c>
      <c r="V276">
        <v>7</v>
      </c>
      <c r="W276">
        <v>6</v>
      </c>
      <c r="X276">
        <v>1</v>
      </c>
      <c r="Y276">
        <v>9</v>
      </c>
      <c r="Z276">
        <v>7</v>
      </c>
      <c r="AA276">
        <v>2</v>
      </c>
      <c r="AB276">
        <v>8</v>
      </c>
      <c r="AC276">
        <v>7</v>
      </c>
      <c r="AD276">
        <v>1</v>
      </c>
      <c r="AE276">
        <v>7</v>
      </c>
      <c r="AF276">
        <v>7</v>
      </c>
      <c r="AG276">
        <v>0</v>
      </c>
      <c r="AH276">
        <v>9</v>
      </c>
      <c r="AI276">
        <v>7</v>
      </c>
      <c r="AJ276">
        <v>2</v>
      </c>
      <c r="AK276" t="s">
        <v>2857</v>
      </c>
      <c r="AL276" t="s">
        <v>2858</v>
      </c>
      <c r="AM276" t="s">
        <v>2859</v>
      </c>
      <c r="AN276" t="s">
        <v>786</v>
      </c>
      <c r="AO276" t="s">
        <v>2860</v>
      </c>
      <c r="AP276" t="s">
        <v>2861</v>
      </c>
      <c r="AQ276" t="s">
        <v>2862</v>
      </c>
      <c r="AR276" t="s">
        <v>2863</v>
      </c>
      <c r="AS276" t="s">
        <v>2864</v>
      </c>
    </row>
    <row r="277" spans="1:45" x14ac:dyDescent="0.45">
      <c r="A277">
        <v>276</v>
      </c>
      <c r="B277">
        <v>317</v>
      </c>
      <c r="C277" t="s">
        <v>78</v>
      </c>
      <c r="D277" t="s">
        <v>73</v>
      </c>
      <c r="E277" t="s">
        <v>74</v>
      </c>
      <c r="F277" t="s">
        <v>77</v>
      </c>
      <c r="G277" t="s">
        <v>76</v>
      </c>
      <c r="H277">
        <v>43.864927887446235</v>
      </c>
      <c r="I277">
        <v>1</v>
      </c>
      <c r="J277">
        <v>8</v>
      </c>
      <c r="K277">
        <v>6</v>
      </c>
      <c r="L277">
        <v>2</v>
      </c>
      <c r="M277">
        <v>9</v>
      </c>
      <c r="N277">
        <v>6</v>
      </c>
      <c r="O277">
        <v>3</v>
      </c>
      <c r="P277">
        <v>8</v>
      </c>
      <c r="Q277">
        <v>3</v>
      </c>
      <c r="R277">
        <v>5</v>
      </c>
      <c r="S277">
        <v>9</v>
      </c>
      <c r="T277">
        <v>7</v>
      </c>
      <c r="U277">
        <v>2</v>
      </c>
      <c r="V277">
        <v>8</v>
      </c>
      <c r="W277">
        <v>7</v>
      </c>
      <c r="X277">
        <v>1</v>
      </c>
      <c r="Y277">
        <v>9</v>
      </c>
      <c r="Z277">
        <v>7</v>
      </c>
      <c r="AA277">
        <v>2</v>
      </c>
      <c r="AB277">
        <v>8</v>
      </c>
      <c r="AC277">
        <v>5</v>
      </c>
      <c r="AD277">
        <v>3</v>
      </c>
      <c r="AE277">
        <v>9</v>
      </c>
      <c r="AF277">
        <v>7</v>
      </c>
      <c r="AG277">
        <v>2</v>
      </c>
      <c r="AH277">
        <v>8</v>
      </c>
      <c r="AI277">
        <v>7</v>
      </c>
      <c r="AJ277">
        <v>1</v>
      </c>
      <c r="AK277" t="s">
        <v>527</v>
      </c>
      <c r="AL277" t="s">
        <v>810</v>
      </c>
      <c r="AM277" t="s">
        <v>2865</v>
      </c>
      <c r="AN277" t="s">
        <v>2866</v>
      </c>
      <c r="AO277" t="s">
        <v>2867</v>
      </c>
      <c r="AP277" t="s">
        <v>2868</v>
      </c>
      <c r="AQ277" t="s">
        <v>2869</v>
      </c>
      <c r="AR277" t="s">
        <v>2870</v>
      </c>
      <c r="AS277" t="s">
        <v>2871</v>
      </c>
    </row>
    <row r="278" spans="1:45" x14ac:dyDescent="0.45">
      <c r="A278">
        <v>277</v>
      </c>
      <c r="B278">
        <v>318</v>
      </c>
      <c r="C278" t="s">
        <v>72</v>
      </c>
      <c r="D278" t="s">
        <v>79</v>
      </c>
      <c r="E278" t="s">
        <v>74</v>
      </c>
      <c r="F278" t="s">
        <v>77</v>
      </c>
      <c r="G278" t="s">
        <v>76</v>
      </c>
      <c r="H278">
        <v>90.62189932755696</v>
      </c>
      <c r="I278">
        <v>4</v>
      </c>
      <c r="J278">
        <v>8</v>
      </c>
      <c r="K278">
        <v>8</v>
      </c>
      <c r="L278">
        <v>0</v>
      </c>
      <c r="M278">
        <v>7</v>
      </c>
      <c r="N278">
        <v>8</v>
      </c>
      <c r="O278">
        <v>-1</v>
      </c>
      <c r="P278">
        <v>9</v>
      </c>
      <c r="Q278">
        <v>6</v>
      </c>
      <c r="R278">
        <v>3</v>
      </c>
      <c r="S278">
        <v>8</v>
      </c>
      <c r="T278">
        <v>7</v>
      </c>
      <c r="U278">
        <v>1</v>
      </c>
      <c r="V278">
        <v>9</v>
      </c>
      <c r="W278">
        <v>7</v>
      </c>
      <c r="X278">
        <v>2</v>
      </c>
      <c r="Y278">
        <v>8</v>
      </c>
      <c r="Z278">
        <v>4</v>
      </c>
      <c r="AA278">
        <v>4</v>
      </c>
      <c r="AB278">
        <v>7</v>
      </c>
      <c r="AC278">
        <v>5</v>
      </c>
      <c r="AD278">
        <v>2</v>
      </c>
      <c r="AE278">
        <v>8</v>
      </c>
      <c r="AF278">
        <v>5</v>
      </c>
      <c r="AG278">
        <v>3</v>
      </c>
      <c r="AH278">
        <v>9</v>
      </c>
      <c r="AI278">
        <v>5</v>
      </c>
      <c r="AJ278">
        <v>4</v>
      </c>
      <c r="AK278" t="s">
        <v>528</v>
      </c>
      <c r="AL278" t="s">
        <v>2872</v>
      </c>
      <c r="AM278" t="s">
        <v>2873</v>
      </c>
      <c r="AN278" t="s">
        <v>2874</v>
      </c>
      <c r="AO278" t="s">
        <v>2875</v>
      </c>
      <c r="AP278" t="s">
        <v>2876</v>
      </c>
      <c r="AQ278" t="s">
        <v>2877</v>
      </c>
      <c r="AR278" t="s">
        <v>2878</v>
      </c>
      <c r="AS278" t="s">
        <v>2879</v>
      </c>
    </row>
    <row r="279" spans="1:45" x14ac:dyDescent="0.45">
      <c r="A279">
        <v>278</v>
      </c>
      <c r="B279">
        <v>319</v>
      </c>
      <c r="C279" t="s">
        <v>72</v>
      </c>
      <c r="D279" t="s">
        <v>73</v>
      </c>
      <c r="E279" t="s">
        <v>74</v>
      </c>
      <c r="F279" t="s">
        <v>77</v>
      </c>
      <c r="G279" t="s">
        <v>76</v>
      </c>
      <c r="H279">
        <v>66.55597708399209</v>
      </c>
      <c r="I279">
        <v>3</v>
      </c>
      <c r="J279">
        <v>7</v>
      </c>
      <c r="K279">
        <v>6</v>
      </c>
      <c r="L279">
        <v>1</v>
      </c>
      <c r="M279">
        <v>6</v>
      </c>
      <c r="N279">
        <v>7</v>
      </c>
      <c r="O279">
        <v>-1</v>
      </c>
      <c r="P279">
        <v>9</v>
      </c>
      <c r="Q279">
        <v>5</v>
      </c>
      <c r="R279">
        <v>4</v>
      </c>
      <c r="S279">
        <v>8</v>
      </c>
      <c r="T279">
        <v>7</v>
      </c>
      <c r="U279">
        <v>1</v>
      </c>
      <c r="V279">
        <v>9</v>
      </c>
      <c r="W279">
        <v>6</v>
      </c>
      <c r="X279">
        <v>3</v>
      </c>
      <c r="Y279">
        <v>8</v>
      </c>
      <c r="Z279">
        <v>6</v>
      </c>
      <c r="AA279">
        <v>2</v>
      </c>
      <c r="AB279">
        <v>9</v>
      </c>
      <c r="AC279">
        <v>6</v>
      </c>
      <c r="AD279">
        <v>3</v>
      </c>
      <c r="AE279">
        <v>8</v>
      </c>
      <c r="AF279">
        <v>6</v>
      </c>
      <c r="AG279">
        <v>2</v>
      </c>
      <c r="AH279">
        <v>9</v>
      </c>
      <c r="AI279">
        <v>6</v>
      </c>
      <c r="AJ279">
        <v>3</v>
      </c>
      <c r="AK279" t="s">
        <v>2880</v>
      </c>
      <c r="AL279" t="s">
        <v>2881</v>
      </c>
      <c r="AM279" t="s">
        <v>2882</v>
      </c>
      <c r="AN279" t="s">
        <v>2883</v>
      </c>
      <c r="AO279" t="s">
        <v>2884</v>
      </c>
      <c r="AP279" t="s">
        <v>2885</v>
      </c>
      <c r="AQ279" t="s">
        <v>2886</v>
      </c>
      <c r="AR279" t="s">
        <v>2887</v>
      </c>
      <c r="AS279" t="s">
        <v>2888</v>
      </c>
    </row>
    <row r="280" spans="1:45" x14ac:dyDescent="0.45">
      <c r="A280">
        <v>279</v>
      </c>
      <c r="B280">
        <v>320</v>
      </c>
      <c r="C280" t="s">
        <v>78</v>
      </c>
      <c r="D280" t="s">
        <v>73</v>
      </c>
      <c r="E280" t="s">
        <v>74</v>
      </c>
      <c r="F280" t="s">
        <v>75</v>
      </c>
      <c r="G280" t="s">
        <v>162</v>
      </c>
      <c r="H280">
        <v>81.512302712743661</v>
      </c>
      <c r="I280">
        <v>0</v>
      </c>
      <c r="J280">
        <v>8</v>
      </c>
      <c r="K280">
        <v>6</v>
      </c>
      <c r="L280">
        <v>2</v>
      </c>
      <c r="M280">
        <v>9</v>
      </c>
      <c r="N280">
        <v>7</v>
      </c>
      <c r="O280">
        <v>2</v>
      </c>
      <c r="P280">
        <v>8</v>
      </c>
      <c r="Q280">
        <v>5</v>
      </c>
      <c r="R280">
        <v>3</v>
      </c>
      <c r="S280">
        <v>9</v>
      </c>
      <c r="T280">
        <v>8</v>
      </c>
      <c r="U280">
        <v>1</v>
      </c>
      <c r="V280">
        <v>8</v>
      </c>
      <c r="W280">
        <v>6</v>
      </c>
      <c r="X280">
        <v>2</v>
      </c>
      <c r="Y280">
        <v>9</v>
      </c>
      <c r="Z280">
        <v>3</v>
      </c>
      <c r="AA280">
        <v>6</v>
      </c>
      <c r="AB280">
        <v>8</v>
      </c>
      <c r="AC280">
        <v>6</v>
      </c>
      <c r="AD280">
        <v>2</v>
      </c>
      <c r="AE280">
        <v>9</v>
      </c>
      <c r="AF280">
        <v>8</v>
      </c>
      <c r="AG280">
        <v>1</v>
      </c>
      <c r="AH280">
        <v>8</v>
      </c>
      <c r="AI280">
        <v>6</v>
      </c>
      <c r="AJ280">
        <v>2</v>
      </c>
      <c r="AK280" t="s">
        <v>2889</v>
      </c>
      <c r="AL280" t="s">
        <v>2890</v>
      </c>
      <c r="AM280" t="s">
        <v>2891</v>
      </c>
      <c r="AN280" t="s">
        <v>2892</v>
      </c>
      <c r="AO280" t="s">
        <v>1291</v>
      </c>
      <c r="AP280" t="s">
        <v>2893</v>
      </c>
      <c r="AQ280" t="s">
        <v>2894</v>
      </c>
      <c r="AR280" t="s">
        <v>846</v>
      </c>
      <c r="AS280" t="s">
        <v>2895</v>
      </c>
    </row>
    <row r="281" spans="1:45" x14ac:dyDescent="0.45">
      <c r="A281">
        <v>280</v>
      </c>
      <c r="B281">
        <v>321</v>
      </c>
      <c r="C281" t="s">
        <v>72</v>
      </c>
      <c r="D281" t="s">
        <v>73</v>
      </c>
      <c r="E281" t="s">
        <v>74</v>
      </c>
      <c r="F281" t="s">
        <v>75</v>
      </c>
      <c r="G281" t="s">
        <v>76</v>
      </c>
      <c r="H281">
        <v>87.707786109528342</v>
      </c>
      <c r="I281">
        <v>2</v>
      </c>
      <c r="J281">
        <v>9</v>
      </c>
      <c r="K281">
        <v>4</v>
      </c>
      <c r="L281">
        <v>5</v>
      </c>
      <c r="M281">
        <v>8</v>
      </c>
      <c r="N281">
        <v>4</v>
      </c>
      <c r="O281">
        <v>4</v>
      </c>
      <c r="P281">
        <v>9</v>
      </c>
      <c r="Q281">
        <v>1</v>
      </c>
      <c r="R281">
        <v>8</v>
      </c>
      <c r="S281">
        <v>8</v>
      </c>
      <c r="T281">
        <v>6</v>
      </c>
      <c r="U281">
        <v>2</v>
      </c>
      <c r="V281">
        <v>9</v>
      </c>
      <c r="W281">
        <v>3</v>
      </c>
      <c r="X281">
        <v>6</v>
      </c>
      <c r="Y281">
        <v>8</v>
      </c>
      <c r="Z281">
        <v>2</v>
      </c>
      <c r="AA281">
        <v>6</v>
      </c>
      <c r="AB281">
        <v>9</v>
      </c>
      <c r="AC281">
        <v>1</v>
      </c>
      <c r="AD281">
        <v>8</v>
      </c>
      <c r="AE281">
        <v>8</v>
      </c>
      <c r="AF281">
        <v>5</v>
      </c>
      <c r="AG281">
        <v>3</v>
      </c>
      <c r="AH281">
        <v>9</v>
      </c>
      <c r="AI281">
        <v>4</v>
      </c>
      <c r="AJ281">
        <v>5</v>
      </c>
      <c r="AK281" t="s">
        <v>2896</v>
      </c>
      <c r="AL281" t="s">
        <v>2897</v>
      </c>
      <c r="AM281" t="s">
        <v>2898</v>
      </c>
      <c r="AN281" t="s">
        <v>2899</v>
      </c>
      <c r="AO281" t="s">
        <v>2900</v>
      </c>
      <c r="AP281" t="s">
        <v>2901</v>
      </c>
      <c r="AQ281" t="s">
        <v>2902</v>
      </c>
      <c r="AR281" t="s">
        <v>2903</v>
      </c>
      <c r="AS281" t="s">
        <v>2904</v>
      </c>
    </row>
    <row r="282" spans="1:45" x14ac:dyDescent="0.45">
      <c r="A282">
        <v>281</v>
      </c>
      <c r="B282">
        <v>322</v>
      </c>
      <c r="C282" t="s">
        <v>72</v>
      </c>
      <c r="D282" t="s">
        <v>79</v>
      </c>
      <c r="E282" t="s">
        <v>74</v>
      </c>
      <c r="F282" t="s">
        <v>75</v>
      </c>
      <c r="G282" t="s">
        <v>76</v>
      </c>
      <c r="H282">
        <v>72.299069091868844</v>
      </c>
      <c r="I282">
        <v>3</v>
      </c>
      <c r="J282">
        <v>9</v>
      </c>
      <c r="K282">
        <v>6</v>
      </c>
      <c r="L282">
        <v>3</v>
      </c>
      <c r="M282">
        <v>8</v>
      </c>
      <c r="N282">
        <v>7</v>
      </c>
      <c r="O282">
        <v>1</v>
      </c>
      <c r="P282">
        <v>7</v>
      </c>
      <c r="Q282">
        <v>4</v>
      </c>
      <c r="R282">
        <v>3</v>
      </c>
      <c r="S282">
        <v>8</v>
      </c>
      <c r="T282">
        <v>8</v>
      </c>
      <c r="U282">
        <v>0</v>
      </c>
      <c r="V282">
        <v>9</v>
      </c>
      <c r="W282">
        <v>6</v>
      </c>
      <c r="X282">
        <v>3</v>
      </c>
      <c r="Y282">
        <v>8</v>
      </c>
      <c r="Z282">
        <v>6</v>
      </c>
      <c r="AA282">
        <v>2</v>
      </c>
      <c r="AB282">
        <v>9</v>
      </c>
      <c r="AC282">
        <v>5</v>
      </c>
      <c r="AD282">
        <v>4</v>
      </c>
      <c r="AE282">
        <v>8</v>
      </c>
      <c r="AF282">
        <v>7</v>
      </c>
      <c r="AG282">
        <v>1</v>
      </c>
      <c r="AH282">
        <v>9</v>
      </c>
      <c r="AI282">
        <v>6</v>
      </c>
      <c r="AJ282">
        <v>3</v>
      </c>
      <c r="AK282" t="s">
        <v>2905</v>
      </c>
      <c r="AL282" t="s">
        <v>2906</v>
      </c>
      <c r="AM282" t="s">
        <v>2907</v>
      </c>
      <c r="AN282" t="s">
        <v>2908</v>
      </c>
      <c r="AO282" t="s">
        <v>2909</v>
      </c>
      <c r="AP282" t="s">
        <v>2910</v>
      </c>
      <c r="AQ282" t="s">
        <v>2911</v>
      </c>
      <c r="AR282" t="s">
        <v>2912</v>
      </c>
      <c r="AS282" t="s">
        <v>2913</v>
      </c>
    </row>
    <row r="283" spans="1:45" x14ac:dyDescent="0.45">
      <c r="A283">
        <v>282</v>
      </c>
      <c r="B283">
        <v>323</v>
      </c>
      <c r="C283" t="s">
        <v>72</v>
      </c>
      <c r="D283" t="s">
        <v>193</v>
      </c>
      <c r="E283" t="s">
        <v>74</v>
      </c>
      <c r="F283" t="s">
        <v>75</v>
      </c>
      <c r="G283" t="s">
        <v>76</v>
      </c>
      <c r="H283">
        <v>200.51295478498065</v>
      </c>
      <c r="I283">
        <v>4</v>
      </c>
      <c r="J283">
        <v>7</v>
      </c>
      <c r="K283">
        <v>8</v>
      </c>
      <c r="L283">
        <v>-1</v>
      </c>
      <c r="M283">
        <v>8</v>
      </c>
      <c r="N283">
        <v>8</v>
      </c>
      <c r="O283">
        <v>0</v>
      </c>
      <c r="P283">
        <v>9</v>
      </c>
      <c r="Q283">
        <v>9</v>
      </c>
      <c r="R283">
        <v>0</v>
      </c>
      <c r="S283">
        <v>8</v>
      </c>
      <c r="T283">
        <v>9</v>
      </c>
      <c r="U283">
        <v>-1</v>
      </c>
      <c r="V283">
        <v>9</v>
      </c>
      <c r="W283">
        <v>7</v>
      </c>
      <c r="X283">
        <v>2</v>
      </c>
      <c r="Y283">
        <v>8</v>
      </c>
      <c r="Z283">
        <v>8</v>
      </c>
      <c r="AA283">
        <v>0</v>
      </c>
      <c r="AB283">
        <v>9</v>
      </c>
      <c r="AC283">
        <v>8</v>
      </c>
      <c r="AD283">
        <v>1</v>
      </c>
      <c r="AE283">
        <v>8</v>
      </c>
      <c r="AF283">
        <v>8</v>
      </c>
      <c r="AG283">
        <v>0</v>
      </c>
      <c r="AH283">
        <v>9</v>
      </c>
      <c r="AI283">
        <v>7</v>
      </c>
      <c r="AJ283">
        <v>2</v>
      </c>
      <c r="AK283" t="s">
        <v>529</v>
      </c>
      <c r="AL283" t="s">
        <v>2914</v>
      </c>
      <c r="AM283" t="s">
        <v>2915</v>
      </c>
      <c r="AN283" t="s">
        <v>2916</v>
      </c>
      <c r="AO283" t="s">
        <v>2917</v>
      </c>
      <c r="AP283" t="s">
        <v>2918</v>
      </c>
      <c r="AQ283" t="s">
        <v>2919</v>
      </c>
      <c r="AR283" t="s">
        <v>2920</v>
      </c>
      <c r="AS283" t="s">
        <v>2921</v>
      </c>
    </row>
    <row r="284" spans="1:45" x14ac:dyDescent="0.45">
      <c r="A284">
        <v>283</v>
      </c>
      <c r="B284">
        <v>324</v>
      </c>
      <c r="C284" t="s">
        <v>72</v>
      </c>
      <c r="D284" t="s">
        <v>79</v>
      </c>
      <c r="E284" t="s">
        <v>74</v>
      </c>
      <c r="F284" t="s">
        <v>77</v>
      </c>
      <c r="G284" t="s">
        <v>76</v>
      </c>
      <c r="H284">
        <v>60.057153881555116</v>
      </c>
      <c r="I284">
        <v>2</v>
      </c>
      <c r="J284">
        <v>6</v>
      </c>
      <c r="K284">
        <v>5</v>
      </c>
      <c r="L284">
        <v>1</v>
      </c>
      <c r="M284">
        <v>7</v>
      </c>
      <c r="N284">
        <v>5</v>
      </c>
      <c r="O284">
        <v>2</v>
      </c>
      <c r="P284">
        <v>8</v>
      </c>
      <c r="Q284">
        <v>2</v>
      </c>
      <c r="R284">
        <v>6</v>
      </c>
      <c r="S284">
        <v>9</v>
      </c>
      <c r="T284">
        <v>6</v>
      </c>
      <c r="U284">
        <v>3</v>
      </c>
      <c r="V284">
        <v>7</v>
      </c>
      <c r="W284">
        <v>5</v>
      </c>
      <c r="X284">
        <v>2</v>
      </c>
      <c r="Y284">
        <v>8</v>
      </c>
      <c r="Z284">
        <v>4</v>
      </c>
      <c r="AA284">
        <v>4</v>
      </c>
      <c r="AB284">
        <v>6</v>
      </c>
      <c r="AC284">
        <v>5</v>
      </c>
      <c r="AD284">
        <v>1</v>
      </c>
      <c r="AE284">
        <v>7</v>
      </c>
      <c r="AF284">
        <v>5</v>
      </c>
      <c r="AG284">
        <v>2</v>
      </c>
      <c r="AH284">
        <v>9</v>
      </c>
      <c r="AI284">
        <v>4</v>
      </c>
      <c r="AJ284">
        <v>5</v>
      </c>
      <c r="AK284" t="s">
        <v>811</v>
      </c>
      <c r="AL284" t="s">
        <v>812</v>
      </c>
      <c r="AM284" t="s">
        <v>813</v>
      </c>
      <c r="AN284" t="s">
        <v>814</v>
      </c>
      <c r="AO284" t="s">
        <v>2922</v>
      </c>
      <c r="AP284" t="s">
        <v>2923</v>
      </c>
      <c r="AQ284" t="s">
        <v>2924</v>
      </c>
      <c r="AR284" t="s">
        <v>2925</v>
      </c>
      <c r="AS284" t="s">
        <v>2926</v>
      </c>
    </row>
    <row r="285" spans="1:45" x14ac:dyDescent="0.45">
      <c r="A285">
        <v>284</v>
      </c>
      <c r="B285">
        <v>325</v>
      </c>
      <c r="C285" t="s">
        <v>78</v>
      </c>
      <c r="D285" t="s">
        <v>73</v>
      </c>
      <c r="E285" t="s">
        <v>74</v>
      </c>
      <c r="F285" t="s">
        <v>77</v>
      </c>
      <c r="G285" t="s">
        <v>76</v>
      </c>
      <c r="H285">
        <v>48.131815733884942</v>
      </c>
      <c r="I285">
        <v>2</v>
      </c>
      <c r="J285">
        <v>8</v>
      </c>
      <c r="K285">
        <v>7</v>
      </c>
      <c r="L285">
        <v>1</v>
      </c>
      <c r="M285">
        <v>9</v>
      </c>
      <c r="N285">
        <v>7</v>
      </c>
      <c r="O285">
        <v>2</v>
      </c>
      <c r="P285">
        <v>8</v>
      </c>
      <c r="Q285">
        <v>5</v>
      </c>
      <c r="R285">
        <v>3</v>
      </c>
      <c r="S285">
        <v>9</v>
      </c>
      <c r="T285">
        <v>7</v>
      </c>
      <c r="U285">
        <v>2</v>
      </c>
      <c r="V285">
        <v>8</v>
      </c>
      <c r="W285">
        <v>5</v>
      </c>
      <c r="X285">
        <v>3</v>
      </c>
      <c r="Y285">
        <v>9</v>
      </c>
      <c r="Z285">
        <v>6</v>
      </c>
      <c r="AA285">
        <v>3</v>
      </c>
      <c r="AB285">
        <v>8</v>
      </c>
      <c r="AC285">
        <v>5</v>
      </c>
      <c r="AD285">
        <v>3</v>
      </c>
      <c r="AE285">
        <v>9</v>
      </c>
      <c r="AF285">
        <v>7</v>
      </c>
      <c r="AG285">
        <v>2</v>
      </c>
      <c r="AH285">
        <v>9</v>
      </c>
      <c r="AI285">
        <v>6</v>
      </c>
      <c r="AJ285">
        <v>3</v>
      </c>
      <c r="AK285" t="s">
        <v>2927</v>
      </c>
      <c r="AL285" t="s">
        <v>2928</v>
      </c>
      <c r="AM285" t="s">
        <v>2929</v>
      </c>
      <c r="AN285" t="s">
        <v>2930</v>
      </c>
      <c r="AO285" t="s">
        <v>2931</v>
      </c>
      <c r="AP285" t="s">
        <v>2932</v>
      </c>
      <c r="AQ285" t="s">
        <v>2933</v>
      </c>
      <c r="AR285" t="s">
        <v>717</v>
      </c>
      <c r="AS285" t="s">
        <v>2934</v>
      </c>
    </row>
    <row r="286" spans="1:45" x14ac:dyDescent="0.45">
      <c r="A286">
        <v>285</v>
      </c>
      <c r="B286">
        <v>326</v>
      </c>
      <c r="C286" t="s">
        <v>78</v>
      </c>
      <c r="D286" t="s">
        <v>191</v>
      </c>
      <c r="E286" t="s">
        <v>74</v>
      </c>
      <c r="F286" t="s">
        <v>77</v>
      </c>
      <c r="G286" t="s">
        <v>76</v>
      </c>
      <c r="H286">
        <v>78.325465725006566</v>
      </c>
      <c r="I286">
        <v>3</v>
      </c>
      <c r="J286">
        <v>8</v>
      </c>
      <c r="K286">
        <v>7</v>
      </c>
      <c r="L286">
        <v>1</v>
      </c>
      <c r="M286">
        <v>9</v>
      </c>
      <c r="N286">
        <v>7</v>
      </c>
      <c r="O286">
        <v>2</v>
      </c>
      <c r="P286">
        <v>9</v>
      </c>
      <c r="Q286">
        <v>5</v>
      </c>
      <c r="R286">
        <v>4</v>
      </c>
      <c r="S286">
        <v>8</v>
      </c>
      <c r="T286">
        <v>8</v>
      </c>
      <c r="U286">
        <v>0</v>
      </c>
      <c r="V286">
        <v>7</v>
      </c>
      <c r="W286">
        <v>6</v>
      </c>
      <c r="X286">
        <v>1</v>
      </c>
      <c r="Y286">
        <v>9</v>
      </c>
      <c r="Z286">
        <v>6</v>
      </c>
      <c r="AA286">
        <v>3</v>
      </c>
      <c r="AB286">
        <v>8</v>
      </c>
      <c r="AC286">
        <v>6</v>
      </c>
      <c r="AD286">
        <v>2</v>
      </c>
      <c r="AE286">
        <v>7</v>
      </c>
      <c r="AF286">
        <v>7</v>
      </c>
      <c r="AG286">
        <v>0</v>
      </c>
      <c r="AH286">
        <v>9</v>
      </c>
      <c r="AI286">
        <v>7</v>
      </c>
      <c r="AJ286">
        <v>2</v>
      </c>
      <c r="AK286" t="s">
        <v>815</v>
      </c>
      <c r="AL286" t="s">
        <v>816</v>
      </c>
      <c r="AM286" t="s">
        <v>817</v>
      </c>
      <c r="AN286" t="s">
        <v>2935</v>
      </c>
      <c r="AO286" t="s">
        <v>2936</v>
      </c>
      <c r="AP286" t="s">
        <v>2937</v>
      </c>
      <c r="AQ286" t="s">
        <v>2938</v>
      </c>
      <c r="AR286" t="s">
        <v>2939</v>
      </c>
      <c r="AS286" t="s">
        <v>2940</v>
      </c>
    </row>
    <row r="287" spans="1:45" x14ac:dyDescent="0.45">
      <c r="A287">
        <v>286</v>
      </c>
      <c r="B287">
        <v>327</v>
      </c>
      <c r="C287" t="s">
        <v>72</v>
      </c>
      <c r="D287" t="s">
        <v>73</v>
      </c>
      <c r="E287" t="s">
        <v>74</v>
      </c>
      <c r="F287" t="s">
        <v>77</v>
      </c>
      <c r="G287" t="s">
        <v>76</v>
      </c>
      <c r="H287">
        <v>43.35101758750227</v>
      </c>
      <c r="I287">
        <v>0</v>
      </c>
      <c r="J287">
        <v>7</v>
      </c>
      <c r="K287">
        <v>4</v>
      </c>
      <c r="L287">
        <v>3</v>
      </c>
      <c r="M287">
        <v>6</v>
      </c>
      <c r="N287">
        <v>4</v>
      </c>
      <c r="O287">
        <v>2</v>
      </c>
      <c r="P287">
        <v>9</v>
      </c>
      <c r="Q287">
        <v>2</v>
      </c>
      <c r="R287">
        <v>7</v>
      </c>
      <c r="S287">
        <v>8</v>
      </c>
      <c r="T287">
        <v>8</v>
      </c>
      <c r="U287">
        <v>0</v>
      </c>
      <c r="V287">
        <v>9</v>
      </c>
      <c r="W287">
        <v>5</v>
      </c>
      <c r="X287">
        <v>4</v>
      </c>
      <c r="Y287">
        <v>8</v>
      </c>
      <c r="Z287">
        <v>5</v>
      </c>
      <c r="AA287">
        <v>3</v>
      </c>
      <c r="AB287">
        <v>9</v>
      </c>
      <c r="AC287">
        <v>4</v>
      </c>
      <c r="AD287">
        <v>5</v>
      </c>
      <c r="AE287">
        <v>8</v>
      </c>
      <c r="AF287">
        <v>6</v>
      </c>
      <c r="AG287">
        <v>2</v>
      </c>
      <c r="AH287">
        <v>9</v>
      </c>
      <c r="AI287">
        <v>5</v>
      </c>
      <c r="AJ287">
        <v>4</v>
      </c>
      <c r="AK287" t="s">
        <v>2941</v>
      </c>
      <c r="AL287" t="s">
        <v>2942</v>
      </c>
      <c r="AM287" t="s">
        <v>2943</v>
      </c>
      <c r="AN287" t="s">
        <v>2944</v>
      </c>
      <c r="AO287" t="s">
        <v>2945</v>
      </c>
      <c r="AP287" t="s">
        <v>2946</v>
      </c>
      <c r="AQ287" t="s">
        <v>2947</v>
      </c>
      <c r="AR287" t="s">
        <v>2948</v>
      </c>
      <c r="AS287" t="s">
        <v>2949</v>
      </c>
    </row>
    <row r="288" spans="1:45" x14ac:dyDescent="0.45">
      <c r="A288">
        <v>287</v>
      </c>
      <c r="B288">
        <v>328</v>
      </c>
      <c r="C288" t="s">
        <v>72</v>
      </c>
      <c r="D288" t="s">
        <v>191</v>
      </c>
      <c r="E288" t="s">
        <v>74</v>
      </c>
      <c r="F288" t="s">
        <v>77</v>
      </c>
      <c r="G288" t="s">
        <v>76</v>
      </c>
      <c r="H288">
        <v>54.408141188033468</v>
      </c>
      <c r="I288">
        <v>4</v>
      </c>
      <c r="J288">
        <v>7</v>
      </c>
      <c r="K288">
        <v>10</v>
      </c>
      <c r="L288">
        <v>-3</v>
      </c>
      <c r="M288">
        <v>6</v>
      </c>
      <c r="N288">
        <v>10</v>
      </c>
      <c r="O288">
        <v>-4</v>
      </c>
      <c r="P288">
        <v>8</v>
      </c>
      <c r="Q288">
        <v>7</v>
      </c>
      <c r="R288">
        <v>1</v>
      </c>
      <c r="S288">
        <v>9</v>
      </c>
      <c r="T288">
        <v>7</v>
      </c>
      <c r="U288">
        <v>2</v>
      </c>
      <c r="V288">
        <v>7</v>
      </c>
      <c r="W288">
        <v>8</v>
      </c>
      <c r="X288">
        <v>-1</v>
      </c>
      <c r="Y288">
        <v>9</v>
      </c>
      <c r="Z288">
        <v>7</v>
      </c>
      <c r="AA288">
        <v>2</v>
      </c>
      <c r="AB288">
        <v>7</v>
      </c>
      <c r="AC288">
        <v>8</v>
      </c>
      <c r="AD288">
        <v>-1</v>
      </c>
      <c r="AE288">
        <v>8</v>
      </c>
      <c r="AF288">
        <v>8</v>
      </c>
      <c r="AG288">
        <v>0</v>
      </c>
      <c r="AH288">
        <v>9</v>
      </c>
      <c r="AI288">
        <v>8</v>
      </c>
      <c r="AJ288">
        <v>1</v>
      </c>
      <c r="AK288" t="s">
        <v>530</v>
      </c>
      <c r="AL288" t="s">
        <v>531</v>
      </c>
      <c r="AM288" t="s">
        <v>532</v>
      </c>
      <c r="AN288" t="s">
        <v>2950</v>
      </c>
      <c r="AO288" t="s">
        <v>2951</v>
      </c>
      <c r="AP288" t="s">
        <v>2952</v>
      </c>
      <c r="AQ288" t="s">
        <v>2953</v>
      </c>
      <c r="AR288" t="s">
        <v>2954</v>
      </c>
      <c r="AS288" t="s">
        <v>2955</v>
      </c>
    </row>
    <row r="289" spans="1:45" x14ac:dyDescent="0.45">
      <c r="A289">
        <v>288</v>
      </c>
      <c r="B289">
        <v>329</v>
      </c>
      <c r="C289" t="s">
        <v>78</v>
      </c>
      <c r="D289" t="s">
        <v>81</v>
      </c>
      <c r="E289" t="s">
        <v>74</v>
      </c>
      <c r="F289" t="s">
        <v>77</v>
      </c>
      <c r="G289" t="s">
        <v>76</v>
      </c>
      <c r="H289">
        <v>27.036619632101331</v>
      </c>
      <c r="I289">
        <v>0</v>
      </c>
      <c r="J289">
        <v>7</v>
      </c>
      <c r="K289">
        <v>8</v>
      </c>
      <c r="L289">
        <v>-1</v>
      </c>
      <c r="M289">
        <v>8</v>
      </c>
      <c r="N289">
        <v>8</v>
      </c>
      <c r="O289">
        <v>0</v>
      </c>
      <c r="P289">
        <v>9</v>
      </c>
      <c r="Q289">
        <v>5</v>
      </c>
      <c r="R289">
        <v>4</v>
      </c>
      <c r="S289">
        <v>9</v>
      </c>
      <c r="T289">
        <v>9</v>
      </c>
      <c r="U289">
        <v>0</v>
      </c>
      <c r="V289">
        <v>6</v>
      </c>
      <c r="W289">
        <v>10</v>
      </c>
      <c r="X289">
        <v>-4</v>
      </c>
      <c r="Y289">
        <v>8</v>
      </c>
      <c r="Z289">
        <v>10</v>
      </c>
      <c r="AA289">
        <v>-2</v>
      </c>
      <c r="AB289">
        <v>7</v>
      </c>
      <c r="AC289">
        <v>9</v>
      </c>
      <c r="AD289">
        <v>-2</v>
      </c>
      <c r="AE289">
        <v>6</v>
      </c>
      <c r="AF289">
        <v>9</v>
      </c>
      <c r="AG289">
        <v>-3</v>
      </c>
      <c r="AH289">
        <v>7</v>
      </c>
      <c r="AI289">
        <v>10</v>
      </c>
      <c r="AJ289">
        <v>-3</v>
      </c>
      <c r="AK289" t="s">
        <v>2956</v>
      </c>
      <c r="AL289" t="s">
        <v>2957</v>
      </c>
      <c r="AM289" t="s">
        <v>2958</v>
      </c>
      <c r="AN289" t="s">
        <v>2959</v>
      </c>
      <c r="AO289" t="s">
        <v>2960</v>
      </c>
      <c r="AP289" t="s">
        <v>2961</v>
      </c>
      <c r="AQ289" t="s">
        <v>2962</v>
      </c>
      <c r="AR289" t="s">
        <v>2963</v>
      </c>
      <c r="AS289" t="s">
        <v>2964</v>
      </c>
    </row>
    <row r="290" spans="1:45" x14ac:dyDescent="0.45">
      <c r="A290">
        <v>289</v>
      </c>
      <c r="B290">
        <v>330</v>
      </c>
      <c r="C290" t="s">
        <v>72</v>
      </c>
      <c r="D290" t="s">
        <v>73</v>
      </c>
      <c r="E290" t="s">
        <v>74</v>
      </c>
      <c r="F290" t="s">
        <v>190</v>
      </c>
      <c r="G290" t="s">
        <v>76</v>
      </c>
      <c r="H290">
        <v>30.345647583470807</v>
      </c>
      <c r="I290">
        <v>1</v>
      </c>
      <c r="J290">
        <v>5</v>
      </c>
      <c r="K290">
        <v>7</v>
      </c>
      <c r="L290">
        <v>-2</v>
      </c>
      <c r="M290">
        <v>7</v>
      </c>
      <c r="N290">
        <v>7</v>
      </c>
      <c r="O290">
        <v>0</v>
      </c>
      <c r="P290">
        <v>9</v>
      </c>
      <c r="Q290">
        <v>5</v>
      </c>
      <c r="R290">
        <v>4</v>
      </c>
      <c r="S290">
        <v>8</v>
      </c>
      <c r="T290">
        <v>6</v>
      </c>
      <c r="U290">
        <v>2</v>
      </c>
      <c r="V290">
        <v>9</v>
      </c>
      <c r="W290">
        <v>5</v>
      </c>
      <c r="X290">
        <v>4</v>
      </c>
      <c r="Y290">
        <v>8</v>
      </c>
      <c r="Z290">
        <v>5</v>
      </c>
      <c r="AA290">
        <v>3</v>
      </c>
      <c r="AB290">
        <v>9</v>
      </c>
      <c r="AC290">
        <v>5</v>
      </c>
      <c r="AD290">
        <v>4</v>
      </c>
      <c r="AE290">
        <v>8</v>
      </c>
      <c r="AF290">
        <v>5</v>
      </c>
      <c r="AG290">
        <v>3</v>
      </c>
      <c r="AH290">
        <v>9</v>
      </c>
      <c r="AI290">
        <v>6</v>
      </c>
      <c r="AJ290">
        <v>3</v>
      </c>
      <c r="AK290" t="s">
        <v>2965</v>
      </c>
      <c r="AL290" t="s">
        <v>2966</v>
      </c>
      <c r="AM290" t="s">
        <v>2967</v>
      </c>
      <c r="AN290" t="s">
        <v>2968</v>
      </c>
      <c r="AO290" t="s">
        <v>2969</v>
      </c>
      <c r="AP290" t="s">
        <v>2970</v>
      </c>
      <c r="AQ290" t="s">
        <v>2971</v>
      </c>
      <c r="AR290" t="s">
        <v>2972</v>
      </c>
      <c r="AS290" t="s">
        <v>2973</v>
      </c>
    </row>
    <row r="291" spans="1:45" x14ac:dyDescent="0.45">
      <c r="A291">
        <v>290</v>
      </c>
      <c r="B291">
        <v>331</v>
      </c>
      <c r="C291" t="s">
        <v>78</v>
      </c>
      <c r="D291" t="s">
        <v>73</v>
      </c>
      <c r="E291" t="s">
        <v>74</v>
      </c>
      <c r="F291" t="s">
        <v>77</v>
      </c>
      <c r="G291" t="s">
        <v>76</v>
      </c>
      <c r="H291">
        <v>44.286525773979889</v>
      </c>
      <c r="I291">
        <v>2</v>
      </c>
      <c r="J291">
        <v>8</v>
      </c>
      <c r="K291">
        <v>8</v>
      </c>
      <c r="L291">
        <v>0</v>
      </c>
      <c r="M291">
        <v>7</v>
      </c>
      <c r="N291">
        <v>8</v>
      </c>
      <c r="O291">
        <v>-1</v>
      </c>
      <c r="P291">
        <v>9</v>
      </c>
      <c r="Q291">
        <v>8</v>
      </c>
      <c r="R291">
        <v>1</v>
      </c>
      <c r="S291">
        <v>8</v>
      </c>
      <c r="T291">
        <v>8</v>
      </c>
      <c r="U291">
        <v>0</v>
      </c>
      <c r="V291">
        <v>9</v>
      </c>
      <c r="W291">
        <v>8</v>
      </c>
      <c r="X291">
        <v>1</v>
      </c>
      <c r="Y291">
        <v>8</v>
      </c>
      <c r="Z291">
        <v>8</v>
      </c>
      <c r="AA291">
        <v>0</v>
      </c>
      <c r="AB291">
        <v>9</v>
      </c>
      <c r="AC291">
        <v>8</v>
      </c>
      <c r="AD291">
        <v>1</v>
      </c>
      <c r="AE291">
        <v>7</v>
      </c>
      <c r="AF291">
        <v>8</v>
      </c>
      <c r="AG291">
        <v>-1</v>
      </c>
      <c r="AH291">
        <v>9</v>
      </c>
      <c r="AI291">
        <v>8</v>
      </c>
      <c r="AJ291">
        <v>1</v>
      </c>
      <c r="AK291" t="s">
        <v>2974</v>
      </c>
      <c r="AL291" t="s">
        <v>2975</v>
      </c>
      <c r="AM291" t="s">
        <v>2976</v>
      </c>
      <c r="AN291" t="s">
        <v>2977</v>
      </c>
      <c r="AO291" t="s">
        <v>2978</v>
      </c>
      <c r="AP291" t="s">
        <v>2979</v>
      </c>
      <c r="AQ291" t="s">
        <v>2980</v>
      </c>
      <c r="AR291" t="s">
        <v>2981</v>
      </c>
      <c r="AS291" t="s">
        <v>2982</v>
      </c>
    </row>
    <row r="292" spans="1:45" x14ac:dyDescent="0.45">
      <c r="A292">
        <v>291</v>
      </c>
      <c r="B292">
        <v>332</v>
      </c>
      <c r="C292" t="s">
        <v>78</v>
      </c>
      <c r="D292" t="s">
        <v>81</v>
      </c>
      <c r="E292" t="s">
        <v>74</v>
      </c>
      <c r="F292" t="s">
        <v>77</v>
      </c>
      <c r="G292" t="s">
        <v>76</v>
      </c>
      <c r="H292">
        <v>66.734917768616697</v>
      </c>
      <c r="I292">
        <v>2</v>
      </c>
      <c r="J292">
        <v>7</v>
      </c>
      <c r="K292">
        <v>9</v>
      </c>
      <c r="L292">
        <v>-2</v>
      </c>
      <c r="M292">
        <v>6</v>
      </c>
      <c r="N292">
        <v>9</v>
      </c>
      <c r="O292">
        <v>-3</v>
      </c>
      <c r="P292">
        <v>9</v>
      </c>
      <c r="Q292">
        <v>3</v>
      </c>
      <c r="R292">
        <v>6</v>
      </c>
      <c r="S292">
        <v>8</v>
      </c>
      <c r="T292">
        <v>10</v>
      </c>
      <c r="U292">
        <v>-2</v>
      </c>
      <c r="V292">
        <v>7</v>
      </c>
      <c r="W292">
        <v>8</v>
      </c>
      <c r="X292">
        <v>-1</v>
      </c>
      <c r="Y292">
        <v>9</v>
      </c>
      <c r="Z292">
        <v>8</v>
      </c>
      <c r="AA292">
        <v>1</v>
      </c>
      <c r="AB292">
        <v>6</v>
      </c>
      <c r="AC292">
        <v>6</v>
      </c>
      <c r="AD292">
        <v>0</v>
      </c>
      <c r="AE292">
        <v>7</v>
      </c>
      <c r="AF292">
        <v>8</v>
      </c>
      <c r="AG292">
        <v>-1</v>
      </c>
      <c r="AH292">
        <v>8</v>
      </c>
      <c r="AI292">
        <v>8</v>
      </c>
      <c r="AJ292">
        <v>0</v>
      </c>
      <c r="AK292" t="s">
        <v>2983</v>
      </c>
      <c r="AL292" t="s">
        <v>2984</v>
      </c>
      <c r="AM292" t="s">
        <v>2985</v>
      </c>
      <c r="AN292" t="s">
        <v>2986</v>
      </c>
      <c r="AO292" t="s">
        <v>2987</v>
      </c>
      <c r="AP292" t="s">
        <v>2988</v>
      </c>
      <c r="AQ292" t="s">
        <v>2989</v>
      </c>
      <c r="AR292" t="s">
        <v>2990</v>
      </c>
      <c r="AS292" t="s">
        <v>2991</v>
      </c>
    </row>
    <row r="293" spans="1:45" x14ac:dyDescent="0.45">
      <c r="A293">
        <v>292</v>
      </c>
      <c r="B293">
        <v>333</v>
      </c>
      <c r="C293" t="s">
        <v>72</v>
      </c>
      <c r="D293" t="s">
        <v>193</v>
      </c>
      <c r="E293" t="s">
        <v>74</v>
      </c>
      <c r="F293" t="s">
        <v>75</v>
      </c>
      <c r="G293" t="s">
        <v>162</v>
      </c>
      <c r="H293">
        <v>60.922768778811417</v>
      </c>
      <c r="I293">
        <v>2</v>
      </c>
      <c r="J293">
        <v>7</v>
      </c>
      <c r="K293">
        <v>6</v>
      </c>
      <c r="L293">
        <v>1</v>
      </c>
      <c r="M293">
        <v>8</v>
      </c>
      <c r="N293">
        <v>6</v>
      </c>
      <c r="O293">
        <v>2</v>
      </c>
      <c r="P293">
        <v>7</v>
      </c>
      <c r="Q293">
        <v>1</v>
      </c>
      <c r="R293">
        <v>6</v>
      </c>
      <c r="S293">
        <v>9</v>
      </c>
      <c r="T293">
        <v>6</v>
      </c>
      <c r="U293">
        <v>3</v>
      </c>
      <c r="V293">
        <v>8</v>
      </c>
      <c r="W293">
        <v>5</v>
      </c>
      <c r="X293">
        <v>3</v>
      </c>
      <c r="Y293">
        <v>9</v>
      </c>
      <c r="Z293">
        <v>6</v>
      </c>
      <c r="AA293">
        <v>3</v>
      </c>
      <c r="AB293">
        <v>8</v>
      </c>
      <c r="AC293">
        <v>5</v>
      </c>
      <c r="AD293">
        <v>3</v>
      </c>
      <c r="AE293">
        <v>9</v>
      </c>
      <c r="AF293">
        <v>6</v>
      </c>
      <c r="AG293">
        <v>3</v>
      </c>
      <c r="AH293">
        <v>9</v>
      </c>
      <c r="AI293">
        <v>6</v>
      </c>
      <c r="AJ293">
        <v>3</v>
      </c>
      <c r="AK293" t="s">
        <v>202</v>
      </c>
      <c r="AL293" t="s">
        <v>202</v>
      </c>
      <c r="AM293" t="s">
        <v>202</v>
      </c>
      <c r="AN293" t="s">
        <v>202</v>
      </c>
      <c r="AO293" t="s">
        <v>202</v>
      </c>
      <c r="AP293" t="s">
        <v>202</v>
      </c>
      <c r="AQ293" t="s">
        <v>202</v>
      </c>
      <c r="AR293" t="s">
        <v>202</v>
      </c>
      <c r="AS293" t="s">
        <v>202</v>
      </c>
    </row>
    <row r="294" spans="1:45" x14ac:dyDescent="0.45">
      <c r="A294">
        <v>293</v>
      </c>
      <c r="B294">
        <v>334</v>
      </c>
      <c r="C294" t="s">
        <v>72</v>
      </c>
      <c r="D294" t="s">
        <v>81</v>
      </c>
      <c r="E294" t="s">
        <v>74</v>
      </c>
      <c r="F294" t="s">
        <v>77</v>
      </c>
      <c r="G294" t="s">
        <v>76</v>
      </c>
      <c r="H294">
        <v>44.040531406947196</v>
      </c>
      <c r="I294">
        <v>1</v>
      </c>
      <c r="J294">
        <v>6</v>
      </c>
      <c r="K294">
        <v>8</v>
      </c>
      <c r="L294">
        <v>-2</v>
      </c>
      <c r="M294">
        <v>7</v>
      </c>
      <c r="N294">
        <v>8</v>
      </c>
      <c r="O294">
        <v>-1</v>
      </c>
      <c r="P294">
        <v>5</v>
      </c>
      <c r="Q294">
        <v>5</v>
      </c>
      <c r="R294">
        <v>0</v>
      </c>
      <c r="S294">
        <v>8</v>
      </c>
      <c r="T294">
        <v>8</v>
      </c>
      <c r="U294">
        <v>0</v>
      </c>
      <c r="V294">
        <v>9</v>
      </c>
      <c r="W294">
        <v>5</v>
      </c>
      <c r="X294">
        <v>4</v>
      </c>
      <c r="Y294">
        <v>8</v>
      </c>
      <c r="Z294">
        <v>6</v>
      </c>
      <c r="AA294">
        <v>2</v>
      </c>
      <c r="AB294">
        <v>9</v>
      </c>
      <c r="AC294">
        <v>5</v>
      </c>
      <c r="AD294">
        <v>4</v>
      </c>
      <c r="AE294">
        <v>7</v>
      </c>
      <c r="AF294">
        <v>6</v>
      </c>
      <c r="AG294">
        <v>1</v>
      </c>
      <c r="AH294">
        <v>9</v>
      </c>
      <c r="AI294">
        <v>6</v>
      </c>
      <c r="AJ294">
        <v>3</v>
      </c>
      <c r="AK294" t="s">
        <v>2992</v>
      </c>
      <c r="AL294" t="s">
        <v>2993</v>
      </c>
      <c r="AM294" t="s">
        <v>2994</v>
      </c>
      <c r="AN294" t="s">
        <v>2995</v>
      </c>
      <c r="AO294" t="s">
        <v>2996</v>
      </c>
      <c r="AP294" t="s">
        <v>2997</v>
      </c>
      <c r="AQ294" t="s">
        <v>2998</v>
      </c>
      <c r="AR294" t="s">
        <v>2999</v>
      </c>
      <c r="AS294" t="s">
        <v>3000</v>
      </c>
    </row>
    <row r="295" spans="1:45" x14ac:dyDescent="0.45">
      <c r="A295">
        <v>294</v>
      </c>
      <c r="B295">
        <v>335</v>
      </c>
      <c r="C295" t="s">
        <v>72</v>
      </c>
      <c r="D295" t="s">
        <v>81</v>
      </c>
      <c r="E295" t="s">
        <v>74</v>
      </c>
      <c r="F295" t="s">
        <v>77</v>
      </c>
      <c r="G295" t="s">
        <v>76</v>
      </c>
      <c r="H295">
        <v>48.588584246696321</v>
      </c>
      <c r="I295">
        <v>3</v>
      </c>
      <c r="J295">
        <v>7</v>
      </c>
      <c r="K295">
        <v>6</v>
      </c>
      <c r="L295">
        <v>1</v>
      </c>
      <c r="M295">
        <v>7</v>
      </c>
      <c r="N295">
        <v>6</v>
      </c>
      <c r="O295">
        <v>1</v>
      </c>
      <c r="P295">
        <v>9</v>
      </c>
      <c r="Q295">
        <v>3</v>
      </c>
      <c r="R295">
        <v>6</v>
      </c>
      <c r="S295">
        <v>9</v>
      </c>
      <c r="T295">
        <v>7</v>
      </c>
      <c r="U295">
        <v>2</v>
      </c>
      <c r="V295">
        <v>6</v>
      </c>
      <c r="W295">
        <v>5</v>
      </c>
      <c r="X295">
        <v>1</v>
      </c>
      <c r="Y295">
        <v>8</v>
      </c>
      <c r="Z295">
        <v>6</v>
      </c>
      <c r="AA295">
        <v>2</v>
      </c>
      <c r="AB295">
        <v>7</v>
      </c>
      <c r="AC295">
        <v>5</v>
      </c>
      <c r="AD295">
        <v>2</v>
      </c>
      <c r="AE295">
        <v>6</v>
      </c>
      <c r="AF295">
        <v>5</v>
      </c>
      <c r="AG295">
        <v>1</v>
      </c>
      <c r="AH295">
        <v>8</v>
      </c>
      <c r="AI295">
        <v>6</v>
      </c>
      <c r="AJ295">
        <v>2</v>
      </c>
      <c r="AK295" t="s">
        <v>3001</v>
      </c>
      <c r="AL295" t="s">
        <v>3002</v>
      </c>
      <c r="AM295" t="s">
        <v>3003</v>
      </c>
      <c r="AN295" t="s">
        <v>3004</v>
      </c>
      <c r="AO295" t="s">
        <v>3005</v>
      </c>
      <c r="AP295" t="s">
        <v>3006</v>
      </c>
      <c r="AQ295" t="s">
        <v>3007</v>
      </c>
      <c r="AR295" t="s">
        <v>3008</v>
      </c>
      <c r="AS295" t="s">
        <v>3009</v>
      </c>
    </row>
    <row r="296" spans="1:45" x14ac:dyDescent="0.45">
      <c r="A296">
        <v>295</v>
      </c>
      <c r="B296">
        <v>336</v>
      </c>
      <c r="C296" t="s">
        <v>78</v>
      </c>
      <c r="D296" t="s">
        <v>189</v>
      </c>
      <c r="E296" t="s">
        <v>74</v>
      </c>
      <c r="F296" t="s">
        <v>77</v>
      </c>
      <c r="G296" t="s">
        <v>76</v>
      </c>
      <c r="H296">
        <v>27.64027679889082</v>
      </c>
      <c r="I296">
        <v>0</v>
      </c>
      <c r="J296">
        <v>6</v>
      </c>
      <c r="K296">
        <v>8</v>
      </c>
      <c r="L296">
        <v>-2</v>
      </c>
      <c r="M296">
        <v>7</v>
      </c>
      <c r="N296">
        <v>9</v>
      </c>
      <c r="O296">
        <v>-2</v>
      </c>
      <c r="P296">
        <v>8</v>
      </c>
      <c r="Q296">
        <v>9</v>
      </c>
      <c r="R296">
        <v>-1</v>
      </c>
      <c r="S296">
        <v>9</v>
      </c>
      <c r="T296">
        <v>10</v>
      </c>
      <c r="U296">
        <v>-1</v>
      </c>
      <c r="V296">
        <v>8</v>
      </c>
      <c r="W296">
        <v>8</v>
      </c>
      <c r="X296">
        <v>0</v>
      </c>
      <c r="Y296">
        <v>9</v>
      </c>
      <c r="Z296">
        <v>8</v>
      </c>
      <c r="AA296">
        <v>1</v>
      </c>
      <c r="AB296">
        <v>7</v>
      </c>
      <c r="AC296">
        <v>9</v>
      </c>
      <c r="AD296">
        <v>-2</v>
      </c>
      <c r="AE296">
        <v>6</v>
      </c>
      <c r="AF296">
        <v>10</v>
      </c>
      <c r="AG296">
        <v>-4</v>
      </c>
      <c r="AH296">
        <v>8</v>
      </c>
      <c r="AI296">
        <v>10</v>
      </c>
      <c r="AJ296">
        <v>-2</v>
      </c>
      <c r="AK296" t="s">
        <v>3010</v>
      </c>
      <c r="AL296" t="s">
        <v>3011</v>
      </c>
      <c r="AM296" t="s">
        <v>3012</v>
      </c>
      <c r="AN296" t="s">
        <v>3013</v>
      </c>
      <c r="AO296" t="s">
        <v>3014</v>
      </c>
      <c r="AP296" t="s">
        <v>3015</v>
      </c>
      <c r="AQ296" t="s">
        <v>3016</v>
      </c>
      <c r="AR296" t="s">
        <v>3017</v>
      </c>
      <c r="AS296" t="s">
        <v>3018</v>
      </c>
    </row>
    <row r="297" spans="1:45" x14ac:dyDescent="0.45">
      <c r="A297">
        <v>296</v>
      </c>
      <c r="B297">
        <v>337</v>
      </c>
      <c r="C297" t="s">
        <v>78</v>
      </c>
      <c r="D297" t="s">
        <v>193</v>
      </c>
      <c r="E297" t="s">
        <v>74</v>
      </c>
      <c r="F297" t="s">
        <v>77</v>
      </c>
      <c r="G297" t="s">
        <v>76</v>
      </c>
      <c r="H297">
        <v>12</v>
      </c>
      <c r="I297">
        <v>0</v>
      </c>
      <c r="J297">
        <v>8</v>
      </c>
      <c r="K297">
        <v>7</v>
      </c>
      <c r="L297">
        <v>1</v>
      </c>
      <c r="M297">
        <v>7</v>
      </c>
      <c r="N297">
        <v>7</v>
      </c>
      <c r="O297">
        <v>0</v>
      </c>
      <c r="P297">
        <v>9</v>
      </c>
      <c r="Q297">
        <v>6</v>
      </c>
      <c r="R297">
        <v>3</v>
      </c>
      <c r="S297">
        <v>8</v>
      </c>
      <c r="T297">
        <v>7</v>
      </c>
      <c r="U297">
        <v>1</v>
      </c>
      <c r="V297">
        <v>9</v>
      </c>
      <c r="W297">
        <v>7</v>
      </c>
      <c r="X297">
        <v>2</v>
      </c>
      <c r="Y297">
        <v>8</v>
      </c>
      <c r="Z297">
        <v>1</v>
      </c>
      <c r="AA297">
        <v>7</v>
      </c>
      <c r="AB297">
        <v>9</v>
      </c>
      <c r="AC297">
        <v>5</v>
      </c>
      <c r="AD297">
        <v>4</v>
      </c>
      <c r="AE297">
        <v>8</v>
      </c>
      <c r="AF297">
        <v>7</v>
      </c>
      <c r="AG297">
        <v>1</v>
      </c>
      <c r="AH297">
        <v>9</v>
      </c>
      <c r="AI297">
        <v>7</v>
      </c>
      <c r="AJ297">
        <v>2</v>
      </c>
      <c r="AK297" t="s">
        <v>533</v>
      </c>
      <c r="AL297" t="s">
        <v>534</v>
      </c>
      <c r="AM297" t="s">
        <v>535</v>
      </c>
      <c r="AN297" t="s">
        <v>536</v>
      </c>
      <c r="AO297" t="s">
        <v>537</v>
      </c>
      <c r="AP297" t="s">
        <v>538</v>
      </c>
      <c r="AQ297" t="s">
        <v>539</v>
      </c>
      <c r="AR297" t="s">
        <v>540</v>
      </c>
      <c r="AS297" t="s">
        <v>541</v>
      </c>
    </row>
    <row r="298" spans="1:45" x14ac:dyDescent="0.45">
      <c r="A298">
        <v>297</v>
      </c>
      <c r="B298">
        <v>338</v>
      </c>
      <c r="C298" t="s">
        <v>72</v>
      </c>
      <c r="D298" t="s">
        <v>73</v>
      </c>
      <c r="E298" t="s">
        <v>74</v>
      </c>
      <c r="F298" t="s">
        <v>77</v>
      </c>
      <c r="G298" t="s">
        <v>76</v>
      </c>
      <c r="H298">
        <v>53.250507389931649</v>
      </c>
      <c r="I298">
        <v>2</v>
      </c>
      <c r="J298">
        <v>7</v>
      </c>
      <c r="K298">
        <v>5</v>
      </c>
      <c r="L298">
        <v>2</v>
      </c>
      <c r="M298">
        <v>6</v>
      </c>
      <c r="N298">
        <v>10</v>
      </c>
      <c r="O298">
        <v>-4</v>
      </c>
      <c r="P298">
        <v>9</v>
      </c>
      <c r="Q298">
        <v>5</v>
      </c>
      <c r="R298">
        <v>4</v>
      </c>
      <c r="S298">
        <v>8</v>
      </c>
      <c r="T298">
        <v>5</v>
      </c>
      <c r="U298">
        <v>3</v>
      </c>
      <c r="V298">
        <v>9</v>
      </c>
      <c r="W298">
        <v>2</v>
      </c>
      <c r="X298">
        <v>7</v>
      </c>
      <c r="Y298">
        <v>8</v>
      </c>
      <c r="Z298">
        <v>3</v>
      </c>
      <c r="AA298">
        <v>5</v>
      </c>
      <c r="AB298">
        <v>9</v>
      </c>
      <c r="AC298">
        <v>2</v>
      </c>
      <c r="AD298">
        <v>7</v>
      </c>
      <c r="AE298">
        <v>8</v>
      </c>
      <c r="AF298">
        <v>5</v>
      </c>
      <c r="AG298">
        <v>3</v>
      </c>
      <c r="AH298">
        <v>9</v>
      </c>
      <c r="AI298">
        <v>5</v>
      </c>
      <c r="AJ298">
        <v>4</v>
      </c>
      <c r="AK298" t="s">
        <v>3019</v>
      </c>
      <c r="AL298" t="s">
        <v>3020</v>
      </c>
      <c r="AM298" t="s">
        <v>3021</v>
      </c>
      <c r="AN298" t="s">
        <v>3022</v>
      </c>
      <c r="AO298" t="s">
        <v>3023</v>
      </c>
      <c r="AP298" t="s">
        <v>3024</v>
      </c>
      <c r="AQ298" t="s">
        <v>3025</v>
      </c>
      <c r="AR298" t="s">
        <v>3026</v>
      </c>
      <c r="AS298" t="s">
        <v>3027</v>
      </c>
    </row>
    <row r="299" spans="1:45" x14ac:dyDescent="0.45">
      <c r="A299">
        <v>298</v>
      </c>
      <c r="B299">
        <v>339</v>
      </c>
      <c r="C299" t="s">
        <v>78</v>
      </c>
      <c r="D299" t="s">
        <v>73</v>
      </c>
      <c r="E299" t="s">
        <v>74</v>
      </c>
      <c r="F299" t="s">
        <v>77</v>
      </c>
      <c r="G299" t="s">
        <v>162</v>
      </c>
      <c r="H299">
        <v>12</v>
      </c>
      <c r="I299">
        <v>0</v>
      </c>
      <c r="J299">
        <v>8</v>
      </c>
      <c r="K299">
        <v>5</v>
      </c>
      <c r="L299">
        <v>3</v>
      </c>
      <c r="M299">
        <v>8</v>
      </c>
      <c r="N299">
        <v>5</v>
      </c>
      <c r="O299">
        <v>3</v>
      </c>
      <c r="P299">
        <v>9</v>
      </c>
      <c r="Q299">
        <v>5</v>
      </c>
      <c r="R299">
        <v>4</v>
      </c>
      <c r="S299">
        <v>10</v>
      </c>
      <c r="T299">
        <v>10</v>
      </c>
      <c r="U299">
        <v>0</v>
      </c>
      <c r="V299">
        <v>9</v>
      </c>
      <c r="W299">
        <v>10</v>
      </c>
      <c r="X299">
        <v>-1</v>
      </c>
      <c r="Y299">
        <v>9</v>
      </c>
      <c r="Z299">
        <v>5</v>
      </c>
      <c r="AA299">
        <v>4</v>
      </c>
      <c r="AB299">
        <v>9</v>
      </c>
      <c r="AC299">
        <v>5</v>
      </c>
      <c r="AD299">
        <v>4</v>
      </c>
      <c r="AE299">
        <v>7</v>
      </c>
      <c r="AF299">
        <v>5</v>
      </c>
      <c r="AG299">
        <v>2</v>
      </c>
      <c r="AH299">
        <v>9</v>
      </c>
      <c r="AI299">
        <v>5</v>
      </c>
      <c r="AJ299">
        <v>4</v>
      </c>
      <c r="AK299" t="s">
        <v>542</v>
      </c>
      <c r="AL299" t="s">
        <v>543</v>
      </c>
      <c r="AM299" t="s">
        <v>544</v>
      </c>
      <c r="AN299" t="s">
        <v>545</v>
      </c>
      <c r="AO299" t="s">
        <v>546</v>
      </c>
      <c r="AP299" t="s">
        <v>547</v>
      </c>
      <c r="AQ299" t="s">
        <v>548</v>
      </c>
      <c r="AR299" t="s">
        <v>549</v>
      </c>
      <c r="AS299" t="s">
        <v>550</v>
      </c>
    </row>
    <row r="300" spans="1:45" x14ac:dyDescent="0.45">
      <c r="A300">
        <v>299</v>
      </c>
      <c r="B300">
        <v>340</v>
      </c>
      <c r="C300" t="s">
        <v>78</v>
      </c>
      <c r="D300" t="s">
        <v>73</v>
      </c>
      <c r="E300" t="s">
        <v>74</v>
      </c>
      <c r="F300" t="s">
        <v>75</v>
      </c>
      <c r="G300" t="s">
        <v>76</v>
      </c>
      <c r="H300">
        <v>41.348736023002267</v>
      </c>
      <c r="I300">
        <v>0</v>
      </c>
      <c r="J300">
        <v>7</v>
      </c>
      <c r="K300">
        <v>10</v>
      </c>
      <c r="L300">
        <v>-3</v>
      </c>
      <c r="M300">
        <v>6</v>
      </c>
      <c r="N300">
        <v>10</v>
      </c>
      <c r="O300">
        <v>-4</v>
      </c>
      <c r="P300">
        <v>8</v>
      </c>
      <c r="Q300">
        <v>10</v>
      </c>
      <c r="R300">
        <v>-2</v>
      </c>
      <c r="S300">
        <v>9</v>
      </c>
      <c r="T300">
        <v>10</v>
      </c>
      <c r="U300">
        <v>-1</v>
      </c>
      <c r="V300">
        <v>8</v>
      </c>
      <c r="W300">
        <v>10</v>
      </c>
      <c r="X300">
        <v>-2</v>
      </c>
      <c r="Y300">
        <v>9</v>
      </c>
      <c r="Z300">
        <v>10</v>
      </c>
      <c r="AA300">
        <v>-1</v>
      </c>
      <c r="AB300">
        <v>8</v>
      </c>
      <c r="AC300">
        <v>10</v>
      </c>
      <c r="AD300">
        <v>-2</v>
      </c>
      <c r="AE300">
        <v>7</v>
      </c>
      <c r="AF300">
        <v>10</v>
      </c>
      <c r="AG300">
        <v>-3</v>
      </c>
      <c r="AH300">
        <v>9</v>
      </c>
      <c r="AI300">
        <v>10</v>
      </c>
      <c r="AJ300">
        <v>-1</v>
      </c>
      <c r="AK300" t="s">
        <v>3028</v>
      </c>
      <c r="AL300" t="s">
        <v>3029</v>
      </c>
      <c r="AM300" t="s">
        <v>3030</v>
      </c>
      <c r="AN300" t="s">
        <v>3031</v>
      </c>
      <c r="AO300" t="s">
        <v>3032</v>
      </c>
      <c r="AP300" t="s">
        <v>3033</v>
      </c>
      <c r="AQ300" t="s">
        <v>3034</v>
      </c>
      <c r="AR300" t="s">
        <v>3035</v>
      </c>
      <c r="AS300" t="s">
        <v>3036</v>
      </c>
    </row>
    <row r="301" spans="1:45" x14ac:dyDescent="0.45">
      <c r="A301">
        <v>300</v>
      </c>
      <c r="B301">
        <v>341</v>
      </c>
      <c r="C301" t="s">
        <v>78</v>
      </c>
      <c r="D301" t="s">
        <v>73</v>
      </c>
      <c r="E301" t="s">
        <v>74</v>
      </c>
      <c r="F301" t="s">
        <v>77</v>
      </c>
      <c r="G301" t="s">
        <v>76</v>
      </c>
      <c r="H301">
        <v>28.928083498235601</v>
      </c>
      <c r="I301">
        <v>1</v>
      </c>
      <c r="J301">
        <v>6</v>
      </c>
      <c r="K301">
        <v>9</v>
      </c>
      <c r="L301">
        <v>-3</v>
      </c>
      <c r="M301">
        <v>8</v>
      </c>
      <c r="N301">
        <v>9</v>
      </c>
      <c r="O301">
        <v>-1</v>
      </c>
      <c r="P301">
        <v>9</v>
      </c>
      <c r="Q301">
        <v>8</v>
      </c>
      <c r="R301">
        <v>1</v>
      </c>
      <c r="S301">
        <v>8</v>
      </c>
      <c r="T301">
        <v>10</v>
      </c>
      <c r="U301">
        <v>-2</v>
      </c>
      <c r="V301">
        <v>7</v>
      </c>
      <c r="W301">
        <v>8</v>
      </c>
      <c r="X301">
        <v>-1</v>
      </c>
      <c r="Y301">
        <v>9</v>
      </c>
      <c r="Z301">
        <v>8</v>
      </c>
      <c r="AA301">
        <v>1</v>
      </c>
      <c r="AB301">
        <v>7</v>
      </c>
      <c r="AC301">
        <v>10</v>
      </c>
      <c r="AD301">
        <v>-3</v>
      </c>
      <c r="AE301">
        <v>6</v>
      </c>
      <c r="AF301">
        <v>9</v>
      </c>
      <c r="AG301">
        <v>-3</v>
      </c>
      <c r="AH301">
        <v>8</v>
      </c>
      <c r="AI301">
        <v>9</v>
      </c>
      <c r="AJ301">
        <v>-1</v>
      </c>
      <c r="AK301" t="s">
        <v>3037</v>
      </c>
      <c r="AL301" t="s">
        <v>3038</v>
      </c>
      <c r="AM301" t="s">
        <v>3039</v>
      </c>
      <c r="AN301" t="s">
        <v>3040</v>
      </c>
      <c r="AO301" t="s">
        <v>3041</v>
      </c>
      <c r="AP301" t="s">
        <v>3042</v>
      </c>
      <c r="AQ301" t="s">
        <v>3043</v>
      </c>
      <c r="AR301" t="s">
        <v>3044</v>
      </c>
      <c r="AS301" t="s">
        <v>3045</v>
      </c>
    </row>
    <row r="302" spans="1:45" x14ac:dyDescent="0.45">
      <c r="A302">
        <v>301</v>
      </c>
      <c r="B302">
        <v>342</v>
      </c>
      <c r="C302" t="s">
        <v>78</v>
      </c>
      <c r="D302" t="s">
        <v>81</v>
      </c>
      <c r="E302" t="s">
        <v>74</v>
      </c>
      <c r="F302" t="s">
        <v>77</v>
      </c>
      <c r="G302" t="s">
        <v>76</v>
      </c>
      <c r="H302">
        <v>12</v>
      </c>
      <c r="I302">
        <v>0</v>
      </c>
      <c r="J302">
        <v>6</v>
      </c>
      <c r="K302">
        <v>8</v>
      </c>
      <c r="L302">
        <v>-2</v>
      </c>
      <c r="M302">
        <v>6</v>
      </c>
      <c r="N302">
        <v>7</v>
      </c>
      <c r="O302">
        <v>-1</v>
      </c>
      <c r="P302">
        <v>9</v>
      </c>
      <c r="Q302">
        <v>9</v>
      </c>
      <c r="R302">
        <v>0</v>
      </c>
      <c r="S302">
        <v>9</v>
      </c>
      <c r="T302">
        <v>5</v>
      </c>
      <c r="U302">
        <v>4</v>
      </c>
      <c r="V302">
        <v>7</v>
      </c>
      <c r="W302">
        <v>7</v>
      </c>
      <c r="X302">
        <v>0</v>
      </c>
      <c r="Y302">
        <v>8</v>
      </c>
      <c r="Z302">
        <v>7</v>
      </c>
      <c r="AA302">
        <v>1</v>
      </c>
      <c r="AB302">
        <v>7</v>
      </c>
      <c r="AC302">
        <v>7</v>
      </c>
      <c r="AD302">
        <v>0</v>
      </c>
      <c r="AE302">
        <v>6</v>
      </c>
      <c r="AF302">
        <v>6</v>
      </c>
      <c r="AG302">
        <v>0</v>
      </c>
      <c r="AH302">
        <v>8</v>
      </c>
      <c r="AI302">
        <v>7</v>
      </c>
      <c r="AJ302">
        <v>1</v>
      </c>
      <c r="AK302" t="s">
        <v>551</v>
      </c>
      <c r="AL302" t="s">
        <v>552</v>
      </c>
      <c r="AM302" t="s">
        <v>553</v>
      </c>
      <c r="AN302" t="s">
        <v>554</v>
      </c>
      <c r="AO302" t="s">
        <v>555</v>
      </c>
      <c r="AP302" t="s">
        <v>556</v>
      </c>
      <c r="AQ302" t="s">
        <v>557</v>
      </c>
      <c r="AR302" t="s">
        <v>558</v>
      </c>
      <c r="AS302" t="s">
        <v>559</v>
      </c>
    </row>
    <row r="303" spans="1:45" x14ac:dyDescent="0.45">
      <c r="A303">
        <v>302</v>
      </c>
      <c r="B303">
        <v>343</v>
      </c>
      <c r="C303" t="s">
        <v>72</v>
      </c>
      <c r="D303" t="s">
        <v>73</v>
      </c>
      <c r="E303" t="s">
        <v>74</v>
      </c>
      <c r="F303" t="s">
        <v>77</v>
      </c>
      <c r="G303" t="s">
        <v>76</v>
      </c>
      <c r="H303">
        <v>28.832250589026202</v>
      </c>
      <c r="I303">
        <v>0</v>
      </c>
      <c r="J303">
        <v>9</v>
      </c>
      <c r="K303">
        <v>7</v>
      </c>
      <c r="L303">
        <v>2</v>
      </c>
      <c r="M303">
        <v>8</v>
      </c>
      <c r="N303">
        <v>7</v>
      </c>
      <c r="O303">
        <v>1</v>
      </c>
      <c r="P303">
        <v>9</v>
      </c>
      <c r="Q303">
        <v>4</v>
      </c>
      <c r="R303">
        <v>5</v>
      </c>
      <c r="S303">
        <v>8</v>
      </c>
      <c r="T303">
        <v>8</v>
      </c>
      <c r="U303">
        <v>0</v>
      </c>
      <c r="V303">
        <v>9</v>
      </c>
      <c r="W303">
        <v>7</v>
      </c>
      <c r="X303">
        <v>2</v>
      </c>
      <c r="Y303">
        <v>8</v>
      </c>
      <c r="Z303">
        <v>7</v>
      </c>
      <c r="AA303">
        <v>1</v>
      </c>
      <c r="AB303">
        <v>9</v>
      </c>
      <c r="AC303">
        <v>5</v>
      </c>
      <c r="AD303">
        <v>4</v>
      </c>
      <c r="AE303">
        <v>8</v>
      </c>
      <c r="AF303">
        <v>5</v>
      </c>
      <c r="AG303">
        <v>3</v>
      </c>
      <c r="AH303">
        <v>9</v>
      </c>
      <c r="AI303">
        <v>7</v>
      </c>
      <c r="AJ303">
        <v>2</v>
      </c>
      <c r="AK303" t="s">
        <v>3046</v>
      </c>
      <c r="AL303" t="s">
        <v>3047</v>
      </c>
      <c r="AM303" t="s">
        <v>3048</v>
      </c>
      <c r="AN303" t="s">
        <v>3049</v>
      </c>
      <c r="AO303" t="s">
        <v>3050</v>
      </c>
      <c r="AP303" t="s">
        <v>3051</v>
      </c>
      <c r="AQ303" t="s">
        <v>3052</v>
      </c>
      <c r="AR303" t="s">
        <v>3053</v>
      </c>
      <c r="AS303" t="s">
        <v>3054</v>
      </c>
    </row>
    <row r="304" spans="1:45" x14ac:dyDescent="0.45">
      <c r="A304">
        <v>303</v>
      </c>
      <c r="B304">
        <v>344</v>
      </c>
      <c r="C304" t="s">
        <v>78</v>
      </c>
      <c r="D304" t="s">
        <v>73</v>
      </c>
      <c r="E304" t="s">
        <v>74</v>
      </c>
      <c r="F304" t="s">
        <v>77</v>
      </c>
      <c r="G304" t="s">
        <v>76</v>
      </c>
      <c r="H304">
        <v>25.423545021267447</v>
      </c>
      <c r="I304">
        <v>2</v>
      </c>
      <c r="J304">
        <v>7</v>
      </c>
      <c r="K304">
        <v>6</v>
      </c>
      <c r="L304">
        <v>1</v>
      </c>
      <c r="M304">
        <v>6</v>
      </c>
      <c r="N304">
        <v>10</v>
      </c>
      <c r="O304">
        <v>-4</v>
      </c>
      <c r="P304">
        <v>9</v>
      </c>
      <c r="Q304">
        <v>5</v>
      </c>
      <c r="R304">
        <v>4</v>
      </c>
      <c r="S304">
        <v>8</v>
      </c>
      <c r="T304">
        <v>4</v>
      </c>
      <c r="U304">
        <v>4</v>
      </c>
      <c r="V304">
        <v>6</v>
      </c>
      <c r="W304">
        <v>3</v>
      </c>
      <c r="X304">
        <v>3</v>
      </c>
      <c r="Y304">
        <v>9</v>
      </c>
      <c r="Z304">
        <v>7</v>
      </c>
      <c r="AA304">
        <v>2</v>
      </c>
      <c r="AB304">
        <v>7</v>
      </c>
      <c r="AC304">
        <v>4</v>
      </c>
      <c r="AD304">
        <v>3</v>
      </c>
      <c r="AE304">
        <v>8</v>
      </c>
      <c r="AF304">
        <v>4</v>
      </c>
      <c r="AG304">
        <v>4</v>
      </c>
      <c r="AH304">
        <v>9</v>
      </c>
      <c r="AI304">
        <v>5</v>
      </c>
      <c r="AJ304">
        <v>4</v>
      </c>
      <c r="AK304" t="s">
        <v>3055</v>
      </c>
      <c r="AL304" t="s">
        <v>3056</v>
      </c>
      <c r="AM304" t="s">
        <v>3057</v>
      </c>
      <c r="AN304" t="s">
        <v>3058</v>
      </c>
      <c r="AO304" t="s">
        <v>3059</v>
      </c>
      <c r="AP304" t="s">
        <v>3060</v>
      </c>
      <c r="AQ304" t="s">
        <v>3061</v>
      </c>
      <c r="AR304" t="s">
        <v>3062</v>
      </c>
      <c r="AS304" t="s">
        <v>646</v>
      </c>
    </row>
    <row r="305" spans="1:45" x14ac:dyDescent="0.45">
      <c r="A305">
        <v>304</v>
      </c>
      <c r="B305">
        <v>345</v>
      </c>
      <c r="C305" t="s">
        <v>78</v>
      </c>
      <c r="D305" t="s">
        <v>81</v>
      </c>
      <c r="E305" t="s">
        <v>74</v>
      </c>
      <c r="F305" t="s">
        <v>75</v>
      </c>
      <c r="G305" t="s">
        <v>76</v>
      </c>
      <c r="H305">
        <v>12</v>
      </c>
      <c r="I305">
        <v>0</v>
      </c>
      <c r="J305">
        <v>6</v>
      </c>
      <c r="K305">
        <v>10</v>
      </c>
      <c r="L305">
        <v>-4</v>
      </c>
      <c r="M305">
        <v>7</v>
      </c>
      <c r="N305">
        <v>10</v>
      </c>
      <c r="O305">
        <v>-3</v>
      </c>
      <c r="P305">
        <v>9</v>
      </c>
      <c r="Q305">
        <v>10</v>
      </c>
      <c r="R305">
        <v>-1</v>
      </c>
      <c r="S305">
        <v>9</v>
      </c>
      <c r="T305">
        <v>10</v>
      </c>
      <c r="U305">
        <v>-1</v>
      </c>
      <c r="V305">
        <v>8</v>
      </c>
      <c r="W305">
        <v>10</v>
      </c>
      <c r="X305">
        <v>-2</v>
      </c>
      <c r="Y305">
        <v>8</v>
      </c>
      <c r="Z305">
        <v>10</v>
      </c>
      <c r="AA305">
        <v>-2</v>
      </c>
      <c r="AB305">
        <v>8</v>
      </c>
      <c r="AC305">
        <v>10</v>
      </c>
      <c r="AD305">
        <v>-2</v>
      </c>
      <c r="AE305">
        <v>8</v>
      </c>
      <c r="AF305">
        <v>10</v>
      </c>
      <c r="AG305">
        <v>-2</v>
      </c>
      <c r="AH305">
        <v>9</v>
      </c>
      <c r="AI305">
        <v>10</v>
      </c>
      <c r="AJ305">
        <v>-1</v>
      </c>
      <c r="AK305" t="s">
        <v>560</v>
      </c>
      <c r="AL305" t="s">
        <v>561</v>
      </c>
      <c r="AM305" t="s">
        <v>562</v>
      </c>
      <c r="AN305" t="s">
        <v>563</v>
      </c>
      <c r="AO305" t="s">
        <v>564</v>
      </c>
      <c r="AP305" t="s">
        <v>565</v>
      </c>
      <c r="AQ305" t="s">
        <v>566</v>
      </c>
      <c r="AR305" t="s">
        <v>567</v>
      </c>
      <c r="AS305" t="s">
        <v>568</v>
      </c>
    </row>
    <row r="306" spans="1:45" x14ac:dyDescent="0.45">
      <c r="A306">
        <v>305</v>
      </c>
      <c r="B306">
        <v>346</v>
      </c>
      <c r="C306" t="s">
        <v>78</v>
      </c>
      <c r="D306" t="s">
        <v>73</v>
      </c>
      <c r="E306" t="s">
        <v>74</v>
      </c>
      <c r="F306" t="s">
        <v>77</v>
      </c>
      <c r="G306" t="s">
        <v>76</v>
      </c>
      <c r="H306">
        <v>44.98179538273552</v>
      </c>
      <c r="I306">
        <v>0</v>
      </c>
      <c r="J306">
        <v>6</v>
      </c>
      <c r="K306">
        <v>7</v>
      </c>
      <c r="L306">
        <v>-1</v>
      </c>
      <c r="M306">
        <v>7</v>
      </c>
      <c r="N306">
        <v>9</v>
      </c>
      <c r="O306">
        <v>-2</v>
      </c>
      <c r="P306">
        <v>8</v>
      </c>
      <c r="Q306">
        <v>8</v>
      </c>
      <c r="R306">
        <v>0</v>
      </c>
      <c r="S306">
        <v>9</v>
      </c>
      <c r="T306">
        <v>6</v>
      </c>
      <c r="U306">
        <v>3</v>
      </c>
      <c r="V306">
        <v>8</v>
      </c>
      <c r="W306">
        <v>5</v>
      </c>
      <c r="X306">
        <v>3</v>
      </c>
      <c r="Y306">
        <v>9</v>
      </c>
      <c r="Z306">
        <v>3</v>
      </c>
      <c r="AA306">
        <v>6</v>
      </c>
      <c r="AB306">
        <v>7</v>
      </c>
      <c r="AC306">
        <v>9</v>
      </c>
      <c r="AD306">
        <v>-2</v>
      </c>
      <c r="AE306">
        <v>8</v>
      </c>
      <c r="AF306">
        <v>3</v>
      </c>
      <c r="AG306">
        <v>5</v>
      </c>
      <c r="AH306">
        <v>9</v>
      </c>
      <c r="AI306">
        <v>4</v>
      </c>
      <c r="AJ306">
        <v>5</v>
      </c>
      <c r="AK306" t="s">
        <v>3063</v>
      </c>
      <c r="AL306" t="s">
        <v>3064</v>
      </c>
      <c r="AM306" t="s">
        <v>3065</v>
      </c>
      <c r="AN306" t="s">
        <v>3066</v>
      </c>
      <c r="AO306" t="s">
        <v>3067</v>
      </c>
      <c r="AP306" t="s">
        <v>3068</v>
      </c>
      <c r="AQ306" t="s">
        <v>3069</v>
      </c>
      <c r="AR306" t="s">
        <v>3070</v>
      </c>
      <c r="AS306" t="s">
        <v>3071</v>
      </c>
    </row>
    <row r="307" spans="1:45" x14ac:dyDescent="0.45">
      <c r="A307">
        <v>306</v>
      </c>
      <c r="B307">
        <v>347</v>
      </c>
      <c r="C307" t="s">
        <v>72</v>
      </c>
      <c r="D307" t="s">
        <v>79</v>
      </c>
      <c r="E307" t="s">
        <v>74</v>
      </c>
      <c r="F307" t="s">
        <v>77</v>
      </c>
      <c r="G307" t="s">
        <v>76</v>
      </c>
      <c r="H307">
        <v>49.814382056108016</v>
      </c>
      <c r="I307">
        <v>3</v>
      </c>
      <c r="J307">
        <v>8</v>
      </c>
      <c r="K307">
        <v>3</v>
      </c>
      <c r="L307">
        <v>5</v>
      </c>
      <c r="M307">
        <v>8</v>
      </c>
      <c r="N307">
        <v>8</v>
      </c>
      <c r="O307">
        <v>0</v>
      </c>
      <c r="P307">
        <v>7</v>
      </c>
      <c r="Q307">
        <v>8</v>
      </c>
      <c r="R307">
        <v>-1</v>
      </c>
      <c r="S307">
        <v>9</v>
      </c>
      <c r="T307">
        <v>4</v>
      </c>
      <c r="U307">
        <v>5</v>
      </c>
      <c r="V307">
        <v>8</v>
      </c>
      <c r="W307">
        <v>4</v>
      </c>
      <c r="X307">
        <v>4</v>
      </c>
      <c r="Y307">
        <v>8</v>
      </c>
      <c r="Z307">
        <v>3</v>
      </c>
      <c r="AA307">
        <v>5</v>
      </c>
      <c r="AB307">
        <v>7</v>
      </c>
      <c r="AC307">
        <v>7</v>
      </c>
      <c r="AD307">
        <v>0</v>
      </c>
      <c r="AE307">
        <v>8</v>
      </c>
      <c r="AF307">
        <v>5</v>
      </c>
      <c r="AG307">
        <v>3</v>
      </c>
      <c r="AH307">
        <v>9</v>
      </c>
      <c r="AI307">
        <v>5</v>
      </c>
      <c r="AJ307">
        <v>4</v>
      </c>
      <c r="AK307" t="s">
        <v>3072</v>
      </c>
      <c r="AL307" t="s">
        <v>3073</v>
      </c>
      <c r="AM307" t="s">
        <v>3074</v>
      </c>
      <c r="AN307" t="s">
        <v>3075</v>
      </c>
      <c r="AO307" t="s">
        <v>3076</v>
      </c>
      <c r="AP307" t="s">
        <v>3077</v>
      </c>
      <c r="AQ307" t="s">
        <v>3078</v>
      </c>
      <c r="AR307" t="s">
        <v>3079</v>
      </c>
      <c r="AS307" t="s">
        <v>3080</v>
      </c>
    </row>
    <row r="308" spans="1:45" x14ac:dyDescent="0.45">
      <c r="A308">
        <v>307</v>
      </c>
      <c r="B308">
        <v>348</v>
      </c>
      <c r="C308" t="s">
        <v>72</v>
      </c>
      <c r="D308" t="s">
        <v>193</v>
      </c>
      <c r="E308" t="s">
        <v>74</v>
      </c>
      <c r="F308" t="s">
        <v>75</v>
      </c>
      <c r="G308" t="s">
        <v>162</v>
      </c>
      <c r="H308">
        <v>13.709181849834744</v>
      </c>
      <c r="I308">
        <v>2</v>
      </c>
      <c r="J308">
        <v>7</v>
      </c>
      <c r="K308">
        <v>2</v>
      </c>
      <c r="L308">
        <v>5</v>
      </c>
      <c r="M308">
        <v>8</v>
      </c>
      <c r="N308">
        <v>2</v>
      </c>
      <c r="O308">
        <v>6</v>
      </c>
      <c r="P308">
        <v>9</v>
      </c>
      <c r="Q308">
        <v>2</v>
      </c>
      <c r="R308">
        <v>7</v>
      </c>
      <c r="S308">
        <v>8</v>
      </c>
      <c r="T308">
        <v>1</v>
      </c>
      <c r="U308">
        <v>7</v>
      </c>
      <c r="V308">
        <v>9</v>
      </c>
      <c r="W308">
        <v>2</v>
      </c>
      <c r="X308">
        <v>7</v>
      </c>
      <c r="Y308">
        <v>8</v>
      </c>
      <c r="Z308">
        <v>2</v>
      </c>
      <c r="AA308">
        <v>6</v>
      </c>
      <c r="AB308">
        <v>8</v>
      </c>
      <c r="AC308">
        <v>2</v>
      </c>
      <c r="AD308">
        <v>6</v>
      </c>
      <c r="AE308">
        <v>7</v>
      </c>
      <c r="AF308">
        <v>2</v>
      </c>
      <c r="AG308">
        <v>5</v>
      </c>
      <c r="AH308">
        <v>9</v>
      </c>
      <c r="AI308">
        <v>2</v>
      </c>
      <c r="AJ308">
        <v>7</v>
      </c>
      <c r="AK308" t="s">
        <v>689</v>
      </c>
      <c r="AL308" t="s">
        <v>690</v>
      </c>
      <c r="AM308" t="s">
        <v>691</v>
      </c>
      <c r="AN308" t="s">
        <v>692</v>
      </c>
      <c r="AO308" t="s">
        <v>693</v>
      </c>
      <c r="AP308" t="s">
        <v>694</v>
      </c>
      <c r="AQ308" t="s">
        <v>695</v>
      </c>
      <c r="AR308" t="s">
        <v>696</v>
      </c>
      <c r="AS308" t="s">
        <v>3081</v>
      </c>
    </row>
    <row r="309" spans="1:45" x14ac:dyDescent="0.45">
      <c r="A309">
        <v>308</v>
      </c>
      <c r="B309">
        <v>349</v>
      </c>
      <c r="C309" t="s">
        <v>72</v>
      </c>
      <c r="D309" t="s">
        <v>79</v>
      </c>
      <c r="E309" t="s">
        <v>74</v>
      </c>
      <c r="F309" t="s">
        <v>75</v>
      </c>
      <c r="G309" t="s">
        <v>76</v>
      </c>
      <c r="H309">
        <v>155.98608401048074</v>
      </c>
      <c r="I309">
        <v>2</v>
      </c>
      <c r="J309">
        <v>9</v>
      </c>
      <c r="K309">
        <v>10</v>
      </c>
      <c r="L309">
        <v>-1</v>
      </c>
      <c r="M309">
        <v>9</v>
      </c>
      <c r="N309">
        <v>8</v>
      </c>
      <c r="O309">
        <v>1</v>
      </c>
      <c r="P309">
        <v>8</v>
      </c>
      <c r="Q309">
        <v>8</v>
      </c>
      <c r="R309">
        <v>0</v>
      </c>
      <c r="S309">
        <v>9</v>
      </c>
      <c r="T309">
        <v>8</v>
      </c>
      <c r="U309">
        <v>1</v>
      </c>
      <c r="V309">
        <v>8</v>
      </c>
      <c r="W309">
        <v>10</v>
      </c>
      <c r="X309">
        <v>-2</v>
      </c>
      <c r="Y309">
        <v>9</v>
      </c>
      <c r="Z309">
        <v>10</v>
      </c>
      <c r="AA309">
        <v>-1</v>
      </c>
      <c r="AB309">
        <v>8</v>
      </c>
      <c r="AC309">
        <v>6</v>
      </c>
      <c r="AD309">
        <v>2</v>
      </c>
      <c r="AE309">
        <v>8</v>
      </c>
      <c r="AF309">
        <v>8</v>
      </c>
      <c r="AG309">
        <v>0</v>
      </c>
      <c r="AH309">
        <v>9</v>
      </c>
      <c r="AI309">
        <v>8</v>
      </c>
      <c r="AJ309">
        <v>1</v>
      </c>
      <c r="AK309" t="s">
        <v>3082</v>
      </c>
      <c r="AL309" t="s">
        <v>3083</v>
      </c>
      <c r="AM309" t="s">
        <v>3084</v>
      </c>
      <c r="AN309" t="s">
        <v>3085</v>
      </c>
      <c r="AO309" t="s">
        <v>3086</v>
      </c>
      <c r="AP309" t="s">
        <v>3087</v>
      </c>
      <c r="AQ309" t="s">
        <v>3088</v>
      </c>
      <c r="AR309" t="s">
        <v>3089</v>
      </c>
      <c r="AS309" t="s">
        <v>3090</v>
      </c>
    </row>
    <row r="310" spans="1:45" x14ac:dyDescent="0.45">
      <c r="A310">
        <v>309</v>
      </c>
      <c r="B310">
        <v>350</v>
      </c>
      <c r="C310" t="s">
        <v>78</v>
      </c>
      <c r="D310" t="s">
        <v>73</v>
      </c>
      <c r="E310" t="s">
        <v>74</v>
      </c>
      <c r="F310" t="s">
        <v>77</v>
      </c>
      <c r="G310" t="s">
        <v>76</v>
      </c>
      <c r="H310">
        <v>65.45417450884635</v>
      </c>
      <c r="I310">
        <v>1</v>
      </c>
      <c r="J310">
        <v>8</v>
      </c>
      <c r="K310">
        <v>10</v>
      </c>
      <c r="L310">
        <v>-2</v>
      </c>
      <c r="M310">
        <v>7</v>
      </c>
      <c r="N310">
        <v>10</v>
      </c>
      <c r="O310">
        <v>-3</v>
      </c>
      <c r="P310">
        <v>9</v>
      </c>
      <c r="Q310">
        <v>10</v>
      </c>
      <c r="R310">
        <v>-1</v>
      </c>
      <c r="S310">
        <v>8</v>
      </c>
      <c r="T310">
        <v>10</v>
      </c>
      <c r="U310">
        <v>-2</v>
      </c>
      <c r="V310">
        <v>9</v>
      </c>
      <c r="W310">
        <v>10</v>
      </c>
      <c r="X310">
        <v>-1</v>
      </c>
      <c r="Y310">
        <v>8</v>
      </c>
      <c r="Z310">
        <v>9</v>
      </c>
      <c r="AA310">
        <v>-1</v>
      </c>
      <c r="AB310">
        <v>9</v>
      </c>
      <c r="AC310">
        <v>9</v>
      </c>
      <c r="AD310">
        <v>0</v>
      </c>
      <c r="AE310">
        <v>7</v>
      </c>
      <c r="AF310">
        <v>10</v>
      </c>
      <c r="AG310">
        <v>-3</v>
      </c>
      <c r="AH310">
        <v>9</v>
      </c>
      <c r="AI310">
        <v>10</v>
      </c>
      <c r="AJ310">
        <v>-1</v>
      </c>
      <c r="AK310" t="s">
        <v>3091</v>
      </c>
      <c r="AL310" t="s">
        <v>3092</v>
      </c>
      <c r="AM310" t="s">
        <v>3093</v>
      </c>
      <c r="AN310" t="s">
        <v>3094</v>
      </c>
      <c r="AO310" t="s">
        <v>3095</v>
      </c>
      <c r="AP310" t="s">
        <v>3096</v>
      </c>
      <c r="AQ310" t="s">
        <v>3097</v>
      </c>
      <c r="AR310" t="s">
        <v>3098</v>
      </c>
      <c r="AS310" t="s">
        <v>3099</v>
      </c>
    </row>
    <row r="311" spans="1:45" x14ac:dyDescent="0.45">
      <c r="A311">
        <v>310</v>
      </c>
      <c r="B311">
        <v>351</v>
      </c>
      <c r="C311" t="s">
        <v>72</v>
      </c>
      <c r="D311" t="s">
        <v>189</v>
      </c>
      <c r="E311" t="s">
        <v>74</v>
      </c>
      <c r="F311" t="s">
        <v>77</v>
      </c>
      <c r="G311" t="s">
        <v>76</v>
      </c>
      <c r="H311">
        <v>20.305435334393543</v>
      </c>
      <c r="I311">
        <v>0</v>
      </c>
      <c r="J311">
        <v>7</v>
      </c>
      <c r="K311">
        <v>7</v>
      </c>
      <c r="L311">
        <v>0</v>
      </c>
      <c r="M311">
        <v>6</v>
      </c>
      <c r="N311">
        <v>7</v>
      </c>
      <c r="O311">
        <v>-1</v>
      </c>
      <c r="P311">
        <v>9</v>
      </c>
      <c r="Q311">
        <v>5</v>
      </c>
      <c r="R311">
        <v>4</v>
      </c>
      <c r="S311">
        <v>10</v>
      </c>
      <c r="T311">
        <v>8</v>
      </c>
      <c r="U311">
        <v>2</v>
      </c>
      <c r="V311">
        <v>8</v>
      </c>
      <c r="W311">
        <v>8</v>
      </c>
      <c r="X311">
        <v>0</v>
      </c>
      <c r="Y311">
        <v>9</v>
      </c>
      <c r="Z311">
        <v>9</v>
      </c>
      <c r="AA311">
        <v>0</v>
      </c>
      <c r="AB311">
        <v>7</v>
      </c>
      <c r="AC311">
        <v>9</v>
      </c>
      <c r="AD311">
        <v>-2</v>
      </c>
      <c r="AE311">
        <v>8</v>
      </c>
      <c r="AF311">
        <v>9</v>
      </c>
      <c r="AG311">
        <v>-1</v>
      </c>
      <c r="AH311">
        <v>9</v>
      </c>
      <c r="AI311">
        <v>10</v>
      </c>
      <c r="AJ311">
        <v>-1</v>
      </c>
      <c r="AK311" t="s">
        <v>697</v>
      </c>
      <c r="AL311" t="s">
        <v>3100</v>
      </c>
      <c r="AM311" t="s">
        <v>3101</v>
      </c>
      <c r="AN311" t="s">
        <v>3102</v>
      </c>
      <c r="AO311" t="s">
        <v>3103</v>
      </c>
      <c r="AP311" t="s">
        <v>3104</v>
      </c>
      <c r="AQ311" t="s">
        <v>3105</v>
      </c>
      <c r="AR311" t="s">
        <v>3106</v>
      </c>
      <c r="AS311" t="s">
        <v>3107</v>
      </c>
    </row>
    <row r="312" spans="1:45" x14ac:dyDescent="0.45">
      <c r="A312">
        <v>311</v>
      </c>
      <c r="B312">
        <v>352</v>
      </c>
      <c r="C312" t="s">
        <v>72</v>
      </c>
      <c r="D312" t="s">
        <v>189</v>
      </c>
      <c r="E312" t="s">
        <v>74</v>
      </c>
      <c r="F312" t="s">
        <v>77</v>
      </c>
      <c r="G312" t="s">
        <v>76</v>
      </c>
      <c r="H312">
        <v>12.462036994725276</v>
      </c>
      <c r="I312">
        <v>0</v>
      </c>
      <c r="J312">
        <v>7</v>
      </c>
      <c r="K312">
        <v>6</v>
      </c>
      <c r="L312">
        <v>1</v>
      </c>
      <c r="M312">
        <v>6</v>
      </c>
      <c r="N312">
        <v>5</v>
      </c>
      <c r="O312">
        <v>1</v>
      </c>
      <c r="P312">
        <v>8</v>
      </c>
      <c r="Q312">
        <v>4</v>
      </c>
      <c r="R312">
        <v>4</v>
      </c>
      <c r="S312">
        <v>9</v>
      </c>
      <c r="T312">
        <v>7</v>
      </c>
      <c r="U312">
        <v>2</v>
      </c>
      <c r="V312">
        <v>7</v>
      </c>
      <c r="W312">
        <v>5</v>
      </c>
      <c r="X312">
        <v>2</v>
      </c>
      <c r="Y312">
        <v>9</v>
      </c>
      <c r="Z312">
        <v>6</v>
      </c>
      <c r="AA312">
        <v>3</v>
      </c>
      <c r="AB312">
        <v>8</v>
      </c>
      <c r="AC312">
        <v>6</v>
      </c>
      <c r="AD312">
        <v>2</v>
      </c>
      <c r="AE312">
        <v>7</v>
      </c>
      <c r="AF312">
        <v>7</v>
      </c>
      <c r="AG312">
        <v>0</v>
      </c>
      <c r="AH312">
        <v>8</v>
      </c>
      <c r="AI312">
        <v>7</v>
      </c>
      <c r="AJ312">
        <v>1</v>
      </c>
      <c r="AK312" t="s">
        <v>3108</v>
      </c>
      <c r="AL312" t="s">
        <v>3109</v>
      </c>
      <c r="AM312" t="s">
        <v>3110</v>
      </c>
      <c r="AN312" t="s">
        <v>3111</v>
      </c>
      <c r="AO312" t="s">
        <v>3112</v>
      </c>
      <c r="AP312" t="s">
        <v>3113</v>
      </c>
      <c r="AQ312" t="s">
        <v>3114</v>
      </c>
      <c r="AR312" t="s">
        <v>3115</v>
      </c>
      <c r="AS312" t="s">
        <v>3116</v>
      </c>
    </row>
    <row r="313" spans="1:45" x14ac:dyDescent="0.45">
      <c r="A313">
        <v>312</v>
      </c>
      <c r="B313">
        <v>353</v>
      </c>
      <c r="C313" t="s">
        <v>78</v>
      </c>
      <c r="D313" t="s">
        <v>81</v>
      </c>
      <c r="E313" t="s">
        <v>74</v>
      </c>
      <c r="F313" t="s">
        <v>77</v>
      </c>
      <c r="G313" t="s">
        <v>76</v>
      </c>
      <c r="H313">
        <v>19.905338494533282</v>
      </c>
      <c r="I313">
        <v>0</v>
      </c>
      <c r="J313">
        <v>7</v>
      </c>
      <c r="K313">
        <v>8</v>
      </c>
      <c r="L313">
        <v>-1</v>
      </c>
      <c r="M313">
        <v>8</v>
      </c>
      <c r="N313">
        <v>9</v>
      </c>
      <c r="O313">
        <v>-1</v>
      </c>
      <c r="P313">
        <v>6</v>
      </c>
      <c r="Q313">
        <v>10</v>
      </c>
      <c r="R313">
        <v>-4</v>
      </c>
      <c r="S313">
        <v>7</v>
      </c>
      <c r="T313">
        <v>10</v>
      </c>
      <c r="U313">
        <v>-3</v>
      </c>
      <c r="V313">
        <v>8</v>
      </c>
      <c r="W313">
        <v>8</v>
      </c>
      <c r="X313">
        <v>0</v>
      </c>
      <c r="Y313">
        <v>9</v>
      </c>
      <c r="Z313">
        <v>9</v>
      </c>
      <c r="AA313">
        <v>0</v>
      </c>
      <c r="AB313">
        <v>7</v>
      </c>
      <c r="AC313">
        <v>8</v>
      </c>
      <c r="AD313">
        <v>-1</v>
      </c>
      <c r="AE313">
        <v>8</v>
      </c>
      <c r="AF313">
        <v>8</v>
      </c>
      <c r="AG313">
        <v>0</v>
      </c>
      <c r="AH313">
        <v>9</v>
      </c>
      <c r="AI313">
        <v>10</v>
      </c>
      <c r="AJ313">
        <v>-1</v>
      </c>
      <c r="AK313" t="s">
        <v>3117</v>
      </c>
      <c r="AL313" t="s">
        <v>3118</v>
      </c>
      <c r="AM313" t="s">
        <v>3119</v>
      </c>
      <c r="AN313" t="s">
        <v>3120</v>
      </c>
      <c r="AO313" t="s">
        <v>3121</v>
      </c>
      <c r="AP313" t="s">
        <v>3122</v>
      </c>
      <c r="AQ313" t="s">
        <v>3123</v>
      </c>
      <c r="AR313" t="s">
        <v>3124</v>
      </c>
      <c r="AS313" t="s">
        <v>3125</v>
      </c>
    </row>
    <row r="314" spans="1:45" x14ac:dyDescent="0.45">
      <c r="A314">
        <v>313</v>
      </c>
      <c r="B314">
        <v>354</v>
      </c>
      <c r="C314" t="s">
        <v>78</v>
      </c>
      <c r="D314" t="s">
        <v>189</v>
      </c>
      <c r="E314" t="s">
        <v>74</v>
      </c>
      <c r="F314" t="s">
        <v>77</v>
      </c>
      <c r="G314" t="s">
        <v>76</v>
      </c>
      <c r="H314">
        <v>13.72399501447819</v>
      </c>
      <c r="I314">
        <v>0</v>
      </c>
      <c r="J314">
        <v>8</v>
      </c>
      <c r="K314">
        <v>6</v>
      </c>
      <c r="L314">
        <v>2</v>
      </c>
      <c r="M314">
        <v>8</v>
      </c>
      <c r="N314">
        <v>6</v>
      </c>
      <c r="O314">
        <v>2</v>
      </c>
      <c r="P314">
        <v>9</v>
      </c>
      <c r="Q314">
        <v>7</v>
      </c>
      <c r="R314">
        <v>2</v>
      </c>
      <c r="S314">
        <v>9</v>
      </c>
      <c r="T314">
        <v>7</v>
      </c>
      <c r="U314">
        <v>2</v>
      </c>
      <c r="V314">
        <v>9</v>
      </c>
      <c r="W314">
        <v>7</v>
      </c>
      <c r="X314">
        <v>2</v>
      </c>
      <c r="Y314">
        <v>9</v>
      </c>
      <c r="Z314">
        <v>8</v>
      </c>
      <c r="AA314">
        <v>1</v>
      </c>
      <c r="AB314">
        <v>9</v>
      </c>
      <c r="AC314">
        <v>5</v>
      </c>
      <c r="AD314">
        <v>4</v>
      </c>
      <c r="AE314">
        <v>9</v>
      </c>
      <c r="AF314">
        <v>5</v>
      </c>
      <c r="AG314">
        <v>4</v>
      </c>
      <c r="AH314">
        <v>10</v>
      </c>
      <c r="AI314">
        <v>8</v>
      </c>
      <c r="AJ314">
        <v>2</v>
      </c>
      <c r="AK314" t="s">
        <v>3126</v>
      </c>
      <c r="AL314" t="s">
        <v>3127</v>
      </c>
      <c r="AM314" t="s">
        <v>3128</v>
      </c>
      <c r="AN314" t="s">
        <v>3129</v>
      </c>
      <c r="AO314" t="s">
        <v>3130</v>
      </c>
      <c r="AP314" t="s">
        <v>3131</v>
      </c>
      <c r="AQ314" t="s">
        <v>3132</v>
      </c>
      <c r="AR314" t="s">
        <v>3133</v>
      </c>
      <c r="AS314" t="s">
        <v>3134</v>
      </c>
    </row>
    <row r="315" spans="1:45" x14ac:dyDescent="0.45">
      <c r="A315">
        <v>314</v>
      </c>
      <c r="B315">
        <v>355</v>
      </c>
      <c r="C315" t="s">
        <v>72</v>
      </c>
      <c r="D315" t="s">
        <v>189</v>
      </c>
      <c r="E315" t="s">
        <v>74</v>
      </c>
      <c r="F315" t="s">
        <v>77</v>
      </c>
      <c r="G315" t="s">
        <v>76</v>
      </c>
      <c r="H315">
        <v>14.633948040503883</v>
      </c>
      <c r="I315">
        <v>0</v>
      </c>
      <c r="J315">
        <v>6</v>
      </c>
      <c r="K315">
        <v>7</v>
      </c>
      <c r="L315">
        <v>-1</v>
      </c>
      <c r="M315">
        <v>7</v>
      </c>
      <c r="N315">
        <v>8</v>
      </c>
      <c r="O315">
        <v>-1</v>
      </c>
      <c r="P315">
        <v>9</v>
      </c>
      <c r="Q315">
        <v>8</v>
      </c>
      <c r="R315">
        <v>1</v>
      </c>
      <c r="S315">
        <v>8</v>
      </c>
      <c r="T315">
        <v>8</v>
      </c>
      <c r="U315">
        <v>0</v>
      </c>
      <c r="V315">
        <v>9</v>
      </c>
      <c r="W315">
        <v>5</v>
      </c>
      <c r="X315">
        <v>4</v>
      </c>
      <c r="Y315">
        <v>8</v>
      </c>
      <c r="Z315">
        <v>8</v>
      </c>
      <c r="AA315">
        <v>0</v>
      </c>
      <c r="AB315">
        <v>9</v>
      </c>
      <c r="AC315">
        <v>6</v>
      </c>
      <c r="AD315">
        <v>3</v>
      </c>
      <c r="AE315">
        <v>8</v>
      </c>
      <c r="AF315">
        <v>6</v>
      </c>
      <c r="AG315">
        <v>2</v>
      </c>
      <c r="AH315">
        <v>9</v>
      </c>
      <c r="AI315">
        <v>8</v>
      </c>
      <c r="AJ315">
        <v>1</v>
      </c>
      <c r="AK315" t="s">
        <v>569</v>
      </c>
      <c r="AL315" t="s">
        <v>3135</v>
      </c>
      <c r="AM315" t="s">
        <v>3136</v>
      </c>
      <c r="AN315" t="s">
        <v>3137</v>
      </c>
      <c r="AO315" t="s">
        <v>199</v>
      </c>
      <c r="AP315" t="s">
        <v>3138</v>
      </c>
      <c r="AQ315" t="s">
        <v>3139</v>
      </c>
      <c r="AR315" t="s">
        <v>3140</v>
      </c>
      <c r="AS315" t="s">
        <v>3141</v>
      </c>
    </row>
    <row r="316" spans="1:45" x14ac:dyDescent="0.45">
      <c r="A316">
        <v>315</v>
      </c>
      <c r="B316">
        <v>356</v>
      </c>
      <c r="C316" t="s">
        <v>78</v>
      </c>
      <c r="D316" t="s">
        <v>189</v>
      </c>
      <c r="E316" t="s">
        <v>74</v>
      </c>
      <c r="F316" t="s">
        <v>77</v>
      </c>
      <c r="G316" t="s">
        <v>76</v>
      </c>
      <c r="H316">
        <v>21.627386207887497</v>
      </c>
      <c r="I316">
        <v>0</v>
      </c>
      <c r="J316">
        <v>7</v>
      </c>
      <c r="K316">
        <v>4</v>
      </c>
      <c r="L316">
        <v>3</v>
      </c>
      <c r="M316">
        <v>6</v>
      </c>
      <c r="N316">
        <v>5</v>
      </c>
      <c r="O316">
        <v>1</v>
      </c>
      <c r="P316">
        <v>5</v>
      </c>
      <c r="Q316">
        <v>5</v>
      </c>
      <c r="R316">
        <v>0</v>
      </c>
      <c r="S316">
        <v>9</v>
      </c>
      <c r="T316">
        <v>7</v>
      </c>
      <c r="U316">
        <v>2</v>
      </c>
      <c r="V316">
        <v>8</v>
      </c>
      <c r="W316">
        <v>5</v>
      </c>
      <c r="X316">
        <v>3</v>
      </c>
      <c r="Y316">
        <v>9</v>
      </c>
      <c r="Z316">
        <v>8</v>
      </c>
      <c r="AA316">
        <v>1</v>
      </c>
      <c r="AB316">
        <v>7</v>
      </c>
      <c r="AC316">
        <v>5</v>
      </c>
      <c r="AD316">
        <v>2</v>
      </c>
      <c r="AE316">
        <v>8</v>
      </c>
      <c r="AF316">
        <v>6</v>
      </c>
      <c r="AG316">
        <v>2</v>
      </c>
      <c r="AH316">
        <v>9</v>
      </c>
      <c r="AI316">
        <v>8</v>
      </c>
      <c r="AJ316">
        <v>1</v>
      </c>
      <c r="AK316" t="s">
        <v>3142</v>
      </c>
      <c r="AL316" t="s">
        <v>3143</v>
      </c>
      <c r="AM316" t="s">
        <v>3144</v>
      </c>
      <c r="AN316" t="s">
        <v>3145</v>
      </c>
      <c r="AO316" t="s">
        <v>732</v>
      </c>
      <c r="AP316" t="s">
        <v>3146</v>
      </c>
      <c r="AQ316" t="s">
        <v>3147</v>
      </c>
      <c r="AR316" t="s">
        <v>3148</v>
      </c>
      <c r="AS316" t="s">
        <v>3149</v>
      </c>
    </row>
    <row r="317" spans="1:45" x14ac:dyDescent="0.45">
      <c r="A317">
        <v>316</v>
      </c>
      <c r="B317">
        <v>357</v>
      </c>
      <c r="C317" t="s">
        <v>72</v>
      </c>
      <c r="D317" t="s">
        <v>81</v>
      </c>
      <c r="E317" t="s">
        <v>74</v>
      </c>
      <c r="F317" t="s">
        <v>77</v>
      </c>
      <c r="G317" t="s">
        <v>76</v>
      </c>
      <c r="H317">
        <v>23.151042359194257</v>
      </c>
      <c r="I317">
        <v>0</v>
      </c>
      <c r="J317">
        <v>6</v>
      </c>
      <c r="K317">
        <v>6</v>
      </c>
      <c r="L317">
        <v>0</v>
      </c>
      <c r="M317">
        <v>7</v>
      </c>
      <c r="N317">
        <v>8</v>
      </c>
      <c r="O317">
        <v>-1</v>
      </c>
      <c r="P317">
        <v>9</v>
      </c>
      <c r="Q317">
        <v>5</v>
      </c>
      <c r="R317">
        <v>4</v>
      </c>
      <c r="S317">
        <v>9</v>
      </c>
      <c r="T317">
        <v>6</v>
      </c>
      <c r="U317">
        <v>3</v>
      </c>
      <c r="V317">
        <v>7</v>
      </c>
      <c r="W317">
        <v>6</v>
      </c>
      <c r="X317">
        <v>1</v>
      </c>
      <c r="Y317">
        <v>8</v>
      </c>
      <c r="Z317">
        <v>7</v>
      </c>
      <c r="AA317">
        <v>1</v>
      </c>
      <c r="AB317">
        <v>7</v>
      </c>
      <c r="AC317">
        <v>6</v>
      </c>
      <c r="AD317">
        <v>1</v>
      </c>
      <c r="AE317">
        <v>6</v>
      </c>
      <c r="AF317">
        <v>7</v>
      </c>
      <c r="AG317">
        <v>-1</v>
      </c>
      <c r="AH317">
        <v>8</v>
      </c>
      <c r="AI317">
        <v>7</v>
      </c>
      <c r="AJ317">
        <v>1</v>
      </c>
      <c r="AK317" t="s">
        <v>3150</v>
      </c>
      <c r="AL317" t="s">
        <v>3151</v>
      </c>
      <c r="AM317" t="s">
        <v>3152</v>
      </c>
      <c r="AN317" t="s">
        <v>3153</v>
      </c>
      <c r="AO317" t="s">
        <v>3154</v>
      </c>
      <c r="AP317" t="s">
        <v>3155</v>
      </c>
      <c r="AQ317" t="s">
        <v>3156</v>
      </c>
      <c r="AR317" t="s">
        <v>3157</v>
      </c>
      <c r="AS317" t="s">
        <v>3158</v>
      </c>
    </row>
    <row r="318" spans="1:45" x14ac:dyDescent="0.45">
      <c r="A318">
        <v>317</v>
      </c>
      <c r="B318">
        <v>358</v>
      </c>
      <c r="C318" t="s">
        <v>72</v>
      </c>
      <c r="D318" t="s">
        <v>189</v>
      </c>
      <c r="E318" t="s">
        <v>74</v>
      </c>
      <c r="F318" t="s">
        <v>77</v>
      </c>
      <c r="G318" t="s">
        <v>76</v>
      </c>
      <c r="H318">
        <v>13.622190609633545</v>
      </c>
      <c r="I318">
        <v>0</v>
      </c>
      <c r="J318">
        <v>8</v>
      </c>
      <c r="K318">
        <v>7</v>
      </c>
      <c r="L318">
        <v>1</v>
      </c>
      <c r="M318">
        <v>9</v>
      </c>
      <c r="N318">
        <v>7</v>
      </c>
      <c r="O318">
        <v>2</v>
      </c>
      <c r="P318">
        <v>8</v>
      </c>
      <c r="Q318">
        <v>5</v>
      </c>
      <c r="R318">
        <v>3</v>
      </c>
      <c r="S318">
        <v>9</v>
      </c>
      <c r="T318">
        <v>8</v>
      </c>
      <c r="U318">
        <v>1</v>
      </c>
      <c r="V318">
        <v>8</v>
      </c>
      <c r="W318">
        <v>5</v>
      </c>
      <c r="X318">
        <v>3</v>
      </c>
      <c r="Y318">
        <v>9</v>
      </c>
      <c r="Z318">
        <v>8</v>
      </c>
      <c r="AA318">
        <v>1</v>
      </c>
      <c r="AB318">
        <v>8</v>
      </c>
      <c r="AC318">
        <v>5</v>
      </c>
      <c r="AD318">
        <v>3</v>
      </c>
      <c r="AE318">
        <v>9</v>
      </c>
      <c r="AF318">
        <v>7</v>
      </c>
      <c r="AG318">
        <v>2</v>
      </c>
      <c r="AH318">
        <v>8</v>
      </c>
      <c r="AI318">
        <v>8</v>
      </c>
      <c r="AJ318">
        <v>0</v>
      </c>
      <c r="AK318" t="s">
        <v>3159</v>
      </c>
      <c r="AL318" t="s">
        <v>3160</v>
      </c>
      <c r="AM318" t="s">
        <v>3161</v>
      </c>
      <c r="AN318" t="s">
        <v>3162</v>
      </c>
      <c r="AO318" t="s">
        <v>3163</v>
      </c>
      <c r="AP318" t="s">
        <v>3164</v>
      </c>
      <c r="AQ318" t="s">
        <v>3165</v>
      </c>
      <c r="AR318" t="s">
        <v>3166</v>
      </c>
      <c r="AS318" t="s">
        <v>3167</v>
      </c>
    </row>
    <row r="319" spans="1:45" x14ac:dyDescent="0.45">
      <c r="A319">
        <v>318</v>
      </c>
      <c r="B319">
        <v>359</v>
      </c>
      <c r="C319" t="s">
        <v>72</v>
      </c>
      <c r="D319" t="s">
        <v>81</v>
      </c>
      <c r="E319" t="s">
        <v>74</v>
      </c>
      <c r="F319" t="s">
        <v>75</v>
      </c>
      <c r="G319" t="s">
        <v>76</v>
      </c>
      <c r="H319">
        <v>21.623019653793847</v>
      </c>
      <c r="I319">
        <v>0</v>
      </c>
      <c r="J319">
        <v>8</v>
      </c>
      <c r="K319">
        <v>4</v>
      </c>
      <c r="L319">
        <v>4</v>
      </c>
      <c r="M319">
        <v>9</v>
      </c>
      <c r="N319">
        <v>4</v>
      </c>
      <c r="O319">
        <v>5</v>
      </c>
      <c r="P319">
        <v>7</v>
      </c>
      <c r="Q319">
        <v>6</v>
      </c>
      <c r="R319">
        <v>1</v>
      </c>
      <c r="S319">
        <v>9</v>
      </c>
      <c r="T319">
        <v>7</v>
      </c>
      <c r="U319">
        <v>2</v>
      </c>
      <c r="V319">
        <v>8</v>
      </c>
      <c r="W319">
        <v>5</v>
      </c>
      <c r="X319">
        <v>3</v>
      </c>
      <c r="Y319">
        <v>9</v>
      </c>
      <c r="Z319">
        <v>8</v>
      </c>
      <c r="AA319">
        <v>1</v>
      </c>
      <c r="AB319">
        <v>8</v>
      </c>
      <c r="AC319">
        <v>5</v>
      </c>
      <c r="AD319">
        <v>3</v>
      </c>
      <c r="AE319">
        <v>9</v>
      </c>
      <c r="AF319">
        <v>5</v>
      </c>
      <c r="AG319">
        <v>4</v>
      </c>
      <c r="AH319">
        <v>9</v>
      </c>
      <c r="AI319">
        <v>8</v>
      </c>
      <c r="AJ319">
        <v>1</v>
      </c>
      <c r="AK319" t="s">
        <v>3168</v>
      </c>
      <c r="AL319" t="s">
        <v>3169</v>
      </c>
      <c r="AM319" t="s">
        <v>3170</v>
      </c>
      <c r="AN319" t="s">
        <v>3171</v>
      </c>
      <c r="AO319" t="s">
        <v>3172</v>
      </c>
      <c r="AP319" t="s">
        <v>3173</v>
      </c>
      <c r="AQ319" t="s">
        <v>3174</v>
      </c>
      <c r="AR319" t="s">
        <v>3175</v>
      </c>
      <c r="AS319" t="s">
        <v>3176</v>
      </c>
    </row>
    <row r="320" spans="1:45" x14ac:dyDescent="0.45">
      <c r="A320">
        <v>319</v>
      </c>
      <c r="B320">
        <v>360</v>
      </c>
      <c r="C320" t="s">
        <v>72</v>
      </c>
      <c r="D320" t="s">
        <v>189</v>
      </c>
      <c r="E320" t="s">
        <v>74</v>
      </c>
      <c r="F320" t="s">
        <v>77</v>
      </c>
      <c r="G320" t="s">
        <v>76</v>
      </c>
      <c r="H320">
        <v>14.393982380616608</v>
      </c>
      <c r="I320">
        <v>0</v>
      </c>
      <c r="J320">
        <v>7</v>
      </c>
      <c r="K320">
        <v>8</v>
      </c>
      <c r="L320">
        <v>-1</v>
      </c>
      <c r="M320">
        <v>6</v>
      </c>
      <c r="N320">
        <v>8</v>
      </c>
      <c r="O320">
        <v>-2</v>
      </c>
      <c r="P320">
        <v>9</v>
      </c>
      <c r="Q320">
        <v>10</v>
      </c>
      <c r="R320">
        <v>-1</v>
      </c>
      <c r="S320">
        <v>9</v>
      </c>
      <c r="T320">
        <v>10</v>
      </c>
      <c r="U320">
        <v>-1</v>
      </c>
      <c r="V320">
        <v>8</v>
      </c>
      <c r="W320">
        <v>9</v>
      </c>
      <c r="X320">
        <v>-1</v>
      </c>
      <c r="Y320">
        <v>9</v>
      </c>
      <c r="Z320">
        <v>10</v>
      </c>
      <c r="AA320">
        <v>-1</v>
      </c>
      <c r="AB320">
        <v>7</v>
      </c>
      <c r="AC320">
        <v>8</v>
      </c>
      <c r="AD320">
        <v>-1</v>
      </c>
      <c r="AE320">
        <v>8</v>
      </c>
      <c r="AF320">
        <v>8</v>
      </c>
      <c r="AG320">
        <v>0</v>
      </c>
      <c r="AH320">
        <v>9</v>
      </c>
      <c r="AI320">
        <v>10</v>
      </c>
      <c r="AJ320">
        <v>-1</v>
      </c>
      <c r="AK320" t="s">
        <v>3177</v>
      </c>
      <c r="AL320" t="s">
        <v>3178</v>
      </c>
      <c r="AM320" t="s">
        <v>3179</v>
      </c>
      <c r="AN320" t="s">
        <v>3180</v>
      </c>
      <c r="AO320" t="s">
        <v>3181</v>
      </c>
      <c r="AP320" t="s">
        <v>3182</v>
      </c>
      <c r="AQ320" t="s">
        <v>3183</v>
      </c>
      <c r="AR320" t="s">
        <v>3184</v>
      </c>
      <c r="AS320" t="s">
        <v>3185</v>
      </c>
    </row>
    <row r="321" spans="1:45" x14ac:dyDescent="0.45">
      <c r="A321">
        <v>320</v>
      </c>
      <c r="B321">
        <v>361</v>
      </c>
      <c r="C321" t="s">
        <v>78</v>
      </c>
      <c r="D321" t="s">
        <v>73</v>
      </c>
      <c r="E321" t="s">
        <v>74</v>
      </c>
      <c r="F321" t="s">
        <v>75</v>
      </c>
      <c r="G321" t="s">
        <v>76</v>
      </c>
      <c r="H321">
        <v>26.708093965814665</v>
      </c>
      <c r="I321">
        <v>0</v>
      </c>
      <c r="J321">
        <v>6</v>
      </c>
      <c r="K321">
        <v>5</v>
      </c>
      <c r="L321">
        <v>1</v>
      </c>
      <c r="M321">
        <v>7</v>
      </c>
      <c r="N321">
        <v>7</v>
      </c>
      <c r="O321">
        <v>0</v>
      </c>
      <c r="P321">
        <v>9</v>
      </c>
      <c r="Q321">
        <v>7</v>
      </c>
      <c r="R321">
        <v>2</v>
      </c>
      <c r="S321">
        <v>8</v>
      </c>
      <c r="T321">
        <v>9</v>
      </c>
      <c r="U321">
        <v>-1</v>
      </c>
      <c r="V321">
        <v>7</v>
      </c>
      <c r="W321">
        <v>5</v>
      </c>
      <c r="X321">
        <v>2</v>
      </c>
      <c r="Y321">
        <v>9</v>
      </c>
      <c r="Z321">
        <v>6</v>
      </c>
      <c r="AA321">
        <v>3</v>
      </c>
      <c r="AB321">
        <v>8</v>
      </c>
      <c r="AC321">
        <v>5</v>
      </c>
      <c r="AD321">
        <v>3</v>
      </c>
      <c r="AE321">
        <v>7</v>
      </c>
      <c r="AF321">
        <v>7</v>
      </c>
      <c r="AG321">
        <v>0</v>
      </c>
      <c r="AH321">
        <v>9</v>
      </c>
      <c r="AI321">
        <v>7</v>
      </c>
      <c r="AJ321">
        <v>2</v>
      </c>
      <c r="AK321" t="s">
        <v>3186</v>
      </c>
      <c r="AL321" t="s">
        <v>3187</v>
      </c>
      <c r="AM321" t="s">
        <v>3188</v>
      </c>
      <c r="AN321" t="s">
        <v>3189</v>
      </c>
      <c r="AO321" t="s">
        <v>3190</v>
      </c>
      <c r="AP321" t="s">
        <v>3191</v>
      </c>
      <c r="AQ321" t="s">
        <v>3192</v>
      </c>
      <c r="AR321" t="s">
        <v>3193</v>
      </c>
      <c r="AS321" t="s">
        <v>3194</v>
      </c>
    </row>
    <row r="322" spans="1:45" x14ac:dyDescent="0.45">
      <c r="A322">
        <v>321</v>
      </c>
      <c r="B322">
        <v>362</v>
      </c>
      <c r="C322" t="s">
        <v>72</v>
      </c>
      <c r="D322" t="s">
        <v>189</v>
      </c>
      <c r="E322" t="s">
        <v>74</v>
      </c>
      <c r="F322" t="s">
        <v>77</v>
      </c>
      <c r="G322" t="s">
        <v>76</v>
      </c>
      <c r="H322">
        <v>14.498736186192334</v>
      </c>
      <c r="I322">
        <v>0</v>
      </c>
      <c r="J322">
        <v>6</v>
      </c>
      <c r="K322">
        <v>8</v>
      </c>
      <c r="L322">
        <v>-2</v>
      </c>
      <c r="M322">
        <v>6</v>
      </c>
      <c r="N322">
        <v>8</v>
      </c>
      <c r="O322">
        <v>-2</v>
      </c>
      <c r="P322">
        <v>8</v>
      </c>
      <c r="Q322">
        <v>7</v>
      </c>
      <c r="R322">
        <v>1</v>
      </c>
      <c r="S322">
        <v>9</v>
      </c>
      <c r="T322">
        <v>9</v>
      </c>
      <c r="U322">
        <v>0</v>
      </c>
      <c r="V322">
        <v>7</v>
      </c>
      <c r="W322">
        <v>9</v>
      </c>
      <c r="X322">
        <v>-2</v>
      </c>
      <c r="Y322">
        <v>9</v>
      </c>
      <c r="Z322">
        <v>9</v>
      </c>
      <c r="AA322">
        <v>0</v>
      </c>
      <c r="AB322">
        <v>8</v>
      </c>
      <c r="AC322">
        <v>7</v>
      </c>
      <c r="AD322">
        <v>1</v>
      </c>
      <c r="AE322">
        <v>7</v>
      </c>
      <c r="AF322">
        <v>9</v>
      </c>
      <c r="AG322">
        <v>-2</v>
      </c>
      <c r="AH322">
        <v>9</v>
      </c>
      <c r="AI322">
        <v>9</v>
      </c>
      <c r="AJ322">
        <v>0</v>
      </c>
      <c r="AK322" t="s">
        <v>818</v>
      </c>
      <c r="AL322" t="s">
        <v>819</v>
      </c>
      <c r="AM322" t="s">
        <v>820</v>
      </c>
      <c r="AN322" t="s">
        <v>3195</v>
      </c>
      <c r="AO322" t="s">
        <v>3196</v>
      </c>
      <c r="AP322" t="s">
        <v>3197</v>
      </c>
      <c r="AQ322" t="s">
        <v>3198</v>
      </c>
      <c r="AR322" t="s">
        <v>3199</v>
      </c>
      <c r="AS322" t="s">
        <v>3200</v>
      </c>
    </row>
    <row r="323" spans="1:45" x14ac:dyDescent="0.45">
      <c r="A323">
        <v>322</v>
      </c>
      <c r="B323">
        <v>363</v>
      </c>
      <c r="C323" t="s">
        <v>78</v>
      </c>
      <c r="D323" t="s">
        <v>81</v>
      </c>
      <c r="E323" t="s">
        <v>74</v>
      </c>
      <c r="F323" t="s">
        <v>77</v>
      </c>
      <c r="G323" t="s">
        <v>76</v>
      </c>
      <c r="H323">
        <v>24.581841060527552</v>
      </c>
      <c r="I323">
        <v>0</v>
      </c>
      <c r="J323">
        <v>7</v>
      </c>
      <c r="K323">
        <v>5</v>
      </c>
      <c r="L323">
        <v>2</v>
      </c>
      <c r="M323">
        <v>8</v>
      </c>
      <c r="N323">
        <v>5</v>
      </c>
      <c r="O323">
        <v>3</v>
      </c>
      <c r="P323">
        <v>6</v>
      </c>
      <c r="Q323">
        <v>5</v>
      </c>
      <c r="R323">
        <v>1</v>
      </c>
      <c r="S323">
        <v>9</v>
      </c>
      <c r="T323">
        <v>7</v>
      </c>
      <c r="U323">
        <v>2</v>
      </c>
      <c r="V323">
        <v>8</v>
      </c>
      <c r="W323">
        <v>5</v>
      </c>
      <c r="X323">
        <v>3</v>
      </c>
      <c r="Y323">
        <v>9</v>
      </c>
      <c r="Z323">
        <v>7</v>
      </c>
      <c r="AA323">
        <v>2</v>
      </c>
      <c r="AB323">
        <v>8</v>
      </c>
      <c r="AC323">
        <v>5</v>
      </c>
      <c r="AD323">
        <v>3</v>
      </c>
      <c r="AE323">
        <v>7</v>
      </c>
      <c r="AF323">
        <v>5</v>
      </c>
      <c r="AG323">
        <v>2</v>
      </c>
      <c r="AH323">
        <v>9</v>
      </c>
      <c r="AI323">
        <v>7</v>
      </c>
      <c r="AJ323">
        <v>2</v>
      </c>
      <c r="AK323" t="s">
        <v>3201</v>
      </c>
      <c r="AL323" t="s">
        <v>3202</v>
      </c>
      <c r="AM323" t="s">
        <v>3203</v>
      </c>
      <c r="AN323" t="s">
        <v>3204</v>
      </c>
      <c r="AO323" t="s">
        <v>3205</v>
      </c>
      <c r="AP323" t="s">
        <v>3206</v>
      </c>
      <c r="AQ323" t="s">
        <v>3207</v>
      </c>
      <c r="AR323" t="s">
        <v>3208</v>
      </c>
      <c r="AS323" t="s">
        <v>3209</v>
      </c>
    </row>
    <row r="324" spans="1:45" x14ac:dyDescent="0.45">
      <c r="A324">
        <v>323</v>
      </c>
      <c r="B324">
        <v>364</v>
      </c>
      <c r="C324" t="s">
        <v>78</v>
      </c>
      <c r="D324" t="s">
        <v>81</v>
      </c>
      <c r="E324" t="s">
        <v>74</v>
      </c>
      <c r="F324" t="s">
        <v>75</v>
      </c>
      <c r="G324" t="s">
        <v>76</v>
      </c>
      <c r="H324">
        <v>25.254576399845785</v>
      </c>
      <c r="I324">
        <v>0</v>
      </c>
      <c r="J324">
        <v>6</v>
      </c>
      <c r="K324">
        <v>7</v>
      </c>
      <c r="L324">
        <v>-1</v>
      </c>
      <c r="M324">
        <v>8</v>
      </c>
      <c r="N324">
        <v>7</v>
      </c>
      <c r="O324">
        <v>1</v>
      </c>
      <c r="P324">
        <v>9</v>
      </c>
      <c r="Q324">
        <v>8</v>
      </c>
      <c r="R324">
        <v>1</v>
      </c>
      <c r="S324">
        <v>9</v>
      </c>
      <c r="T324">
        <v>8</v>
      </c>
      <c r="U324">
        <v>1</v>
      </c>
      <c r="V324">
        <v>7</v>
      </c>
      <c r="W324">
        <v>6</v>
      </c>
      <c r="X324">
        <v>1</v>
      </c>
      <c r="Y324">
        <v>9</v>
      </c>
      <c r="Z324">
        <v>7</v>
      </c>
      <c r="AA324">
        <v>2</v>
      </c>
      <c r="AB324">
        <v>8</v>
      </c>
      <c r="AC324">
        <v>6</v>
      </c>
      <c r="AD324">
        <v>2</v>
      </c>
      <c r="AE324">
        <v>9</v>
      </c>
      <c r="AF324">
        <v>7</v>
      </c>
      <c r="AG324">
        <v>2</v>
      </c>
      <c r="AH324">
        <v>8</v>
      </c>
      <c r="AI324">
        <v>7</v>
      </c>
      <c r="AJ324">
        <v>1</v>
      </c>
      <c r="AK324" t="s">
        <v>570</v>
      </c>
      <c r="AL324" t="s">
        <v>571</v>
      </c>
      <c r="AM324" t="s">
        <v>698</v>
      </c>
      <c r="AN324" t="s">
        <v>699</v>
      </c>
      <c r="AO324" t="s">
        <v>3210</v>
      </c>
      <c r="AP324" t="s">
        <v>3211</v>
      </c>
      <c r="AQ324" t="s">
        <v>3212</v>
      </c>
      <c r="AR324" t="s">
        <v>247</v>
      </c>
      <c r="AS324" t="s">
        <v>3213</v>
      </c>
    </row>
    <row r="325" spans="1:45" x14ac:dyDescent="0.45">
      <c r="A325">
        <v>324</v>
      </c>
      <c r="B325">
        <v>365</v>
      </c>
      <c r="C325" t="s">
        <v>72</v>
      </c>
      <c r="D325" t="s">
        <v>189</v>
      </c>
      <c r="E325" t="s">
        <v>74</v>
      </c>
      <c r="F325" t="s">
        <v>77</v>
      </c>
      <c r="G325" t="s">
        <v>76</v>
      </c>
      <c r="H325">
        <v>12</v>
      </c>
      <c r="I325">
        <v>0</v>
      </c>
      <c r="J325">
        <v>7</v>
      </c>
      <c r="K325">
        <v>7</v>
      </c>
      <c r="L325">
        <v>0</v>
      </c>
      <c r="M325">
        <v>6</v>
      </c>
      <c r="N325">
        <v>7</v>
      </c>
      <c r="O325">
        <v>-1</v>
      </c>
      <c r="P325">
        <v>8</v>
      </c>
      <c r="Q325">
        <v>5</v>
      </c>
      <c r="R325">
        <v>3</v>
      </c>
      <c r="S325">
        <v>9</v>
      </c>
      <c r="T325">
        <v>7</v>
      </c>
      <c r="U325">
        <v>2</v>
      </c>
      <c r="V325">
        <v>7</v>
      </c>
      <c r="W325">
        <v>7</v>
      </c>
      <c r="X325">
        <v>0</v>
      </c>
      <c r="Y325">
        <v>8</v>
      </c>
      <c r="Z325">
        <v>7</v>
      </c>
      <c r="AA325">
        <v>1</v>
      </c>
      <c r="AB325">
        <v>7</v>
      </c>
      <c r="AC325">
        <v>5</v>
      </c>
      <c r="AD325">
        <v>2</v>
      </c>
      <c r="AE325">
        <v>8</v>
      </c>
      <c r="AF325">
        <v>5</v>
      </c>
      <c r="AG325">
        <v>3</v>
      </c>
      <c r="AH325">
        <v>9</v>
      </c>
      <c r="AI325">
        <v>8</v>
      </c>
      <c r="AJ325">
        <v>1</v>
      </c>
      <c r="AK325" t="s">
        <v>572</v>
      </c>
      <c r="AL325" t="s">
        <v>573</v>
      </c>
      <c r="AM325" t="s">
        <v>574</v>
      </c>
      <c r="AN325" t="s">
        <v>575</v>
      </c>
      <c r="AO325" t="s">
        <v>576</v>
      </c>
      <c r="AP325" t="s">
        <v>577</v>
      </c>
      <c r="AQ325" t="s">
        <v>578</v>
      </c>
      <c r="AR325" t="s">
        <v>579</v>
      </c>
      <c r="AS325" t="s">
        <v>580</v>
      </c>
    </row>
    <row r="326" spans="1:45" x14ac:dyDescent="0.45">
      <c r="A326">
        <v>325</v>
      </c>
      <c r="B326">
        <v>366</v>
      </c>
      <c r="C326" t="s">
        <v>78</v>
      </c>
      <c r="D326" t="s">
        <v>73</v>
      </c>
      <c r="E326" t="s">
        <v>74</v>
      </c>
      <c r="F326" t="s">
        <v>77</v>
      </c>
      <c r="G326" t="s">
        <v>76</v>
      </c>
      <c r="H326">
        <v>37.765270489529698</v>
      </c>
      <c r="I326">
        <v>1</v>
      </c>
      <c r="J326">
        <v>7</v>
      </c>
      <c r="K326">
        <v>2</v>
      </c>
      <c r="L326">
        <v>5</v>
      </c>
      <c r="M326">
        <v>6</v>
      </c>
      <c r="N326">
        <v>2</v>
      </c>
      <c r="O326">
        <v>4</v>
      </c>
      <c r="P326">
        <v>9</v>
      </c>
      <c r="Q326">
        <v>6</v>
      </c>
      <c r="R326">
        <v>3</v>
      </c>
      <c r="S326">
        <v>10</v>
      </c>
      <c r="T326">
        <v>7</v>
      </c>
      <c r="U326">
        <v>3</v>
      </c>
      <c r="V326">
        <v>8</v>
      </c>
      <c r="W326">
        <v>2</v>
      </c>
      <c r="X326">
        <v>6</v>
      </c>
      <c r="Y326">
        <v>9</v>
      </c>
      <c r="Z326">
        <v>5</v>
      </c>
      <c r="AA326">
        <v>4</v>
      </c>
      <c r="AB326">
        <v>8</v>
      </c>
      <c r="AC326">
        <v>5</v>
      </c>
      <c r="AD326">
        <v>3</v>
      </c>
      <c r="AE326">
        <v>9</v>
      </c>
      <c r="AF326">
        <v>6</v>
      </c>
      <c r="AG326">
        <v>3</v>
      </c>
      <c r="AH326">
        <v>10</v>
      </c>
      <c r="AI326">
        <v>5</v>
      </c>
      <c r="AJ326">
        <v>5</v>
      </c>
      <c r="AK326" t="s">
        <v>3214</v>
      </c>
      <c r="AL326" t="s">
        <v>3215</v>
      </c>
      <c r="AM326" t="s">
        <v>3216</v>
      </c>
      <c r="AN326" t="s">
        <v>3217</v>
      </c>
      <c r="AO326" t="s">
        <v>3218</v>
      </c>
      <c r="AP326" t="s">
        <v>3219</v>
      </c>
      <c r="AQ326" t="s">
        <v>3220</v>
      </c>
      <c r="AR326" t="s">
        <v>3221</v>
      </c>
      <c r="AS326" t="s">
        <v>3222</v>
      </c>
    </row>
    <row r="327" spans="1:45" x14ac:dyDescent="0.45">
      <c r="A327">
        <v>326</v>
      </c>
      <c r="B327">
        <v>367</v>
      </c>
      <c r="C327" t="s">
        <v>72</v>
      </c>
      <c r="D327" t="s">
        <v>79</v>
      </c>
      <c r="E327" t="s">
        <v>74</v>
      </c>
      <c r="F327" t="s">
        <v>77</v>
      </c>
      <c r="G327" t="s">
        <v>76</v>
      </c>
      <c r="H327">
        <v>50.484651179719123</v>
      </c>
      <c r="I327">
        <v>2</v>
      </c>
      <c r="J327">
        <v>6</v>
      </c>
      <c r="K327">
        <v>8</v>
      </c>
      <c r="L327">
        <v>-2</v>
      </c>
      <c r="M327">
        <v>7</v>
      </c>
      <c r="N327">
        <v>9</v>
      </c>
      <c r="O327">
        <v>-2</v>
      </c>
      <c r="P327">
        <v>6</v>
      </c>
      <c r="Q327">
        <v>9</v>
      </c>
      <c r="R327">
        <v>-3</v>
      </c>
      <c r="S327">
        <v>7</v>
      </c>
      <c r="T327">
        <v>10</v>
      </c>
      <c r="U327">
        <v>-3</v>
      </c>
      <c r="V327">
        <v>6</v>
      </c>
      <c r="W327">
        <v>8</v>
      </c>
      <c r="X327">
        <v>-2</v>
      </c>
      <c r="Y327">
        <v>7</v>
      </c>
      <c r="Z327">
        <v>10</v>
      </c>
      <c r="AA327">
        <v>-3</v>
      </c>
      <c r="AB327">
        <v>6</v>
      </c>
      <c r="AC327">
        <v>9</v>
      </c>
      <c r="AD327">
        <v>-3</v>
      </c>
      <c r="AE327">
        <v>7</v>
      </c>
      <c r="AF327">
        <v>9</v>
      </c>
      <c r="AG327">
        <v>-2</v>
      </c>
      <c r="AH327">
        <v>6</v>
      </c>
      <c r="AI327">
        <v>10</v>
      </c>
      <c r="AJ327">
        <v>-4</v>
      </c>
      <c r="AK327" t="s">
        <v>3223</v>
      </c>
      <c r="AL327" t="s">
        <v>3224</v>
      </c>
      <c r="AM327" t="s">
        <v>3225</v>
      </c>
      <c r="AN327" t="s">
        <v>3226</v>
      </c>
      <c r="AO327" t="s">
        <v>3227</v>
      </c>
      <c r="AP327" t="s">
        <v>3228</v>
      </c>
      <c r="AQ327" t="s">
        <v>3229</v>
      </c>
      <c r="AR327" t="s">
        <v>3230</v>
      </c>
      <c r="AS327" t="s">
        <v>3231</v>
      </c>
    </row>
    <row r="328" spans="1:45" x14ac:dyDescent="0.45">
      <c r="A328">
        <v>327</v>
      </c>
      <c r="B328">
        <v>368</v>
      </c>
      <c r="C328" t="s">
        <v>72</v>
      </c>
      <c r="D328" t="s">
        <v>81</v>
      </c>
      <c r="E328" t="s">
        <v>74</v>
      </c>
      <c r="F328" t="s">
        <v>77</v>
      </c>
      <c r="G328" t="s">
        <v>76</v>
      </c>
      <c r="H328">
        <v>21.137777265822383</v>
      </c>
      <c r="I328">
        <v>0</v>
      </c>
      <c r="J328">
        <v>6</v>
      </c>
      <c r="K328">
        <v>7</v>
      </c>
      <c r="L328">
        <v>-1</v>
      </c>
      <c r="M328">
        <v>7</v>
      </c>
      <c r="N328">
        <v>7</v>
      </c>
      <c r="O328">
        <v>0</v>
      </c>
      <c r="P328">
        <v>8</v>
      </c>
      <c r="Q328">
        <v>7</v>
      </c>
      <c r="R328">
        <v>1</v>
      </c>
      <c r="S328">
        <v>9</v>
      </c>
      <c r="T328">
        <v>9</v>
      </c>
      <c r="U328">
        <v>0</v>
      </c>
      <c r="V328">
        <v>7</v>
      </c>
      <c r="W328">
        <v>7</v>
      </c>
      <c r="X328">
        <v>0</v>
      </c>
      <c r="Y328">
        <v>9</v>
      </c>
      <c r="Z328">
        <v>8</v>
      </c>
      <c r="AA328">
        <v>1</v>
      </c>
      <c r="AB328">
        <v>8</v>
      </c>
      <c r="AC328">
        <v>5</v>
      </c>
      <c r="AD328">
        <v>3</v>
      </c>
      <c r="AE328">
        <v>7</v>
      </c>
      <c r="AF328">
        <v>7</v>
      </c>
      <c r="AG328">
        <v>0</v>
      </c>
      <c r="AH328">
        <v>9</v>
      </c>
      <c r="AI328">
        <v>8</v>
      </c>
      <c r="AJ328">
        <v>1</v>
      </c>
      <c r="AK328" t="s">
        <v>3232</v>
      </c>
      <c r="AL328" t="s">
        <v>3233</v>
      </c>
      <c r="AM328" t="s">
        <v>3234</v>
      </c>
      <c r="AN328" t="s">
        <v>3235</v>
      </c>
      <c r="AO328" t="s">
        <v>3236</v>
      </c>
      <c r="AP328" t="s">
        <v>3237</v>
      </c>
      <c r="AQ328" t="s">
        <v>3238</v>
      </c>
      <c r="AR328" t="s">
        <v>3239</v>
      </c>
      <c r="AS328" t="s">
        <v>3240</v>
      </c>
    </row>
    <row r="329" spans="1:45" x14ac:dyDescent="0.45">
      <c r="A329">
        <v>328</v>
      </c>
      <c r="B329">
        <v>369</v>
      </c>
      <c r="C329" t="s">
        <v>78</v>
      </c>
      <c r="D329" t="s">
        <v>79</v>
      </c>
      <c r="E329" t="s">
        <v>74</v>
      </c>
      <c r="F329" t="s">
        <v>75</v>
      </c>
      <c r="G329" t="s">
        <v>76</v>
      </c>
      <c r="H329">
        <v>86.712170908790966</v>
      </c>
      <c r="I329">
        <v>3</v>
      </c>
      <c r="J329">
        <v>9</v>
      </c>
      <c r="K329">
        <v>7</v>
      </c>
      <c r="L329">
        <v>2</v>
      </c>
      <c r="M329">
        <v>8</v>
      </c>
      <c r="N329">
        <v>8</v>
      </c>
      <c r="O329">
        <v>0</v>
      </c>
      <c r="P329">
        <v>9</v>
      </c>
      <c r="Q329">
        <v>9</v>
      </c>
      <c r="R329">
        <v>0</v>
      </c>
      <c r="S329">
        <v>10</v>
      </c>
      <c r="T329">
        <v>9</v>
      </c>
      <c r="U329">
        <v>1</v>
      </c>
      <c r="V329">
        <v>8</v>
      </c>
      <c r="W329">
        <v>9</v>
      </c>
      <c r="X329">
        <v>-1</v>
      </c>
      <c r="Y329">
        <v>9</v>
      </c>
      <c r="Z329">
        <v>8</v>
      </c>
      <c r="AA329">
        <v>1</v>
      </c>
      <c r="AB329">
        <v>8</v>
      </c>
      <c r="AC329">
        <v>7</v>
      </c>
      <c r="AD329">
        <v>1</v>
      </c>
      <c r="AE329">
        <v>9</v>
      </c>
      <c r="AF329">
        <v>7</v>
      </c>
      <c r="AG329">
        <v>2</v>
      </c>
      <c r="AH329">
        <v>8</v>
      </c>
      <c r="AI329">
        <v>9</v>
      </c>
      <c r="AJ329">
        <v>-1</v>
      </c>
      <c r="AK329" t="s">
        <v>3241</v>
      </c>
      <c r="AL329" t="s">
        <v>3242</v>
      </c>
      <c r="AM329" t="s">
        <v>3243</v>
      </c>
      <c r="AN329" t="s">
        <v>3244</v>
      </c>
      <c r="AO329" t="s">
        <v>3245</v>
      </c>
      <c r="AP329" t="s">
        <v>3246</v>
      </c>
      <c r="AQ329" t="s">
        <v>3247</v>
      </c>
      <c r="AR329" t="s">
        <v>3248</v>
      </c>
      <c r="AS329" t="s">
        <v>3249</v>
      </c>
    </row>
    <row r="330" spans="1:45" x14ac:dyDescent="0.45">
      <c r="A330">
        <v>329</v>
      </c>
      <c r="B330">
        <v>370</v>
      </c>
      <c r="C330" t="s">
        <v>72</v>
      </c>
      <c r="D330" t="s">
        <v>81</v>
      </c>
      <c r="E330" t="s">
        <v>74</v>
      </c>
      <c r="F330" t="s">
        <v>77</v>
      </c>
      <c r="G330" t="s">
        <v>76</v>
      </c>
      <c r="H330">
        <v>13.163817633558187</v>
      </c>
      <c r="I330">
        <v>0</v>
      </c>
      <c r="J330">
        <v>8</v>
      </c>
      <c r="K330">
        <v>7</v>
      </c>
      <c r="L330">
        <v>1</v>
      </c>
      <c r="M330">
        <v>9</v>
      </c>
      <c r="N330">
        <v>7</v>
      </c>
      <c r="O330">
        <v>2</v>
      </c>
      <c r="P330">
        <v>8</v>
      </c>
      <c r="Q330">
        <v>9</v>
      </c>
      <c r="R330">
        <v>-1</v>
      </c>
      <c r="S330">
        <v>9</v>
      </c>
      <c r="T330">
        <v>9</v>
      </c>
      <c r="U330">
        <v>0</v>
      </c>
      <c r="V330">
        <v>8</v>
      </c>
      <c r="W330">
        <v>9</v>
      </c>
      <c r="X330">
        <v>-1</v>
      </c>
      <c r="Y330">
        <v>9</v>
      </c>
      <c r="Z330">
        <v>9</v>
      </c>
      <c r="AA330">
        <v>0</v>
      </c>
      <c r="AB330">
        <v>8</v>
      </c>
      <c r="AC330">
        <v>5</v>
      </c>
      <c r="AD330">
        <v>3</v>
      </c>
      <c r="AE330">
        <v>9</v>
      </c>
      <c r="AF330">
        <v>6</v>
      </c>
      <c r="AG330">
        <v>3</v>
      </c>
      <c r="AH330">
        <v>9</v>
      </c>
      <c r="AI330">
        <v>9</v>
      </c>
      <c r="AJ330">
        <v>0</v>
      </c>
      <c r="AK330" t="s">
        <v>821</v>
      </c>
      <c r="AL330" t="s">
        <v>822</v>
      </c>
      <c r="AM330" t="s">
        <v>3250</v>
      </c>
      <c r="AN330" t="s">
        <v>3251</v>
      </c>
      <c r="AO330" t="s">
        <v>3252</v>
      </c>
      <c r="AP330" t="s">
        <v>3253</v>
      </c>
      <c r="AQ330" t="s">
        <v>3254</v>
      </c>
      <c r="AR330" t="s">
        <v>3255</v>
      </c>
      <c r="AS330" t="s">
        <v>3256</v>
      </c>
    </row>
    <row r="331" spans="1:45" x14ac:dyDescent="0.45">
      <c r="A331">
        <v>330</v>
      </c>
      <c r="B331">
        <v>371</v>
      </c>
      <c r="C331" t="s">
        <v>78</v>
      </c>
      <c r="D331" t="s">
        <v>189</v>
      </c>
      <c r="E331" t="s">
        <v>74</v>
      </c>
      <c r="F331" t="s">
        <v>77</v>
      </c>
      <c r="G331" t="s">
        <v>76</v>
      </c>
      <c r="H331">
        <v>15.081158510371475</v>
      </c>
      <c r="I331">
        <v>0</v>
      </c>
      <c r="J331">
        <v>7</v>
      </c>
      <c r="K331">
        <v>3</v>
      </c>
      <c r="L331">
        <v>4</v>
      </c>
      <c r="M331">
        <v>8</v>
      </c>
      <c r="N331">
        <v>3</v>
      </c>
      <c r="O331">
        <v>5</v>
      </c>
      <c r="P331">
        <v>9</v>
      </c>
      <c r="Q331">
        <v>5</v>
      </c>
      <c r="R331">
        <v>4</v>
      </c>
      <c r="S331">
        <v>10</v>
      </c>
      <c r="T331">
        <v>6</v>
      </c>
      <c r="U331">
        <v>4</v>
      </c>
      <c r="V331">
        <v>9</v>
      </c>
      <c r="W331">
        <v>4</v>
      </c>
      <c r="X331">
        <v>5</v>
      </c>
      <c r="Y331">
        <v>9</v>
      </c>
      <c r="Z331">
        <v>5</v>
      </c>
      <c r="AA331">
        <v>4</v>
      </c>
      <c r="AB331">
        <v>8</v>
      </c>
      <c r="AC331">
        <v>5</v>
      </c>
      <c r="AD331">
        <v>3</v>
      </c>
      <c r="AE331">
        <v>9</v>
      </c>
      <c r="AF331">
        <v>5</v>
      </c>
      <c r="AG331">
        <v>4</v>
      </c>
      <c r="AH331">
        <v>9</v>
      </c>
      <c r="AI331">
        <v>5</v>
      </c>
      <c r="AJ331">
        <v>4</v>
      </c>
      <c r="AK331" t="s">
        <v>3257</v>
      </c>
      <c r="AL331" t="s">
        <v>3258</v>
      </c>
      <c r="AM331" t="s">
        <v>3259</v>
      </c>
      <c r="AN331" t="s">
        <v>3260</v>
      </c>
      <c r="AO331" t="s">
        <v>3261</v>
      </c>
      <c r="AP331" t="s">
        <v>3262</v>
      </c>
      <c r="AQ331" t="s">
        <v>3263</v>
      </c>
      <c r="AR331" t="s">
        <v>3264</v>
      </c>
      <c r="AS331" t="s">
        <v>3265</v>
      </c>
    </row>
    <row r="332" spans="1:45" x14ac:dyDescent="0.45">
      <c r="A332">
        <v>331</v>
      </c>
      <c r="B332">
        <v>372</v>
      </c>
      <c r="C332" t="s">
        <v>78</v>
      </c>
      <c r="D332" t="s">
        <v>73</v>
      </c>
      <c r="E332" t="s">
        <v>74</v>
      </c>
      <c r="F332" t="s">
        <v>77</v>
      </c>
      <c r="G332" t="s">
        <v>76</v>
      </c>
      <c r="H332">
        <v>28.060003082582007</v>
      </c>
      <c r="I332">
        <v>1</v>
      </c>
      <c r="J332">
        <v>8</v>
      </c>
      <c r="K332">
        <v>4</v>
      </c>
      <c r="L332">
        <v>4</v>
      </c>
      <c r="M332">
        <v>9</v>
      </c>
      <c r="N332">
        <v>4</v>
      </c>
      <c r="O332">
        <v>5</v>
      </c>
      <c r="P332">
        <v>7</v>
      </c>
      <c r="Q332">
        <v>5</v>
      </c>
      <c r="R332">
        <v>2</v>
      </c>
      <c r="S332">
        <v>9</v>
      </c>
      <c r="T332">
        <v>6</v>
      </c>
      <c r="U332">
        <v>3</v>
      </c>
      <c r="V332">
        <v>7</v>
      </c>
      <c r="W332">
        <v>4</v>
      </c>
      <c r="X332">
        <v>3</v>
      </c>
      <c r="Y332">
        <v>9</v>
      </c>
      <c r="Z332">
        <v>5</v>
      </c>
      <c r="AA332">
        <v>4</v>
      </c>
      <c r="AB332">
        <v>8</v>
      </c>
      <c r="AC332">
        <v>3</v>
      </c>
      <c r="AD332">
        <v>5</v>
      </c>
      <c r="AE332">
        <v>7</v>
      </c>
      <c r="AF332">
        <v>4</v>
      </c>
      <c r="AG332">
        <v>3</v>
      </c>
      <c r="AH332">
        <v>9</v>
      </c>
      <c r="AI332">
        <v>5</v>
      </c>
      <c r="AJ332">
        <v>4</v>
      </c>
      <c r="AK332" t="s">
        <v>3266</v>
      </c>
      <c r="AL332" t="s">
        <v>3267</v>
      </c>
      <c r="AM332" t="s">
        <v>3268</v>
      </c>
      <c r="AN332" t="s">
        <v>3269</v>
      </c>
      <c r="AO332" t="s">
        <v>3270</v>
      </c>
      <c r="AP332" t="s">
        <v>3271</v>
      </c>
      <c r="AQ332" t="s">
        <v>3272</v>
      </c>
      <c r="AR332" t="s">
        <v>3273</v>
      </c>
      <c r="AS332" t="s">
        <v>3274</v>
      </c>
    </row>
    <row r="333" spans="1:45" x14ac:dyDescent="0.45">
      <c r="A333">
        <v>332</v>
      </c>
      <c r="B333">
        <v>373</v>
      </c>
      <c r="C333" t="s">
        <v>72</v>
      </c>
      <c r="D333" t="s">
        <v>189</v>
      </c>
      <c r="E333" t="s">
        <v>74</v>
      </c>
      <c r="F333" t="s">
        <v>77</v>
      </c>
      <c r="G333" t="s">
        <v>76</v>
      </c>
      <c r="H333">
        <v>19.229504179534565</v>
      </c>
      <c r="I333">
        <v>0</v>
      </c>
      <c r="J333">
        <v>6</v>
      </c>
      <c r="K333">
        <v>7</v>
      </c>
      <c r="L333">
        <v>-1</v>
      </c>
      <c r="M333">
        <v>6</v>
      </c>
      <c r="N333">
        <v>7</v>
      </c>
      <c r="O333">
        <v>-1</v>
      </c>
      <c r="P333">
        <v>7</v>
      </c>
      <c r="Q333">
        <v>9</v>
      </c>
      <c r="R333">
        <v>-2</v>
      </c>
      <c r="S333">
        <v>8</v>
      </c>
      <c r="T333">
        <v>9</v>
      </c>
      <c r="U333">
        <v>-1</v>
      </c>
      <c r="V333">
        <v>6</v>
      </c>
      <c r="W333">
        <v>8</v>
      </c>
      <c r="X333">
        <v>-2</v>
      </c>
      <c r="Y333">
        <v>8</v>
      </c>
      <c r="Z333">
        <v>9</v>
      </c>
      <c r="AA333">
        <v>-1</v>
      </c>
      <c r="AB333">
        <v>6</v>
      </c>
      <c r="AC333">
        <v>7</v>
      </c>
      <c r="AD333">
        <v>-1</v>
      </c>
      <c r="AE333">
        <v>7</v>
      </c>
      <c r="AF333">
        <v>9</v>
      </c>
      <c r="AG333">
        <v>-2</v>
      </c>
      <c r="AH333">
        <v>8</v>
      </c>
      <c r="AI333">
        <v>9</v>
      </c>
      <c r="AJ333">
        <v>-1</v>
      </c>
      <c r="AK333" t="s">
        <v>3275</v>
      </c>
      <c r="AL333" t="s">
        <v>3276</v>
      </c>
      <c r="AM333" t="s">
        <v>3277</v>
      </c>
      <c r="AN333" t="s">
        <v>3278</v>
      </c>
      <c r="AO333" t="s">
        <v>3279</v>
      </c>
      <c r="AP333" t="s">
        <v>3280</v>
      </c>
      <c r="AQ333" t="s">
        <v>3281</v>
      </c>
      <c r="AR333" t="s">
        <v>3282</v>
      </c>
      <c r="AS333" t="s">
        <v>3283</v>
      </c>
    </row>
    <row r="334" spans="1:45" x14ac:dyDescent="0.45">
      <c r="A334">
        <v>333</v>
      </c>
      <c r="B334">
        <v>374</v>
      </c>
      <c r="C334" t="s">
        <v>78</v>
      </c>
      <c r="D334" t="s">
        <v>79</v>
      </c>
      <c r="E334" t="s">
        <v>74</v>
      </c>
      <c r="F334" t="s">
        <v>75</v>
      </c>
      <c r="G334" t="s">
        <v>76</v>
      </c>
      <c r="H334">
        <v>72.905025546684229</v>
      </c>
      <c r="I334">
        <v>1</v>
      </c>
      <c r="J334">
        <v>7</v>
      </c>
      <c r="K334">
        <v>6</v>
      </c>
      <c r="L334">
        <v>1</v>
      </c>
      <c r="M334">
        <v>8</v>
      </c>
      <c r="N334">
        <v>6</v>
      </c>
      <c r="O334">
        <v>2</v>
      </c>
      <c r="P334">
        <v>9</v>
      </c>
      <c r="Q334">
        <v>8</v>
      </c>
      <c r="R334">
        <v>1</v>
      </c>
      <c r="S334">
        <v>8</v>
      </c>
      <c r="T334">
        <v>8</v>
      </c>
      <c r="U334">
        <v>0</v>
      </c>
      <c r="V334">
        <v>9</v>
      </c>
      <c r="W334">
        <v>6</v>
      </c>
      <c r="X334">
        <v>3</v>
      </c>
      <c r="Y334">
        <v>8</v>
      </c>
      <c r="Z334">
        <v>7</v>
      </c>
      <c r="AA334">
        <v>1</v>
      </c>
      <c r="AB334">
        <v>9</v>
      </c>
      <c r="AC334">
        <v>6</v>
      </c>
      <c r="AD334">
        <v>3</v>
      </c>
      <c r="AE334">
        <v>8</v>
      </c>
      <c r="AF334">
        <v>7</v>
      </c>
      <c r="AG334">
        <v>1</v>
      </c>
      <c r="AH334">
        <v>9</v>
      </c>
      <c r="AI334">
        <v>7</v>
      </c>
      <c r="AJ334">
        <v>2</v>
      </c>
      <c r="AK334" t="s">
        <v>3284</v>
      </c>
      <c r="AL334" t="s">
        <v>3285</v>
      </c>
      <c r="AM334" t="s">
        <v>3286</v>
      </c>
      <c r="AN334" t="s">
        <v>3287</v>
      </c>
      <c r="AO334" t="s">
        <v>3288</v>
      </c>
      <c r="AP334" t="s">
        <v>3289</v>
      </c>
      <c r="AQ334" t="s">
        <v>3290</v>
      </c>
      <c r="AR334" t="s">
        <v>3291</v>
      </c>
      <c r="AS334" t="s">
        <v>3292</v>
      </c>
    </row>
    <row r="335" spans="1:45" x14ac:dyDescent="0.45">
      <c r="A335">
        <v>334</v>
      </c>
      <c r="B335">
        <v>375</v>
      </c>
      <c r="C335" t="s">
        <v>72</v>
      </c>
      <c r="D335" t="s">
        <v>191</v>
      </c>
      <c r="E335" t="s">
        <v>74</v>
      </c>
      <c r="F335" t="s">
        <v>75</v>
      </c>
      <c r="G335" t="s">
        <v>162</v>
      </c>
      <c r="H335">
        <v>108.82670681025888</v>
      </c>
      <c r="I335">
        <v>3</v>
      </c>
      <c r="J335">
        <v>8</v>
      </c>
      <c r="K335">
        <v>2</v>
      </c>
      <c r="L335">
        <v>6</v>
      </c>
      <c r="M335">
        <v>9</v>
      </c>
      <c r="N335">
        <v>2</v>
      </c>
      <c r="O335">
        <v>7</v>
      </c>
      <c r="P335">
        <v>7</v>
      </c>
      <c r="Q335">
        <v>3</v>
      </c>
      <c r="R335">
        <v>4</v>
      </c>
      <c r="S335">
        <v>9</v>
      </c>
      <c r="T335">
        <v>5</v>
      </c>
      <c r="U335">
        <v>4</v>
      </c>
      <c r="V335">
        <v>8</v>
      </c>
      <c r="W335">
        <v>1</v>
      </c>
      <c r="X335">
        <v>7</v>
      </c>
      <c r="Y335">
        <v>9</v>
      </c>
      <c r="Z335">
        <v>1</v>
      </c>
      <c r="AA335">
        <v>8</v>
      </c>
      <c r="AB335">
        <v>8</v>
      </c>
      <c r="AC335">
        <v>1</v>
      </c>
      <c r="AD335">
        <v>7</v>
      </c>
      <c r="AE335">
        <v>9</v>
      </c>
      <c r="AF335">
        <v>3</v>
      </c>
      <c r="AG335">
        <v>6</v>
      </c>
      <c r="AH335">
        <v>10</v>
      </c>
      <c r="AI335">
        <v>1</v>
      </c>
      <c r="AJ335">
        <v>9</v>
      </c>
      <c r="AK335" t="s">
        <v>3293</v>
      </c>
      <c r="AL335" t="s">
        <v>3294</v>
      </c>
      <c r="AM335" t="s">
        <v>3295</v>
      </c>
      <c r="AN335" t="s">
        <v>3296</v>
      </c>
      <c r="AO335" t="s">
        <v>3297</v>
      </c>
      <c r="AP335" t="s">
        <v>3298</v>
      </c>
      <c r="AQ335" t="s">
        <v>3299</v>
      </c>
      <c r="AR335" t="s">
        <v>3300</v>
      </c>
      <c r="AS335" t="s">
        <v>3301</v>
      </c>
    </row>
    <row r="336" spans="1:45" x14ac:dyDescent="0.45">
      <c r="A336">
        <v>335</v>
      </c>
      <c r="B336">
        <v>376</v>
      </c>
      <c r="C336" t="s">
        <v>78</v>
      </c>
      <c r="D336" t="s">
        <v>189</v>
      </c>
      <c r="E336" t="s">
        <v>74</v>
      </c>
      <c r="F336" t="s">
        <v>77</v>
      </c>
      <c r="G336" t="s">
        <v>76</v>
      </c>
      <c r="H336">
        <v>14.724893700157214</v>
      </c>
      <c r="I336">
        <v>0</v>
      </c>
      <c r="J336">
        <v>7</v>
      </c>
      <c r="K336">
        <v>7</v>
      </c>
      <c r="L336">
        <v>0</v>
      </c>
      <c r="M336">
        <v>6</v>
      </c>
      <c r="N336">
        <v>7</v>
      </c>
      <c r="O336">
        <v>-1</v>
      </c>
      <c r="P336">
        <v>8</v>
      </c>
      <c r="Q336">
        <v>8</v>
      </c>
      <c r="R336">
        <v>0</v>
      </c>
      <c r="S336">
        <v>9</v>
      </c>
      <c r="T336">
        <v>10</v>
      </c>
      <c r="U336">
        <v>-1</v>
      </c>
      <c r="V336">
        <v>7</v>
      </c>
      <c r="W336">
        <v>9</v>
      </c>
      <c r="X336">
        <v>-2</v>
      </c>
      <c r="Y336">
        <v>8</v>
      </c>
      <c r="Z336">
        <v>10</v>
      </c>
      <c r="AA336">
        <v>-2</v>
      </c>
      <c r="AB336">
        <v>7</v>
      </c>
      <c r="AC336">
        <v>8</v>
      </c>
      <c r="AD336">
        <v>-1</v>
      </c>
      <c r="AE336">
        <v>8</v>
      </c>
      <c r="AF336">
        <v>8</v>
      </c>
      <c r="AG336">
        <v>0</v>
      </c>
      <c r="AH336">
        <v>9</v>
      </c>
      <c r="AI336">
        <v>10</v>
      </c>
      <c r="AJ336">
        <v>-1</v>
      </c>
      <c r="AK336" t="s">
        <v>3302</v>
      </c>
      <c r="AL336" t="s">
        <v>3303</v>
      </c>
      <c r="AM336" t="s">
        <v>3304</v>
      </c>
      <c r="AN336" t="s">
        <v>3305</v>
      </c>
      <c r="AO336" t="s">
        <v>3306</v>
      </c>
      <c r="AP336" t="s">
        <v>3307</v>
      </c>
      <c r="AQ336" t="s">
        <v>3308</v>
      </c>
      <c r="AR336" t="s">
        <v>3309</v>
      </c>
      <c r="AS336" t="s">
        <v>3310</v>
      </c>
    </row>
    <row r="337" spans="1:45" x14ac:dyDescent="0.45">
      <c r="A337">
        <v>336</v>
      </c>
      <c r="B337">
        <v>377</v>
      </c>
      <c r="C337" t="s">
        <v>72</v>
      </c>
      <c r="D337" t="s">
        <v>81</v>
      </c>
      <c r="E337" t="s">
        <v>74</v>
      </c>
      <c r="F337" t="s">
        <v>77</v>
      </c>
      <c r="G337" t="s">
        <v>76</v>
      </c>
      <c r="H337">
        <v>20.268198988321885</v>
      </c>
      <c r="I337">
        <v>0</v>
      </c>
      <c r="J337">
        <v>9</v>
      </c>
      <c r="K337">
        <v>4</v>
      </c>
      <c r="L337">
        <v>5</v>
      </c>
      <c r="M337">
        <v>8</v>
      </c>
      <c r="N337">
        <v>5</v>
      </c>
      <c r="O337">
        <v>3</v>
      </c>
      <c r="P337">
        <v>9</v>
      </c>
      <c r="Q337">
        <v>5</v>
      </c>
      <c r="R337">
        <v>4</v>
      </c>
      <c r="S337">
        <v>8</v>
      </c>
      <c r="T337">
        <v>6</v>
      </c>
      <c r="U337">
        <v>2</v>
      </c>
      <c r="V337">
        <v>9</v>
      </c>
      <c r="W337">
        <v>5</v>
      </c>
      <c r="X337">
        <v>4</v>
      </c>
      <c r="Y337">
        <v>8</v>
      </c>
      <c r="Z337">
        <v>6</v>
      </c>
      <c r="AA337">
        <v>2</v>
      </c>
      <c r="AB337">
        <v>8</v>
      </c>
      <c r="AC337">
        <v>5</v>
      </c>
      <c r="AD337">
        <v>3</v>
      </c>
      <c r="AE337">
        <v>9</v>
      </c>
      <c r="AF337">
        <v>5</v>
      </c>
      <c r="AG337">
        <v>4</v>
      </c>
      <c r="AH337">
        <v>9</v>
      </c>
      <c r="AI337">
        <v>6</v>
      </c>
      <c r="AJ337">
        <v>3</v>
      </c>
      <c r="AK337" t="s">
        <v>823</v>
      </c>
      <c r="AL337" t="s">
        <v>824</v>
      </c>
      <c r="AM337" t="s">
        <v>3311</v>
      </c>
      <c r="AN337" t="s">
        <v>3312</v>
      </c>
      <c r="AO337" t="s">
        <v>3313</v>
      </c>
      <c r="AP337" t="s">
        <v>3314</v>
      </c>
      <c r="AQ337" t="s">
        <v>3315</v>
      </c>
      <c r="AR337" t="s">
        <v>3316</v>
      </c>
      <c r="AS337" t="s">
        <v>3317</v>
      </c>
    </row>
    <row r="338" spans="1:45" x14ac:dyDescent="0.45">
      <c r="A338">
        <v>337</v>
      </c>
      <c r="B338">
        <v>378</v>
      </c>
      <c r="C338" t="s">
        <v>78</v>
      </c>
      <c r="D338" t="s">
        <v>73</v>
      </c>
      <c r="E338" t="s">
        <v>74</v>
      </c>
      <c r="F338" t="s">
        <v>77</v>
      </c>
      <c r="G338" t="s">
        <v>76</v>
      </c>
      <c r="H338">
        <v>23.930932802166915</v>
      </c>
      <c r="I338">
        <v>0</v>
      </c>
      <c r="J338">
        <v>8</v>
      </c>
      <c r="K338">
        <v>7</v>
      </c>
      <c r="L338">
        <v>1</v>
      </c>
      <c r="M338">
        <v>9</v>
      </c>
      <c r="N338">
        <v>8</v>
      </c>
      <c r="O338">
        <v>1</v>
      </c>
      <c r="P338">
        <v>8</v>
      </c>
      <c r="Q338">
        <v>7</v>
      </c>
      <c r="R338">
        <v>1</v>
      </c>
      <c r="S338">
        <v>9</v>
      </c>
      <c r="T338">
        <v>7</v>
      </c>
      <c r="U338">
        <v>2</v>
      </c>
      <c r="V338">
        <v>7</v>
      </c>
      <c r="W338">
        <v>6</v>
      </c>
      <c r="X338">
        <v>1</v>
      </c>
      <c r="Y338">
        <v>8</v>
      </c>
      <c r="Z338">
        <v>8</v>
      </c>
      <c r="AA338">
        <v>0</v>
      </c>
      <c r="AB338">
        <v>9</v>
      </c>
      <c r="AC338">
        <v>6</v>
      </c>
      <c r="AD338">
        <v>3</v>
      </c>
      <c r="AE338">
        <v>8</v>
      </c>
      <c r="AF338">
        <v>8</v>
      </c>
      <c r="AG338">
        <v>0</v>
      </c>
      <c r="AH338">
        <v>9</v>
      </c>
      <c r="AI338">
        <v>8</v>
      </c>
      <c r="AJ338">
        <v>1</v>
      </c>
      <c r="AK338" t="s">
        <v>202</v>
      </c>
      <c r="AL338" t="s">
        <v>202</v>
      </c>
      <c r="AM338" t="s">
        <v>202</v>
      </c>
      <c r="AN338" t="s">
        <v>202</v>
      </c>
      <c r="AO338" t="s">
        <v>202</v>
      </c>
      <c r="AP338" t="s">
        <v>202</v>
      </c>
      <c r="AQ338" t="s">
        <v>202</v>
      </c>
      <c r="AR338" t="s">
        <v>202</v>
      </c>
      <c r="AS338" t="s">
        <v>202</v>
      </c>
    </row>
    <row r="339" spans="1:45" x14ac:dyDescent="0.45">
      <c r="A339">
        <v>338</v>
      </c>
      <c r="B339">
        <v>379</v>
      </c>
      <c r="C339" t="s">
        <v>78</v>
      </c>
      <c r="D339" t="s">
        <v>189</v>
      </c>
      <c r="E339" t="s">
        <v>74</v>
      </c>
      <c r="F339" t="s">
        <v>77</v>
      </c>
      <c r="G339" t="s">
        <v>76</v>
      </c>
      <c r="H339">
        <v>15.800376650805926</v>
      </c>
      <c r="I339">
        <v>0</v>
      </c>
      <c r="J339">
        <v>7</v>
      </c>
      <c r="K339">
        <v>8</v>
      </c>
      <c r="L339">
        <v>-1</v>
      </c>
      <c r="M339">
        <v>6</v>
      </c>
      <c r="N339">
        <v>8</v>
      </c>
      <c r="O339">
        <v>-2</v>
      </c>
      <c r="P339">
        <v>8</v>
      </c>
      <c r="Q339">
        <v>9</v>
      </c>
      <c r="R339">
        <v>-1</v>
      </c>
      <c r="S339">
        <v>9</v>
      </c>
      <c r="T339">
        <v>9</v>
      </c>
      <c r="U339">
        <v>0</v>
      </c>
      <c r="V339">
        <v>6</v>
      </c>
      <c r="W339">
        <v>8</v>
      </c>
      <c r="X339">
        <v>-2</v>
      </c>
      <c r="Y339">
        <v>9</v>
      </c>
      <c r="Z339">
        <v>9</v>
      </c>
      <c r="AA339">
        <v>0</v>
      </c>
      <c r="AB339">
        <v>7</v>
      </c>
      <c r="AC339">
        <v>10</v>
      </c>
      <c r="AD339">
        <v>-3</v>
      </c>
      <c r="AE339">
        <v>8</v>
      </c>
      <c r="AF339">
        <v>9</v>
      </c>
      <c r="AG339">
        <v>-1</v>
      </c>
      <c r="AH339">
        <v>9</v>
      </c>
      <c r="AI339">
        <v>10</v>
      </c>
      <c r="AJ339">
        <v>-1</v>
      </c>
      <c r="AK339" t="s">
        <v>3318</v>
      </c>
      <c r="AL339" t="s">
        <v>3319</v>
      </c>
      <c r="AM339" t="s">
        <v>3320</v>
      </c>
      <c r="AN339" t="s">
        <v>3321</v>
      </c>
      <c r="AO339" t="s">
        <v>3322</v>
      </c>
      <c r="AP339" t="s">
        <v>3323</v>
      </c>
      <c r="AQ339" t="s">
        <v>3324</v>
      </c>
      <c r="AR339" t="s">
        <v>3325</v>
      </c>
      <c r="AS339" t="s">
        <v>3326</v>
      </c>
    </row>
    <row r="340" spans="1:45" x14ac:dyDescent="0.45">
      <c r="A340">
        <v>339</v>
      </c>
      <c r="B340">
        <v>380</v>
      </c>
      <c r="C340" t="s">
        <v>72</v>
      </c>
      <c r="D340" t="s">
        <v>189</v>
      </c>
      <c r="E340" t="s">
        <v>74</v>
      </c>
      <c r="F340" t="s">
        <v>77</v>
      </c>
      <c r="G340" t="s">
        <v>76</v>
      </c>
      <c r="H340">
        <v>16.735042580295506</v>
      </c>
      <c r="I340">
        <v>0</v>
      </c>
      <c r="J340">
        <v>5</v>
      </c>
      <c r="K340">
        <v>7</v>
      </c>
      <c r="L340">
        <v>-2</v>
      </c>
      <c r="M340">
        <v>6</v>
      </c>
      <c r="N340">
        <v>7</v>
      </c>
      <c r="O340">
        <v>-1</v>
      </c>
      <c r="P340">
        <v>9</v>
      </c>
      <c r="Q340">
        <v>8</v>
      </c>
      <c r="R340">
        <v>1</v>
      </c>
      <c r="S340">
        <v>8</v>
      </c>
      <c r="T340">
        <v>8</v>
      </c>
      <c r="U340">
        <v>0</v>
      </c>
      <c r="V340">
        <v>7</v>
      </c>
      <c r="W340">
        <v>6</v>
      </c>
      <c r="X340">
        <v>1</v>
      </c>
      <c r="Y340">
        <v>8</v>
      </c>
      <c r="Z340">
        <v>7</v>
      </c>
      <c r="AA340">
        <v>1</v>
      </c>
      <c r="AB340">
        <v>7</v>
      </c>
      <c r="AC340">
        <v>6</v>
      </c>
      <c r="AD340">
        <v>1</v>
      </c>
      <c r="AE340">
        <v>6</v>
      </c>
      <c r="AF340">
        <v>6</v>
      </c>
      <c r="AG340">
        <v>0</v>
      </c>
      <c r="AH340">
        <v>8</v>
      </c>
      <c r="AI340">
        <v>7</v>
      </c>
      <c r="AJ340">
        <v>1</v>
      </c>
      <c r="AK340" t="s">
        <v>3327</v>
      </c>
      <c r="AL340" t="s">
        <v>3328</v>
      </c>
      <c r="AM340" t="s">
        <v>3329</v>
      </c>
      <c r="AN340" t="s">
        <v>3330</v>
      </c>
      <c r="AO340" t="s">
        <v>3331</v>
      </c>
      <c r="AP340" t="s">
        <v>3332</v>
      </c>
      <c r="AQ340" t="s">
        <v>3333</v>
      </c>
      <c r="AR340" t="s">
        <v>3334</v>
      </c>
      <c r="AS340" t="s">
        <v>3335</v>
      </c>
    </row>
    <row r="341" spans="1:45" x14ac:dyDescent="0.45">
      <c r="A341">
        <v>340</v>
      </c>
      <c r="B341">
        <v>381</v>
      </c>
      <c r="C341" t="s">
        <v>78</v>
      </c>
      <c r="D341" t="s">
        <v>81</v>
      </c>
      <c r="E341" t="s">
        <v>74</v>
      </c>
      <c r="F341" t="s">
        <v>77</v>
      </c>
      <c r="G341" t="s">
        <v>76</v>
      </c>
      <c r="H341">
        <v>13.160067555007622</v>
      </c>
      <c r="I341">
        <v>0</v>
      </c>
      <c r="J341">
        <v>6</v>
      </c>
      <c r="K341">
        <v>7</v>
      </c>
      <c r="L341">
        <v>-1</v>
      </c>
      <c r="M341">
        <v>7</v>
      </c>
      <c r="N341">
        <v>8</v>
      </c>
      <c r="O341">
        <v>-1</v>
      </c>
      <c r="P341">
        <v>9</v>
      </c>
      <c r="Q341">
        <v>8</v>
      </c>
      <c r="R341">
        <v>1</v>
      </c>
      <c r="S341">
        <v>8</v>
      </c>
      <c r="T341">
        <v>8</v>
      </c>
      <c r="U341">
        <v>0</v>
      </c>
      <c r="V341">
        <v>7</v>
      </c>
      <c r="W341">
        <v>5</v>
      </c>
      <c r="X341">
        <v>2</v>
      </c>
      <c r="Y341">
        <v>8</v>
      </c>
      <c r="Z341">
        <v>8</v>
      </c>
      <c r="AA341">
        <v>0</v>
      </c>
      <c r="AB341">
        <v>6</v>
      </c>
      <c r="AC341">
        <v>5</v>
      </c>
      <c r="AD341">
        <v>1</v>
      </c>
      <c r="AE341">
        <v>8</v>
      </c>
      <c r="AF341">
        <v>8</v>
      </c>
      <c r="AG341">
        <v>0</v>
      </c>
      <c r="AH341">
        <v>9</v>
      </c>
      <c r="AI341">
        <v>8</v>
      </c>
      <c r="AJ341">
        <v>1</v>
      </c>
      <c r="AK341" t="s">
        <v>3336</v>
      </c>
      <c r="AL341" t="s">
        <v>3337</v>
      </c>
      <c r="AM341" t="s">
        <v>3338</v>
      </c>
      <c r="AN341" t="s">
        <v>3339</v>
      </c>
      <c r="AO341" t="s">
        <v>3340</v>
      </c>
      <c r="AP341" t="s">
        <v>3341</v>
      </c>
      <c r="AQ341" t="s">
        <v>3342</v>
      </c>
      <c r="AR341" t="s">
        <v>3343</v>
      </c>
      <c r="AS341" t="s">
        <v>3344</v>
      </c>
    </row>
    <row r="342" spans="1:45" x14ac:dyDescent="0.45">
      <c r="A342">
        <v>341</v>
      </c>
      <c r="B342">
        <v>382</v>
      </c>
      <c r="C342" t="s">
        <v>72</v>
      </c>
      <c r="D342" t="s">
        <v>189</v>
      </c>
      <c r="E342" t="s">
        <v>74</v>
      </c>
      <c r="F342" t="s">
        <v>77</v>
      </c>
      <c r="G342" t="s">
        <v>76</v>
      </c>
      <c r="H342">
        <v>12</v>
      </c>
      <c r="I342">
        <v>0</v>
      </c>
      <c r="J342">
        <v>8</v>
      </c>
      <c r="K342">
        <v>8</v>
      </c>
      <c r="L342">
        <v>0</v>
      </c>
      <c r="M342">
        <v>9</v>
      </c>
      <c r="N342">
        <v>8</v>
      </c>
      <c r="O342">
        <v>1</v>
      </c>
      <c r="P342">
        <v>9</v>
      </c>
      <c r="Q342">
        <v>8</v>
      </c>
      <c r="R342">
        <v>1</v>
      </c>
      <c r="S342">
        <v>10</v>
      </c>
      <c r="T342">
        <v>9</v>
      </c>
      <c r="U342">
        <v>1</v>
      </c>
      <c r="V342">
        <v>8</v>
      </c>
      <c r="W342">
        <v>8</v>
      </c>
      <c r="X342">
        <v>0</v>
      </c>
      <c r="Y342">
        <v>9</v>
      </c>
      <c r="Z342">
        <v>8</v>
      </c>
      <c r="AA342">
        <v>1</v>
      </c>
      <c r="AB342">
        <v>8</v>
      </c>
      <c r="AC342">
        <v>7</v>
      </c>
      <c r="AD342">
        <v>1</v>
      </c>
      <c r="AE342">
        <v>9</v>
      </c>
      <c r="AF342">
        <v>7</v>
      </c>
      <c r="AG342">
        <v>2</v>
      </c>
      <c r="AH342">
        <v>8</v>
      </c>
      <c r="AI342">
        <v>8</v>
      </c>
      <c r="AJ342">
        <v>0</v>
      </c>
      <c r="AK342" t="s">
        <v>581</v>
      </c>
      <c r="AL342" t="s">
        <v>582</v>
      </c>
      <c r="AM342" t="s">
        <v>583</v>
      </c>
      <c r="AN342" t="s">
        <v>584</v>
      </c>
      <c r="AO342" t="s">
        <v>585</v>
      </c>
      <c r="AP342" t="s">
        <v>586</v>
      </c>
      <c r="AQ342" t="s">
        <v>587</v>
      </c>
      <c r="AR342" t="s">
        <v>588</v>
      </c>
      <c r="AS342" t="s">
        <v>589</v>
      </c>
    </row>
    <row r="343" spans="1:45" x14ac:dyDescent="0.45">
      <c r="A343">
        <v>342</v>
      </c>
      <c r="B343">
        <v>383</v>
      </c>
      <c r="C343" t="s">
        <v>78</v>
      </c>
      <c r="D343" t="s">
        <v>189</v>
      </c>
      <c r="E343" t="s">
        <v>74</v>
      </c>
      <c r="F343" t="s">
        <v>77</v>
      </c>
      <c r="G343" t="s">
        <v>76</v>
      </c>
      <c r="H343">
        <v>12</v>
      </c>
      <c r="I343">
        <v>0</v>
      </c>
      <c r="J343">
        <v>7</v>
      </c>
      <c r="K343">
        <v>5</v>
      </c>
      <c r="L343">
        <v>2</v>
      </c>
      <c r="M343">
        <v>9</v>
      </c>
      <c r="N343">
        <v>5</v>
      </c>
      <c r="O343">
        <v>4</v>
      </c>
      <c r="P343">
        <v>8</v>
      </c>
      <c r="Q343">
        <v>6</v>
      </c>
      <c r="R343">
        <v>2</v>
      </c>
      <c r="S343">
        <v>9</v>
      </c>
      <c r="T343">
        <v>7</v>
      </c>
      <c r="U343">
        <v>2</v>
      </c>
      <c r="V343">
        <v>8</v>
      </c>
      <c r="W343">
        <v>5</v>
      </c>
      <c r="X343">
        <v>3</v>
      </c>
      <c r="Y343">
        <v>9</v>
      </c>
      <c r="Z343">
        <v>8</v>
      </c>
      <c r="AA343">
        <v>1</v>
      </c>
      <c r="AB343">
        <v>8</v>
      </c>
      <c r="AC343">
        <v>6</v>
      </c>
      <c r="AD343">
        <v>2</v>
      </c>
      <c r="AE343">
        <v>7</v>
      </c>
      <c r="AF343">
        <v>6</v>
      </c>
      <c r="AG343">
        <v>1</v>
      </c>
      <c r="AH343">
        <v>9</v>
      </c>
      <c r="AI343">
        <v>7</v>
      </c>
      <c r="AJ343">
        <v>2</v>
      </c>
      <c r="AK343" t="s">
        <v>590</v>
      </c>
      <c r="AL343" t="s">
        <v>591</v>
      </c>
      <c r="AM343" t="s">
        <v>592</v>
      </c>
      <c r="AN343" t="s">
        <v>593</v>
      </c>
      <c r="AO343" t="s">
        <v>594</v>
      </c>
      <c r="AP343" t="s">
        <v>595</v>
      </c>
      <c r="AQ343" t="s">
        <v>596</v>
      </c>
      <c r="AR343" t="s">
        <v>597</v>
      </c>
      <c r="AS343" t="s">
        <v>598</v>
      </c>
    </row>
    <row r="344" spans="1:45" x14ac:dyDescent="0.45">
      <c r="A344">
        <v>343</v>
      </c>
      <c r="B344">
        <v>384</v>
      </c>
      <c r="C344" t="s">
        <v>78</v>
      </c>
      <c r="D344" t="s">
        <v>81</v>
      </c>
      <c r="E344" t="s">
        <v>74</v>
      </c>
      <c r="F344" t="s">
        <v>77</v>
      </c>
      <c r="G344" t="s">
        <v>76</v>
      </c>
      <c r="H344">
        <v>12.517941053446794</v>
      </c>
      <c r="I344">
        <v>0</v>
      </c>
      <c r="J344">
        <v>6</v>
      </c>
      <c r="K344">
        <v>7</v>
      </c>
      <c r="L344">
        <v>-1</v>
      </c>
      <c r="M344">
        <v>7</v>
      </c>
      <c r="N344">
        <v>7</v>
      </c>
      <c r="O344">
        <v>0</v>
      </c>
      <c r="P344">
        <v>9</v>
      </c>
      <c r="Q344">
        <v>8</v>
      </c>
      <c r="R344">
        <v>1</v>
      </c>
      <c r="S344">
        <v>8</v>
      </c>
      <c r="T344">
        <v>7</v>
      </c>
      <c r="U344">
        <v>1</v>
      </c>
      <c r="V344">
        <v>7</v>
      </c>
      <c r="W344">
        <v>8</v>
      </c>
      <c r="X344">
        <v>-1</v>
      </c>
      <c r="Y344">
        <v>9</v>
      </c>
      <c r="Z344">
        <v>8</v>
      </c>
      <c r="AA344">
        <v>1</v>
      </c>
      <c r="AB344">
        <v>8</v>
      </c>
      <c r="AC344">
        <v>8</v>
      </c>
      <c r="AD344">
        <v>0</v>
      </c>
      <c r="AE344">
        <v>9</v>
      </c>
      <c r="AF344">
        <v>7</v>
      </c>
      <c r="AG344">
        <v>2</v>
      </c>
      <c r="AH344">
        <v>8</v>
      </c>
      <c r="AI344">
        <v>8</v>
      </c>
      <c r="AJ344">
        <v>0</v>
      </c>
      <c r="AK344" t="s">
        <v>3345</v>
      </c>
      <c r="AL344" t="s">
        <v>3346</v>
      </c>
      <c r="AM344" t="s">
        <v>3347</v>
      </c>
      <c r="AN344" t="s">
        <v>3348</v>
      </c>
      <c r="AO344" t="s">
        <v>3349</v>
      </c>
      <c r="AP344" t="s">
        <v>3350</v>
      </c>
      <c r="AQ344" t="s">
        <v>3351</v>
      </c>
      <c r="AR344" t="s">
        <v>3352</v>
      </c>
      <c r="AS344" t="s">
        <v>3353</v>
      </c>
    </row>
    <row r="345" spans="1:45" x14ac:dyDescent="0.45">
      <c r="A345">
        <v>344</v>
      </c>
      <c r="B345">
        <v>385</v>
      </c>
      <c r="C345" t="s">
        <v>78</v>
      </c>
      <c r="D345" t="s">
        <v>73</v>
      </c>
      <c r="E345" t="s">
        <v>74</v>
      </c>
      <c r="F345" t="s">
        <v>75</v>
      </c>
      <c r="G345" t="s">
        <v>76</v>
      </c>
      <c r="H345">
        <v>68.446766351546984</v>
      </c>
      <c r="I345">
        <v>2</v>
      </c>
      <c r="J345">
        <v>8</v>
      </c>
      <c r="K345">
        <v>7</v>
      </c>
      <c r="L345">
        <v>1</v>
      </c>
      <c r="M345">
        <v>7</v>
      </c>
      <c r="N345">
        <v>7</v>
      </c>
      <c r="O345">
        <v>0</v>
      </c>
      <c r="P345">
        <v>9</v>
      </c>
      <c r="Q345">
        <v>5</v>
      </c>
      <c r="R345">
        <v>4</v>
      </c>
      <c r="S345">
        <v>8</v>
      </c>
      <c r="T345">
        <v>8</v>
      </c>
      <c r="U345">
        <v>0</v>
      </c>
      <c r="V345">
        <v>9</v>
      </c>
      <c r="W345">
        <v>6</v>
      </c>
      <c r="X345">
        <v>3</v>
      </c>
      <c r="Y345">
        <v>8</v>
      </c>
      <c r="Z345">
        <v>5</v>
      </c>
      <c r="AA345">
        <v>3</v>
      </c>
      <c r="AB345">
        <v>9</v>
      </c>
      <c r="AC345">
        <v>5</v>
      </c>
      <c r="AD345">
        <v>4</v>
      </c>
      <c r="AE345">
        <v>8</v>
      </c>
      <c r="AF345">
        <v>6</v>
      </c>
      <c r="AG345">
        <v>2</v>
      </c>
      <c r="AH345">
        <v>9</v>
      </c>
      <c r="AI345">
        <v>5</v>
      </c>
      <c r="AJ345">
        <v>4</v>
      </c>
      <c r="AK345" t="s">
        <v>826</v>
      </c>
      <c r="AL345" t="s">
        <v>827</v>
      </c>
      <c r="AM345" t="s">
        <v>828</v>
      </c>
      <c r="AN345" t="s">
        <v>829</v>
      </c>
      <c r="AO345" t="s">
        <v>830</v>
      </c>
      <c r="AP345" t="s">
        <v>831</v>
      </c>
      <c r="AQ345" t="s">
        <v>3354</v>
      </c>
      <c r="AR345" t="s">
        <v>3355</v>
      </c>
      <c r="AS345" t="s">
        <v>3356</v>
      </c>
    </row>
    <row r="346" spans="1:45" x14ac:dyDescent="0.45">
      <c r="A346">
        <v>345</v>
      </c>
      <c r="B346">
        <v>386</v>
      </c>
      <c r="C346" t="s">
        <v>72</v>
      </c>
      <c r="D346" t="s">
        <v>81</v>
      </c>
      <c r="E346" t="s">
        <v>74</v>
      </c>
      <c r="F346" t="s">
        <v>77</v>
      </c>
      <c r="G346" t="s">
        <v>76</v>
      </c>
      <c r="H346">
        <v>14.742170915188529</v>
      </c>
      <c r="I346">
        <v>0</v>
      </c>
      <c r="J346">
        <v>6</v>
      </c>
      <c r="K346">
        <v>7</v>
      </c>
      <c r="L346">
        <v>-1</v>
      </c>
      <c r="M346">
        <v>7</v>
      </c>
      <c r="N346">
        <v>7</v>
      </c>
      <c r="O346">
        <v>0</v>
      </c>
      <c r="P346">
        <v>9</v>
      </c>
      <c r="Q346">
        <v>5</v>
      </c>
      <c r="R346">
        <v>4</v>
      </c>
      <c r="S346">
        <v>9</v>
      </c>
      <c r="T346">
        <v>8</v>
      </c>
      <c r="U346">
        <v>1</v>
      </c>
      <c r="V346">
        <v>7</v>
      </c>
      <c r="W346">
        <v>7</v>
      </c>
      <c r="X346">
        <v>0</v>
      </c>
      <c r="Y346">
        <v>8</v>
      </c>
      <c r="Z346">
        <v>7</v>
      </c>
      <c r="AA346">
        <v>1</v>
      </c>
      <c r="AB346">
        <v>7</v>
      </c>
      <c r="AC346">
        <v>6</v>
      </c>
      <c r="AD346">
        <v>1</v>
      </c>
      <c r="AE346">
        <v>6</v>
      </c>
      <c r="AF346">
        <v>7</v>
      </c>
      <c r="AG346">
        <v>-1</v>
      </c>
      <c r="AH346">
        <v>8</v>
      </c>
      <c r="AI346">
        <v>7</v>
      </c>
      <c r="AJ346">
        <v>1</v>
      </c>
      <c r="AK346" t="s">
        <v>3357</v>
      </c>
      <c r="AL346" t="s">
        <v>3358</v>
      </c>
      <c r="AM346" t="s">
        <v>3359</v>
      </c>
      <c r="AN346" t="s">
        <v>1467</v>
      </c>
      <c r="AO346" t="s">
        <v>3360</v>
      </c>
      <c r="AP346" t="s">
        <v>3361</v>
      </c>
      <c r="AQ346" t="s">
        <v>3362</v>
      </c>
      <c r="AR346" t="s">
        <v>3363</v>
      </c>
      <c r="AS346" t="s">
        <v>3364</v>
      </c>
    </row>
    <row r="347" spans="1:45" x14ac:dyDescent="0.45">
      <c r="A347">
        <v>346</v>
      </c>
      <c r="B347">
        <v>387</v>
      </c>
      <c r="C347" t="s">
        <v>72</v>
      </c>
      <c r="D347" t="s">
        <v>73</v>
      </c>
      <c r="E347" t="s">
        <v>74</v>
      </c>
      <c r="F347" t="s">
        <v>77</v>
      </c>
      <c r="G347" t="s">
        <v>76</v>
      </c>
      <c r="H347">
        <v>30.473814925475196</v>
      </c>
      <c r="I347">
        <v>1</v>
      </c>
      <c r="J347">
        <v>5</v>
      </c>
      <c r="K347">
        <v>9</v>
      </c>
      <c r="L347">
        <v>-4</v>
      </c>
      <c r="M347">
        <v>6</v>
      </c>
      <c r="N347">
        <v>8</v>
      </c>
      <c r="O347">
        <v>-2</v>
      </c>
      <c r="P347">
        <v>7</v>
      </c>
      <c r="Q347">
        <v>8</v>
      </c>
      <c r="R347">
        <v>-1</v>
      </c>
      <c r="S347">
        <v>9</v>
      </c>
      <c r="T347">
        <v>9</v>
      </c>
      <c r="U347">
        <v>0</v>
      </c>
      <c r="V347">
        <v>8</v>
      </c>
      <c r="W347">
        <v>7</v>
      </c>
      <c r="X347">
        <v>1</v>
      </c>
      <c r="Y347">
        <v>9</v>
      </c>
      <c r="Z347">
        <v>8</v>
      </c>
      <c r="AA347">
        <v>1</v>
      </c>
      <c r="AB347">
        <v>7</v>
      </c>
      <c r="AC347">
        <v>7</v>
      </c>
      <c r="AD347">
        <v>0</v>
      </c>
      <c r="AE347">
        <v>6</v>
      </c>
      <c r="AF347">
        <v>7</v>
      </c>
      <c r="AG347">
        <v>-1</v>
      </c>
      <c r="AH347">
        <v>8</v>
      </c>
      <c r="AI347">
        <v>8</v>
      </c>
      <c r="AJ347">
        <v>0</v>
      </c>
      <c r="AK347" t="s">
        <v>3365</v>
      </c>
      <c r="AL347" t="s">
        <v>3366</v>
      </c>
      <c r="AM347" t="s">
        <v>3367</v>
      </c>
      <c r="AN347" t="s">
        <v>3368</v>
      </c>
      <c r="AO347" t="s">
        <v>3369</v>
      </c>
      <c r="AP347" t="s">
        <v>3370</v>
      </c>
      <c r="AQ347" t="s">
        <v>3371</v>
      </c>
      <c r="AR347" t="s">
        <v>3372</v>
      </c>
      <c r="AS347" t="s">
        <v>3373</v>
      </c>
    </row>
    <row r="348" spans="1:45" x14ac:dyDescent="0.45">
      <c r="A348">
        <v>347</v>
      </c>
      <c r="B348">
        <v>388</v>
      </c>
      <c r="C348" t="s">
        <v>72</v>
      </c>
      <c r="D348" t="s">
        <v>81</v>
      </c>
      <c r="E348" t="s">
        <v>74</v>
      </c>
      <c r="F348" t="s">
        <v>77</v>
      </c>
      <c r="G348" t="s">
        <v>76</v>
      </c>
      <c r="H348">
        <v>19.324542032528335</v>
      </c>
      <c r="I348">
        <v>0</v>
      </c>
      <c r="J348">
        <v>8</v>
      </c>
      <c r="K348">
        <v>8</v>
      </c>
      <c r="L348">
        <v>0</v>
      </c>
      <c r="M348">
        <v>9</v>
      </c>
      <c r="N348">
        <v>8</v>
      </c>
      <c r="O348">
        <v>1</v>
      </c>
      <c r="P348">
        <v>8</v>
      </c>
      <c r="Q348">
        <v>7</v>
      </c>
      <c r="R348">
        <v>1</v>
      </c>
      <c r="S348">
        <v>9</v>
      </c>
      <c r="T348">
        <v>8</v>
      </c>
      <c r="U348">
        <v>1</v>
      </c>
      <c r="V348">
        <v>8</v>
      </c>
      <c r="W348">
        <v>6</v>
      </c>
      <c r="X348">
        <v>2</v>
      </c>
      <c r="Y348">
        <v>9</v>
      </c>
      <c r="Z348">
        <v>8</v>
      </c>
      <c r="AA348">
        <v>1</v>
      </c>
      <c r="AB348">
        <v>8</v>
      </c>
      <c r="AC348">
        <v>6</v>
      </c>
      <c r="AD348">
        <v>2</v>
      </c>
      <c r="AE348">
        <v>7</v>
      </c>
      <c r="AF348">
        <v>6</v>
      </c>
      <c r="AG348">
        <v>1</v>
      </c>
      <c r="AH348">
        <v>9</v>
      </c>
      <c r="AI348">
        <v>8</v>
      </c>
      <c r="AJ348">
        <v>1</v>
      </c>
      <c r="AK348" t="s">
        <v>3374</v>
      </c>
      <c r="AL348" t="s">
        <v>3375</v>
      </c>
      <c r="AM348" t="s">
        <v>3376</v>
      </c>
      <c r="AN348" t="s">
        <v>3377</v>
      </c>
      <c r="AO348" t="s">
        <v>3378</v>
      </c>
      <c r="AP348" t="s">
        <v>3379</v>
      </c>
      <c r="AQ348" t="s">
        <v>3380</v>
      </c>
      <c r="AR348" t="s">
        <v>3381</v>
      </c>
      <c r="AS348" t="s">
        <v>3382</v>
      </c>
    </row>
    <row r="349" spans="1:45" x14ac:dyDescent="0.45">
      <c r="A349">
        <v>348</v>
      </c>
      <c r="B349">
        <v>389</v>
      </c>
      <c r="C349" t="s">
        <v>72</v>
      </c>
      <c r="D349" t="s">
        <v>81</v>
      </c>
      <c r="E349" t="s">
        <v>74</v>
      </c>
      <c r="F349" t="s">
        <v>77</v>
      </c>
      <c r="G349" t="s">
        <v>76</v>
      </c>
      <c r="H349">
        <v>21.332563164475857</v>
      </c>
      <c r="I349">
        <v>0</v>
      </c>
      <c r="J349">
        <v>6</v>
      </c>
      <c r="K349">
        <v>8</v>
      </c>
      <c r="L349">
        <v>-2</v>
      </c>
      <c r="M349">
        <v>6</v>
      </c>
      <c r="N349">
        <v>8</v>
      </c>
      <c r="O349">
        <v>-2</v>
      </c>
      <c r="P349">
        <v>7</v>
      </c>
      <c r="Q349">
        <v>7</v>
      </c>
      <c r="R349">
        <v>0</v>
      </c>
      <c r="S349">
        <v>9</v>
      </c>
      <c r="T349">
        <v>7</v>
      </c>
      <c r="U349">
        <v>2</v>
      </c>
      <c r="V349">
        <v>7</v>
      </c>
      <c r="W349">
        <v>6</v>
      </c>
      <c r="X349">
        <v>1</v>
      </c>
      <c r="Y349">
        <v>8</v>
      </c>
      <c r="Z349">
        <v>7</v>
      </c>
      <c r="AA349">
        <v>1</v>
      </c>
      <c r="AB349">
        <v>7</v>
      </c>
      <c r="AC349">
        <v>6</v>
      </c>
      <c r="AD349">
        <v>1</v>
      </c>
      <c r="AE349">
        <v>8</v>
      </c>
      <c r="AF349">
        <v>6</v>
      </c>
      <c r="AG349">
        <v>2</v>
      </c>
      <c r="AH349">
        <v>7</v>
      </c>
      <c r="AI349">
        <v>7</v>
      </c>
      <c r="AJ349">
        <v>0</v>
      </c>
      <c r="AK349" t="s">
        <v>832</v>
      </c>
      <c r="AL349" t="s">
        <v>833</v>
      </c>
      <c r="AM349" t="s">
        <v>3383</v>
      </c>
      <c r="AN349" t="s">
        <v>3384</v>
      </c>
      <c r="AO349" t="s">
        <v>3385</v>
      </c>
      <c r="AP349" t="s">
        <v>3386</v>
      </c>
      <c r="AQ349" t="s">
        <v>3387</v>
      </c>
      <c r="AR349" t="s">
        <v>3388</v>
      </c>
      <c r="AS349" t="s">
        <v>3389</v>
      </c>
    </row>
    <row r="350" spans="1:45" x14ac:dyDescent="0.45">
      <c r="A350">
        <v>349</v>
      </c>
      <c r="B350">
        <v>390</v>
      </c>
      <c r="C350" t="s">
        <v>72</v>
      </c>
      <c r="D350" t="s">
        <v>81</v>
      </c>
      <c r="E350" t="s">
        <v>74</v>
      </c>
      <c r="F350" t="s">
        <v>77</v>
      </c>
      <c r="G350" t="s">
        <v>76</v>
      </c>
      <c r="H350">
        <v>20.550255734505967</v>
      </c>
      <c r="I350">
        <v>0</v>
      </c>
      <c r="J350">
        <v>8</v>
      </c>
      <c r="K350">
        <v>4</v>
      </c>
      <c r="L350">
        <v>4</v>
      </c>
      <c r="M350">
        <v>6</v>
      </c>
      <c r="N350">
        <v>4</v>
      </c>
      <c r="O350">
        <v>2</v>
      </c>
      <c r="P350">
        <v>9</v>
      </c>
      <c r="Q350">
        <v>5</v>
      </c>
      <c r="R350">
        <v>4</v>
      </c>
      <c r="S350">
        <v>8</v>
      </c>
      <c r="T350">
        <v>7</v>
      </c>
      <c r="U350">
        <v>1</v>
      </c>
      <c r="V350">
        <v>9</v>
      </c>
      <c r="W350">
        <v>5</v>
      </c>
      <c r="X350">
        <v>4</v>
      </c>
      <c r="Y350">
        <v>8</v>
      </c>
      <c r="Z350">
        <v>6</v>
      </c>
      <c r="AA350">
        <v>2</v>
      </c>
      <c r="AB350">
        <v>9</v>
      </c>
      <c r="AC350">
        <v>6</v>
      </c>
      <c r="AD350">
        <v>3</v>
      </c>
      <c r="AE350">
        <v>7</v>
      </c>
      <c r="AF350">
        <v>6</v>
      </c>
      <c r="AG350">
        <v>1</v>
      </c>
      <c r="AH350">
        <v>9</v>
      </c>
      <c r="AI350">
        <v>6</v>
      </c>
      <c r="AJ350">
        <v>3</v>
      </c>
      <c r="AK350" t="s">
        <v>3390</v>
      </c>
      <c r="AL350" t="s">
        <v>3391</v>
      </c>
      <c r="AM350" t="s">
        <v>3392</v>
      </c>
      <c r="AN350" t="s">
        <v>3393</v>
      </c>
      <c r="AO350" t="s">
        <v>3394</v>
      </c>
      <c r="AP350" t="s">
        <v>3395</v>
      </c>
      <c r="AQ350" t="s">
        <v>3396</v>
      </c>
      <c r="AR350" t="s">
        <v>3397</v>
      </c>
      <c r="AS350" t="s">
        <v>3398</v>
      </c>
    </row>
    <row r="351" spans="1:45" x14ac:dyDescent="0.45">
      <c r="A351">
        <v>350</v>
      </c>
      <c r="B351">
        <v>391</v>
      </c>
      <c r="C351" t="s">
        <v>72</v>
      </c>
      <c r="D351" t="s">
        <v>81</v>
      </c>
      <c r="E351" t="s">
        <v>74</v>
      </c>
      <c r="F351" t="s">
        <v>77</v>
      </c>
      <c r="G351" t="s">
        <v>76</v>
      </c>
      <c r="H351">
        <v>27.443779539967906</v>
      </c>
      <c r="I351">
        <v>0</v>
      </c>
      <c r="J351">
        <v>6</v>
      </c>
      <c r="K351">
        <v>7</v>
      </c>
      <c r="L351">
        <v>-1</v>
      </c>
      <c r="M351">
        <v>6</v>
      </c>
      <c r="N351">
        <v>7</v>
      </c>
      <c r="O351">
        <v>-1</v>
      </c>
      <c r="P351">
        <v>9</v>
      </c>
      <c r="Q351">
        <v>8</v>
      </c>
      <c r="R351">
        <v>1</v>
      </c>
      <c r="S351">
        <v>9</v>
      </c>
      <c r="T351">
        <v>8</v>
      </c>
      <c r="U351">
        <v>1</v>
      </c>
      <c r="V351">
        <v>7</v>
      </c>
      <c r="W351">
        <v>7</v>
      </c>
      <c r="X351">
        <v>0</v>
      </c>
      <c r="Y351">
        <v>8</v>
      </c>
      <c r="Z351">
        <v>7</v>
      </c>
      <c r="AA351">
        <v>1</v>
      </c>
      <c r="AB351">
        <v>7</v>
      </c>
      <c r="AC351">
        <v>8</v>
      </c>
      <c r="AD351">
        <v>-1</v>
      </c>
      <c r="AE351">
        <v>6</v>
      </c>
      <c r="AF351">
        <v>7</v>
      </c>
      <c r="AG351">
        <v>-1</v>
      </c>
      <c r="AH351">
        <v>8</v>
      </c>
      <c r="AI351">
        <v>8</v>
      </c>
      <c r="AJ351">
        <v>0</v>
      </c>
      <c r="AK351" t="s">
        <v>599</v>
      </c>
      <c r="AL351" t="s">
        <v>600</v>
      </c>
      <c r="AM351" t="s">
        <v>3399</v>
      </c>
      <c r="AN351" t="s">
        <v>3400</v>
      </c>
      <c r="AO351" t="s">
        <v>3401</v>
      </c>
      <c r="AP351" t="s">
        <v>3402</v>
      </c>
      <c r="AQ351" t="s">
        <v>3403</v>
      </c>
      <c r="AR351" t="s">
        <v>3404</v>
      </c>
      <c r="AS351" t="s">
        <v>3405</v>
      </c>
    </row>
    <row r="352" spans="1:45" x14ac:dyDescent="0.45">
      <c r="A352">
        <v>351</v>
      </c>
      <c r="B352">
        <v>392</v>
      </c>
      <c r="C352" t="s">
        <v>72</v>
      </c>
      <c r="D352" t="s">
        <v>73</v>
      </c>
      <c r="E352" t="s">
        <v>74</v>
      </c>
      <c r="F352" t="s">
        <v>77</v>
      </c>
      <c r="G352" t="s">
        <v>76</v>
      </c>
      <c r="H352">
        <v>45.217165741187266</v>
      </c>
      <c r="I352">
        <v>2</v>
      </c>
      <c r="J352">
        <v>7</v>
      </c>
      <c r="K352">
        <v>8</v>
      </c>
      <c r="L352">
        <v>-1</v>
      </c>
      <c r="M352">
        <v>8</v>
      </c>
      <c r="N352">
        <v>8</v>
      </c>
      <c r="O352">
        <v>0</v>
      </c>
      <c r="P352">
        <v>9</v>
      </c>
      <c r="Q352">
        <v>6</v>
      </c>
      <c r="R352">
        <v>3</v>
      </c>
      <c r="S352">
        <v>10</v>
      </c>
      <c r="T352">
        <v>7</v>
      </c>
      <c r="U352">
        <v>3</v>
      </c>
      <c r="V352">
        <v>7</v>
      </c>
      <c r="W352">
        <v>6</v>
      </c>
      <c r="X352">
        <v>1</v>
      </c>
      <c r="Y352">
        <v>9</v>
      </c>
      <c r="Z352">
        <v>7</v>
      </c>
      <c r="AA352">
        <v>2</v>
      </c>
      <c r="AB352">
        <v>8</v>
      </c>
      <c r="AC352">
        <v>5</v>
      </c>
      <c r="AD352">
        <v>3</v>
      </c>
      <c r="AE352">
        <v>9</v>
      </c>
      <c r="AF352">
        <v>7</v>
      </c>
      <c r="AG352">
        <v>2</v>
      </c>
      <c r="AH352">
        <v>10</v>
      </c>
      <c r="AI352">
        <v>7</v>
      </c>
      <c r="AJ352">
        <v>3</v>
      </c>
      <c r="AK352" t="s">
        <v>834</v>
      </c>
      <c r="AL352" t="s">
        <v>835</v>
      </c>
      <c r="AM352" t="s">
        <v>3406</v>
      </c>
      <c r="AN352" t="s">
        <v>3407</v>
      </c>
      <c r="AO352" t="s">
        <v>3408</v>
      </c>
      <c r="AP352" t="s">
        <v>3409</v>
      </c>
      <c r="AQ352" t="s">
        <v>3410</v>
      </c>
      <c r="AR352" t="s">
        <v>3411</v>
      </c>
      <c r="AS352" t="s">
        <v>3412</v>
      </c>
    </row>
    <row r="353" spans="1:45" x14ac:dyDescent="0.45">
      <c r="A353">
        <v>352</v>
      </c>
      <c r="B353">
        <v>393</v>
      </c>
      <c r="C353" t="s">
        <v>72</v>
      </c>
      <c r="D353" t="s">
        <v>73</v>
      </c>
      <c r="E353" t="s">
        <v>74</v>
      </c>
      <c r="F353" t="s">
        <v>77</v>
      </c>
      <c r="G353" t="s">
        <v>76</v>
      </c>
      <c r="H353">
        <v>25.400215426678194</v>
      </c>
      <c r="I353">
        <v>1</v>
      </c>
      <c r="J353">
        <v>5</v>
      </c>
      <c r="K353">
        <v>6</v>
      </c>
      <c r="L353">
        <v>-1</v>
      </c>
      <c r="M353">
        <v>6</v>
      </c>
      <c r="N353">
        <v>6</v>
      </c>
      <c r="O353">
        <v>0</v>
      </c>
      <c r="P353">
        <v>8</v>
      </c>
      <c r="Q353">
        <v>8</v>
      </c>
      <c r="R353">
        <v>0</v>
      </c>
      <c r="S353">
        <v>9</v>
      </c>
      <c r="T353">
        <v>7</v>
      </c>
      <c r="U353">
        <v>2</v>
      </c>
      <c r="V353">
        <v>7</v>
      </c>
      <c r="W353">
        <v>7</v>
      </c>
      <c r="X353">
        <v>0</v>
      </c>
      <c r="Y353">
        <v>8</v>
      </c>
      <c r="Z353">
        <v>7</v>
      </c>
      <c r="AA353">
        <v>1</v>
      </c>
      <c r="AB353">
        <v>7</v>
      </c>
      <c r="AC353">
        <v>5</v>
      </c>
      <c r="AD353">
        <v>2</v>
      </c>
      <c r="AE353">
        <v>6</v>
      </c>
      <c r="AF353">
        <v>6</v>
      </c>
      <c r="AG353">
        <v>0</v>
      </c>
      <c r="AH353">
        <v>9</v>
      </c>
      <c r="AI353">
        <v>7</v>
      </c>
      <c r="AJ353">
        <v>2</v>
      </c>
      <c r="AK353" t="s">
        <v>3413</v>
      </c>
      <c r="AL353" t="s">
        <v>3414</v>
      </c>
      <c r="AM353" t="s">
        <v>3415</v>
      </c>
      <c r="AN353" t="s">
        <v>3416</v>
      </c>
      <c r="AO353" t="s">
        <v>3417</v>
      </c>
      <c r="AP353" t="s">
        <v>3418</v>
      </c>
      <c r="AQ353" t="s">
        <v>3419</v>
      </c>
      <c r="AR353" t="s">
        <v>3420</v>
      </c>
      <c r="AS353" t="s">
        <v>3421</v>
      </c>
    </row>
    <row r="354" spans="1:45" x14ac:dyDescent="0.45">
      <c r="A354">
        <v>353</v>
      </c>
      <c r="B354">
        <v>394</v>
      </c>
      <c r="C354" t="s">
        <v>78</v>
      </c>
      <c r="D354" t="s">
        <v>79</v>
      </c>
      <c r="E354" t="s">
        <v>74</v>
      </c>
      <c r="F354" t="s">
        <v>77</v>
      </c>
      <c r="G354" t="s">
        <v>76</v>
      </c>
      <c r="H354">
        <v>96.175741142293276</v>
      </c>
      <c r="I354">
        <v>4</v>
      </c>
      <c r="J354">
        <v>7</v>
      </c>
      <c r="K354">
        <v>7</v>
      </c>
      <c r="L354">
        <v>0</v>
      </c>
      <c r="M354">
        <v>8</v>
      </c>
      <c r="N354">
        <v>7</v>
      </c>
      <c r="O354">
        <v>1</v>
      </c>
      <c r="P354">
        <v>9</v>
      </c>
      <c r="Q354">
        <v>8</v>
      </c>
      <c r="R354">
        <v>1</v>
      </c>
      <c r="S354">
        <v>9</v>
      </c>
      <c r="T354">
        <v>8</v>
      </c>
      <c r="U354">
        <v>1</v>
      </c>
      <c r="V354">
        <v>7</v>
      </c>
      <c r="W354">
        <v>6</v>
      </c>
      <c r="X354">
        <v>1</v>
      </c>
      <c r="Y354">
        <v>9</v>
      </c>
      <c r="Z354">
        <v>7</v>
      </c>
      <c r="AA354">
        <v>2</v>
      </c>
      <c r="AB354">
        <v>8</v>
      </c>
      <c r="AC354">
        <v>5</v>
      </c>
      <c r="AD354">
        <v>3</v>
      </c>
      <c r="AE354">
        <v>9</v>
      </c>
      <c r="AF354">
        <v>7</v>
      </c>
      <c r="AG354">
        <v>2</v>
      </c>
      <c r="AH354">
        <v>10</v>
      </c>
      <c r="AI354">
        <v>7</v>
      </c>
      <c r="AJ354">
        <v>3</v>
      </c>
      <c r="AK354" t="s">
        <v>3422</v>
      </c>
      <c r="AL354" t="s">
        <v>3423</v>
      </c>
      <c r="AM354" t="s">
        <v>3424</v>
      </c>
      <c r="AN354" t="s">
        <v>3425</v>
      </c>
      <c r="AO354" t="s">
        <v>3426</v>
      </c>
      <c r="AP354" t="s">
        <v>3427</v>
      </c>
      <c r="AQ354" t="s">
        <v>3428</v>
      </c>
      <c r="AR354" t="s">
        <v>3429</v>
      </c>
      <c r="AS354" t="s">
        <v>3430</v>
      </c>
    </row>
    <row r="355" spans="1:45" x14ac:dyDescent="0.45">
      <c r="A355">
        <v>354</v>
      </c>
      <c r="B355">
        <v>395</v>
      </c>
      <c r="C355" t="s">
        <v>72</v>
      </c>
      <c r="D355" t="s">
        <v>189</v>
      </c>
      <c r="E355" t="s">
        <v>74</v>
      </c>
      <c r="F355" t="s">
        <v>77</v>
      </c>
      <c r="G355" t="s">
        <v>76</v>
      </c>
      <c r="H355">
        <v>16.334482128975615</v>
      </c>
      <c r="I355">
        <v>0</v>
      </c>
      <c r="J355">
        <v>6</v>
      </c>
      <c r="K355">
        <v>9</v>
      </c>
      <c r="L355">
        <v>-3</v>
      </c>
      <c r="M355">
        <v>7</v>
      </c>
      <c r="N355">
        <v>9</v>
      </c>
      <c r="O355">
        <v>-2</v>
      </c>
      <c r="P355">
        <v>9</v>
      </c>
      <c r="Q355">
        <v>10</v>
      </c>
      <c r="R355">
        <v>-1</v>
      </c>
      <c r="S355">
        <v>8</v>
      </c>
      <c r="T355">
        <v>10</v>
      </c>
      <c r="U355">
        <v>-2</v>
      </c>
      <c r="V355">
        <v>7</v>
      </c>
      <c r="W355">
        <v>9</v>
      </c>
      <c r="X355">
        <v>-2</v>
      </c>
      <c r="Y355">
        <v>9</v>
      </c>
      <c r="Z355">
        <v>10</v>
      </c>
      <c r="AA355">
        <v>-1</v>
      </c>
      <c r="AB355">
        <v>8</v>
      </c>
      <c r="AC355">
        <v>8</v>
      </c>
      <c r="AD355">
        <v>0</v>
      </c>
      <c r="AE355">
        <v>9</v>
      </c>
      <c r="AF355">
        <v>8</v>
      </c>
      <c r="AG355">
        <v>1</v>
      </c>
      <c r="AH355">
        <v>8</v>
      </c>
      <c r="AI355">
        <v>9</v>
      </c>
      <c r="AJ355">
        <v>-1</v>
      </c>
      <c r="AK355" t="s">
        <v>3431</v>
      </c>
      <c r="AL355" t="s">
        <v>3432</v>
      </c>
      <c r="AM355" t="s">
        <v>3433</v>
      </c>
      <c r="AN355" t="s">
        <v>3434</v>
      </c>
      <c r="AO355" t="s">
        <v>3435</v>
      </c>
      <c r="AP355" t="s">
        <v>3436</v>
      </c>
      <c r="AQ355" t="s">
        <v>3437</v>
      </c>
      <c r="AR355" t="s">
        <v>3438</v>
      </c>
      <c r="AS355" t="s">
        <v>3439</v>
      </c>
    </row>
    <row r="356" spans="1:45" x14ac:dyDescent="0.45">
      <c r="A356">
        <v>355</v>
      </c>
      <c r="B356">
        <v>396</v>
      </c>
      <c r="C356" t="s">
        <v>78</v>
      </c>
      <c r="D356" t="s">
        <v>189</v>
      </c>
      <c r="E356" t="s">
        <v>74</v>
      </c>
      <c r="F356" t="s">
        <v>77</v>
      </c>
      <c r="G356" t="s">
        <v>76</v>
      </c>
      <c r="H356">
        <v>12.946648626423238</v>
      </c>
      <c r="I356">
        <v>0</v>
      </c>
      <c r="J356">
        <v>7</v>
      </c>
      <c r="K356">
        <v>7</v>
      </c>
      <c r="L356">
        <v>0</v>
      </c>
      <c r="M356">
        <v>7</v>
      </c>
      <c r="N356">
        <v>8</v>
      </c>
      <c r="O356">
        <v>-1</v>
      </c>
      <c r="P356">
        <v>9</v>
      </c>
      <c r="Q356">
        <v>8</v>
      </c>
      <c r="R356">
        <v>1</v>
      </c>
      <c r="S356">
        <v>8</v>
      </c>
      <c r="T356">
        <v>9</v>
      </c>
      <c r="U356">
        <v>-1</v>
      </c>
      <c r="V356">
        <v>9</v>
      </c>
      <c r="W356">
        <v>8</v>
      </c>
      <c r="X356">
        <v>1</v>
      </c>
      <c r="Y356">
        <v>8</v>
      </c>
      <c r="Z356">
        <v>10</v>
      </c>
      <c r="AA356">
        <v>-2</v>
      </c>
      <c r="AB356">
        <v>9</v>
      </c>
      <c r="AC356">
        <v>8</v>
      </c>
      <c r="AD356">
        <v>1</v>
      </c>
      <c r="AE356">
        <v>7</v>
      </c>
      <c r="AF356">
        <v>8</v>
      </c>
      <c r="AG356">
        <v>-1</v>
      </c>
      <c r="AH356">
        <v>8</v>
      </c>
      <c r="AI356">
        <v>9</v>
      </c>
      <c r="AJ356">
        <v>-1</v>
      </c>
      <c r="AK356" t="s">
        <v>3440</v>
      </c>
      <c r="AL356" t="s">
        <v>3441</v>
      </c>
      <c r="AM356" t="s">
        <v>3442</v>
      </c>
      <c r="AN356" t="s">
        <v>3443</v>
      </c>
      <c r="AO356" t="s">
        <v>3444</v>
      </c>
      <c r="AP356" t="s">
        <v>3445</v>
      </c>
      <c r="AQ356" t="s">
        <v>3446</v>
      </c>
      <c r="AR356" t="s">
        <v>3447</v>
      </c>
      <c r="AS356" t="s">
        <v>3448</v>
      </c>
    </row>
    <row r="357" spans="1:45" x14ac:dyDescent="0.45">
      <c r="A357">
        <v>356</v>
      </c>
      <c r="B357">
        <v>397</v>
      </c>
      <c r="C357" t="s">
        <v>78</v>
      </c>
      <c r="D357" t="s">
        <v>189</v>
      </c>
      <c r="E357" t="s">
        <v>74</v>
      </c>
      <c r="F357" t="s">
        <v>77</v>
      </c>
      <c r="G357" t="s">
        <v>76</v>
      </c>
      <c r="H357">
        <v>16.375265889761035</v>
      </c>
      <c r="I357">
        <v>0</v>
      </c>
      <c r="J357">
        <v>8</v>
      </c>
      <c r="K357">
        <v>7</v>
      </c>
      <c r="L357">
        <v>1</v>
      </c>
      <c r="M357">
        <v>8</v>
      </c>
      <c r="N357">
        <v>7</v>
      </c>
      <c r="O357">
        <v>1</v>
      </c>
      <c r="P357">
        <v>7</v>
      </c>
      <c r="Q357">
        <v>8</v>
      </c>
      <c r="R357">
        <v>-1</v>
      </c>
      <c r="S357">
        <v>9</v>
      </c>
      <c r="T357">
        <v>10</v>
      </c>
      <c r="U357">
        <v>-1</v>
      </c>
      <c r="V357">
        <v>8</v>
      </c>
      <c r="W357">
        <v>9</v>
      </c>
      <c r="X357">
        <v>-1</v>
      </c>
      <c r="Y357">
        <v>9</v>
      </c>
      <c r="Z357">
        <v>10</v>
      </c>
      <c r="AA357">
        <v>-1</v>
      </c>
      <c r="AB357">
        <v>7</v>
      </c>
      <c r="AC357">
        <v>8</v>
      </c>
      <c r="AD357">
        <v>-1</v>
      </c>
      <c r="AE357">
        <v>8</v>
      </c>
      <c r="AF357">
        <v>8</v>
      </c>
      <c r="AG357">
        <v>0</v>
      </c>
      <c r="AH357">
        <v>9</v>
      </c>
      <c r="AI357">
        <v>10</v>
      </c>
      <c r="AJ357">
        <v>-1</v>
      </c>
      <c r="AK357" t="s">
        <v>3449</v>
      </c>
      <c r="AL357" t="s">
        <v>3450</v>
      </c>
      <c r="AM357" t="s">
        <v>3451</v>
      </c>
      <c r="AN357" t="s">
        <v>3452</v>
      </c>
      <c r="AO357" t="s">
        <v>3453</v>
      </c>
      <c r="AP357" t="s">
        <v>3454</v>
      </c>
      <c r="AQ357" t="s">
        <v>3455</v>
      </c>
      <c r="AR357" t="s">
        <v>3456</v>
      </c>
      <c r="AS357" t="s">
        <v>3457</v>
      </c>
    </row>
    <row r="358" spans="1:45" x14ac:dyDescent="0.45">
      <c r="A358">
        <v>357</v>
      </c>
      <c r="B358">
        <v>398</v>
      </c>
      <c r="C358" t="s">
        <v>78</v>
      </c>
      <c r="D358" t="s">
        <v>81</v>
      </c>
      <c r="E358" t="s">
        <v>74</v>
      </c>
      <c r="F358" t="s">
        <v>77</v>
      </c>
      <c r="G358" t="s">
        <v>76</v>
      </c>
      <c r="H358">
        <v>26.747151426270499</v>
      </c>
      <c r="I358">
        <v>0</v>
      </c>
      <c r="J358">
        <v>8</v>
      </c>
      <c r="K358">
        <v>9</v>
      </c>
      <c r="L358">
        <v>-1</v>
      </c>
      <c r="M358">
        <v>8</v>
      </c>
      <c r="N358">
        <v>9</v>
      </c>
      <c r="O358">
        <v>-1</v>
      </c>
      <c r="P358">
        <v>9</v>
      </c>
      <c r="Q358">
        <v>8</v>
      </c>
      <c r="R358">
        <v>1</v>
      </c>
      <c r="S358">
        <v>9</v>
      </c>
      <c r="T358">
        <v>9</v>
      </c>
      <c r="U358">
        <v>0</v>
      </c>
      <c r="V358">
        <v>7</v>
      </c>
      <c r="W358">
        <v>8</v>
      </c>
      <c r="X358">
        <v>-1</v>
      </c>
      <c r="Y358">
        <v>8</v>
      </c>
      <c r="Z358">
        <v>8</v>
      </c>
      <c r="AA358">
        <v>0</v>
      </c>
      <c r="AB358">
        <v>7</v>
      </c>
      <c r="AC358">
        <v>7</v>
      </c>
      <c r="AD358">
        <v>0</v>
      </c>
      <c r="AE358">
        <v>8</v>
      </c>
      <c r="AF358">
        <v>7</v>
      </c>
      <c r="AG358">
        <v>1</v>
      </c>
      <c r="AH358">
        <v>9</v>
      </c>
      <c r="AI358">
        <v>8</v>
      </c>
      <c r="AJ358">
        <v>1</v>
      </c>
      <c r="AK358" t="s">
        <v>3458</v>
      </c>
      <c r="AL358" t="s">
        <v>3459</v>
      </c>
      <c r="AM358" t="s">
        <v>3460</v>
      </c>
      <c r="AN358" t="s">
        <v>3461</v>
      </c>
      <c r="AO358" t="s">
        <v>3462</v>
      </c>
      <c r="AP358" t="s">
        <v>3463</v>
      </c>
      <c r="AQ358" t="s">
        <v>3464</v>
      </c>
      <c r="AR358" t="s">
        <v>3465</v>
      </c>
      <c r="AS358" t="s">
        <v>3466</v>
      </c>
    </row>
    <row r="359" spans="1:45" x14ac:dyDescent="0.45">
      <c r="A359">
        <v>358</v>
      </c>
      <c r="B359">
        <v>399</v>
      </c>
      <c r="C359" t="s">
        <v>72</v>
      </c>
      <c r="D359" t="s">
        <v>189</v>
      </c>
      <c r="E359" t="s">
        <v>74</v>
      </c>
      <c r="F359" t="s">
        <v>77</v>
      </c>
      <c r="G359" t="s">
        <v>76</v>
      </c>
      <c r="H359">
        <v>15.530543139297841</v>
      </c>
      <c r="I359">
        <v>0</v>
      </c>
      <c r="J359">
        <v>8</v>
      </c>
      <c r="K359">
        <v>7</v>
      </c>
      <c r="L359">
        <v>1</v>
      </c>
      <c r="M359">
        <v>7</v>
      </c>
      <c r="N359">
        <v>7</v>
      </c>
      <c r="O359">
        <v>0</v>
      </c>
      <c r="P359">
        <v>9</v>
      </c>
      <c r="Q359">
        <v>7</v>
      </c>
      <c r="R359">
        <v>2</v>
      </c>
      <c r="S359">
        <v>8</v>
      </c>
      <c r="T359">
        <v>8</v>
      </c>
      <c r="U359">
        <v>0</v>
      </c>
      <c r="V359">
        <v>9</v>
      </c>
      <c r="W359">
        <v>7</v>
      </c>
      <c r="X359">
        <v>2</v>
      </c>
      <c r="Y359">
        <v>8</v>
      </c>
      <c r="Z359">
        <v>9</v>
      </c>
      <c r="AA359">
        <v>-1</v>
      </c>
      <c r="AB359">
        <v>9</v>
      </c>
      <c r="AC359">
        <v>8</v>
      </c>
      <c r="AD359">
        <v>1</v>
      </c>
      <c r="AE359">
        <v>8</v>
      </c>
      <c r="AF359">
        <v>8</v>
      </c>
      <c r="AG359">
        <v>0</v>
      </c>
      <c r="AH359">
        <v>9</v>
      </c>
      <c r="AI359">
        <v>8</v>
      </c>
      <c r="AJ359">
        <v>1</v>
      </c>
      <c r="AK359" t="s">
        <v>3467</v>
      </c>
      <c r="AL359" t="s">
        <v>3468</v>
      </c>
      <c r="AM359" t="s">
        <v>3469</v>
      </c>
      <c r="AN359" t="s">
        <v>3470</v>
      </c>
      <c r="AO359" t="s">
        <v>3471</v>
      </c>
      <c r="AP359" t="s">
        <v>3472</v>
      </c>
      <c r="AQ359" t="s">
        <v>3473</v>
      </c>
      <c r="AR359" t="s">
        <v>3474</v>
      </c>
      <c r="AS359" t="s">
        <v>3475</v>
      </c>
    </row>
    <row r="360" spans="1:45" x14ac:dyDescent="0.45">
      <c r="A360">
        <v>359</v>
      </c>
      <c r="B360">
        <v>400</v>
      </c>
      <c r="C360" t="s">
        <v>72</v>
      </c>
      <c r="D360" t="s">
        <v>81</v>
      </c>
      <c r="E360" t="s">
        <v>74</v>
      </c>
      <c r="F360" t="s">
        <v>77</v>
      </c>
      <c r="G360" t="s">
        <v>76</v>
      </c>
      <c r="H360">
        <v>20.485635072954015</v>
      </c>
      <c r="I360">
        <v>1</v>
      </c>
      <c r="J360">
        <v>7</v>
      </c>
      <c r="K360">
        <v>4</v>
      </c>
      <c r="L360">
        <v>3</v>
      </c>
      <c r="M360">
        <v>8</v>
      </c>
      <c r="N360">
        <v>5</v>
      </c>
      <c r="O360">
        <v>3</v>
      </c>
      <c r="P360">
        <v>9</v>
      </c>
      <c r="Q360">
        <v>6</v>
      </c>
      <c r="R360">
        <v>3</v>
      </c>
      <c r="S360">
        <v>8</v>
      </c>
      <c r="T360">
        <v>7</v>
      </c>
      <c r="U360">
        <v>1</v>
      </c>
      <c r="V360">
        <v>9</v>
      </c>
      <c r="W360">
        <v>7</v>
      </c>
      <c r="X360">
        <v>2</v>
      </c>
      <c r="Y360">
        <v>9</v>
      </c>
      <c r="Z360">
        <v>6</v>
      </c>
      <c r="AA360">
        <v>3</v>
      </c>
      <c r="AB360">
        <v>8</v>
      </c>
      <c r="AC360">
        <v>4</v>
      </c>
      <c r="AD360">
        <v>4</v>
      </c>
      <c r="AE360">
        <v>9</v>
      </c>
      <c r="AF360">
        <v>6</v>
      </c>
      <c r="AG360">
        <v>3</v>
      </c>
      <c r="AH360">
        <v>10</v>
      </c>
      <c r="AI360">
        <v>7</v>
      </c>
      <c r="AJ360">
        <v>3</v>
      </c>
      <c r="AK360" t="s">
        <v>3476</v>
      </c>
      <c r="AL360" t="s">
        <v>3477</v>
      </c>
      <c r="AM360" t="s">
        <v>3478</v>
      </c>
      <c r="AN360" t="s">
        <v>3479</v>
      </c>
      <c r="AO360" t="s">
        <v>3480</v>
      </c>
      <c r="AP360" t="s">
        <v>3481</v>
      </c>
      <c r="AQ360" t="s">
        <v>3482</v>
      </c>
      <c r="AR360" t="s">
        <v>3483</v>
      </c>
      <c r="AS360" t="s">
        <v>3484</v>
      </c>
    </row>
    <row r="361" spans="1:45" x14ac:dyDescent="0.45">
      <c r="A361">
        <v>360</v>
      </c>
      <c r="B361">
        <v>401</v>
      </c>
      <c r="C361" t="s">
        <v>78</v>
      </c>
      <c r="D361" t="s">
        <v>81</v>
      </c>
      <c r="E361" t="s">
        <v>74</v>
      </c>
      <c r="F361" t="s">
        <v>77</v>
      </c>
      <c r="G361" t="s">
        <v>76</v>
      </c>
      <c r="H361">
        <v>20.857630152997423</v>
      </c>
      <c r="I361">
        <v>0</v>
      </c>
      <c r="J361">
        <v>9</v>
      </c>
      <c r="K361">
        <v>9</v>
      </c>
      <c r="L361">
        <v>0</v>
      </c>
      <c r="M361">
        <v>8</v>
      </c>
      <c r="N361">
        <v>8</v>
      </c>
      <c r="O361">
        <v>0</v>
      </c>
      <c r="P361">
        <v>7</v>
      </c>
      <c r="Q361">
        <v>8</v>
      </c>
      <c r="R361">
        <v>-1</v>
      </c>
      <c r="S361">
        <v>8</v>
      </c>
      <c r="T361">
        <v>8</v>
      </c>
      <c r="U361">
        <v>0</v>
      </c>
      <c r="V361">
        <v>9</v>
      </c>
      <c r="W361">
        <v>7</v>
      </c>
      <c r="X361">
        <v>2</v>
      </c>
      <c r="Y361">
        <v>8</v>
      </c>
      <c r="Z361">
        <v>7</v>
      </c>
      <c r="AA361">
        <v>1</v>
      </c>
      <c r="AB361">
        <v>9</v>
      </c>
      <c r="AC361">
        <v>6</v>
      </c>
      <c r="AD361">
        <v>3</v>
      </c>
      <c r="AE361">
        <v>8</v>
      </c>
      <c r="AF361">
        <v>7</v>
      </c>
      <c r="AG361">
        <v>1</v>
      </c>
      <c r="AH361">
        <v>9</v>
      </c>
      <c r="AI361">
        <v>8</v>
      </c>
      <c r="AJ361">
        <v>1</v>
      </c>
      <c r="AK361" t="s">
        <v>3485</v>
      </c>
      <c r="AL361" t="s">
        <v>3486</v>
      </c>
      <c r="AM361" t="s">
        <v>3487</v>
      </c>
      <c r="AN361" t="s">
        <v>3488</v>
      </c>
      <c r="AO361" t="s">
        <v>3489</v>
      </c>
      <c r="AP361" t="s">
        <v>3490</v>
      </c>
      <c r="AQ361" t="s">
        <v>3491</v>
      </c>
      <c r="AR361" t="s">
        <v>3492</v>
      </c>
      <c r="AS361" t="s">
        <v>3493</v>
      </c>
    </row>
    <row r="362" spans="1:45" x14ac:dyDescent="0.45">
      <c r="A362">
        <v>361</v>
      </c>
      <c r="B362">
        <v>402</v>
      </c>
      <c r="C362" t="s">
        <v>72</v>
      </c>
      <c r="D362" t="s">
        <v>189</v>
      </c>
      <c r="E362" t="s">
        <v>74</v>
      </c>
      <c r="F362" t="s">
        <v>77</v>
      </c>
      <c r="G362" t="s">
        <v>76</v>
      </c>
      <c r="H362">
        <v>12</v>
      </c>
      <c r="I362">
        <v>0</v>
      </c>
      <c r="J362">
        <v>7</v>
      </c>
      <c r="K362">
        <v>7</v>
      </c>
      <c r="L362">
        <v>0</v>
      </c>
      <c r="M362">
        <v>8</v>
      </c>
      <c r="N362">
        <v>7</v>
      </c>
      <c r="O362">
        <v>1</v>
      </c>
      <c r="P362">
        <v>6</v>
      </c>
      <c r="Q362">
        <v>8</v>
      </c>
      <c r="R362">
        <v>-2</v>
      </c>
      <c r="S362">
        <v>9</v>
      </c>
      <c r="T362">
        <v>9</v>
      </c>
      <c r="U362">
        <v>0</v>
      </c>
      <c r="V362">
        <v>7</v>
      </c>
      <c r="W362">
        <v>7</v>
      </c>
      <c r="X362">
        <v>0</v>
      </c>
      <c r="Y362">
        <v>9</v>
      </c>
      <c r="Z362">
        <v>10</v>
      </c>
      <c r="AA362">
        <v>-1</v>
      </c>
      <c r="AB362">
        <v>8</v>
      </c>
      <c r="AC362">
        <v>8</v>
      </c>
      <c r="AD362">
        <v>0</v>
      </c>
      <c r="AE362">
        <v>7</v>
      </c>
      <c r="AF362">
        <v>8</v>
      </c>
      <c r="AG362">
        <v>-1</v>
      </c>
      <c r="AH362">
        <v>8</v>
      </c>
      <c r="AI362">
        <v>10</v>
      </c>
      <c r="AJ362">
        <v>-2</v>
      </c>
      <c r="AK362" t="s">
        <v>601</v>
      </c>
      <c r="AL362" t="s">
        <v>602</v>
      </c>
      <c r="AM362" t="s">
        <v>603</v>
      </c>
      <c r="AN362" t="s">
        <v>604</v>
      </c>
      <c r="AO362" t="s">
        <v>605</v>
      </c>
      <c r="AP362" t="s">
        <v>606</v>
      </c>
      <c r="AQ362" t="s">
        <v>607</v>
      </c>
      <c r="AR362" t="s">
        <v>608</v>
      </c>
      <c r="AS362" t="s">
        <v>609</v>
      </c>
    </row>
    <row r="363" spans="1:45" x14ac:dyDescent="0.45">
      <c r="A363">
        <v>362</v>
      </c>
      <c r="B363">
        <v>403</v>
      </c>
      <c r="C363" t="s">
        <v>72</v>
      </c>
      <c r="D363" t="s">
        <v>189</v>
      </c>
      <c r="E363" t="s">
        <v>74</v>
      </c>
      <c r="F363" t="s">
        <v>77</v>
      </c>
      <c r="G363" t="s">
        <v>76</v>
      </c>
      <c r="H363">
        <v>13.205822112677556</v>
      </c>
      <c r="I363">
        <v>0</v>
      </c>
      <c r="J363">
        <v>7</v>
      </c>
      <c r="K363">
        <v>3</v>
      </c>
      <c r="L363">
        <v>4</v>
      </c>
      <c r="M363">
        <v>8</v>
      </c>
      <c r="N363">
        <v>3</v>
      </c>
      <c r="O363">
        <v>5</v>
      </c>
      <c r="P363">
        <v>9</v>
      </c>
      <c r="Q363">
        <v>5</v>
      </c>
      <c r="R363">
        <v>4</v>
      </c>
      <c r="S363">
        <v>10</v>
      </c>
      <c r="T363">
        <v>6</v>
      </c>
      <c r="U363">
        <v>4</v>
      </c>
      <c r="V363">
        <v>8</v>
      </c>
      <c r="W363">
        <v>5</v>
      </c>
      <c r="X363">
        <v>3</v>
      </c>
      <c r="Y363">
        <v>9</v>
      </c>
      <c r="Z363">
        <v>6</v>
      </c>
      <c r="AA363">
        <v>3</v>
      </c>
      <c r="AB363">
        <v>8</v>
      </c>
      <c r="AC363">
        <v>4</v>
      </c>
      <c r="AD363">
        <v>4</v>
      </c>
      <c r="AE363">
        <v>7</v>
      </c>
      <c r="AF363">
        <v>6</v>
      </c>
      <c r="AG363">
        <v>1</v>
      </c>
      <c r="AH363">
        <v>9</v>
      </c>
      <c r="AI363">
        <v>6</v>
      </c>
      <c r="AJ363">
        <v>3</v>
      </c>
      <c r="AK363" t="s">
        <v>3494</v>
      </c>
      <c r="AL363" t="s">
        <v>3495</v>
      </c>
      <c r="AM363" t="s">
        <v>3496</v>
      </c>
      <c r="AN363" t="s">
        <v>3497</v>
      </c>
      <c r="AO363" t="s">
        <v>3498</v>
      </c>
      <c r="AP363" t="s">
        <v>3499</v>
      </c>
      <c r="AQ363" t="s">
        <v>3500</v>
      </c>
      <c r="AR363" t="s">
        <v>3501</v>
      </c>
      <c r="AS363" t="s">
        <v>3502</v>
      </c>
    </row>
    <row r="364" spans="1:45" x14ac:dyDescent="0.45">
      <c r="A364">
        <v>363</v>
      </c>
      <c r="B364">
        <v>404</v>
      </c>
      <c r="C364" t="s">
        <v>78</v>
      </c>
      <c r="D364" t="s">
        <v>81</v>
      </c>
      <c r="E364" t="s">
        <v>74</v>
      </c>
      <c r="F364" t="s">
        <v>77</v>
      </c>
      <c r="G364" t="s">
        <v>76</v>
      </c>
      <c r="H364">
        <v>25.535590056170005</v>
      </c>
      <c r="I364">
        <v>1</v>
      </c>
      <c r="J364">
        <v>7</v>
      </c>
      <c r="K364">
        <v>8</v>
      </c>
      <c r="L364">
        <v>-1</v>
      </c>
      <c r="M364">
        <v>8</v>
      </c>
      <c r="N364">
        <v>8</v>
      </c>
      <c r="O364">
        <v>0</v>
      </c>
      <c r="P364">
        <v>9</v>
      </c>
      <c r="Q364">
        <v>5</v>
      </c>
      <c r="R364">
        <v>4</v>
      </c>
      <c r="S364">
        <v>9</v>
      </c>
      <c r="T364">
        <v>7</v>
      </c>
      <c r="U364">
        <v>2</v>
      </c>
      <c r="V364">
        <v>7</v>
      </c>
      <c r="W364">
        <v>5</v>
      </c>
      <c r="X364">
        <v>2</v>
      </c>
      <c r="Y364">
        <v>9</v>
      </c>
      <c r="Z364">
        <v>8</v>
      </c>
      <c r="AA364">
        <v>1</v>
      </c>
      <c r="AB364">
        <v>7</v>
      </c>
      <c r="AC364">
        <v>5</v>
      </c>
      <c r="AD364">
        <v>2</v>
      </c>
      <c r="AE364">
        <v>8</v>
      </c>
      <c r="AF364">
        <v>7</v>
      </c>
      <c r="AG364">
        <v>1</v>
      </c>
      <c r="AH364">
        <v>9</v>
      </c>
      <c r="AI364">
        <v>8</v>
      </c>
      <c r="AJ364">
        <v>1</v>
      </c>
      <c r="AK364" t="s">
        <v>3503</v>
      </c>
      <c r="AL364" t="s">
        <v>3504</v>
      </c>
      <c r="AM364" t="s">
        <v>3505</v>
      </c>
      <c r="AN364" t="s">
        <v>3506</v>
      </c>
      <c r="AO364" t="s">
        <v>3507</v>
      </c>
      <c r="AP364" t="s">
        <v>3508</v>
      </c>
      <c r="AQ364" t="s">
        <v>3509</v>
      </c>
      <c r="AR364" t="s">
        <v>3510</v>
      </c>
      <c r="AS364" t="s">
        <v>3511</v>
      </c>
    </row>
    <row r="365" spans="1:45" x14ac:dyDescent="0.45">
      <c r="A365">
        <v>364</v>
      </c>
      <c r="B365">
        <v>405</v>
      </c>
      <c r="C365" t="s">
        <v>78</v>
      </c>
      <c r="D365" t="s">
        <v>73</v>
      </c>
      <c r="E365" t="s">
        <v>74</v>
      </c>
      <c r="F365" t="s">
        <v>77</v>
      </c>
      <c r="G365" t="s">
        <v>76</v>
      </c>
      <c r="H365">
        <v>20.537112224734702</v>
      </c>
      <c r="I365">
        <v>1</v>
      </c>
      <c r="J365">
        <v>6</v>
      </c>
      <c r="K365">
        <v>4</v>
      </c>
      <c r="L365">
        <v>2</v>
      </c>
      <c r="M365">
        <v>6</v>
      </c>
      <c r="N365">
        <v>5</v>
      </c>
      <c r="O365">
        <v>1</v>
      </c>
      <c r="P365">
        <v>9</v>
      </c>
      <c r="Q365">
        <v>5</v>
      </c>
      <c r="R365">
        <v>4</v>
      </c>
      <c r="S365">
        <v>8</v>
      </c>
      <c r="T365">
        <v>7</v>
      </c>
      <c r="U365">
        <v>1</v>
      </c>
      <c r="V365">
        <v>7</v>
      </c>
      <c r="W365">
        <v>5</v>
      </c>
      <c r="X365">
        <v>2</v>
      </c>
      <c r="Y365">
        <v>8</v>
      </c>
      <c r="Z365">
        <v>7</v>
      </c>
      <c r="AA365">
        <v>1</v>
      </c>
      <c r="AB365">
        <v>7</v>
      </c>
      <c r="AC365">
        <v>5</v>
      </c>
      <c r="AD365">
        <v>2</v>
      </c>
      <c r="AE365">
        <v>6</v>
      </c>
      <c r="AF365">
        <v>6</v>
      </c>
      <c r="AG365">
        <v>0</v>
      </c>
      <c r="AH365">
        <v>8</v>
      </c>
      <c r="AI365">
        <v>7</v>
      </c>
      <c r="AJ365">
        <v>1</v>
      </c>
      <c r="AK365" t="s">
        <v>3512</v>
      </c>
      <c r="AL365" t="s">
        <v>3513</v>
      </c>
      <c r="AM365" t="s">
        <v>3514</v>
      </c>
      <c r="AN365" t="s">
        <v>3515</v>
      </c>
      <c r="AO365" t="s">
        <v>3516</v>
      </c>
      <c r="AP365" t="s">
        <v>3517</v>
      </c>
      <c r="AQ365" t="s">
        <v>3518</v>
      </c>
      <c r="AR365" t="s">
        <v>3519</v>
      </c>
      <c r="AS365" t="s">
        <v>3520</v>
      </c>
    </row>
    <row r="366" spans="1:45" x14ac:dyDescent="0.45">
      <c r="A366">
        <v>365</v>
      </c>
      <c r="B366">
        <v>406</v>
      </c>
      <c r="C366" t="s">
        <v>72</v>
      </c>
      <c r="D366" t="s">
        <v>81</v>
      </c>
      <c r="E366" t="s">
        <v>74</v>
      </c>
      <c r="F366" t="s">
        <v>77</v>
      </c>
      <c r="G366" t="s">
        <v>76</v>
      </c>
      <c r="H366">
        <v>37.999691027175658</v>
      </c>
      <c r="I366">
        <v>0</v>
      </c>
      <c r="J366">
        <v>7</v>
      </c>
      <c r="K366">
        <v>9</v>
      </c>
      <c r="L366">
        <v>-2</v>
      </c>
      <c r="M366">
        <v>6</v>
      </c>
      <c r="N366">
        <v>9</v>
      </c>
      <c r="O366">
        <v>-3</v>
      </c>
      <c r="P366">
        <v>8</v>
      </c>
      <c r="Q366">
        <v>8</v>
      </c>
      <c r="R366">
        <v>0</v>
      </c>
      <c r="S366">
        <v>9</v>
      </c>
      <c r="T366">
        <v>9</v>
      </c>
      <c r="U366">
        <v>0</v>
      </c>
      <c r="V366">
        <v>7</v>
      </c>
      <c r="W366">
        <v>9</v>
      </c>
      <c r="X366">
        <v>-2</v>
      </c>
      <c r="Y366">
        <v>9</v>
      </c>
      <c r="Z366">
        <v>7</v>
      </c>
      <c r="AA366">
        <v>2</v>
      </c>
      <c r="AB366">
        <v>7</v>
      </c>
      <c r="AC366">
        <v>7</v>
      </c>
      <c r="AD366">
        <v>0</v>
      </c>
      <c r="AE366">
        <v>8</v>
      </c>
      <c r="AF366">
        <v>7</v>
      </c>
      <c r="AG366">
        <v>1</v>
      </c>
      <c r="AH366">
        <v>9</v>
      </c>
      <c r="AI366">
        <v>7</v>
      </c>
      <c r="AJ366">
        <v>2</v>
      </c>
      <c r="AK366" t="s">
        <v>836</v>
      </c>
      <c r="AL366" t="s">
        <v>837</v>
      </c>
      <c r="AM366" t="s">
        <v>838</v>
      </c>
      <c r="AN366" t="s">
        <v>839</v>
      </c>
      <c r="AO366" t="s">
        <v>3521</v>
      </c>
      <c r="AP366" t="s">
        <v>3522</v>
      </c>
      <c r="AQ366" t="s">
        <v>3523</v>
      </c>
      <c r="AR366" t="s">
        <v>3524</v>
      </c>
      <c r="AS366" t="s">
        <v>3525</v>
      </c>
    </row>
    <row r="367" spans="1:45" x14ac:dyDescent="0.45">
      <c r="A367">
        <v>366</v>
      </c>
      <c r="B367">
        <v>407</v>
      </c>
      <c r="C367" t="s">
        <v>78</v>
      </c>
      <c r="D367" t="s">
        <v>73</v>
      </c>
      <c r="E367" t="s">
        <v>74</v>
      </c>
      <c r="F367" t="s">
        <v>75</v>
      </c>
      <c r="G367" t="s">
        <v>76</v>
      </c>
      <c r="H367">
        <v>57.008492890369311</v>
      </c>
      <c r="I367">
        <v>1</v>
      </c>
      <c r="J367">
        <v>5</v>
      </c>
      <c r="K367">
        <v>7</v>
      </c>
      <c r="L367">
        <v>-2</v>
      </c>
      <c r="M367">
        <v>6</v>
      </c>
      <c r="N367">
        <v>8</v>
      </c>
      <c r="O367">
        <v>-2</v>
      </c>
      <c r="P367">
        <v>9</v>
      </c>
      <c r="Q367">
        <v>8</v>
      </c>
      <c r="R367">
        <v>1</v>
      </c>
      <c r="S367">
        <v>8</v>
      </c>
      <c r="T367">
        <v>8</v>
      </c>
      <c r="U367">
        <v>0</v>
      </c>
      <c r="V367">
        <v>7</v>
      </c>
      <c r="W367">
        <v>5</v>
      </c>
      <c r="X367">
        <v>2</v>
      </c>
      <c r="Y367">
        <v>9</v>
      </c>
      <c r="Z367">
        <v>6</v>
      </c>
      <c r="AA367">
        <v>3</v>
      </c>
      <c r="AB367">
        <v>7</v>
      </c>
      <c r="AC367">
        <v>5</v>
      </c>
      <c r="AD367">
        <v>2</v>
      </c>
      <c r="AE367">
        <v>6</v>
      </c>
      <c r="AF367">
        <v>6</v>
      </c>
      <c r="AG367">
        <v>0</v>
      </c>
      <c r="AH367">
        <v>9</v>
      </c>
      <c r="AI367">
        <v>6</v>
      </c>
      <c r="AJ367">
        <v>3</v>
      </c>
      <c r="AK367" t="s">
        <v>840</v>
      </c>
      <c r="AL367" t="s">
        <v>841</v>
      </c>
      <c r="AM367" t="s">
        <v>3526</v>
      </c>
      <c r="AN367" t="s">
        <v>3527</v>
      </c>
      <c r="AO367" t="s">
        <v>3528</v>
      </c>
      <c r="AP367" t="s">
        <v>3529</v>
      </c>
      <c r="AQ367" t="s">
        <v>3530</v>
      </c>
      <c r="AR367" t="s">
        <v>3531</v>
      </c>
      <c r="AS367" t="s">
        <v>3532</v>
      </c>
    </row>
    <row r="368" spans="1:45" x14ac:dyDescent="0.45">
      <c r="A368">
        <v>367</v>
      </c>
      <c r="B368">
        <v>408</v>
      </c>
      <c r="C368" t="s">
        <v>72</v>
      </c>
      <c r="D368" t="s">
        <v>189</v>
      </c>
      <c r="E368" t="s">
        <v>74</v>
      </c>
      <c r="F368" t="s">
        <v>77</v>
      </c>
      <c r="G368" t="s">
        <v>76</v>
      </c>
      <c r="H368">
        <v>14.489915005413165</v>
      </c>
      <c r="I368">
        <v>0</v>
      </c>
      <c r="J368">
        <v>7</v>
      </c>
      <c r="K368">
        <v>8</v>
      </c>
      <c r="L368">
        <v>-1</v>
      </c>
      <c r="M368">
        <v>8</v>
      </c>
      <c r="N368">
        <v>9</v>
      </c>
      <c r="O368">
        <v>-1</v>
      </c>
      <c r="P368">
        <v>9</v>
      </c>
      <c r="Q368">
        <v>8</v>
      </c>
      <c r="R368">
        <v>1</v>
      </c>
      <c r="S368">
        <v>10</v>
      </c>
      <c r="T368">
        <v>8</v>
      </c>
      <c r="U368">
        <v>2</v>
      </c>
      <c r="V368">
        <v>9</v>
      </c>
      <c r="W368">
        <v>9</v>
      </c>
      <c r="X368">
        <v>0</v>
      </c>
      <c r="Y368">
        <v>8</v>
      </c>
      <c r="Z368">
        <v>10</v>
      </c>
      <c r="AA368">
        <v>-2</v>
      </c>
      <c r="AB368">
        <v>9</v>
      </c>
      <c r="AC368">
        <v>10</v>
      </c>
      <c r="AD368">
        <v>-1</v>
      </c>
      <c r="AE368">
        <v>8</v>
      </c>
      <c r="AF368">
        <v>9</v>
      </c>
      <c r="AG368">
        <v>-1</v>
      </c>
      <c r="AH368">
        <v>9</v>
      </c>
      <c r="AI368">
        <v>10</v>
      </c>
      <c r="AJ368">
        <v>-1</v>
      </c>
      <c r="AK368" t="s">
        <v>3533</v>
      </c>
      <c r="AL368" t="s">
        <v>3534</v>
      </c>
      <c r="AM368" t="s">
        <v>3535</v>
      </c>
      <c r="AN368" t="s">
        <v>3536</v>
      </c>
      <c r="AO368" t="s">
        <v>3537</v>
      </c>
      <c r="AP368" t="s">
        <v>3538</v>
      </c>
      <c r="AQ368" t="s">
        <v>3539</v>
      </c>
      <c r="AR368" t="s">
        <v>3540</v>
      </c>
      <c r="AS368" t="s">
        <v>3541</v>
      </c>
    </row>
    <row r="369" spans="1:45" x14ac:dyDescent="0.45">
      <c r="A369">
        <v>368</v>
      </c>
      <c r="B369">
        <v>409</v>
      </c>
      <c r="C369" t="s">
        <v>72</v>
      </c>
      <c r="D369" t="s">
        <v>81</v>
      </c>
      <c r="E369" t="s">
        <v>74</v>
      </c>
      <c r="F369" t="s">
        <v>75</v>
      </c>
      <c r="G369" t="s">
        <v>76</v>
      </c>
      <c r="H369">
        <v>26.614885250121439</v>
      </c>
      <c r="I369">
        <v>2</v>
      </c>
      <c r="J369">
        <v>7</v>
      </c>
      <c r="K369">
        <v>7</v>
      </c>
      <c r="L369">
        <v>0</v>
      </c>
      <c r="M369">
        <v>6</v>
      </c>
      <c r="N369">
        <v>7</v>
      </c>
      <c r="O369">
        <v>-1</v>
      </c>
      <c r="P369">
        <v>9</v>
      </c>
      <c r="Q369">
        <v>8</v>
      </c>
      <c r="R369">
        <v>1</v>
      </c>
      <c r="S369">
        <v>8</v>
      </c>
      <c r="T369">
        <v>8</v>
      </c>
      <c r="U369">
        <v>0</v>
      </c>
      <c r="V369">
        <v>9</v>
      </c>
      <c r="W369">
        <v>6</v>
      </c>
      <c r="X369">
        <v>3</v>
      </c>
      <c r="Y369">
        <v>9</v>
      </c>
      <c r="Z369">
        <v>8</v>
      </c>
      <c r="AA369">
        <v>1</v>
      </c>
      <c r="AB369">
        <v>8</v>
      </c>
      <c r="AC369">
        <v>6</v>
      </c>
      <c r="AD369">
        <v>2</v>
      </c>
      <c r="AE369">
        <v>9</v>
      </c>
      <c r="AF369">
        <v>7</v>
      </c>
      <c r="AG369">
        <v>2</v>
      </c>
      <c r="AH369">
        <v>10</v>
      </c>
      <c r="AI369">
        <v>8</v>
      </c>
      <c r="AJ369">
        <v>2</v>
      </c>
      <c r="AK369" t="s">
        <v>3542</v>
      </c>
      <c r="AL369" t="s">
        <v>3543</v>
      </c>
      <c r="AM369" t="s">
        <v>3544</v>
      </c>
      <c r="AN369" t="s">
        <v>3545</v>
      </c>
      <c r="AO369" t="s">
        <v>3546</v>
      </c>
      <c r="AP369" t="s">
        <v>3547</v>
      </c>
      <c r="AQ369" t="s">
        <v>3548</v>
      </c>
      <c r="AR369" t="s">
        <v>3549</v>
      </c>
      <c r="AS369" t="s">
        <v>3550</v>
      </c>
    </row>
    <row r="370" spans="1:45" x14ac:dyDescent="0.45">
      <c r="A370">
        <v>369</v>
      </c>
      <c r="B370">
        <v>410</v>
      </c>
      <c r="C370" t="s">
        <v>78</v>
      </c>
      <c r="D370" t="s">
        <v>81</v>
      </c>
      <c r="E370" t="s">
        <v>74</v>
      </c>
      <c r="F370" t="s">
        <v>77</v>
      </c>
      <c r="G370" t="s">
        <v>76</v>
      </c>
      <c r="H370">
        <v>13.067110338123854</v>
      </c>
      <c r="I370">
        <v>0</v>
      </c>
      <c r="J370">
        <v>7</v>
      </c>
      <c r="K370">
        <v>6</v>
      </c>
      <c r="L370">
        <v>1</v>
      </c>
      <c r="M370">
        <v>6</v>
      </c>
      <c r="N370">
        <v>6</v>
      </c>
      <c r="O370">
        <v>0</v>
      </c>
      <c r="P370">
        <v>9</v>
      </c>
      <c r="Q370">
        <v>8</v>
      </c>
      <c r="R370">
        <v>1</v>
      </c>
      <c r="S370">
        <v>9</v>
      </c>
      <c r="T370">
        <v>9</v>
      </c>
      <c r="U370">
        <v>0</v>
      </c>
      <c r="V370">
        <v>7</v>
      </c>
      <c r="W370">
        <v>8</v>
      </c>
      <c r="X370">
        <v>-1</v>
      </c>
      <c r="Y370">
        <v>8</v>
      </c>
      <c r="Z370">
        <v>8</v>
      </c>
      <c r="AA370">
        <v>0</v>
      </c>
      <c r="AB370">
        <v>6</v>
      </c>
      <c r="AC370">
        <v>5</v>
      </c>
      <c r="AD370">
        <v>1</v>
      </c>
      <c r="AE370">
        <v>7</v>
      </c>
      <c r="AF370">
        <v>7</v>
      </c>
      <c r="AG370">
        <v>0</v>
      </c>
      <c r="AH370">
        <v>9</v>
      </c>
      <c r="AI370">
        <v>8</v>
      </c>
      <c r="AJ370">
        <v>1</v>
      </c>
      <c r="AK370" t="s">
        <v>610</v>
      </c>
      <c r="AL370" t="s">
        <v>842</v>
      </c>
      <c r="AM370" t="s">
        <v>843</v>
      </c>
      <c r="AN370" t="s">
        <v>844</v>
      </c>
      <c r="AO370" t="s">
        <v>845</v>
      </c>
      <c r="AP370" t="s">
        <v>3551</v>
      </c>
      <c r="AQ370" t="s">
        <v>3552</v>
      </c>
      <c r="AR370" t="s">
        <v>3553</v>
      </c>
      <c r="AS370" t="s">
        <v>3554</v>
      </c>
    </row>
    <row r="371" spans="1:45" x14ac:dyDescent="0.45">
      <c r="A371">
        <v>370</v>
      </c>
      <c r="B371">
        <v>411</v>
      </c>
      <c r="C371" t="s">
        <v>78</v>
      </c>
      <c r="D371" t="s">
        <v>189</v>
      </c>
      <c r="E371" t="s">
        <v>74</v>
      </c>
      <c r="F371" t="s">
        <v>77</v>
      </c>
      <c r="G371" t="s">
        <v>76</v>
      </c>
      <c r="H371">
        <v>20.907587209693709</v>
      </c>
      <c r="I371">
        <v>0</v>
      </c>
      <c r="J371">
        <v>9</v>
      </c>
      <c r="K371">
        <v>6</v>
      </c>
      <c r="L371">
        <v>3</v>
      </c>
      <c r="M371">
        <v>8</v>
      </c>
      <c r="N371">
        <v>7</v>
      </c>
      <c r="O371">
        <v>1</v>
      </c>
      <c r="P371">
        <v>9</v>
      </c>
      <c r="Q371">
        <v>7</v>
      </c>
      <c r="R371">
        <v>2</v>
      </c>
      <c r="S371">
        <v>8</v>
      </c>
      <c r="T371">
        <v>9</v>
      </c>
      <c r="U371">
        <v>-1</v>
      </c>
      <c r="V371">
        <v>9</v>
      </c>
      <c r="W371">
        <v>7</v>
      </c>
      <c r="X371">
        <v>2</v>
      </c>
      <c r="Y371">
        <v>8</v>
      </c>
      <c r="Z371">
        <v>9</v>
      </c>
      <c r="AA371">
        <v>-1</v>
      </c>
      <c r="AB371">
        <v>9</v>
      </c>
      <c r="AC371">
        <v>9</v>
      </c>
      <c r="AD371">
        <v>0</v>
      </c>
      <c r="AE371">
        <v>8</v>
      </c>
      <c r="AF371">
        <v>9</v>
      </c>
      <c r="AG371">
        <v>-1</v>
      </c>
      <c r="AH371">
        <v>9</v>
      </c>
      <c r="AI371">
        <v>9</v>
      </c>
      <c r="AJ371">
        <v>0</v>
      </c>
      <c r="AK371" t="s">
        <v>3555</v>
      </c>
      <c r="AL371" t="s">
        <v>3556</v>
      </c>
      <c r="AM371" t="s">
        <v>3557</v>
      </c>
      <c r="AN371" t="s">
        <v>3558</v>
      </c>
      <c r="AO371" t="s">
        <v>200</v>
      </c>
      <c r="AP371" t="s">
        <v>3559</v>
      </c>
      <c r="AQ371" t="s">
        <v>3560</v>
      </c>
      <c r="AR371" t="s">
        <v>3561</v>
      </c>
      <c r="AS371" t="s">
        <v>3562</v>
      </c>
    </row>
    <row r="372" spans="1:45" x14ac:dyDescent="0.45">
      <c r="A372">
        <v>371</v>
      </c>
      <c r="B372">
        <v>412</v>
      </c>
      <c r="C372" t="s">
        <v>78</v>
      </c>
      <c r="D372" t="s">
        <v>79</v>
      </c>
      <c r="E372" t="s">
        <v>74</v>
      </c>
      <c r="F372" t="s">
        <v>75</v>
      </c>
      <c r="G372" t="s">
        <v>76</v>
      </c>
      <c r="H372">
        <v>64.058905665032313</v>
      </c>
      <c r="I372">
        <v>3</v>
      </c>
      <c r="J372">
        <v>7</v>
      </c>
      <c r="K372">
        <v>4</v>
      </c>
      <c r="L372">
        <v>3</v>
      </c>
      <c r="M372">
        <v>8</v>
      </c>
      <c r="N372">
        <v>4</v>
      </c>
      <c r="O372">
        <v>4</v>
      </c>
      <c r="P372">
        <v>9</v>
      </c>
      <c r="Q372">
        <v>5</v>
      </c>
      <c r="R372">
        <v>4</v>
      </c>
      <c r="S372">
        <v>9</v>
      </c>
      <c r="T372">
        <v>5</v>
      </c>
      <c r="U372">
        <v>4</v>
      </c>
      <c r="V372">
        <v>6</v>
      </c>
      <c r="W372">
        <v>5</v>
      </c>
      <c r="X372">
        <v>1</v>
      </c>
      <c r="Y372">
        <v>8</v>
      </c>
      <c r="Z372">
        <v>4</v>
      </c>
      <c r="AA372">
        <v>4</v>
      </c>
      <c r="AB372">
        <v>7</v>
      </c>
      <c r="AC372">
        <v>5</v>
      </c>
      <c r="AD372">
        <v>2</v>
      </c>
      <c r="AE372">
        <v>6</v>
      </c>
      <c r="AF372">
        <v>6</v>
      </c>
      <c r="AG372">
        <v>0</v>
      </c>
      <c r="AH372">
        <v>9</v>
      </c>
      <c r="AI372">
        <v>5</v>
      </c>
      <c r="AJ372">
        <v>4</v>
      </c>
      <c r="AK372" t="s">
        <v>3563</v>
      </c>
      <c r="AL372" t="s">
        <v>3564</v>
      </c>
      <c r="AM372" t="s">
        <v>3565</v>
      </c>
      <c r="AN372" t="s">
        <v>3566</v>
      </c>
      <c r="AO372" t="s">
        <v>3567</v>
      </c>
      <c r="AP372" t="s">
        <v>3568</v>
      </c>
      <c r="AQ372" t="s">
        <v>3569</v>
      </c>
      <c r="AR372" t="s">
        <v>3570</v>
      </c>
      <c r="AS372" t="s">
        <v>3571</v>
      </c>
    </row>
    <row r="373" spans="1:45" x14ac:dyDescent="0.45">
      <c r="A373">
        <v>372</v>
      </c>
      <c r="B373">
        <v>413</v>
      </c>
      <c r="C373" t="s">
        <v>72</v>
      </c>
      <c r="D373" t="s">
        <v>73</v>
      </c>
      <c r="E373" t="s">
        <v>74</v>
      </c>
      <c r="F373" t="s">
        <v>77</v>
      </c>
      <c r="G373" t="s">
        <v>76</v>
      </c>
      <c r="H373">
        <v>41.561424816595256</v>
      </c>
      <c r="I373">
        <v>2</v>
      </c>
      <c r="J373">
        <v>7</v>
      </c>
      <c r="K373">
        <v>6</v>
      </c>
      <c r="L373">
        <v>1</v>
      </c>
      <c r="M373">
        <v>8</v>
      </c>
      <c r="N373">
        <v>6</v>
      </c>
      <c r="O373">
        <v>2</v>
      </c>
      <c r="P373">
        <v>6</v>
      </c>
      <c r="Q373">
        <v>8</v>
      </c>
      <c r="R373">
        <v>-2</v>
      </c>
      <c r="S373">
        <v>9</v>
      </c>
      <c r="T373">
        <v>8</v>
      </c>
      <c r="U373">
        <v>1</v>
      </c>
      <c r="V373">
        <v>8</v>
      </c>
      <c r="W373">
        <v>6</v>
      </c>
      <c r="X373">
        <v>2</v>
      </c>
      <c r="Y373">
        <v>9</v>
      </c>
      <c r="Z373">
        <v>7</v>
      </c>
      <c r="AA373">
        <v>2</v>
      </c>
      <c r="AB373">
        <v>8</v>
      </c>
      <c r="AC373">
        <v>5</v>
      </c>
      <c r="AD373">
        <v>3</v>
      </c>
      <c r="AE373">
        <v>7</v>
      </c>
      <c r="AF373">
        <v>6</v>
      </c>
      <c r="AG373">
        <v>1</v>
      </c>
      <c r="AH373">
        <v>8</v>
      </c>
      <c r="AI373">
        <v>6</v>
      </c>
      <c r="AJ373">
        <v>2</v>
      </c>
      <c r="AK373" t="s">
        <v>3572</v>
      </c>
      <c r="AL373" t="s">
        <v>3573</v>
      </c>
      <c r="AM373" t="s">
        <v>3574</v>
      </c>
      <c r="AN373" t="s">
        <v>3575</v>
      </c>
      <c r="AO373" t="s">
        <v>3576</v>
      </c>
      <c r="AP373" t="s">
        <v>3577</v>
      </c>
      <c r="AQ373" t="s">
        <v>3578</v>
      </c>
      <c r="AR373" t="s">
        <v>3579</v>
      </c>
      <c r="AS373" t="s">
        <v>3580</v>
      </c>
    </row>
    <row r="374" spans="1:45" x14ac:dyDescent="0.45">
      <c r="A374">
        <v>373</v>
      </c>
      <c r="B374">
        <v>414</v>
      </c>
      <c r="C374" t="s">
        <v>72</v>
      </c>
      <c r="D374" t="s">
        <v>73</v>
      </c>
      <c r="E374" t="s">
        <v>74</v>
      </c>
      <c r="F374" t="s">
        <v>77</v>
      </c>
      <c r="G374" t="s">
        <v>76</v>
      </c>
      <c r="H374">
        <v>90.612331568130955</v>
      </c>
      <c r="I374">
        <v>2</v>
      </c>
      <c r="J374">
        <v>9</v>
      </c>
      <c r="K374">
        <v>8</v>
      </c>
      <c r="L374">
        <v>1</v>
      </c>
      <c r="M374">
        <v>8</v>
      </c>
      <c r="N374">
        <v>8</v>
      </c>
      <c r="O374">
        <v>0</v>
      </c>
      <c r="P374">
        <v>7</v>
      </c>
      <c r="Q374">
        <v>9</v>
      </c>
      <c r="R374">
        <v>-2</v>
      </c>
      <c r="S374">
        <v>8</v>
      </c>
      <c r="T374">
        <v>9</v>
      </c>
      <c r="U374">
        <v>-1</v>
      </c>
      <c r="V374">
        <v>9</v>
      </c>
      <c r="W374">
        <v>5</v>
      </c>
      <c r="X374">
        <v>4</v>
      </c>
      <c r="Y374">
        <v>9</v>
      </c>
      <c r="Z374">
        <v>5</v>
      </c>
      <c r="AA374">
        <v>4</v>
      </c>
      <c r="AB374">
        <v>8</v>
      </c>
      <c r="AC374">
        <v>5</v>
      </c>
      <c r="AD374">
        <v>3</v>
      </c>
      <c r="AE374">
        <v>9</v>
      </c>
      <c r="AF374">
        <v>6</v>
      </c>
      <c r="AG374">
        <v>3</v>
      </c>
      <c r="AH374">
        <v>8</v>
      </c>
      <c r="AI374">
        <v>5</v>
      </c>
      <c r="AJ374">
        <v>3</v>
      </c>
      <c r="AK374" t="s">
        <v>3581</v>
      </c>
      <c r="AL374" t="s">
        <v>3582</v>
      </c>
      <c r="AM374" t="s">
        <v>3583</v>
      </c>
      <c r="AN374" t="s">
        <v>3584</v>
      </c>
      <c r="AO374" t="s">
        <v>3585</v>
      </c>
      <c r="AP374" t="s">
        <v>3586</v>
      </c>
      <c r="AQ374" t="s">
        <v>3587</v>
      </c>
      <c r="AR374" t="s">
        <v>3588</v>
      </c>
      <c r="AS374" t="s">
        <v>3589</v>
      </c>
    </row>
    <row r="375" spans="1:45" x14ac:dyDescent="0.45">
      <c r="A375">
        <v>374</v>
      </c>
      <c r="B375">
        <v>415</v>
      </c>
      <c r="C375" t="s">
        <v>72</v>
      </c>
      <c r="D375" t="s">
        <v>73</v>
      </c>
      <c r="E375" t="s">
        <v>74</v>
      </c>
      <c r="F375" t="s">
        <v>77</v>
      </c>
      <c r="G375" t="s">
        <v>76</v>
      </c>
      <c r="H375">
        <v>44.000095852944739</v>
      </c>
      <c r="I375">
        <v>1</v>
      </c>
      <c r="J375">
        <v>9</v>
      </c>
      <c r="K375">
        <v>6</v>
      </c>
      <c r="L375">
        <v>3</v>
      </c>
      <c r="M375">
        <v>8</v>
      </c>
      <c r="N375">
        <v>6</v>
      </c>
      <c r="O375">
        <v>2</v>
      </c>
      <c r="P375">
        <v>9</v>
      </c>
      <c r="Q375">
        <v>7</v>
      </c>
      <c r="R375">
        <v>2</v>
      </c>
      <c r="S375">
        <v>8</v>
      </c>
      <c r="T375">
        <v>7</v>
      </c>
      <c r="U375">
        <v>1</v>
      </c>
      <c r="V375">
        <v>9</v>
      </c>
      <c r="W375">
        <v>6</v>
      </c>
      <c r="X375">
        <v>3</v>
      </c>
      <c r="Y375">
        <v>8</v>
      </c>
      <c r="Z375">
        <v>6</v>
      </c>
      <c r="AA375">
        <v>2</v>
      </c>
      <c r="AB375">
        <v>9</v>
      </c>
      <c r="AC375">
        <v>6</v>
      </c>
      <c r="AD375">
        <v>3</v>
      </c>
      <c r="AE375">
        <v>8</v>
      </c>
      <c r="AF375">
        <v>6</v>
      </c>
      <c r="AG375">
        <v>2</v>
      </c>
      <c r="AH375">
        <v>9</v>
      </c>
      <c r="AI375">
        <v>6</v>
      </c>
      <c r="AJ375">
        <v>3</v>
      </c>
      <c r="AK375" t="s">
        <v>3590</v>
      </c>
      <c r="AL375" t="s">
        <v>3591</v>
      </c>
      <c r="AM375" t="s">
        <v>3592</v>
      </c>
      <c r="AN375" t="s">
        <v>3593</v>
      </c>
      <c r="AO375" t="s">
        <v>3594</v>
      </c>
      <c r="AP375" t="s">
        <v>3595</v>
      </c>
      <c r="AQ375" t="s">
        <v>3596</v>
      </c>
      <c r="AR375" t="s">
        <v>3597</v>
      </c>
      <c r="AS375" t="s">
        <v>3598</v>
      </c>
    </row>
    <row r="376" spans="1:45" x14ac:dyDescent="0.45">
      <c r="A376">
        <v>375</v>
      </c>
      <c r="B376">
        <v>416</v>
      </c>
      <c r="C376" t="s">
        <v>72</v>
      </c>
      <c r="D376" t="s">
        <v>73</v>
      </c>
      <c r="E376" t="s">
        <v>74</v>
      </c>
      <c r="F376" t="s">
        <v>77</v>
      </c>
      <c r="G376" t="s">
        <v>76</v>
      </c>
      <c r="H376">
        <v>68.19877745662771</v>
      </c>
      <c r="I376">
        <v>1</v>
      </c>
      <c r="J376">
        <v>7</v>
      </c>
      <c r="K376">
        <v>8</v>
      </c>
      <c r="L376">
        <v>-1</v>
      </c>
      <c r="M376">
        <v>7</v>
      </c>
      <c r="N376">
        <v>8</v>
      </c>
      <c r="O376">
        <v>-1</v>
      </c>
      <c r="P376">
        <v>8</v>
      </c>
      <c r="Q376">
        <v>8</v>
      </c>
      <c r="R376">
        <v>0</v>
      </c>
      <c r="S376">
        <v>8</v>
      </c>
      <c r="T376">
        <v>8</v>
      </c>
      <c r="U376">
        <v>0</v>
      </c>
      <c r="V376">
        <v>9</v>
      </c>
      <c r="W376">
        <v>7</v>
      </c>
      <c r="X376">
        <v>2</v>
      </c>
      <c r="Y376">
        <v>8</v>
      </c>
      <c r="Z376">
        <v>6</v>
      </c>
      <c r="AA376">
        <v>2</v>
      </c>
      <c r="AB376">
        <v>9</v>
      </c>
      <c r="AC376">
        <v>6</v>
      </c>
      <c r="AD376">
        <v>3</v>
      </c>
      <c r="AE376">
        <v>8</v>
      </c>
      <c r="AF376">
        <v>5</v>
      </c>
      <c r="AG376">
        <v>3</v>
      </c>
      <c r="AH376">
        <v>9</v>
      </c>
      <c r="AI376">
        <v>7</v>
      </c>
      <c r="AJ376">
        <v>2</v>
      </c>
      <c r="AK376" t="s">
        <v>3599</v>
      </c>
      <c r="AL376" t="s">
        <v>3600</v>
      </c>
      <c r="AM376" t="s">
        <v>3601</v>
      </c>
      <c r="AN376" t="s">
        <v>3602</v>
      </c>
      <c r="AO376" t="s">
        <v>3603</v>
      </c>
      <c r="AP376" t="s">
        <v>3604</v>
      </c>
      <c r="AQ376" t="s">
        <v>3605</v>
      </c>
      <c r="AR376" t="s">
        <v>3606</v>
      </c>
      <c r="AS376" t="s">
        <v>3607</v>
      </c>
    </row>
    <row r="377" spans="1:45" x14ac:dyDescent="0.45">
      <c r="A377">
        <v>376</v>
      </c>
      <c r="B377">
        <v>417</v>
      </c>
      <c r="C377" t="s">
        <v>72</v>
      </c>
      <c r="D377" t="s">
        <v>81</v>
      </c>
      <c r="E377" t="s">
        <v>74</v>
      </c>
      <c r="F377" t="s">
        <v>77</v>
      </c>
      <c r="G377" t="s">
        <v>76</v>
      </c>
      <c r="H377">
        <v>18.778632115297356</v>
      </c>
      <c r="I377">
        <v>0</v>
      </c>
      <c r="J377">
        <v>6</v>
      </c>
      <c r="K377">
        <v>6</v>
      </c>
      <c r="L377">
        <v>0</v>
      </c>
      <c r="M377">
        <v>8</v>
      </c>
      <c r="N377">
        <v>6</v>
      </c>
      <c r="O377">
        <v>2</v>
      </c>
      <c r="P377">
        <v>7</v>
      </c>
      <c r="Q377">
        <v>5</v>
      </c>
      <c r="R377">
        <v>2</v>
      </c>
      <c r="S377">
        <v>9</v>
      </c>
      <c r="T377">
        <v>7</v>
      </c>
      <c r="U377">
        <v>2</v>
      </c>
      <c r="V377">
        <v>7</v>
      </c>
      <c r="W377">
        <v>6</v>
      </c>
      <c r="X377">
        <v>1</v>
      </c>
      <c r="Y377">
        <v>8</v>
      </c>
      <c r="Z377">
        <v>7</v>
      </c>
      <c r="AA377">
        <v>1</v>
      </c>
      <c r="AB377">
        <v>7</v>
      </c>
      <c r="AC377">
        <v>5</v>
      </c>
      <c r="AD377">
        <v>2</v>
      </c>
      <c r="AE377">
        <v>6</v>
      </c>
      <c r="AF377">
        <v>6</v>
      </c>
      <c r="AG377">
        <v>0</v>
      </c>
      <c r="AH377">
        <v>8</v>
      </c>
      <c r="AI377">
        <v>7</v>
      </c>
      <c r="AJ377">
        <v>1</v>
      </c>
      <c r="AK377" t="s">
        <v>3608</v>
      </c>
      <c r="AL377" t="s">
        <v>3609</v>
      </c>
      <c r="AM377" t="s">
        <v>3610</v>
      </c>
      <c r="AN377" t="s">
        <v>3611</v>
      </c>
      <c r="AO377" t="s">
        <v>3612</v>
      </c>
      <c r="AP377" t="s">
        <v>3613</v>
      </c>
      <c r="AQ377" t="s">
        <v>3614</v>
      </c>
      <c r="AR377" t="s">
        <v>3615</v>
      </c>
      <c r="AS377" t="s">
        <v>3616</v>
      </c>
    </row>
    <row r="378" spans="1:45" x14ac:dyDescent="0.45">
      <c r="A378">
        <v>377</v>
      </c>
      <c r="B378">
        <v>418</v>
      </c>
      <c r="C378" t="s">
        <v>78</v>
      </c>
      <c r="D378" t="s">
        <v>81</v>
      </c>
      <c r="E378" t="s">
        <v>74</v>
      </c>
      <c r="F378" t="s">
        <v>77</v>
      </c>
      <c r="G378" t="s">
        <v>76</v>
      </c>
      <c r="H378">
        <v>12.80522755237557</v>
      </c>
      <c r="I378">
        <v>0</v>
      </c>
      <c r="J378">
        <v>8</v>
      </c>
      <c r="K378">
        <v>7</v>
      </c>
      <c r="L378">
        <v>1</v>
      </c>
      <c r="M378">
        <v>9</v>
      </c>
      <c r="N378">
        <v>8</v>
      </c>
      <c r="O378">
        <v>1</v>
      </c>
      <c r="P378">
        <v>8</v>
      </c>
      <c r="Q378">
        <v>7</v>
      </c>
      <c r="R378">
        <v>1</v>
      </c>
      <c r="S378">
        <v>9</v>
      </c>
      <c r="T378">
        <v>7</v>
      </c>
      <c r="U378">
        <v>2</v>
      </c>
      <c r="V378">
        <v>8</v>
      </c>
      <c r="W378">
        <v>8</v>
      </c>
      <c r="X378">
        <v>0</v>
      </c>
      <c r="Y378">
        <v>9</v>
      </c>
      <c r="Z378">
        <v>9</v>
      </c>
      <c r="AA378">
        <v>0</v>
      </c>
      <c r="AB378">
        <v>8</v>
      </c>
      <c r="AC378">
        <v>7</v>
      </c>
      <c r="AD378">
        <v>1</v>
      </c>
      <c r="AE378">
        <v>9</v>
      </c>
      <c r="AF378">
        <v>7</v>
      </c>
      <c r="AG378">
        <v>2</v>
      </c>
      <c r="AH378">
        <v>10</v>
      </c>
      <c r="AI378">
        <v>8</v>
      </c>
      <c r="AJ378">
        <v>2</v>
      </c>
      <c r="AK378" t="s">
        <v>3617</v>
      </c>
      <c r="AL378" t="s">
        <v>3618</v>
      </c>
      <c r="AM378" t="s">
        <v>3619</v>
      </c>
      <c r="AN378" t="s">
        <v>3620</v>
      </c>
      <c r="AO378" t="s">
        <v>3621</v>
      </c>
      <c r="AP378" t="s">
        <v>3622</v>
      </c>
      <c r="AQ378" t="s">
        <v>3623</v>
      </c>
      <c r="AR378" t="s">
        <v>3624</v>
      </c>
      <c r="AS378" t="s">
        <v>3625</v>
      </c>
    </row>
    <row r="379" spans="1:45" x14ac:dyDescent="0.45">
      <c r="A379">
        <v>378</v>
      </c>
      <c r="B379">
        <v>419</v>
      </c>
      <c r="C379" t="s">
        <v>72</v>
      </c>
      <c r="D379" t="s">
        <v>189</v>
      </c>
      <c r="E379" t="s">
        <v>74</v>
      </c>
      <c r="F379" t="s">
        <v>77</v>
      </c>
      <c r="G379" t="s">
        <v>76</v>
      </c>
      <c r="H379">
        <v>19.054677002787088</v>
      </c>
      <c r="I379">
        <v>0</v>
      </c>
      <c r="J379">
        <v>7</v>
      </c>
      <c r="K379">
        <v>6</v>
      </c>
      <c r="L379">
        <v>1</v>
      </c>
      <c r="M379">
        <v>6</v>
      </c>
      <c r="N379">
        <v>7</v>
      </c>
      <c r="O379">
        <v>-1</v>
      </c>
      <c r="P379">
        <v>8</v>
      </c>
      <c r="Q379">
        <v>5</v>
      </c>
      <c r="R379">
        <v>3</v>
      </c>
      <c r="S379">
        <v>9</v>
      </c>
      <c r="T379">
        <v>8</v>
      </c>
      <c r="U379">
        <v>1</v>
      </c>
      <c r="V379">
        <v>7</v>
      </c>
      <c r="W379">
        <v>7</v>
      </c>
      <c r="X379">
        <v>0</v>
      </c>
      <c r="Y379">
        <v>8</v>
      </c>
      <c r="Z379">
        <v>7</v>
      </c>
      <c r="AA379">
        <v>1</v>
      </c>
      <c r="AB379">
        <v>7</v>
      </c>
      <c r="AC379">
        <v>7</v>
      </c>
      <c r="AD379">
        <v>0</v>
      </c>
      <c r="AE379">
        <v>6</v>
      </c>
      <c r="AF379">
        <v>7</v>
      </c>
      <c r="AG379">
        <v>-1</v>
      </c>
      <c r="AH379">
        <v>9</v>
      </c>
      <c r="AI379">
        <v>8</v>
      </c>
      <c r="AJ379">
        <v>1</v>
      </c>
      <c r="AK379" t="s">
        <v>3626</v>
      </c>
      <c r="AL379" t="s">
        <v>3627</v>
      </c>
      <c r="AM379" t="s">
        <v>3628</v>
      </c>
      <c r="AN379" t="s">
        <v>3629</v>
      </c>
      <c r="AO379" t="s">
        <v>3630</v>
      </c>
      <c r="AP379" t="s">
        <v>3631</v>
      </c>
      <c r="AQ379" t="s">
        <v>3632</v>
      </c>
      <c r="AR379" t="s">
        <v>3633</v>
      </c>
      <c r="AS379" t="s">
        <v>3634</v>
      </c>
    </row>
    <row r="380" spans="1:45" x14ac:dyDescent="0.45">
      <c r="A380">
        <v>379</v>
      </c>
      <c r="B380">
        <v>420</v>
      </c>
      <c r="C380" t="s">
        <v>72</v>
      </c>
      <c r="D380" t="s">
        <v>189</v>
      </c>
      <c r="E380" t="s">
        <v>74</v>
      </c>
      <c r="F380" t="s">
        <v>77</v>
      </c>
      <c r="G380" t="s">
        <v>76</v>
      </c>
      <c r="H380">
        <v>14.825139556692614</v>
      </c>
      <c r="I380">
        <v>0</v>
      </c>
      <c r="J380">
        <v>9</v>
      </c>
      <c r="K380">
        <v>8</v>
      </c>
      <c r="L380">
        <v>1</v>
      </c>
      <c r="M380">
        <v>8</v>
      </c>
      <c r="N380">
        <v>8</v>
      </c>
      <c r="O380">
        <v>0</v>
      </c>
      <c r="P380">
        <v>7</v>
      </c>
      <c r="Q380">
        <v>9</v>
      </c>
      <c r="R380">
        <v>-2</v>
      </c>
      <c r="S380">
        <v>9</v>
      </c>
      <c r="T380">
        <v>9</v>
      </c>
      <c r="U380">
        <v>0</v>
      </c>
      <c r="V380">
        <v>8</v>
      </c>
      <c r="W380">
        <v>7</v>
      </c>
      <c r="X380">
        <v>1</v>
      </c>
      <c r="Y380">
        <v>9</v>
      </c>
      <c r="Z380">
        <v>9</v>
      </c>
      <c r="AA380">
        <v>0</v>
      </c>
      <c r="AB380">
        <v>8</v>
      </c>
      <c r="AC380">
        <v>7</v>
      </c>
      <c r="AD380">
        <v>1</v>
      </c>
      <c r="AE380">
        <v>9</v>
      </c>
      <c r="AF380">
        <v>7</v>
      </c>
      <c r="AG380">
        <v>2</v>
      </c>
      <c r="AH380">
        <v>9</v>
      </c>
      <c r="AI380">
        <v>9</v>
      </c>
      <c r="AJ380">
        <v>0</v>
      </c>
      <c r="AK380" t="s">
        <v>3635</v>
      </c>
      <c r="AL380" t="s">
        <v>3636</v>
      </c>
      <c r="AM380" t="s">
        <v>3637</v>
      </c>
      <c r="AN380" t="s">
        <v>3638</v>
      </c>
      <c r="AO380" t="s">
        <v>3639</v>
      </c>
      <c r="AP380" t="s">
        <v>3640</v>
      </c>
      <c r="AQ380" t="s">
        <v>3641</v>
      </c>
      <c r="AR380" t="s">
        <v>3642</v>
      </c>
      <c r="AS380" t="s">
        <v>3643</v>
      </c>
    </row>
    <row r="381" spans="1:45" x14ac:dyDescent="0.45">
      <c r="A381">
        <v>380</v>
      </c>
      <c r="B381">
        <v>421</v>
      </c>
      <c r="C381" t="s">
        <v>78</v>
      </c>
      <c r="D381" t="s">
        <v>189</v>
      </c>
      <c r="E381" t="s">
        <v>74</v>
      </c>
      <c r="F381" t="s">
        <v>77</v>
      </c>
      <c r="G381" t="s">
        <v>76</v>
      </c>
      <c r="H381">
        <v>18.625764953839678</v>
      </c>
      <c r="I381">
        <v>0</v>
      </c>
      <c r="J381">
        <v>8</v>
      </c>
      <c r="K381">
        <v>8</v>
      </c>
      <c r="L381">
        <v>0</v>
      </c>
      <c r="M381">
        <v>9</v>
      </c>
      <c r="N381">
        <v>8</v>
      </c>
      <c r="O381">
        <v>1</v>
      </c>
      <c r="P381">
        <v>8</v>
      </c>
      <c r="Q381">
        <v>5</v>
      </c>
      <c r="R381">
        <v>3</v>
      </c>
      <c r="S381">
        <v>9</v>
      </c>
      <c r="T381">
        <v>8</v>
      </c>
      <c r="U381">
        <v>1</v>
      </c>
      <c r="V381">
        <v>8</v>
      </c>
      <c r="W381">
        <v>6</v>
      </c>
      <c r="X381">
        <v>2</v>
      </c>
      <c r="Y381">
        <v>9</v>
      </c>
      <c r="Z381">
        <v>9</v>
      </c>
      <c r="AA381">
        <v>0</v>
      </c>
      <c r="AB381">
        <v>8</v>
      </c>
      <c r="AC381">
        <v>5</v>
      </c>
      <c r="AD381">
        <v>3</v>
      </c>
      <c r="AE381">
        <v>9</v>
      </c>
      <c r="AF381">
        <v>7</v>
      </c>
      <c r="AG381">
        <v>2</v>
      </c>
      <c r="AH381">
        <v>8</v>
      </c>
      <c r="AI381">
        <v>8</v>
      </c>
      <c r="AJ381">
        <v>0</v>
      </c>
      <c r="AK381" t="s">
        <v>611</v>
      </c>
      <c r="AL381" t="s">
        <v>612</v>
      </c>
      <c r="AM381" t="s">
        <v>700</v>
      </c>
      <c r="AN381" t="s">
        <v>701</v>
      </c>
      <c r="AO381" t="s">
        <v>3644</v>
      </c>
      <c r="AP381" t="s">
        <v>3645</v>
      </c>
      <c r="AQ381" t="s">
        <v>3646</v>
      </c>
      <c r="AR381" t="s">
        <v>3647</v>
      </c>
      <c r="AS381" t="s">
        <v>3648</v>
      </c>
    </row>
    <row r="382" spans="1:45" x14ac:dyDescent="0.45">
      <c r="A382">
        <v>381</v>
      </c>
      <c r="B382">
        <v>422</v>
      </c>
      <c r="C382" t="s">
        <v>78</v>
      </c>
      <c r="D382" t="s">
        <v>189</v>
      </c>
      <c r="E382" t="s">
        <v>74</v>
      </c>
      <c r="F382" t="s">
        <v>190</v>
      </c>
      <c r="G382" t="s">
        <v>76</v>
      </c>
      <c r="H382">
        <v>16.768256741385734</v>
      </c>
      <c r="I382">
        <v>0</v>
      </c>
      <c r="J382">
        <v>8</v>
      </c>
      <c r="K382">
        <v>9</v>
      </c>
      <c r="L382">
        <v>-1</v>
      </c>
      <c r="M382">
        <v>9</v>
      </c>
      <c r="N382">
        <v>9</v>
      </c>
      <c r="O382">
        <v>0</v>
      </c>
      <c r="P382">
        <v>9</v>
      </c>
      <c r="Q382">
        <v>8</v>
      </c>
      <c r="R382">
        <v>1</v>
      </c>
      <c r="S382">
        <v>9</v>
      </c>
      <c r="T382">
        <v>9</v>
      </c>
      <c r="U382">
        <v>0</v>
      </c>
      <c r="V382">
        <v>8</v>
      </c>
      <c r="W382">
        <v>8</v>
      </c>
      <c r="X382">
        <v>0</v>
      </c>
      <c r="Y382">
        <v>9</v>
      </c>
      <c r="Z382">
        <v>10</v>
      </c>
      <c r="AA382">
        <v>-1</v>
      </c>
      <c r="AB382">
        <v>8</v>
      </c>
      <c r="AC382">
        <v>8</v>
      </c>
      <c r="AD382">
        <v>0</v>
      </c>
      <c r="AE382">
        <v>9</v>
      </c>
      <c r="AF382">
        <v>8</v>
      </c>
      <c r="AG382">
        <v>1</v>
      </c>
      <c r="AH382">
        <v>9</v>
      </c>
      <c r="AI382">
        <v>10</v>
      </c>
      <c r="AJ382">
        <v>-1</v>
      </c>
      <c r="AK382" t="s">
        <v>3649</v>
      </c>
      <c r="AL382" t="s">
        <v>3650</v>
      </c>
      <c r="AM382" t="s">
        <v>3651</v>
      </c>
      <c r="AN382" t="s">
        <v>3652</v>
      </c>
      <c r="AO382" t="s">
        <v>788</v>
      </c>
      <c r="AP382" t="s">
        <v>3653</v>
      </c>
      <c r="AQ382" t="s">
        <v>3654</v>
      </c>
      <c r="AR382" t="s">
        <v>3655</v>
      </c>
      <c r="AS382" t="s">
        <v>3656</v>
      </c>
    </row>
    <row r="383" spans="1:45" x14ac:dyDescent="0.45">
      <c r="A383">
        <v>382</v>
      </c>
      <c r="B383">
        <v>423</v>
      </c>
      <c r="C383" t="s">
        <v>72</v>
      </c>
      <c r="D383" t="s">
        <v>189</v>
      </c>
      <c r="E383" t="s">
        <v>74</v>
      </c>
      <c r="F383" t="s">
        <v>77</v>
      </c>
      <c r="G383" t="s">
        <v>76</v>
      </c>
      <c r="H383">
        <v>21.24022309656339</v>
      </c>
      <c r="I383">
        <v>1</v>
      </c>
      <c r="J383">
        <v>7</v>
      </c>
      <c r="K383">
        <v>5</v>
      </c>
      <c r="L383">
        <v>2</v>
      </c>
      <c r="M383">
        <v>6</v>
      </c>
      <c r="N383">
        <v>5</v>
      </c>
      <c r="O383">
        <v>1</v>
      </c>
      <c r="P383">
        <v>9</v>
      </c>
      <c r="Q383">
        <v>4</v>
      </c>
      <c r="R383">
        <v>5</v>
      </c>
      <c r="S383">
        <v>10</v>
      </c>
      <c r="T383">
        <v>8</v>
      </c>
      <c r="U383">
        <v>2</v>
      </c>
      <c r="V383">
        <v>8</v>
      </c>
      <c r="W383">
        <v>4</v>
      </c>
      <c r="X383">
        <v>4</v>
      </c>
      <c r="Y383">
        <v>9</v>
      </c>
      <c r="Z383">
        <v>8</v>
      </c>
      <c r="AA383">
        <v>1</v>
      </c>
      <c r="AB383">
        <v>7</v>
      </c>
      <c r="AC383">
        <v>4</v>
      </c>
      <c r="AD383">
        <v>3</v>
      </c>
      <c r="AE383">
        <v>8</v>
      </c>
      <c r="AF383">
        <v>5</v>
      </c>
      <c r="AG383">
        <v>3</v>
      </c>
      <c r="AH383">
        <v>9</v>
      </c>
      <c r="AI383">
        <v>7</v>
      </c>
      <c r="AJ383">
        <v>2</v>
      </c>
      <c r="AK383" t="s">
        <v>3657</v>
      </c>
      <c r="AL383" t="s">
        <v>3658</v>
      </c>
      <c r="AM383" t="s">
        <v>3659</v>
      </c>
      <c r="AN383" t="s">
        <v>3660</v>
      </c>
      <c r="AO383" t="s">
        <v>3661</v>
      </c>
      <c r="AP383" t="s">
        <v>3662</v>
      </c>
      <c r="AQ383" t="s">
        <v>3663</v>
      </c>
      <c r="AR383" t="s">
        <v>757</v>
      </c>
      <c r="AS383" t="s">
        <v>3664</v>
      </c>
    </row>
    <row r="384" spans="1:45" x14ac:dyDescent="0.45">
      <c r="A384">
        <v>383</v>
      </c>
      <c r="B384">
        <v>424</v>
      </c>
      <c r="C384" t="s">
        <v>78</v>
      </c>
      <c r="D384" t="s">
        <v>191</v>
      </c>
      <c r="E384" t="s">
        <v>74</v>
      </c>
      <c r="F384" t="s">
        <v>75</v>
      </c>
      <c r="G384" t="s">
        <v>76</v>
      </c>
      <c r="H384">
        <v>87.308382636723636</v>
      </c>
      <c r="I384">
        <v>2</v>
      </c>
      <c r="J384">
        <v>7</v>
      </c>
      <c r="K384">
        <v>1</v>
      </c>
      <c r="L384">
        <v>6</v>
      </c>
      <c r="M384">
        <v>8</v>
      </c>
      <c r="N384">
        <v>1</v>
      </c>
      <c r="O384">
        <v>7</v>
      </c>
      <c r="P384">
        <v>9</v>
      </c>
      <c r="Q384">
        <v>4</v>
      </c>
      <c r="R384">
        <v>5</v>
      </c>
      <c r="S384">
        <v>9</v>
      </c>
      <c r="T384">
        <v>5</v>
      </c>
      <c r="U384">
        <v>4</v>
      </c>
      <c r="V384">
        <v>8</v>
      </c>
      <c r="W384">
        <v>5</v>
      </c>
      <c r="X384">
        <v>3</v>
      </c>
      <c r="Y384">
        <v>9</v>
      </c>
      <c r="Z384">
        <v>4</v>
      </c>
      <c r="AA384">
        <v>5</v>
      </c>
      <c r="AB384">
        <v>8</v>
      </c>
      <c r="AC384">
        <v>4</v>
      </c>
      <c r="AD384">
        <v>4</v>
      </c>
      <c r="AE384">
        <v>7</v>
      </c>
      <c r="AF384">
        <v>5</v>
      </c>
      <c r="AG384">
        <v>2</v>
      </c>
      <c r="AH384">
        <v>9</v>
      </c>
      <c r="AI384">
        <v>3</v>
      </c>
      <c r="AJ384">
        <v>6</v>
      </c>
      <c r="AK384" t="s">
        <v>3665</v>
      </c>
      <c r="AL384" t="s">
        <v>3666</v>
      </c>
      <c r="AM384" t="s">
        <v>3667</v>
      </c>
      <c r="AN384" t="s">
        <v>3668</v>
      </c>
      <c r="AO384" t="s">
        <v>3669</v>
      </c>
      <c r="AP384" t="s">
        <v>3670</v>
      </c>
      <c r="AQ384" t="s">
        <v>3671</v>
      </c>
      <c r="AR384" t="s">
        <v>3672</v>
      </c>
      <c r="AS384" t="s">
        <v>3673</v>
      </c>
    </row>
    <row r="385" spans="1:45" x14ac:dyDescent="0.45">
      <c r="A385">
        <v>384</v>
      </c>
      <c r="B385">
        <v>425</v>
      </c>
      <c r="C385" t="s">
        <v>78</v>
      </c>
      <c r="D385" t="s">
        <v>189</v>
      </c>
      <c r="E385" t="s">
        <v>74</v>
      </c>
      <c r="F385" t="s">
        <v>77</v>
      </c>
      <c r="G385" t="s">
        <v>76</v>
      </c>
      <c r="H385">
        <v>12</v>
      </c>
      <c r="I385">
        <v>0</v>
      </c>
      <c r="J385">
        <v>9</v>
      </c>
      <c r="K385">
        <v>7</v>
      </c>
      <c r="L385">
        <v>2</v>
      </c>
      <c r="M385">
        <v>8</v>
      </c>
      <c r="N385">
        <v>7</v>
      </c>
      <c r="O385">
        <v>1</v>
      </c>
      <c r="P385">
        <v>9</v>
      </c>
      <c r="Q385">
        <v>7</v>
      </c>
      <c r="R385">
        <v>2</v>
      </c>
      <c r="S385">
        <v>8</v>
      </c>
      <c r="T385">
        <v>9</v>
      </c>
      <c r="U385">
        <v>-1</v>
      </c>
      <c r="V385">
        <v>9</v>
      </c>
      <c r="W385">
        <v>8</v>
      </c>
      <c r="X385">
        <v>1</v>
      </c>
      <c r="Y385">
        <v>8</v>
      </c>
      <c r="Z385">
        <v>10</v>
      </c>
      <c r="AA385">
        <v>-2</v>
      </c>
      <c r="AB385">
        <v>9</v>
      </c>
      <c r="AC385">
        <v>8</v>
      </c>
      <c r="AD385">
        <v>1</v>
      </c>
      <c r="AE385">
        <v>8</v>
      </c>
      <c r="AF385">
        <v>7</v>
      </c>
      <c r="AG385">
        <v>1</v>
      </c>
      <c r="AH385">
        <v>9</v>
      </c>
      <c r="AI385">
        <v>10</v>
      </c>
      <c r="AJ385">
        <v>-1</v>
      </c>
      <c r="AK385" t="s">
        <v>613</v>
      </c>
      <c r="AL385" t="s">
        <v>614</v>
      </c>
      <c r="AM385" t="s">
        <v>615</v>
      </c>
      <c r="AN385" t="s">
        <v>616</v>
      </c>
      <c r="AO385" t="s">
        <v>617</v>
      </c>
      <c r="AP385" t="s">
        <v>618</v>
      </c>
      <c r="AQ385" t="s">
        <v>525</v>
      </c>
      <c r="AR385" t="s">
        <v>619</v>
      </c>
      <c r="AS385" t="s">
        <v>620</v>
      </c>
    </row>
    <row r="386" spans="1:45" x14ac:dyDescent="0.45">
      <c r="A386">
        <v>385</v>
      </c>
      <c r="B386">
        <v>426</v>
      </c>
      <c r="C386" t="s">
        <v>78</v>
      </c>
      <c r="D386" t="s">
        <v>79</v>
      </c>
      <c r="E386" t="s">
        <v>74</v>
      </c>
      <c r="F386" t="s">
        <v>77</v>
      </c>
      <c r="G386" t="s">
        <v>76</v>
      </c>
      <c r="H386">
        <v>46.438593179989148</v>
      </c>
      <c r="I386">
        <v>2</v>
      </c>
      <c r="J386">
        <v>7</v>
      </c>
      <c r="K386">
        <v>3</v>
      </c>
      <c r="L386">
        <v>4</v>
      </c>
      <c r="M386">
        <v>6</v>
      </c>
      <c r="N386">
        <v>3</v>
      </c>
      <c r="O386">
        <v>3</v>
      </c>
      <c r="P386">
        <v>8</v>
      </c>
      <c r="Q386">
        <v>4</v>
      </c>
      <c r="R386">
        <v>4</v>
      </c>
      <c r="S386">
        <v>9</v>
      </c>
      <c r="T386">
        <v>6</v>
      </c>
      <c r="U386">
        <v>3</v>
      </c>
      <c r="V386">
        <v>8</v>
      </c>
      <c r="W386">
        <v>4</v>
      </c>
      <c r="X386">
        <v>4</v>
      </c>
      <c r="Y386">
        <v>9</v>
      </c>
      <c r="Z386">
        <v>5</v>
      </c>
      <c r="AA386">
        <v>4</v>
      </c>
      <c r="AB386">
        <v>8</v>
      </c>
      <c r="AC386">
        <v>4</v>
      </c>
      <c r="AD386">
        <v>4</v>
      </c>
      <c r="AE386">
        <v>7</v>
      </c>
      <c r="AF386">
        <v>5</v>
      </c>
      <c r="AG386">
        <v>2</v>
      </c>
      <c r="AH386">
        <v>9</v>
      </c>
      <c r="AI386">
        <v>5</v>
      </c>
      <c r="AJ386">
        <v>4</v>
      </c>
      <c r="AK386" t="s">
        <v>3674</v>
      </c>
      <c r="AL386" t="s">
        <v>3675</v>
      </c>
      <c r="AM386" t="s">
        <v>3676</v>
      </c>
      <c r="AN386" t="s">
        <v>3677</v>
      </c>
      <c r="AO386" t="s">
        <v>1291</v>
      </c>
      <c r="AP386" t="s">
        <v>3678</v>
      </c>
      <c r="AQ386" t="s">
        <v>3679</v>
      </c>
      <c r="AR386" t="s">
        <v>3680</v>
      </c>
      <c r="AS386" t="s">
        <v>3681</v>
      </c>
    </row>
    <row r="387" spans="1:45" x14ac:dyDescent="0.45">
      <c r="A387">
        <v>386</v>
      </c>
      <c r="B387">
        <v>427</v>
      </c>
      <c r="C387" t="s">
        <v>72</v>
      </c>
      <c r="D387" t="s">
        <v>81</v>
      </c>
      <c r="E387" t="s">
        <v>74</v>
      </c>
      <c r="F387" t="s">
        <v>75</v>
      </c>
      <c r="G387" t="s">
        <v>76</v>
      </c>
      <c r="H387">
        <v>28.744304073137172</v>
      </c>
      <c r="I387">
        <v>0</v>
      </c>
      <c r="J387">
        <v>7</v>
      </c>
      <c r="K387">
        <v>8</v>
      </c>
      <c r="L387">
        <v>-1</v>
      </c>
      <c r="M387">
        <v>8</v>
      </c>
      <c r="N387">
        <v>8</v>
      </c>
      <c r="O387">
        <v>0</v>
      </c>
      <c r="P387">
        <v>6</v>
      </c>
      <c r="Q387">
        <v>9</v>
      </c>
      <c r="R387">
        <v>-3</v>
      </c>
      <c r="S387">
        <v>9</v>
      </c>
      <c r="T387">
        <v>8</v>
      </c>
      <c r="U387">
        <v>1</v>
      </c>
      <c r="V387">
        <v>7</v>
      </c>
      <c r="W387">
        <v>7</v>
      </c>
      <c r="X387">
        <v>0</v>
      </c>
      <c r="Y387">
        <v>9</v>
      </c>
      <c r="Z387">
        <v>8</v>
      </c>
      <c r="AA387">
        <v>1</v>
      </c>
      <c r="AB387">
        <v>8</v>
      </c>
      <c r="AC387">
        <v>7</v>
      </c>
      <c r="AD387">
        <v>1</v>
      </c>
      <c r="AE387">
        <v>7</v>
      </c>
      <c r="AF387">
        <v>7</v>
      </c>
      <c r="AG387">
        <v>0</v>
      </c>
      <c r="AH387">
        <v>9</v>
      </c>
      <c r="AI387">
        <v>8</v>
      </c>
      <c r="AJ387">
        <v>1</v>
      </c>
      <c r="AK387" t="s">
        <v>3682</v>
      </c>
      <c r="AL387" t="s">
        <v>3683</v>
      </c>
      <c r="AM387" t="s">
        <v>3684</v>
      </c>
      <c r="AN387" t="s">
        <v>3685</v>
      </c>
      <c r="AO387" t="s">
        <v>3686</v>
      </c>
      <c r="AP387" t="s">
        <v>3687</v>
      </c>
      <c r="AQ387" t="s">
        <v>3688</v>
      </c>
      <c r="AR387" t="s">
        <v>3689</v>
      </c>
      <c r="AS387" t="s">
        <v>3690</v>
      </c>
    </row>
    <row r="388" spans="1:45" x14ac:dyDescent="0.45">
      <c r="A388">
        <v>387</v>
      </c>
      <c r="B388">
        <v>428</v>
      </c>
      <c r="C388" t="s">
        <v>78</v>
      </c>
      <c r="D388" t="s">
        <v>73</v>
      </c>
      <c r="E388" t="s">
        <v>74</v>
      </c>
      <c r="F388" t="s">
        <v>77</v>
      </c>
      <c r="G388" t="s">
        <v>76</v>
      </c>
      <c r="H388">
        <v>55.342749637454453</v>
      </c>
      <c r="I388">
        <v>2</v>
      </c>
      <c r="J388">
        <v>8</v>
      </c>
      <c r="K388">
        <v>5</v>
      </c>
      <c r="L388">
        <v>3</v>
      </c>
      <c r="M388">
        <v>8</v>
      </c>
      <c r="N388">
        <v>5</v>
      </c>
      <c r="O388">
        <v>3</v>
      </c>
      <c r="P388">
        <v>9</v>
      </c>
      <c r="Q388">
        <v>5</v>
      </c>
      <c r="R388">
        <v>4</v>
      </c>
      <c r="S388">
        <v>9</v>
      </c>
      <c r="T388">
        <v>5</v>
      </c>
      <c r="U388">
        <v>4</v>
      </c>
      <c r="V388">
        <v>7</v>
      </c>
      <c r="W388">
        <v>5</v>
      </c>
      <c r="X388">
        <v>2</v>
      </c>
      <c r="Y388">
        <v>8</v>
      </c>
      <c r="Z388">
        <v>5</v>
      </c>
      <c r="AA388">
        <v>3</v>
      </c>
      <c r="AB388">
        <v>7</v>
      </c>
      <c r="AC388">
        <v>5</v>
      </c>
      <c r="AD388">
        <v>2</v>
      </c>
      <c r="AE388">
        <v>8</v>
      </c>
      <c r="AF388">
        <v>5</v>
      </c>
      <c r="AG388">
        <v>3</v>
      </c>
      <c r="AH388">
        <v>9</v>
      </c>
      <c r="AI388">
        <v>5</v>
      </c>
      <c r="AJ388">
        <v>4</v>
      </c>
      <c r="AK388" t="s">
        <v>847</v>
      </c>
      <c r="AL388" t="s">
        <v>848</v>
      </c>
      <c r="AM388" t="s">
        <v>849</v>
      </c>
      <c r="AN388" t="s">
        <v>850</v>
      </c>
      <c r="AO388" t="s">
        <v>3691</v>
      </c>
      <c r="AP388" t="s">
        <v>3692</v>
      </c>
      <c r="AQ388" t="s">
        <v>3693</v>
      </c>
      <c r="AR388" t="s">
        <v>3694</v>
      </c>
      <c r="AS388" t="s">
        <v>3695</v>
      </c>
    </row>
    <row r="389" spans="1:45" x14ac:dyDescent="0.45">
      <c r="A389">
        <v>388</v>
      </c>
      <c r="B389">
        <v>429</v>
      </c>
      <c r="C389" t="s">
        <v>78</v>
      </c>
      <c r="D389" t="s">
        <v>189</v>
      </c>
      <c r="E389" t="s">
        <v>74</v>
      </c>
      <c r="F389" t="s">
        <v>77</v>
      </c>
      <c r="G389" t="s">
        <v>76</v>
      </c>
      <c r="H389">
        <v>15.841877126292323</v>
      </c>
      <c r="I389">
        <v>0</v>
      </c>
      <c r="J389">
        <v>9</v>
      </c>
      <c r="K389">
        <v>7</v>
      </c>
      <c r="L389">
        <v>2</v>
      </c>
      <c r="M389">
        <v>8</v>
      </c>
      <c r="N389">
        <v>7</v>
      </c>
      <c r="O389">
        <v>1</v>
      </c>
      <c r="P389">
        <v>7</v>
      </c>
      <c r="Q389">
        <v>5</v>
      </c>
      <c r="R389">
        <v>2</v>
      </c>
      <c r="S389">
        <v>8</v>
      </c>
      <c r="T389">
        <v>8</v>
      </c>
      <c r="U389">
        <v>0</v>
      </c>
      <c r="V389">
        <v>9</v>
      </c>
      <c r="W389">
        <v>6</v>
      </c>
      <c r="X389">
        <v>3</v>
      </c>
      <c r="Y389">
        <v>8</v>
      </c>
      <c r="Z389">
        <v>8</v>
      </c>
      <c r="AA389">
        <v>0</v>
      </c>
      <c r="AB389">
        <v>9</v>
      </c>
      <c r="AC389">
        <v>5</v>
      </c>
      <c r="AD389">
        <v>4</v>
      </c>
      <c r="AE389">
        <v>8</v>
      </c>
      <c r="AF389">
        <v>5</v>
      </c>
      <c r="AG389">
        <v>3</v>
      </c>
      <c r="AH389">
        <v>9</v>
      </c>
      <c r="AI389">
        <v>8</v>
      </c>
      <c r="AJ389">
        <v>1</v>
      </c>
      <c r="AK389" t="s">
        <v>851</v>
      </c>
      <c r="AL389" t="s">
        <v>852</v>
      </c>
      <c r="AM389" t="s">
        <v>853</v>
      </c>
      <c r="AN389" t="s">
        <v>854</v>
      </c>
      <c r="AO389" t="s">
        <v>855</v>
      </c>
      <c r="AP389" t="s">
        <v>3696</v>
      </c>
      <c r="AQ389" t="s">
        <v>3697</v>
      </c>
      <c r="AR389" t="s">
        <v>3698</v>
      </c>
      <c r="AS389" t="s">
        <v>3699</v>
      </c>
    </row>
    <row r="390" spans="1:45" x14ac:dyDescent="0.45">
      <c r="A390">
        <v>389</v>
      </c>
      <c r="B390">
        <v>430</v>
      </c>
      <c r="C390" t="s">
        <v>78</v>
      </c>
      <c r="D390" t="s">
        <v>81</v>
      </c>
      <c r="E390" t="s">
        <v>74</v>
      </c>
      <c r="F390" t="s">
        <v>77</v>
      </c>
      <c r="G390" t="s">
        <v>76</v>
      </c>
      <c r="H390">
        <v>19.134406829911434</v>
      </c>
      <c r="I390">
        <v>0</v>
      </c>
      <c r="J390">
        <v>6</v>
      </c>
      <c r="K390">
        <v>6</v>
      </c>
      <c r="L390">
        <v>0</v>
      </c>
      <c r="M390">
        <v>8</v>
      </c>
      <c r="N390">
        <v>8</v>
      </c>
      <c r="O390">
        <v>0</v>
      </c>
      <c r="P390">
        <v>9</v>
      </c>
      <c r="Q390">
        <v>7</v>
      </c>
      <c r="R390">
        <v>2</v>
      </c>
      <c r="S390">
        <v>8</v>
      </c>
      <c r="T390">
        <v>8</v>
      </c>
      <c r="U390">
        <v>0</v>
      </c>
      <c r="V390">
        <v>7</v>
      </c>
      <c r="W390">
        <v>6</v>
      </c>
      <c r="X390">
        <v>1</v>
      </c>
      <c r="Y390">
        <v>9</v>
      </c>
      <c r="Z390">
        <v>8</v>
      </c>
      <c r="AA390">
        <v>1</v>
      </c>
      <c r="AB390">
        <v>8</v>
      </c>
      <c r="AC390">
        <v>5</v>
      </c>
      <c r="AD390">
        <v>3</v>
      </c>
      <c r="AE390">
        <v>9</v>
      </c>
      <c r="AF390">
        <v>5</v>
      </c>
      <c r="AG390">
        <v>4</v>
      </c>
      <c r="AH390">
        <v>10</v>
      </c>
      <c r="AI390">
        <v>8</v>
      </c>
      <c r="AJ390">
        <v>2</v>
      </c>
      <c r="AK390" t="s">
        <v>3700</v>
      </c>
      <c r="AL390" t="s">
        <v>3701</v>
      </c>
      <c r="AM390" t="s">
        <v>3702</v>
      </c>
      <c r="AN390" t="s">
        <v>3703</v>
      </c>
      <c r="AO390" t="s">
        <v>3704</v>
      </c>
      <c r="AP390" t="s">
        <v>3705</v>
      </c>
      <c r="AQ390" t="s">
        <v>3706</v>
      </c>
      <c r="AR390" t="s">
        <v>3707</v>
      </c>
      <c r="AS390" t="s">
        <v>3708</v>
      </c>
    </row>
    <row r="391" spans="1:45" x14ac:dyDescent="0.45">
      <c r="A391">
        <v>390</v>
      </c>
      <c r="B391">
        <v>431</v>
      </c>
      <c r="C391" t="s">
        <v>72</v>
      </c>
      <c r="D391" t="s">
        <v>79</v>
      </c>
      <c r="E391" t="s">
        <v>74</v>
      </c>
      <c r="F391" t="s">
        <v>75</v>
      </c>
      <c r="G391" t="s">
        <v>76</v>
      </c>
      <c r="H391">
        <v>43.084629847160691</v>
      </c>
      <c r="I391">
        <v>3</v>
      </c>
      <c r="J391">
        <v>7</v>
      </c>
      <c r="K391">
        <v>10</v>
      </c>
      <c r="L391">
        <v>-3</v>
      </c>
      <c r="M391">
        <v>8</v>
      </c>
      <c r="N391">
        <v>10</v>
      </c>
      <c r="O391">
        <v>-2</v>
      </c>
      <c r="P391">
        <v>9</v>
      </c>
      <c r="Q391">
        <v>5</v>
      </c>
      <c r="R391">
        <v>4</v>
      </c>
      <c r="S391">
        <v>8</v>
      </c>
      <c r="T391">
        <v>9</v>
      </c>
      <c r="U391">
        <v>-1</v>
      </c>
      <c r="V391">
        <v>7</v>
      </c>
      <c r="W391">
        <v>7</v>
      </c>
      <c r="X391">
        <v>0</v>
      </c>
      <c r="Y391">
        <v>9</v>
      </c>
      <c r="Z391">
        <v>8</v>
      </c>
      <c r="AA391">
        <v>1</v>
      </c>
      <c r="AB391">
        <v>7</v>
      </c>
      <c r="AC391">
        <v>5</v>
      </c>
      <c r="AD391">
        <v>2</v>
      </c>
      <c r="AE391">
        <v>6</v>
      </c>
      <c r="AF391">
        <v>5</v>
      </c>
      <c r="AG391">
        <v>1</v>
      </c>
      <c r="AH391">
        <v>8</v>
      </c>
      <c r="AI391">
        <v>8</v>
      </c>
      <c r="AJ391">
        <v>0</v>
      </c>
      <c r="AK391" t="s">
        <v>3709</v>
      </c>
      <c r="AL391" t="s">
        <v>3710</v>
      </c>
      <c r="AM391" t="s">
        <v>3711</v>
      </c>
      <c r="AN391" t="s">
        <v>3712</v>
      </c>
      <c r="AO391" t="s">
        <v>3713</v>
      </c>
      <c r="AP391" t="s">
        <v>3714</v>
      </c>
      <c r="AQ391" t="s">
        <v>3715</v>
      </c>
      <c r="AR391" t="s">
        <v>3716</v>
      </c>
      <c r="AS391" t="s">
        <v>3717</v>
      </c>
    </row>
    <row r="392" spans="1:45" x14ac:dyDescent="0.45">
      <c r="A392">
        <v>391</v>
      </c>
      <c r="B392">
        <v>432</v>
      </c>
      <c r="C392" t="s">
        <v>78</v>
      </c>
      <c r="D392" t="s">
        <v>81</v>
      </c>
      <c r="E392" t="s">
        <v>74</v>
      </c>
      <c r="F392" t="s">
        <v>77</v>
      </c>
      <c r="G392" t="s">
        <v>76</v>
      </c>
      <c r="H392">
        <v>12.513975961973156</v>
      </c>
      <c r="I392">
        <v>0</v>
      </c>
      <c r="J392">
        <v>7</v>
      </c>
      <c r="K392">
        <v>4</v>
      </c>
      <c r="L392">
        <v>3</v>
      </c>
      <c r="M392">
        <v>8</v>
      </c>
      <c r="N392">
        <v>5</v>
      </c>
      <c r="O392">
        <v>3</v>
      </c>
      <c r="P392">
        <v>9</v>
      </c>
      <c r="Q392">
        <v>7</v>
      </c>
      <c r="R392">
        <v>2</v>
      </c>
      <c r="S392">
        <v>9</v>
      </c>
      <c r="T392">
        <v>7</v>
      </c>
      <c r="U392">
        <v>2</v>
      </c>
      <c r="V392">
        <v>8</v>
      </c>
      <c r="W392">
        <v>5</v>
      </c>
      <c r="X392">
        <v>3</v>
      </c>
      <c r="Y392">
        <v>9</v>
      </c>
      <c r="Z392">
        <v>7</v>
      </c>
      <c r="AA392">
        <v>2</v>
      </c>
      <c r="AB392">
        <v>8</v>
      </c>
      <c r="AC392">
        <v>5</v>
      </c>
      <c r="AD392">
        <v>3</v>
      </c>
      <c r="AE392">
        <v>9</v>
      </c>
      <c r="AF392">
        <v>5</v>
      </c>
      <c r="AG392">
        <v>4</v>
      </c>
      <c r="AH392">
        <v>10</v>
      </c>
      <c r="AI392">
        <v>7</v>
      </c>
      <c r="AJ392">
        <v>3</v>
      </c>
      <c r="AK392" t="s">
        <v>3718</v>
      </c>
      <c r="AL392" t="s">
        <v>3719</v>
      </c>
      <c r="AM392" t="s">
        <v>3720</v>
      </c>
      <c r="AN392" t="s">
        <v>3721</v>
      </c>
      <c r="AO392" t="s">
        <v>3722</v>
      </c>
      <c r="AP392" t="s">
        <v>3723</v>
      </c>
      <c r="AQ392" t="s">
        <v>3724</v>
      </c>
      <c r="AR392" t="s">
        <v>3725</v>
      </c>
      <c r="AS392" t="s">
        <v>3726</v>
      </c>
    </row>
    <row r="393" spans="1:45" x14ac:dyDescent="0.45">
      <c r="A393">
        <v>392</v>
      </c>
      <c r="B393">
        <v>433</v>
      </c>
      <c r="C393" t="s">
        <v>72</v>
      </c>
      <c r="D393" t="s">
        <v>193</v>
      </c>
      <c r="E393" t="s">
        <v>74</v>
      </c>
      <c r="F393" t="s">
        <v>75</v>
      </c>
      <c r="G393" t="s">
        <v>76</v>
      </c>
      <c r="H393">
        <v>181.80268236805213</v>
      </c>
      <c r="I393">
        <v>4</v>
      </c>
      <c r="J393">
        <v>7</v>
      </c>
      <c r="K393">
        <v>2</v>
      </c>
      <c r="L393">
        <v>5</v>
      </c>
      <c r="M393">
        <v>8</v>
      </c>
      <c r="N393">
        <v>3</v>
      </c>
      <c r="O393">
        <v>5</v>
      </c>
      <c r="P393">
        <v>9</v>
      </c>
      <c r="Q393">
        <v>3</v>
      </c>
      <c r="R393">
        <v>6</v>
      </c>
      <c r="S393">
        <v>9</v>
      </c>
      <c r="T393">
        <v>6</v>
      </c>
      <c r="U393">
        <v>3</v>
      </c>
      <c r="V393">
        <v>8</v>
      </c>
      <c r="W393">
        <v>5</v>
      </c>
      <c r="X393">
        <v>3</v>
      </c>
      <c r="Y393">
        <v>8</v>
      </c>
      <c r="Z393">
        <v>5</v>
      </c>
      <c r="AA393">
        <v>3</v>
      </c>
      <c r="AB393">
        <v>7</v>
      </c>
      <c r="AC393">
        <v>5</v>
      </c>
      <c r="AD393">
        <v>2</v>
      </c>
      <c r="AE393">
        <v>6</v>
      </c>
      <c r="AF393">
        <v>5</v>
      </c>
      <c r="AG393">
        <v>1</v>
      </c>
      <c r="AH393">
        <v>9</v>
      </c>
      <c r="AI393">
        <v>5</v>
      </c>
      <c r="AJ393">
        <v>4</v>
      </c>
      <c r="AK393" t="s">
        <v>702</v>
      </c>
      <c r="AL393" t="s">
        <v>3727</v>
      </c>
      <c r="AM393" t="s">
        <v>3728</v>
      </c>
      <c r="AN393" t="s">
        <v>3729</v>
      </c>
      <c r="AO393" t="s">
        <v>3730</v>
      </c>
      <c r="AP393" t="s">
        <v>3731</v>
      </c>
      <c r="AQ393" t="s">
        <v>3732</v>
      </c>
      <c r="AR393" t="s">
        <v>3733</v>
      </c>
      <c r="AS393" t="s">
        <v>3734</v>
      </c>
    </row>
    <row r="394" spans="1:45" x14ac:dyDescent="0.45">
      <c r="A394">
        <v>393</v>
      </c>
      <c r="B394">
        <v>434</v>
      </c>
      <c r="C394" t="s">
        <v>72</v>
      </c>
      <c r="D394" t="s">
        <v>73</v>
      </c>
      <c r="E394" t="s">
        <v>74</v>
      </c>
      <c r="F394" t="s">
        <v>77</v>
      </c>
      <c r="G394" t="s">
        <v>76</v>
      </c>
      <c r="H394">
        <v>24.237912887979391</v>
      </c>
      <c r="I394">
        <v>2</v>
      </c>
      <c r="J394">
        <v>7</v>
      </c>
      <c r="K394">
        <v>7</v>
      </c>
      <c r="L394">
        <v>0</v>
      </c>
      <c r="M394">
        <v>8</v>
      </c>
      <c r="N394">
        <v>7</v>
      </c>
      <c r="O394">
        <v>1</v>
      </c>
      <c r="P394">
        <v>9</v>
      </c>
      <c r="Q394">
        <v>5</v>
      </c>
      <c r="R394">
        <v>4</v>
      </c>
      <c r="S394">
        <v>10</v>
      </c>
      <c r="T394">
        <v>8</v>
      </c>
      <c r="U394">
        <v>2</v>
      </c>
      <c r="V394">
        <v>7</v>
      </c>
      <c r="W394">
        <v>7</v>
      </c>
      <c r="X394">
        <v>0</v>
      </c>
      <c r="Y394">
        <v>9</v>
      </c>
      <c r="Z394">
        <v>7</v>
      </c>
      <c r="AA394">
        <v>2</v>
      </c>
      <c r="AB394">
        <v>7</v>
      </c>
      <c r="AC394">
        <v>5</v>
      </c>
      <c r="AD394">
        <v>2</v>
      </c>
      <c r="AE394">
        <v>8</v>
      </c>
      <c r="AF394">
        <v>6</v>
      </c>
      <c r="AG394">
        <v>2</v>
      </c>
      <c r="AH394">
        <v>9</v>
      </c>
      <c r="AI394">
        <v>7</v>
      </c>
      <c r="AJ394">
        <v>2</v>
      </c>
      <c r="AK394" t="s">
        <v>3735</v>
      </c>
      <c r="AL394" t="s">
        <v>3736</v>
      </c>
      <c r="AM394" t="s">
        <v>3737</v>
      </c>
      <c r="AN394" t="s">
        <v>3738</v>
      </c>
      <c r="AO394" t="s">
        <v>3739</v>
      </c>
      <c r="AP394" t="s">
        <v>3740</v>
      </c>
      <c r="AQ394" t="s">
        <v>3741</v>
      </c>
      <c r="AR394" t="s">
        <v>3742</v>
      </c>
      <c r="AS394" t="s">
        <v>3743</v>
      </c>
    </row>
    <row r="395" spans="1:45" x14ac:dyDescent="0.45">
      <c r="A395">
        <v>394</v>
      </c>
      <c r="B395">
        <v>435</v>
      </c>
      <c r="C395" t="s">
        <v>78</v>
      </c>
      <c r="D395" t="s">
        <v>81</v>
      </c>
      <c r="E395" t="s">
        <v>74</v>
      </c>
      <c r="F395" t="s">
        <v>77</v>
      </c>
      <c r="G395" t="s">
        <v>76</v>
      </c>
      <c r="H395">
        <v>12</v>
      </c>
      <c r="I395">
        <v>1</v>
      </c>
      <c r="J395">
        <v>3</v>
      </c>
      <c r="K395">
        <v>9</v>
      </c>
      <c r="L395">
        <v>-6</v>
      </c>
      <c r="M395">
        <v>3</v>
      </c>
      <c r="N395">
        <v>9</v>
      </c>
      <c r="O395">
        <v>-6</v>
      </c>
      <c r="P395">
        <v>8</v>
      </c>
      <c r="Q395">
        <v>9</v>
      </c>
      <c r="R395">
        <v>-1</v>
      </c>
      <c r="S395">
        <v>9</v>
      </c>
      <c r="T395">
        <v>7</v>
      </c>
      <c r="U395">
        <v>2</v>
      </c>
      <c r="V395">
        <v>6</v>
      </c>
      <c r="W395">
        <v>8</v>
      </c>
      <c r="X395">
        <v>-2</v>
      </c>
      <c r="Y395">
        <v>6</v>
      </c>
      <c r="Z395">
        <v>6</v>
      </c>
      <c r="AA395">
        <v>0</v>
      </c>
      <c r="AB395">
        <v>7</v>
      </c>
      <c r="AC395">
        <v>8</v>
      </c>
      <c r="AD395">
        <v>-1</v>
      </c>
      <c r="AE395">
        <v>6</v>
      </c>
      <c r="AF395">
        <v>10</v>
      </c>
      <c r="AG395">
        <v>-4</v>
      </c>
      <c r="AH395">
        <v>7</v>
      </c>
      <c r="AI395">
        <v>10</v>
      </c>
      <c r="AJ395">
        <v>-3</v>
      </c>
      <c r="AK395" t="s">
        <v>621</v>
      </c>
      <c r="AL395" t="s">
        <v>622</v>
      </c>
      <c r="AM395" t="s">
        <v>623</v>
      </c>
      <c r="AN395" t="s">
        <v>624</v>
      </c>
      <c r="AO395" t="s">
        <v>625</v>
      </c>
      <c r="AP395" t="s">
        <v>626</v>
      </c>
      <c r="AQ395" t="s">
        <v>627</v>
      </c>
      <c r="AR395" t="s">
        <v>628</v>
      </c>
      <c r="AS395" t="s">
        <v>629</v>
      </c>
    </row>
    <row r="396" spans="1:45" x14ac:dyDescent="0.45">
      <c r="A396">
        <v>395</v>
      </c>
      <c r="B396">
        <v>436</v>
      </c>
      <c r="C396" t="s">
        <v>78</v>
      </c>
      <c r="D396" t="s">
        <v>191</v>
      </c>
      <c r="E396" t="s">
        <v>74</v>
      </c>
      <c r="F396" t="s">
        <v>77</v>
      </c>
      <c r="G396" t="s">
        <v>76</v>
      </c>
      <c r="H396">
        <v>34.081530347075777</v>
      </c>
      <c r="I396">
        <v>1</v>
      </c>
      <c r="J396">
        <v>7</v>
      </c>
      <c r="K396">
        <v>7</v>
      </c>
      <c r="L396">
        <v>0</v>
      </c>
      <c r="M396">
        <v>8</v>
      </c>
      <c r="N396">
        <v>7</v>
      </c>
      <c r="O396">
        <v>1</v>
      </c>
      <c r="P396">
        <v>9</v>
      </c>
      <c r="Q396">
        <v>5</v>
      </c>
      <c r="R396">
        <v>4</v>
      </c>
      <c r="S396">
        <v>9</v>
      </c>
      <c r="T396">
        <v>7</v>
      </c>
      <c r="U396">
        <v>2</v>
      </c>
      <c r="V396">
        <v>8</v>
      </c>
      <c r="W396">
        <v>5</v>
      </c>
      <c r="X396">
        <v>3</v>
      </c>
      <c r="Y396">
        <v>9</v>
      </c>
      <c r="Z396">
        <v>6</v>
      </c>
      <c r="AA396">
        <v>3</v>
      </c>
      <c r="AB396">
        <v>8</v>
      </c>
      <c r="AC396">
        <v>5</v>
      </c>
      <c r="AD396">
        <v>3</v>
      </c>
      <c r="AE396">
        <v>9</v>
      </c>
      <c r="AF396">
        <v>6</v>
      </c>
      <c r="AG396">
        <v>3</v>
      </c>
      <c r="AH396">
        <v>8</v>
      </c>
      <c r="AI396">
        <v>6</v>
      </c>
      <c r="AJ396">
        <v>2</v>
      </c>
      <c r="AK396" t="s">
        <v>3744</v>
      </c>
      <c r="AL396" t="s">
        <v>3745</v>
      </c>
      <c r="AM396" t="s">
        <v>3746</v>
      </c>
      <c r="AN396" t="s">
        <v>3747</v>
      </c>
      <c r="AO396" t="s">
        <v>3748</v>
      </c>
      <c r="AP396" t="s">
        <v>3749</v>
      </c>
      <c r="AQ396" t="s">
        <v>3750</v>
      </c>
      <c r="AR396" t="s">
        <v>3751</v>
      </c>
      <c r="AS396" t="s">
        <v>3752</v>
      </c>
    </row>
    <row r="397" spans="1:45" x14ac:dyDescent="0.45">
      <c r="A397">
        <v>396</v>
      </c>
      <c r="B397">
        <v>437</v>
      </c>
      <c r="C397" t="s">
        <v>72</v>
      </c>
      <c r="D397" t="s">
        <v>73</v>
      </c>
      <c r="E397" t="s">
        <v>74</v>
      </c>
      <c r="F397" t="s">
        <v>190</v>
      </c>
      <c r="G397" t="s">
        <v>76</v>
      </c>
      <c r="H397">
        <v>29.447497431690316</v>
      </c>
      <c r="I397">
        <v>1</v>
      </c>
      <c r="J397">
        <v>7</v>
      </c>
      <c r="K397">
        <v>2</v>
      </c>
      <c r="L397">
        <v>5</v>
      </c>
      <c r="M397">
        <v>6</v>
      </c>
      <c r="N397">
        <v>2</v>
      </c>
      <c r="O397">
        <v>4</v>
      </c>
      <c r="P397">
        <v>8</v>
      </c>
      <c r="Q397">
        <v>4</v>
      </c>
      <c r="R397">
        <v>4</v>
      </c>
      <c r="S397">
        <v>9</v>
      </c>
      <c r="T397">
        <v>5</v>
      </c>
      <c r="U397">
        <v>4</v>
      </c>
      <c r="V397">
        <v>8</v>
      </c>
      <c r="W397">
        <v>5</v>
      </c>
      <c r="X397">
        <v>3</v>
      </c>
      <c r="Y397">
        <v>9</v>
      </c>
      <c r="Z397">
        <v>3</v>
      </c>
      <c r="AA397">
        <v>6</v>
      </c>
      <c r="AB397">
        <v>8</v>
      </c>
      <c r="AC397">
        <v>5</v>
      </c>
      <c r="AD397">
        <v>3</v>
      </c>
      <c r="AE397">
        <v>7</v>
      </c>
      <c r="AF397">
        <v>5</v>
      </c>
      <c r="AG397">
        <v>2</v>
      </c>
      <c r="AH397">
        <v>9</v>
      </c>
      <c r="AI397">
        <v>5</v>
      </c>
      <c r="AJ397">
        <v>4</v>
      </c>
      <c r="AK397" t="s">
        <v>3753</v>
      </c>
      <c r="AL397" t="s">
        <v>3754</v>
      </c>
      <c r="AM397" t="s">
        <v>825</v>
      </c>
      <c r="AN397" t="s">
        <v>3755</v>
      </c>
      <c r="AO397" t="s">
        <v>3756</v>
      </c>
      <c r="AP397" t="s">
        <v>3757</v>
      </c>
      <c r="AQ397" t="s">
        <v>3758</v>
      </c>
      <c r="AR397" t="s">
        <v>3759</v>
      </c>
      <c r="AS397" t="s">
        <v>3760</v>
      </c>
    </row>
    <row r="398" spans="1:45" x14ac:dyDescent="0.45">
      <c r="A398">
        <v>397</v>
      </c>
      <c r="B398">
        <v>438</v>
      </c>
      <c r="C398" t="s">
        <v>72</v>
      </c>
      <c r="D398" t="s">
        <v>81</v>
      </c>
      <c r="E398" t="s">
        <v>74</v>
      </c>
      <c r="F398" t="s">
        <v>77</v>
      </c>
      <c r="G398" t="s">
        <v>76</v>
      </c>
      <c r="H398">
        <v>28.524551732345792</v>
      </c>
      <c r="I398">
        <v>0</v>
      </c>
      <c r="J398">
        <v>6</v>
      </c>
      <c r="K398">
        <v>8</v>
      </c>
      <c r="L398">
        <v>-2</v>
      </c>
      <c r="M398">
        <v>7</v>
      </c>
      <c r="N398">
        <v>8</v>
      </c>
      <c r="O398">
        <v>-1</v>
      </c>
      <c r="P398">
        <v>8</v>
      </c>
      <c r="Q398">
        <v>7</v>
      </c>
      <c r="R398">
        <v>1</v>
      </c>
      <c r="S398">
        <v>9</v>
      </c>
      <c r="T398">
        <v>7</v>
      </c>
      <c r="U398">
        <v>2</v>
      </c>
      <c r="V398">
        <v>7</v>
      </c>
      <c r="W398">
        <v>7</v>
      </c>
      <c r="X398">
        <v>0</v>
      </c>
      <c r="Y398">
        <v>8</v>
      </c>
      <c r="Z398">
        <v>8</v>
      </c>
      <c r="AA398">
        <v>0</v>
      </c>
      <c r="AB398">
        <v>7</v>
      </c>
      <c r="AC398">
        <v>7</v>
      </c>
      <c r="AD398">
        <v>0</v>
      </c>
      <c r="AE398">
        <v>6</v>
      </c>
      <c r="AF398">
        <v>8</v>
      </c>
      <c r="AG398">
        <v>-2</v>
      </c>
      <c r="AH398">
        <v>8</v>
      </c>
      <c r="AI398">
        <v>8</v>
      </c>
      <c r="AJ398">
        <v>0</v>
      </c>
      <c r="AK398" t="s">
        <v>3761</v>
      </c>
      <c r="AL398" t="s">
        <v>3762</v>
      </c>
      <c r="AM398" t="s">
        <v>3763</v>
      </c>
      <c r="AN398" t="s">
        <v>3764</v>
      </c>
      <c r="AO398" t="s">
        <v>3765</v>
      </c>
      <c r="AP398" t="s">
        <v>3766</v>
      </c>
      <c r="AQ398" t="s">
        <v>3767</v>
      </c>
      <c r="AR398" t="s">
        <v>3768</v>
      </c>
      <c r="AS398" t="s">
        <v>3769</v>
      </c>
    </row>
    <row r="399" spans="1:45" x14ac:dyDescent="0.45">
      <c r="A399">
        <v>398</v>
      </c>
      <c r="B399">
        <v>439</v>
      </c>
      <c r="C399" t="s">
        <v>72</v>
      </c>
      <c r="D399" t="s">
        <v>189</v>
      </c>
      <c r="E399" t="s">
        <v>74</v>
      </c>
      <c r="F399" t="s">
        <v>77</v>
      </c>
      <c r="G399" t="s">
        <v>76</v>
      </c>
      <c r="H399">
        <v>12</v>
      </c>
      <c r="I399">
        <v>0</v>
      </c>
      <c r="J399">
        <v>6</v>
      </c>
      <c r="K399">
        <v>9</v>
      </c>
      <c r="L399">
        <v>-3</v>
      </c>
      <c r="M399">
        <v>7</v>
      </c>
      <c r="N399">
        <v>9</v>
      </c>
      <c r="O399">
        <v>-2</v>
      </c>
      <c r="P399">
        <v>8</v>
      </c>
      <c r="Q399">
        <v>8</v>
      </c>
      <c r="R399">
        <v>0</v>
      </c>
      <c r="S399">
        <v>9</v>
      </c>
      <c r="T399">
        <v>9</v>
      </c>
      <c r="U399">
        <v>0</v>
      </c>
      <c r="V399">
        <v>7</v>
      </c>
      <c r="W399">
        <v>7</v>
      </c>
      <c r="X399">
        <v>0</v>
      </c>
      <c r="Y399">
        <v>8</v>
      </c>
      <c r="Z399">
        <v>9</v>
      </c>
      <c r="AA399">
        <v>-1</v>
      </c>
      <c r="AB399">
        <v>9</v>
      </c>
      <c r="AC399">
        <v>8</v>
      </c>
      <c r="AD399">
        <v>1</v>
      </c>
      <c r="AE399">
        <v>7</v>
      </c>
      <c r="AF399">
        <v>8</v>
      </c>
      <c r="AG399">
        <v>-1</v>
      </c>
      <c r="AH399">
        <v>9</v>
      </c>
      <c r="AI399">
        <v>8</v>
      </c>
      <c r="AJ399">
        <v>1</v>
      </c>
      <c r="AK399" t="s">
        <v>630</v>
      </c>
      <c r="AL399" t="s">
        <v>631</v>
      </c>
      <c r="AM399" t="s">
        <v>632</v>
      </c>
      <c r="AN399" t="s">
        <v>633</v>
      </c>
      <c r="AO399" t="s">
        <v>634</v>
      </c>
      <c r="AP399" t="s">
        <v>635</v>
      </c>
      <c r="AQ399" t="s">
        <v>636</v>
      </c>
      <c r="AR399" t="s">
        <v>637</v>
      </c>
      <c r="AS399" t="s">
        <v>638</v>
      </c>
    </row>
    <row r="400" spans="1:45" x14ac:dyDescent="0.45">
      <c r="A400">
        <v>399</v>
      </c>
      <c r="B400">
        <v>440</v>
      </c>
      <c r="C400" t="s">
        <v>72</v>
      </c>
      <c r="D400" t="s">
        <v>81</v>
      </c>
      <c r="E400" t="s">
        <v>74</v>
      </c>
      <c r="F400" t="s">
        <v>75</v>
      </c>
      <c r="G400" t="s">
        <v>76</v>
      </c>
      <c r="H400">
        <v>25.28387256684308</v>
      </c>
      <c r="I400">
        <v>0</v>
      </c>
      <c r="J400">
        <v>7</v>
      </c>
      <c r="K400">
        <v>7</v>
      </c>
      <c r="L400">
        <v>0</v>
      </c>
      <c r="M400">
        <v>8</v>
      </c>
      <c r="N400">
        <v>7</v>
      </c>
      <c r="O400">
        <v>1</v>
      </c>
      <c r="P400">
        <v>7</v>
      </c>
      <c r="Q400">
        <v>5</v>
      </c>
      <c r="R400">
        <v>2</v>
      </c>
      <c r="S400">
        <v>8</v>
      </c>
      <c r="T400">
        <v>8</v>
      </c>
      <c r="U400">
        <v>0</v>
      </c>
      <c r="V400">
        <v>7</v>
      </c>
      <c r="W400">
        <v>7</v>
      </c>
      <c r="X400">
        <v>0</v>
      </c>
      <c r="Y400">
        <v>9</v>
      </c>
      <c r="Z400">
        <v>8</v>
      </c>
      <c r="AA400">
        <v>1</v>
      </c>
      <c r="AB400">
        <v>7</v>
      </c>
      <c r="AC400">
        <v>6</v>
      </c>
      <c r="AD400">
        <v>1</v>
      </c>
      <c r="AE400">
        <v>9</v>
      </c>
      <c r="AF400">
        <v>6</v>
      </c>
      <c r="AG400">
        <v>3</v>
      </c>
      <c r="AH400">
        <v>8</v>
      </c>
      <c r="AI400">
        <v>8</v>
      </c>
      <c r="AJ400">
        <v>0</v>
      </c>
      <c r="AK400" t="s">
        <v>3770</v>
      </c>
      <c r="AL400" t="s">
        <v>3771</v>
      </c>
      <c r="AM400" t="s">
        <v>3772</v>
      </c>
      <c r="AN400" t="s">
        <v>3773</v>
      </c>
      <c r="AO400" t="s">
        <v>3774</v>
      </c>
      <c r="AP400" t="s">
        <v>3775</v>
      </c>
      <c r="AQ400" t="s">
        <v>3776</v>
      </c>
      <c r="AR400" t="s">
        <v>3777</v>
      </c>
      <c r="AS400" t="s">
        <v>3778</v>
      </c>
    </row>
    <row r="401" spans="1:45" x14ac:dyDescent="0.45">
      <c r="A401">
        <v>400</v>
      </c>
      <c r="B401">
        <v>441</v>
      </c>
      <c r="C401" t="s">
        <v>72</v>
      </c>
      <c r="D401" t="s">
        <v>79</v>
      </c>
      <c r="E401" t="s">
        <v>74</v>
      </c>
      <c r="F401" t="s">
        <v>77</v>
      </c>
      <c r="G401" t="s">
        <v>76</v>
      </c>
      <c r="H401">
        <v>44.616615906222172</v>
      </c>
      <c r="I401">
        <v>3</v>
      </c>
      <c r="J401">
        <v>7</v>
      </c>
      <c r="K401">
        <v>8</v>
      </c>
      <c r="L401">
        <v>-1</v>
      </c>
      <c r="M401">
        <v>6</v>
      </c>
      <c r="N401">
        <v>9</v>
      </c>
      <c r="O401">
        <v>-3</v>
      </c>
      <c r="P401">
        <v>9</v>
      </c>
      <c r="Q401">
        <v>8</v>
      </c>
      <c r="R401">
        <v>1</v>
      </c>
      <c r="S401">
        <v>10</v>
      </c>
      <c r="T401">
        <v>8</v>
      </c>
      <c r="U401">
        <v>2</v>
      </c>
      <c r="V401">
        <v>8</v>
      </c>
      <c r="W401">
        <v>7</v>
      </c>
      <c r="X401">
        <v>1</v>
      </c>
      <c r="Y401">
        <v>9</v>
      </c>
      <c r="Z401">
        <v>7</v>
      </c>
      <c r="AA401">
        <v>2</v>
      </c>
      <c r="AB401">
        <v>8</v>
      </c>
      <c r="AC401">
        <v>7</v>
      </c>
      <c r="AD401">
        <v>1</v>
      </c>
      <c r="AE401">
        <v>7</v>
      </c>
      <c r="AF401">
        <v>7</v>
      </c>
      <c r="AG401">
        <v>0</v>
      </c>
      <c r="AH401">
        <v>9</v>
      </c>
      <c r="AI401">
        <v>8</v>
      </c>
      <c r="AJ401">
        <v>1</v>
      </c>
      <c r="AK401" t="s">
        <v>3779</v>
      </c>
      <c r="AL401" t="s">
        <v>3780</v>
      </c>
      <c r="AM401" t="s">
        <v>3781</v>
      </c>
      <c r="AN401" t="s">
        <v>3782</v>
      </c>
      <c r="AO401" t="s">
        <v>3783</v>
      </c>
      <c r="AP401" t="s">
        <v>3784</v>
      </c>
      <c r="AQ401" t="s">
        <v>3785</v>
      </c>
      <c r="AR401" t="s">
        <v>3786</v>
      </c>
      <c r="AS401" t="s">
        <v>3787</v>
      </c>
    </row>
    <row r="402" spans="1:45" x14ac:dyDescent="0.45">
      <c r="A402">
        <v>401</v>
      </c>
      <c r="B402">
        <v>442</v>
      </c>
      <c r="C402" t="s">
        <v>72</v>
      </c>
      <c r="D402" t="s">
        <v>81</v>
      </c>
      <c r="E402" t="s">
        <v>80</v>
      </c>
      <c r="F402" t="s">
        <v>77</v>
      </c>
      <c r="G402" t="s">
        <v>76</v>
      </c>
      <c r="H402">
        <v>16.838207852079275</v>
      </c>
      <c r="I402">
        <v>0</v>
      </c>
      <c r="J402">
        <v>8</v>
      </c>
      <c r="K402">
        <v>4</v>
      </c>
      <c r="L402">
        <v>4</v>
      </c>
      <c r="M402">
        <v>7</v>
      </c>
      <c r="N402">
        <v>4</v>
      </c>
      <c r="O402">
        <v>3</v>
      </c>
      <c r="P402">
        <v>9</v>
      </c>
      <c r="Q402">
        <v>3</v>
      </c>
      <c r="R402">
        <v>6</v>
      </c>
      <c r="S402">
        <v>8</v>
      </c>
      <c r="T402">
        <v>5</v>
      </c>
      <c r="U402">
        <v>3</v>
      </c>
      <c r="V402">
        <v>9</v>
      </c>
      <c r="W402">
        <v>5</v>
      </c>
      <c r="X402">
        <v>4</v>
      </c>
      <c r="Y402">
        <v>8</v>
      </c>
      <c r="Z402">
        <v>2</v>
      </c>
      <c r="AA402">
        <v>6</v>
      </c>
      <c r="AB402">
        <v>9</v>
      </c>
      <c r="AC402">
        <v>2</v>
      </c>
      <c r="AD402">
        <v>7</v>
      </c>
      <c r="AE402">
        <v>8</v>
      </c>
      <c r="AF402">
        <v>5</v>
      </c>
      <c r="AG402">
        <v>3</v>
      </c>
      <c r="AH402">
        <v>9</v>
      </c>
      <c r="AI402">
        <v>2</v>
      </c>
      <c r="AJ402">
        <v>7</v>
      </c>
      <c r="AK402" t="s">
        <v>856</v>
      </c>
      <c r="AL402" t="s">
        <v>857</v>
      </c>
      <c r="AM402" t="s">
        <v>858</v>
      </c>
      <c r="AN402" t="s">
        <v>3788</v>
      </c>
      <c r="AO402" t="s">
        <v>3789</v>
      </c>
      <c r="AP402" t="s">
        <v>3790</v>
      </c>
      <c r="AQ402" t="s">
        <v>3791</v>
      </c>
      <c r="AR402" t="s">
        <v>3792</v>
      </c>
      <c r="AS402" t="s">
        <v>3793</v>
      </c>
    </row>
    <row r="403" spans="1:45" x14ac:dyDescent="0.45">
      <c r="A403">
        <v>402</v>
      </c>
      <c r="B403">
        <v>443</v>
      </c>
      <c r="C403" t="s">
        <v>78</v>
      </c>
      <c r="D403" t="s">
        <v>193</v>
      </c>
      <c r="E403" t="s">
        <v>74</v>
      </c>
      <c r="F403" t="s">
        <v>75</v>
      </c>
      <c r="G403" t="s">
        <v>76</v>
      </c>
      <c r="H403">
        <v>153.82185160621316</v>
      </c>
      <c r="I403">
        <v>4</v>
      </c>
      <c r="J403">
        <v>7</v>
      </c>
      <c r="K403">
        <v>7</v>
      </c>
      <c r="L403">
        <v>0</v>
      </c>
      <c r="M403">
        <v>6</v>
      </c>
      <c r="N403">
        <v>7</v>
      </c>
      <c r="O403">
        <v>-1</v>
      </c>
      <c r="P403">
        <v>8</v>
      </c>
      <c r="Q403">
        <v>4</v>
      </c>
      <c r="R403">
        <v>4</v>
      </c>
      <c r="S403">
        <v>9</v>
      </c>
      <c r="T403">
        <v>6</v>
      </c>
      <c r="U403">
        <v>3</v>
      </c>
      <c r="V403">
        <v>8</v>
      </c>
      <c r="W403">
        <v>5</v>
      </c>
      <c r="X403">
        <v>3</v>
      </c>
      <c r="Y403">
        <v>9</v>
      </c>
      <c r="Z403">
        <v>4</v>
      </c>
      <c r="AA403">
        <v>5</v>
      </c>
      <c r="AB403">
        <v>8</v>
      </c>
      <c r="AC403">
        <v>5</v>
      </c>
      <c r="AD403">
        <v>3</v>
      </c>
      <c r="AE403">
        <v>7</v>
      </c>
      <c r="AF403">
        <v>5</v>
      </c>
      <c r="AG403">
        <v>2</v>
      </c>
      <c r="AH403">
        <v>9</v>
      </c>
      <c r="AI403">
        <v>5</v>
      </c>
      <c r="AJ403">
        <v>4</v>
      </c>
      <c r="AK403" t="s">
        <v>3794</v>
      </c>
      <c r="AL403" t="s">
        <v>3795</v>
      </c>
      <c r="AM403" t="s">
        <v>3796</v>
      </c>
      <c r="AN403" t="s">
        <v>3797</v>
      </c>
      <c r="AO403" t="s">
        <v>3798</v>
      </c>
      <c r="AP403" t="s">
        <v>3799</v>
      </c>
      <c r="AQ403" t="s">
        <v>3800</v>
      </c>
      <c r="AR403" t="s">
        <v>3801</v>
      </c>
      <c r="AS403" t="s">
        <v>3802</v>
      </c>
    </row>
    <row r="404" spans="1:45" x14ac:dyDescent="0.45">
      <c r="A404">
        <v>403</v>
      </c>
      <c r="B404">
        <v>444</v>
      </c>
      <c r="C404" t="s">
        <v>72</v>
      </c>
      <c r="D404" t="s">
        <v>81</v>
      </c>
      <c r="E404" t="s">
        <v>74</v>
      </c>
      <c r="F404" t="s">
        <v>77</v>
      </c>
      <c r="G404" t="s">
        <v>76</v>
      </c>
      <c r="H404">
        <v>27.132060902957004</v>
      </c>
      <c r="I404">
        <v>0</v>
      </c>
      <c r="J404">
        <v>7</v>
      </c>
      <c r="K404">
        <v>7</v>
      </c>
      <c r="L404">
        <v>0</v>
      </c>
      <c r="M404">
        <v>8</v>
      </c>
      <c r="N404">
        <v>7</v>
      </c>
      <c r="O404">
        <v>1</v>
      </c>
      <c r="P404">
        <v>9</v>
      </c>
      <c r="Q404">
        <v>7</v>
      </c>
      <c r="R404">
        <v>2</v>
      </c>
      <c r="S404">
        <v>8</v>
      </c>
      <c r="T404">
        <v>7</v>
      </c>
      <c r="U404">
        <v>1</v>
      </c>
      <c r="V404">
        <v>9</v>
      </c>
      <c r="W404">
        <v>7</v>
      </c>
      <c r="X404">
        <v>2</v>
      </c>
      <c r="Y404">
        <v>8</v>
      </c>
      <c r="Z404">
        <v>7</v>
      </c>
      <c r="AA404">
        <v>1</v>
      </c>
      <c r="AB404">
        <v>9</v>
      </c>
      <c r="AC404">
        <v>7</v>
      </c>
      <c r="AD404">
        <v>2</v>
      </c>
      <c r="AE404">
        <v>8</v>
      </c>
      <c r="AF404">
        <v>7</v>
      </c>
      <c r="AG404">
        <v>1</v>
      </c>
      <c r="AH404">
        <v>9</v>
      </c>
      <c r="AI404">
        <v>7</v>
      </c>
      <c r="AJ404">
        <v>2</v>
      </c>
      <c r="AK404" t="s">
        <v>3803</v>
      </c>
      <c r="AL404" t="s">
        <v>3804</v>
      </c>
      <c r="AM404" t="s">
        <v>3805</v>
      </c>
      <c r="AN404" t="s">
        <v>3806</v>
      </c>
      <c r="AO404" t="s">
        <v>3807</v>
      </c>
      <c r="AP404" t="s">
        <v>3808</v>
      </c>
      <c r="AQ404" t="s">
        <v>3809</v>
      </c>
      <c r="AR404" t="s">
        <v>3810</v>
      </c>
      <c r="AS404" t="s">
        <v>3811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O1" workbookViewId="0">
      <selection activeCell="O1" sqref="O1"/>
    </sheetView>
  </sheetViews>
  <sheetFormatPr defaultRowHeight="14.25" x14ac:dyDescent="0.45"/>
  <cols>
    <col min="1" max="1" width="15.265625" bestFit="1" customWidth="1"/>
    <col min="2" max="2" width="17.3984375" bestFit="1" customWidth="1"/>
    <col min="3" max="3" width="16.3984375" bestFit="1" customWidth="1"/>
    <col min="4" max="4" width="26.59765625" hidden="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83</v>
      </c>
      <c r="B1" t="s">
        <v>84</v>
      </c>
      <c r="C1" t="s">
        <v>85</v>
      </c>
      <c r="D1" t="s">
        <v>86</v>
      </c>
      <c r="E1" t="s">
        <v>87</v>
      </c>
      <c r="F1" t="s">
        <v>88</v>
      </c>
      <c r="G1" t="s">
        <v>89</v>
      </c>
      <c r="H1" t="s">
        <v>90</v>
      </c>
      <c r="I1" t="s">
        <v>91</v>
      </c>
      <c r="J1" t="s">
        <v>92</v>
      </c>
      <c r="K1" t="s">
        <v>93</v>
      </c>
      <c r="L1" t="s">
        <v>94</v>
      </c>
      <c r="M1" t="s">
        <v>95</v>
      </c>
      <c r="N1" t="s">
        <v>96</v>
      </c>
      <c r="O1" t="s">
        <v>97</v>
      </c>
      <c r="P1" t="s">
        <v>98</v>
      </c>
      <c r="Q1" t="s">
        <v>99</v>
      </c>
    </row>
    <row r="2" spans="1:17" x14ac:dyDescent="0.45">
      <c r="A2" s="19">
        <v>46016.586805555555</v>
      </c>
      <c r="B2" t="s">
        <v>72</v>
      </c>
      <c r="C2" t="s">
        <v>81</v>
      </c>
      <c r="D2" t="s">
        <v>74</v>
      </c>
      <c r="E2" t="s">
        <v>77</v>
      </c>
      <c r="F2" t="s">
        <v>100</v>
      </c>
      <c r="G2" t="s">
        <v>104</v>
      </c>
      <c r="H2" t="s">
        <v>102</v>
      </c>
      <c r="I2">
        <v>10</v>
      </c>
      <c r="J2">
        <v>8</v>
      </c>
      <c r="K2">
        <v>5</v>
      </c>
      <c r="L2">
        <v>5</v>
      </c>
      <c r="M2">
        <v>10</v>
      </c>
      <c r="N2">
        <v>10</v>
      </c>
      <c r="O2">
        <v>10</v>
      </c>
      <c r="P2">
        <v>10</v>
      </c>
      <c r="Q2">
        <v>10</v>
      </c>
    </row>
    <row r="3" spans="1:17" x14ac:dyDescent="0.45">
      <c r="A3" s="19">
        <v>46016.586805555555</v>
      </c>
      <c r="B3" t="s">
        <v>72</v>
      </c>
      <c r="C3" t="s">
        <v>81</v>
      </c>
      <c r="D3" t="s">
        <v>74</v>
      </c>
      <c r="E3" t="s">
        <v>77</v>
      </c>
      <c r="F3" t="s">
        <v>100</v>
      </c>
      <c r="G3" t="s">
        <v>104</v>
      </c>
      <c r="H3" t="s">
        <v>110</v>
      </c>
      <c r="I3">
        <v>8</v>
      </c>
      <c r="J3">
        <v>8</v>
      </c>
      <c r="K3">
        <v>6</v>
      </c>
      <c r="L3">
        <v>9</v>
      </c>
      <c r="M3">
        <v>10</v>
      </c>
      <c r="N3">
        <v>9</v>
      </c>
      <c r="O3">
        <v>8</v>
      </c>
      <c r="P3">
        <v>9</v>
      </c>
      <c r="Q3">
        <v>10</v>
      </c>
    </row>
    <row r="4" spans="1:17" x14ac:dyDescent="0.45">
      <c r="A4" s="19">
        <v>46016.588194444441</v>
      </c>
      <c r="B4" t="s">
        <v>78</v>
      </c>
      <c r="C4" t="s">
        <v>79</v>
      </c>
      <c r="D4" t="s">
        <v>74</v>
      </c>
      <c r="E4" t="s">
        <v>75</v>
      </c>
      <c r="F4" t="s">
        <v>100</v>
      </c>
      <c r="G4" t="s">
        <v>111</v>
      </c>
      <c r="H4" t="s">
        <v>106</v>
      </c>
      <c r="I4">
        <v>6</v>
      </c>
      <c r="J4">
        <v>5</v>
      </c>
      <c r="K4">
        <v>4</v>
      </c>
      <c r="L4">
        <v>5</v>
      </c>
      <c r="M4">
        <v>4</v>
      </c>
      <c r="N4">
        <v>4</v>
      </c>
      <c r="O4">
        <v>4</v>
      </c>
      <c r="P4">
        <v>10</v>
      </c>
      <c r="Q4">
        <v>4</v>
      </c>
    </row>
    <row r="5" spans="1:17" x14ac:dyDescent="0.45">
      <c r="A5" s="19">
        <v>46016.588194444441</v>
      </c>
      <c r="B5" t="s">
        <v>72</v>
      </c>
      <c r="C5" t="s">
        <v>189</v>
      </c>
      <c r="D5" t="s">
        <v>74</v>
      </c>
      <c r="E5" t="s">
        <v>77</v>
      </c>
      <c r="F5" t="s">
        <v>100</v>
      </c>
      <c r="G5" t="s">
        <v>194</v>
      </c>
      <c r="H5" t="s">
        <v>110</v>
      </c>
      <c r="I5">
        <v>10</v>
      </c>
      <c r="J5">
        <v>10</v>
      </c>
      <c r="K5">
        <v>8</v>
      </c>
      <c r="L5">
        <v>9</v>
      </c>
      <c r="M5">
        <v>9</v>
      </c>
      <c r="N5">
        <v>7</v>
      </c>
      <c r="O5">
        <v>10</v>
      </c>
      <c r="P5">
        <v>7</v>
      </c>
      <c r="Q5">
        <v>10</v>
      </c>
    </row>
    <row r="6" spans="1:17" x14ac:dyDescent="0.45">
      <c r="A6" s="19">
        <v>46016.588888888888</v>
      </c>
      <c r="B6" t="s">
        <v>72</v>
      </c>
      <c r="C6" t="s">
        <v>81</v>
      </c>
      <c r="D6" t="s">
        <v>74</v>
      </c>
      <c r="E6" t="s">
        <v>77</v>
      </c>
      <c r="F6" t="s">
        <v>100</v>
      </c>
      <c r="G6" t="s">
        <v>194</v>
      </c>
      <c r="H6" t="s">
        <v>110</v>
      </c>
      <c r="I6">
        <v>9</v>
      </c>
      <c r="J6">
        <v>9</v>
      </c>
      <c r="K6">
        <v>10</v>
      </c>
      <c r="L6">
        <v>9</v>
      </c>
      <c r="M6">
        <v>9</v>
      </c>
      <c r="N6">
        <v>9</v>
      </c>
      <c r="O6">
        <v>9</v>
      </c>
      <c r="P6">
        <v>9</v>
      </c>
      <c r="Q6">
        <v>9</v>
      </c>
    </row>
    <row r="7" spans="1:17" x14ac:dyDescent="0.45">
      <c r="A7" s="19">
        <v>46016.595138888886</v>
      </c>
      <c r="B7" t="s">
        <v>72</v>
      </c>
      <c r="C7" t="s">
        <v>73</v>
      </c>
      <c r="D7" t="s">
        <v>74</v>
      </c>
      <c r="E7" t="s">
        <v>75</v>
      </c>
      <c r="F7" t="s">
        <v>100</v>
      </c>
      <c r="G7" t="s">
        <v>107</v>
      </c>
      <c r="H7" t="s">
        <v>195</v>
      </c>
      <c r="I7">
        <v>8</v>
      </c>
      <c r="J7">
        <v>8</v>
      </c>
      <c r="K7">
        <v>5</v>
      </c>
      <c r="L7">
        <v>8</v>
      </c>
      <c r="M7">
        <v>6</v>
      </c>
      <c r="N7">
        <v>6</v>
      </c>
      <c r="O7">
        <v>4</v>
      </c>
      <c r="P7">
        <v>5</v>
      </c>
      <c r="Q7">
        <v>6</v>
      </c>
    </row>
    <row r="8" spans="1:17" x14ac:dyDescent="0.45">
      <c r="A8" s="19">
        <v>46016.59652777778</v>
      </c>
      <c r="B8" t="s">
        <v>72</v>
      </c>
      <c r="C8" t="s">
        <v>73</v>
      </c>
      <c r="D8" t="s">
        <v>74</v>
      </c>
      <c r="E8" t="s">
        <v>77</v>
      </c>
      <c r="F8" t="s">
        <v>100</v>
      </c>
      <c r="G8" t="s">
        <v>196</v>
      </c>
      <c r="H8" t="s">
        <v>105</v>
      </c>
      <c r="I8">
        <v>5</v>
      </c>
      <c r="J8">
        <v>4</v>
      </c>
      <c r="K8">
        <v>4</v>
      </c>
      <c r="L8">
        <v>6</v>
      </c>
      <c r="M8">
        <v>6</v>
      </c>
      <c r="N8">
        <v>7</v>
      </c>
      <c r="O8">
        <v>2</v>
      </c>
      <c r="P8">
        <v>4</v>
      </c>
      <c r="Q8">
        <v>4</v>
      </c>
    </row>
    <row r="9" spans="1:17" x14ac:dyDescent="0.45">
      <c r="A9" s="19">
        <v>46016.602777777778</v>
      </c>
      <c r="B9" t="s">
        <v>78</v>
      </c>
      <c r="C9" t="s">
        <v>79</v>
      </c>
      <c r="D9" t="s">
        <v>74</v>
      </c>
      <c r="E9" t="s">
        <v>75</v>
      </c>
      <c r="F9" t="s">
        <v>100</v>
      </c>
      <c r="G9" t="s">
        <v>194</v>
      </c>
      <c r="H9" t="s">
        <v>105</v>
      </c>
      <c r="I9">
        <v>1</v>
      </c>
      <c r="J9">
        <v>1</v>
      </c>
      <c r="K9">
        <v>2</v>
      </c>
      <c r="L9">
        <v>3</v>
      </c>
      <c r="M9">
        <v>6</v>
      </c>
      <c r="N9">
        <v>2</v>
      </c>
      <c r="O9">
        <v>7</v>
      </c>
      <c r="P9">
        <v>3</v>
      </c>
      <c r="Q9">
        <v>3</v>
      </c>
    </row>
    <row r="10" spans="1:17" x14ac:dyDescent="0.45">
      <c r="A10" s="19">
        <v>46016.649305555555</v>
      </c>
      <c r="B10" t="s">
        <v>72</v>
      </c>
      <c r="C10" t="s">
        <v>81</v>
      </c>
      <c r="D10" t="s">
        <v>80</v>
      </c>
      <c r="E10" t="s">
        <v>77</v>
      </c>
      <c r="F10" t="s">
        <v>103</v>
      </c>
      <c r="G10" t="s">
        <v>104</v>
      </c>
      <c r="H10" t="s">
        <v>102</v>
      </c>
      <c r="I10">
        <v>10</v>
      </c>
      <c r="J10">
        <v>10</v>
      </c>
      <c r="K10">
        <v>8</v>
      </c>
      <c r="L10">
        <v>7</v>
      </c>
      <c r="M10">
        <v>7</v>
      </c>
      <c r="N10">
        <v>5</v>
      </c>
      <c r="O10">
        <v>5</v>
      </c>
      <c r="P10">
        <v>9</v>
      </c>
      <c r="Q10">
        <v>8</v>
      </c>
    </row>
    <row r="11" spans="1:17" x14ac:dyDescent="0.45">
      <c r="A11" s="19">
        <v>46016.660416666666</v>
      </c>
      <c r="B11" t="s">
        <v>72</v>
      </c>
      <c r="C11" t="s">
        <v>81</v>
      </c>
      <c r="D11" t="s">
        <v>74</v>
      </c>
      <c r="E11" t="s">
        <v>77</v>
      </c>
      <c r="F11" t="s">
        <v>100</v>
      </c>
      <c r="G11" t="s">
        <v>196</v>
      </c>
      <c r="H11" t="s">
        <v>110</v>
      </c>
      <c r="I11">
        <v>7</v>
      </c>
      <c r="J11">
        <v>10</v>
      </c>
      <c r="K11">
        <v>1</v>
      </c>
      <c r="L11">
        <v>5</v>
      </c>
      <c r="M11">
        <v>8</v>
      </c>
      <c r="N11">
        <v>5</v>
      </c>
      <c r="O11">
        <v>5</v>
      </c>
      <c r="P11">
        <v>5</v>
      </c>
      <c r="Q11">
        <v>10</v>
      </c>
    </row>
    <row r="12" spans="1:17" x14ac:dyDescent="0.45">
      <c r="A12" s="19">
        <v>46016.661111111112</v>
      </c>
      <c r="B12" t="s">
        <v>78</v>
      </c>
      <c r="C12" t="s">
        <v>73</v>
      </c>
      <c r="D12" t="s">
        <v>74</v>
      </c>
      <c r="E12" t="s">
        <v>75</v>
      </c>
      <c r="F12" t="s">
        <v>103</v>
      </c>
      <c r="G12" t="s">
        <v>109</v>
      </c>
      <c r="H12" t="s">
        <v>195</v>
      </c>
      <c r="I12">
        <v>10</v>
      </c>
      <c r="J12">
        <v>3</v>
      </c>
      <c r="K12">
        <v>1</v>
      </c>
      <c r="L12">
        <v>7</v>
      </c>
      <c r="M12">
        <v>1</v>
      </c>
      <c r="N12">
        <v>5</v>
      </c>
      <c r="O12">
        <v>1</v>
      </c>
      <c r="P12">
        <v>8</v>
      </c>
      <c r="Q12">
        <v>6</v>
      </c>
    </row>
    <row r="13" spans="1:17" x14ac:dyDescent="0.45">
      <c r="A13" s="19">
        <v>46016.709027777775</v>
      </c>
      <c r="B13" t="s">
        <v>72</v>
      </c>
      <c r="C13" t="s">
        <v>189</v>
      </c>
      <c r="D13" t="s">
        <v>74</v>
      </c>
      <c r="E13" t="s">
        <v>77</v>
      </c>
      <c r="F13" t="s">
        <v>100</v>
      </c>
      <c r="G13" t="s">
        <v>194</v>
      </c>
      <c r="H13" t="s">
        <v>110</v>
      </c>
      <c r="I13">
        <v>5</v>
      </c>
      <c r="J13">
        <v>8</v>
      </c>
      <c r="K13">
        <v>5</v>
      </c>
      <c r="L13">
        <v>5</v>
      </c>
      <c r="M13">
        <v>6</v>
      </c>
      <c r="N13">
        <v>5</v>
      </c>
      <c r="O13">
        <v>5</v>
      </c>
      <c r="P13">
        <v>5</v>
      </c>
      <c r="Q13">
        <v>5</v>
      </c>
    </row>
    <row r="14" spans="1:17" x14ac:dyDescent="0.45">
      <c r="A14" s="19">
        <v>46016.745833333334</v>
      </c>
      <c r="B14" t="s">
        <v>72</v>
      </c>
      <c r="C14" t="s">
        <v>189</v>
      </c>
      <c r="D14" t="s">
        <v>74</v>
      </c>
      <c r="E14" t="s">
        <v>77</v>
      </c>
      <c r="F14" t="s">
        <v>100</v>
      </c>
      <c r="G14" t="s">
        <v>194</v>
      </c>
      <c r="H14" t="s">
        <v>110</v>
      </c>
      <c r="I14">
        <v>8</v>
      </c>
      <c r="J14">
        <v>7</v>
      </c>
      <c r="K14">
        <v>7</v>
      </c>
      <c r="L14">
        <v>7</v>
      </c>
      <c r="M14">
        <v>7</v>
      </c>
      <c r="N14">
        <v>8</v>
      </c>
      <c r="O14">
        <v>7</v>
      </c>
      <c r="P14">
        <v>7</v>
      </c>
      <c r="Q14">
        <v>7</v>
      </c>
    </row>
    <row r="15" spans="1:17" x14ac:dyDescent="0.45">
      <c r="A15" s="19">
        <v>46016.844444444447</v>
      </c>
      <c r="B15" t="s">
        <v>72</v>
      </c>
      <c r="C15" t="s">
        <v>73</v>
      </c>
      <c r="D15" t="s">
        <v>74</v>
      </c>
      <c r="E15" t="s">
        <v>75</v>
      </c>
      <c r="F15" t="s">
        <v>100</v>
      </c>
      <c r="G15" t="s">
        <v>196</v>
      </c>
      <c r="H15" t="s">
        <v>110</v>
      </c>
      <c r="I15">
        <v>10</v>
      </c>
      <c r="J15">
        <v>10</v>
      </c>
      <c r="K15">
        <v>8</v>
      </c>
      <c r="L15">
        <v>8</v>
      </c>
      <c r="M15">
        <v>8</v>
      </c>
      <c r="N15">
        <v>6</v>
      </c>
      <c r="O15">
        <v>6</v>
      </c>
      <c r="P15">
        <v>5</v>
      </c>
      <c r="Q15">
        <v>5</v>
      </c>
    </row>
    <row r="16" spans="1:17" x14ac:dyDescent="0.45">
      <c r="A16" s="19">
        <v>46016.84652777778</v>
      </c>
      <c r="B16" t="s">
        <v>78</v>
      </c>
      <c r="C16" t="s">
        <v>73</v>
      </c>
      <c r="D16" t="s">
        <v>74</v>
      </c>
      <c r="E16" t="s">
        <v>75</v>
      </c>
      <c r="F16" t="s">
        <v>100</v>
      </c>
      <c r="G16" t="s">
        <v>109</v>
      </c>
      <c r="H16" t="s">
        <v>105</v>
      </c>
      <c r="I16">
        <v>7</v>
      </c>
      <c r="J16">
        <v>9</v>
      </c>
      <c r="K16">
        <v>3</v>
      </c>
      <c r="L16">
        <v>6</v>
      </c>
      <c r="M16">
        <v>1</v>
      </c>
      <c r="N16">
        <v>1</v>
      </c>
      <c r="O16">
        <v>1</v>
      </c>
      <c r="P16">
        <v>1</v>
      </c>
      <c r="Q16">
        <v>1</v>
      </c>
    </row>
    <row r="17" spans="1:17" x14ac:dyDescent="0.45">
      <c r="A17" s="19">
        <v>46016.881249999999</v>
      </c>
      <c r="B17" t="s">
        <v>78</v>
      </c>
      <c r="C17" t="s">
        <v>79</v>
      </c>
      <c r="D17" t="s">
        <v>74</v>
      </c>
      <c r="E17" t="s">
        <v>75</v>
      </c>
      <c r="F17" t="s">
        <v>100</v>
      </c>
      <c r="G17" t="s">
        <v>107</v>
      </c>
      <c r="H17" t="s">
        <v>195</v>
      </c>
      <c r="I17">
        <v>8</v>
      </c>
      <c r="J17">
        <v>8</v>
      </c>
      <c r="K17">
        <v>8</v>
      </c>
      <c r="L17">
        <v>9</v>
      </c>
      <c r="M17">
        <v>7</v>
      </c>
      <c r="N17">
        <v>7</v>
      </c>
      <c r="O17">
        <v>9</v>
      </c>
      <c r="P17">
        <v>8</v>
      </c>
      <c r="Q17">
        <v>7</v>
      </c>
    </row>
    <row r="18" spans="1:17" x14ac:dyDescent="0.45">
      <c r="A18" s="19">
        <v>46016.885416666664</v>
      </c>
      <c r="B18" t="s">
        <v>72</v>
      </c>
      <c r="C18" t="s">
        <v>81</v>
      </c>
      <c r="D18" t="s">
        <v>74</v>
      </c>
      <c r="E18" t="s">
        <v>77</v>
      </c>
      <c r="F18" t="s">
        <v>100</v>
      </c>
      <c r="G18" t="s">
        <v>196</v>
      </c>
      <c r="H18" t="s">
        <v>105</v>
      </c>
      <c r="I18">
        <v>6</v>
      </c>
      <c r="J18">
        <v>7</v>
      </c>
      <c r="K18">
        <v>5</v>
      </c>
      <c r="L18">
        <v>5</v>
      </c>
      <c r="M18">
        <v>6</v>
      </c>
      <c r="N18">
        <v>7</v>
      </c>
      <c r="O18">
        <v>3</v>
      </c>
      <c r="P18">
        <v>4</v>
      </c>
      <c r="Q18">
        <v>5</v>
      </c>
    </row>
    <row r="19" spans="1:17" x14ac:dyDescent="0.45">
      <c r="A19" s="19">
        <v>46016.907638888886</v>
      </c>
      <c r="B19" t="s">
        <v>78</v>
      </c>
      <c r="C19" t="s">
        <v>79</v>
      </c>
      <c r="D19" t="s">
        <v>74</v>
      </c>
      <c r="E19" t="s">
        <v>77</v>
      </c>
      <c r="F19" t="s">
        <v>103</v>
      </c>
      <c r="G19" t="s">
        <v>104</v>
      </c>
      <c r="H19" t="s">
        <v>110</v>
      </c>
      <c r="I19">
        <v>6</v>
      </c>
      <c r="J19">
        <v>8</v>
      </c>
      <c r="K19">
        <v>7</v>
      </c>
      <c r="L19">
        <v>8</v>
      </c>
      <c r="M19">
        <v>8</v>
      </c>
      <c r="N19">
        <v>7</v>
      </c>
      <c r="O19">
        <v>7</v>
      </c>
      <c r="P19">
        <v>6</v>
      </c>
      <c r="Q19">
        <v>8</v>
      </c>
    </row>
    <row r="20" spans="1:17" x14ac:dyDescent="0.45">
      <c r="A20" s="19">
        <v>46016.910416666666</v>
      </c>
      <c r="B20" t="s">
        <v>78</v>
      </c>
      <c r="C20" t="s">
        <v>79</v>
      </c>
      <c r="D20" t="s">
        <v>74</v>
      </c>
      <c r="E20" t="s">
        <v>77</v>
      </c>
      <c r="F20" t="s">
        <v>100</v>
      </c>
      <c r="G20" t="s">
        <v>108</v>
      </c>
      <c r="H20" t="s">
        <v>195</v>
      </c>
      <c r="I20">
        <v>10</v>
      </c>
      <c r="J20">
        <v>10</v>
      </c>
      <c r="K20">
        <v>5</v>
      </c>
      <c r="L20">
        <v>5</v>
      </c>
      <c r="M20">
        <v>5</v>
      </c>
      <c r="N20">
        <v>3</v>
      </c>
      <c r="O20">
        <v>2</v>
      </c>
      <c r="P20">
        <v>5</v>
      </c>
      <c r="Q20">
        <v>8</v>
      </c>
    </row>
    <row r="21" spans="1:17" x14ac:dyDescent="0.45">
      <c r="A21" s="19">
        <v>46017.081250000003</v>
      </c>
      <c r="B21" t="s">
        <v>78</v>
      </c>
      <c r="C21" t="s">
        <v>73</v>
      </c>
      <c r="D21" t="s">
        <v>74</v>
      </c>
      <c r="E21" t="s">
        <v>75</v>
      </c>
      <c r="F21" t="s">
        <v>100</v>
      </c>
      <c r="G21" t="s">
        <v>111</v>
      </c>
      <c r="H21" t="s">
        <v>105</v>
      </c>
      <c r="I21">
        <v>9</v>
      </c>
      <c r="J21">
        <v>9</v>
      </c>
      <c r="K21">
        <v>7</v>
      </c>
      <c r="L21">
        <v>9</v>
      </c>
      <c r="M21">
        <v>7</v>
      </c>
      <c r="N21">
        <v>8</v>
      </c>
      <c r="O21">
        <v>5</v>
      </c>
      <c r="P21">
        <v>5</v>
      </c>
      <c r="Q21">
        <v>6</v>
      </c>
    </row>
    <row r="22" spans="1:17" x14ac:dyDescent="0.45">
      <c r="A22" s="19">
        <v>46017.3125</v>
      </c>
      <c r="B22" t="s">
        <v>72</v>
      </c>
      <c r="C22" t="s">
        <v>79</v>
      </c>
      <c r="D22" t="s">
        <v>74</v>
      </c>
      <c r="E22" t="s">
        <v>77</v>
      </c>
      <c r="F22" t="s">
        <v>100</v>
      </c>
      <c r="G22" t="s">
        <v>108</v>
      </c>
      <c r="H22" t="s">
        <v>106</v>
      </c>
      <c r="I22">
        <v>10</v>
      </c>
      <c r="J22">
        <v>10</v>
      </c>
      <c r="K22">
        <v>8</v>
      </c>
      <c r="L22">
        <v>7</v>
      </c>
      <c r="M22">
        <v>7</v>
      </c>
      <c r="N22">
        <v>7</v>
      </c>
      <c r="O22">
        <v>2</v>
      </c>
      <c r="P22">
        <v>3</v>
      </c>
      <c r="Q22">
        <v>3</v>
      </c>
    </row>
    <row r="23" spans="1:17" x14ac:dyDescent="0.45">
      <c r="A23" s="19">
        <v>46017.362500000003</v>
      </c>
      <c r="B23" t="s">
        <v>72</v>
      </c>
      <c r="C23" t="s">
        <v>189</v>
      </c>
      <c r="D23" t="s">
        <v>74</v>
      </c>
      <c r="E23" t="s">
        <v>77</v>
      </c>
      <c r="F23" t="s">
        <v>100</v>
      </c>
      <c r="G23" t="s">
        <v>104</v>
      </c>
      <c r="H23" t="s">
        <v>110</v>
      </c>
      <c r="I23">
        <v>8</v>
      </c>
      <c r="J23">
        <v>8</v>
      </c>
      <c r="K23">
        <v>5</v>
      </c>
      <c r="L23">
        <v>8</v>
      </c>
      <c r="M23">
        <v>8</v>
      </c>
      <c r="N23">
        <v>8</v>
      </c>
      <c r="O23">
        <v>8</v>
      </c>
      <c r="P23">
        <v>8</v>
      </c>
      <c r="Q23">
        <v>8</v>
      </c>
    </row>
    <row r="24" spans="1:17" x14ac:dyDescent="0.45">
      <c r="A24" s="19">
        <v>46017.4</v>
      </c>
      <c r="B24" t="s">
        <v>72</v>
      </c>
      <c r="C24" t="s">
        <v>79</v>
      </c>
      <c r="D24" t="s">
        <v>74</v>
      </c>
      <c r="E24" t="s">
        <v>75</v>
      </c>
      <c r="F24" t="s">
        <v>100</v>
      </c>
      <c r="G24" t="s">
        <v>107</v>
      </c>
      <c r="H24" t="s">
        <v>106</v>
      </c>
      <c r="I24">
        <v>5</v>
      </c>
      <c r="J24">
        <v>5</v>
      </c>
      <c r="K24">
        <v>5</v>
      </c>
      <c r="L24">
        <v>5</v>
      </c>
      <c r="M24">
        <v>5</v>
      </c>
      <c r="N24">
        <v>5</v>
      </c>
      <c r="O24">
        <v>5</v>
      </c>
      <c r="P24">
        <v>5</v>
      </c>
      <c r="Q24">
        <v>5</v>
      </c>
    </row>
    <row r="25" spans="1:17" x14ac:dyDescent="0.45">
      <c r="A25" s="19">
        <v>46017.484027777777</v>
      </c>
      <c r="B25" t="s">
        <v>72</v>
      </c>
      <c r="C25" t="s">
        <v>73</v>
      </c>
      <c r="D25" t="s">
        <v>80</v>
      </c>
      <c r="E25" t="s">
        <v>77</v>
      </c>
      <c r="F25" t="s">
        <v>100</v>
      </c>
      <c r="G25" t="s">
        <v>101</v>
      </c>
      <c r="H25" t="s">
        <v>105</v>
      </c>
      <c r="I25">
        <v>9</v>
      </c>
      <c r="J25">
        <v>8</v>
      </c>
      <c r="K25">
        <v>6</v>
      </c>
      <c r="L25">
        <v>9</v>
      </c>
      <c r="M25">
        <v>8</v>
      </c>
      <c r="N25">
        <v>10</v>
      </c>
      <c r="O25">
        <v>6</v>
      </c>
      <c r="P25">
        <v>6</v>
      </c>
      <c r="Q25">
        <v>8</v>
      </c>
    </row>
    <row r="26" spans="1:17" x14ac:dyDescent="0.45">
      <c r="A26" s="19">
        <v>46017.486111111109</v>
      </c>
      <c r="B26" t="s">
        <v>78</v>
      </c>
      <c r="C26" t="s">
        <v>73</v>
      </c>
      <c r="D26" t="s">
        <v>74</v>
      </c>
      <c r="E26" t="s">
        <v>75</v>
      </c>
      <c r="F26" t="s">
        <v>100</v>
      </c>
      <c r="G26" t="s">
        <v>109</v>
      </c>
      <c r="H26" t="s">
        <v>102</v>
      </c>
      <c r="I26">
        <v>6</v>
      </c>
      <c r="J26">
        <v>7</v>
      </c>
      <c r="K26">
        <v>5</v>
      </c>
      <c r="L26">
        <v>6</v>
      </c>
      <c r="M26">
        <v>7</v>
      </c>
      <c r="N26">
        <v>7</v>
      </c>
      <c r="O26">
        <v>3</v>
      </c>
      <c r="P26">
        <v>3</v>
      </c>
      <c r="Q26">
        <v>5</v>
      </c>
    </row>
    <row r="27" spans="1:17" x14ac:dyDescent="0.45">
      <c r="A27" s="19">
        <v>46017.489583333336</v>
      </c>
      <c r="B27" t="s">
        <v>78</v>
      </c>
      <c r="C27" t="s">
        <v>73</v>
      </c>
      <c r="D27" t="s">
        <v>74</v>
      </c>
      <c r="E27" t="s">
        <v>75</v>
      </c>
      <c r="F27" t="s">
        <v>100</v>
      </c>
      <c r="G27" t="s">
        <v>194</v>
      </c>
      <c r="H27" t="s">
        <v>195</v>
      </c>
      <c r="I27">
        <v>10</v>
      </c>
      <c r="J27">
        <v>10</v>
      </c>
      <c r="K27">
        <v>10</v>
      </c>
      <c r="L27">
        <v>6</v>
      </c>
      <c r="M27">
        <v>6</v>
      </c>
      <c r="N27">
        <v>10</v>
      </c>
      <c r="O27">
        <v>1</v>
      </c>
      <c r="P27">
        <v>4</v>
      </c>
      <c r="Q27">
        <v>10</v>
      </c>
    </row>
    <row r="28" spans="1:17" x14ac:dyDescent="0.45">
      <c r="A28" s="19">
        <v>46017.504166666666</v>
      </c>
      <c r="B28" t="s">
        <v>78</v>
      </c>
      <c r="C28" t="s">
        <v>189</v>
      </c>
      <c r="D28" t="s">
        <v>74</v>
      </c>
      <c r="E28" t="s">
        <v>77</v>
      </c>
      <c r="F28" t="s">
        <v>100</v>
      </c>
      <c r="G28" t="s">
        <v>194</v>
      </c>
      <c r="H28" t="s">
        <v>110</v>
      </c>
      <c r="I28">
        <v>1</v>
      </c>
      <c r="J28">
        <v>1</v>
      </c>
      <c r="K28">
        <v>1</v>
      </c>
      <c r="L28">
        <v>1</v>
      </c>
      <c r="M28">
        <v>1</v>
      </c>
      <c r="N28">
        <v>1</v>
      </c>
      <c r="O28">
        <v>1</v>
      </c>
      <c r="P28">
        <v>1</v>
      </c>
      <c r="Q28">
        <v>1</v>
      </c>
    </row>
    <row r="29" spans="1:17" x14ac:dyDescent="0.45">
      <c r="A29" s="19">
        <v>46017.504166666666</v>
      </c>
      <c r="B29" t="s">
        <v>78</v>
      </c>
      <c r="C29" t="s">
        <v>81</v>
      </c>
      <c r="D29" t="s">
        <v>74</v>
      </c>
      <c r="E29" t="s">
        <v>77</v>
      </c>
      <c r="F29" t="s">
        <v>100</v>
      </c>
      <c r="G29" t="s">
        <v>104</v>
      </c>
      <c r="H29" t="s">
        <v>110</v>
      </c>
      <c r="I29">
        <v>1</v>
      </c>
      <c r="J29">
        <v>1</v>
      </c>
      <c r="K29">
        <v>1</v>
      </c>
      <c r="L29">
        <v>1</v>
      </c>
      <c r="M29">
        <v>1</v>
      </c>
      <c r="N29">
        <v>1</v>
      </c>
      <c r="O29">
        <v>1</v>
      </c>
      <c r="P29">
        <v>1</v>
      </c>
      <c r="Q29">
        <v>1</v>
      </c>
    </row>
    <row r="30" spans="1:17" x14ac:dyDescent="0.45">
      <c r="A30" s="19">
        <v>46017.504861111112</v>
      </c>
      <c r="B30" t="s">
        <v>72</v>
      </c>
      <c r="C30" t="s">
        <v>189</v>
      </c>
      <c r="D30" t="s">
        <v>74</v>
      </c>
      <c r="E30" t="s">
        <v>77</v>
      </c>
      <c r="F30" t="s">
        <v>100</v>
      </c>
      <c r="G30" t="s">
        <v>104</v>
      </c>
      <c r="H30" t="s">
        <v>110</v>
      </c>
      <c r="I30">
        <v>10</v>
      </c>
      <c r="J30">
        <v>10</v>
      </c>
      <c r="K30">
        <v>9</v>
      </c>
      <c r="L30">
        <v>10</v>
      </c>
      <c r="M30">
        <v>10</v>
      </c>
      <c r="N30">
        <v>9</v>
      </c>
      <c r="O30">
        <v>10</v>
      </c>
      <c r="P30">
        <v>10</v>
      </c>
      <c r="Q30">
        <v>10</v>
      </c>
    </row>
    <row r="31" spans="1:17" x14ac:dyDescent="0.45">
      <c r="A31" s="19">
        <v>46017.504861111112</v>
      </c>
      <c r="B31" t="s">
        <v>72</v>
      </c>
      <c r="C31" t="s">
        <v>189</v>
      </c>
      <c r="D31" t="s">
        <v>74</v>
      </c>
      <c r="E31" t="s">
        <v>77</v>
      </c>
      <c r="F31" t="s">
        <v>100</v>
      </c>
      <c r="G31" t="s">
        <v>104</v>
      </c>
      <c r="H31" t="s">
        <v>110</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100</v>
      </c>
      <c r="G32" t="s">
        <v>101</v>
      </c>
      <c r="H32" t="s">
        <v>110</v>
      </c>
      <c r="I32">
        <v>10</v>
      </c>
      <c r="J32">
        <v>7</v>
      </c>
      <c r="K32">
        <v>10</v>
      </c>
      <c r="L32">
        <v>7</v>
      </c>
      <c r="M32">
        <v>10</v>
      </c>
      <c r="N32">
        <v>10</v>
      </c>
      <c r="O32">
        <v>3</v>
      </c>
      <c r="P32">
        <v>5</v>
      </c>
      <c r="Q32">
        <v>8</v>
      </c>
    </row>
    <row r="33" spans="1:17" x14ac:dyDescent="0.45">
      <c r="A33" s="19">
        <v>46017.505555555559</v>
      </c>
      <c r="B33" t="s">
        <v>72</v>
      </c>
      <c r="C33" t="s">
        <v>189</v>
      </c>
      <c r="D33" t="s">
        <v>74</v>
      </c>
      <c r="E33" t="s">
        <v>77</v>
      </c>
      <c r="F33" t="s">
        <v>100</v>
      </c>
      <c r="G33" t="s">
        <v>101</v>
      </c>
      <c r="H33" t="s">
        <v>110</v>
      </c>
      <c r="I33">
        <v>5</v>
      </c>
      <c r="J33">
        <v>5</v>
      </c>
      <c r="K33">
        <v>5</v>
      </c>
      <c r="L33">
        <v>5</v>
      </c>
      <c r="M33">
        <v>5</v>
      </c>
      <c r="N33">
        <v>5</v>
      </c>
      <c r="O33">
        <v>5</v>
      </c>
      <c r="P33">
        <v>5</v>
      </c>
      <c r="Q33">
        <v>5</v>
      </c>
    </row>
    <row r="34" spans="1:17" x14ac:dyDescent="0.45">
      <c r="A34" s="19">
        <v>46017.505555555559</v>
      </c>
      <c r="B34" t="s">
        <v>72</v>
      </c>
      <c r="C34" t="s">
        <v>81</v>
      </c>
      <c r="D34" t="s">
        <v>74</v>
      </c>
      <c r="E34" t="s">
        <v>77</v>
      </c>
      <c r="F34" t="s">
        <v>100</v>
      </c>
      <c r="G34" t="s">
        <v>101</v>
      </c>
      <c r="H34" t="s">
        <v>110</v>
      </c>
      <c r="I34">
        <v>8</v>
      </c>
      <c r="J34">
        <v>9</v>
      </c>
      <c r="K34">
        <v>7</v>
      </c>
      <c r="L34">
        <v>8</v>
      </c>
      <c r="M34">
        <v>8</v>
      </c>
      <c r="N34">
        <v>8</v>
      </c>
      <c r="O34">
        <v>3</v>
      </c>
      <c r="P34">
        <v>6</v>
      </c>
      <c r="Q34">
        <v>7</v>
      </c>
    </row>
    <row r="35" spans="1:17" x14ac:dyDescent="0.45">
      <c r="A35" s="19">
        <v>46017.505555555559</v>
      </c>
      <c r="B35" t="s">
        <v>78</v>
      </c>
      <c r="C35" t="s">
        <v>81</v>
      </c>
      <c r="D35" t="s">
        <v>74</v>
      </c>
      <c r="E35" t="s">
        <v>77</v>
      </c>
      <c r="F35" t="s">
        <v>100</v>
      </c>
      <c r="G35" t="s">
        <v>104</v>
      </c>
      <c r="H35" t="s">
        <v>102</v>
      </c>
      <c r="I35">
        <v>10</v>
      </c>
      <c r="J35">
        <v>10</v>
      </c>
      <c r="K35">
        <v>10</v>
      </c>
      <c r="L35">
        <v>10</v>
      </c>
      <c r="M35">
        <v>10</v>
      </c>
      <c r="N35">
        <v>10</v>
      </c>
      <c r="O35">
        <v>10</v>
      </c>
      <c r="P35">
        <v>10</v>
      </c>
      <c r="Q35">
        <v>10</v>
      </c>
    </row>
    <row r="36" spans="1:17" x14ac:dyDescent="0.45">
      <c r="A36" s="19">
        <v>46017.509722222225</v>
      </c>
      <c r="B36" t="s">
        <v>72</v>
      </c>
      <c r="C36" t="s">
        <v>73</v>
      </c>
      <c r="D36" t="s">
        <v>74</v>
      </c>
      <c r="E36" t="s">
        <v>190</v>
      </c>
      <c r="F36" t="s">
        <v>100</v>
      </c>
      <c r="G36" t="s">
        <v>104</v>
      </c>
      <c r="H36" t="s">
        <v>106</v>
      </c>
      <c r="I36">
        <v>10</v>
      </c>
      <c r="J36">
        <v>10</v>
      </c>
      <c r="K36">
        <v>10</v>
      </c>
      <c r="L36">
        <v>10</v>
      </c>
      <c r="M36">
        <v>10</v>
      </c>
      <c r="N36">
        <v>10</v>
      </c>
      <c r="O36">
        <v>10</v>
      </c>
      <c r="P36">
        <v>10</v>
      </c>
      <c r="Q36">
        <v>10</v>
      </c>
    </row>
    <row r="37" spans="1:17" x14ac:dyDescent="0.45">
      <c r="A37" s="19">
        <v>46017.510416666664</v>
      </c>
      <c r="B37" t="s">
        <v>72</v>
      </c>
      <c r="C37" t="s">
        <v>189</v>
      </c>
      <c r="D37" t="s">
        <v>74</v>
      </c>
      <c r="E37" t="s">
        <v>77</v>
      </c>
      <c r="F37" t="s">
        <v>100</v>
      </c>
      <c r="G37" t="s">
        <v>104</v>
      </c>
      <c r="H37" t="s">
        <v>110</v>
      </c>
      <c r="I37">
        <v>10</v>
      </c>
      <c r="J37">
        <v>9</v>
      </c>
      <c r="K37">
        <v>10</v>
      </c>
      <c r="L37">
        <v>8</v>
      </c>
      <c r="M37">
        <v>10</v>
      </c>
      <c r="N37">
        <v>9</v>
      </c>
      <c r="O37">
        <v>10</v>
      </c>
      <c r="P37">
        <v>10</v>
      </c>
      <c r="Q37">
        <v>10</v>
      </c>
    </row>
    <row r="38" spans="1:17" x14ac:dyDescent="0.45">
      <c r="A38" s="19">
        <v>46017.511111111111</v>
      </c>
      <c r="B38" t="s">
        <v>78</v>
      </c>
      <c r="C38" t="s">
        <v>189</v>
      </c>
      <c r="D38" t="s">
        <v>74</v>
      </c>
      <c r="E38" t="s">
        <v>77</v>
      </c>
      <c r="F38" t="s">
        <v>100</v>
      </c>
      <c r="G38" t="s">
        <v>104</v>
      </c>
      <c r="H38" t="s">
        <v>110</v>
      </c>
      <c r="I38">
        <v>10</v>
      </c>
      <c r="J38">
        <v>10</v>
      </c>
      <c r="K38">
        <v>10</v>
      </c>
      <c r="L38">
        <v>10</v>
      </c>
      <c r="M38">
        <v>9</v>
      </c>
      <c r="N38">
        <v>9</v>
      </c>
      <c r="O38">
        <v>9</v>
      </c>
      <c r="P38">
        <v>9</v>
      </c>
      <c r="Q38">
        <v>8</v>
      </c>
    </row>
    <row r="39" spans="1:17" x14ac:dyDescent="0.45">
      <c r="A39" s="19">
        <v>46017.511111111111</v>
      </c>
      <c r="B39" t="s">
        <v>72</v>
      </c>
      <c r="C39" t="s">
        <v>73</v>
      </c>
      <c r="D39" t="s">
        <v>74</v>
      </c>
      <c r="E39" t="s">
        <v>77</v>
      </c>
      <c r="F39" t="s">
        <v>100</v>
      </c>
      <c r="G39" t="s">
        <v>109</v>
      </c>
      <c r="H39" t="s">
        <v>102</v>
      </c>
      <c r="I39">
        <v>8</v>
      </c>
      <c r="J39">
        <v>8</v>
      </c>
      <c r="K39">
        <v>8</v>
      </c>
      <c r="L39">
        <v>8</v>
      </c>
      <c r="M39">
        <v>8</v>
      </c>
      <c r="N39">
        <v>8</v>
      </c>
      <c r="O39">
        <v>8</v>
      </c>
      <c r="P39">
        <v>8</v>
      </c>
      <c r="Q39">
        <v>8</v>
      </c>
    </row>
    <row r="40" spans="1:17" x14ac:dyDescent="0.45">
      <c r="A40" s="19">
        <v>46017.511111111111</v>
      </c>
      <c r="B40" t="s">
        <v>78</v>
      </c>
      <c r="C40" t="s">
        <v>81</v>
      </c>
      <c r="D40" t="s">
        <v>74</v>
      </c>
      <c r="E40" t="s">
        <v>77</v>
      </c>
      <c r="F40" t="s">
        <v>100</v>
      </c>
      <c r="G40" t="s">
        <v>104</v>
      </c>
      <c r="H40" t="s">
        <v>110</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100</v>
      </c>
      <c r="G41" t="s">
        <v>108</v>
      </c>
      <c r="H41" t="s">
        <v>102</v>
      </c>
      <c r="I41">
        <v>8</v>
      </c>
      <c r="J41">
        <v>8</v>
      </c>
      <c r="K41">
        <v>6</v>
      </c>
      <c r="L41">
        <v>8</v>
      </c>
      <c r="M41">
        <v>7</v>
      </c>
      <c r="N41">
        <v>8</v>
      </c>
      <c r="O41">
        <v>5</v>
      </c>
      <c r="P41">
        <v>6</v>
      </c>
      <c r="Q41">
        <v>7</v>
      </c>
    </row>
    <row r="42" spans="1:17" x14ac:dyDescent="0.45">
      <c r="A42" s="19">
        <v>46017.511805555558</v>
      </c>
      <c r="B42" t="s">
        <v>78</v>
      </c>
      <c r="C42" t="s">
        <v>73</v>
      </c>
      <c r="D42" t="s">
        <v>74</v>
      </c>
      <c r="E42" t="s">
        <v>77</v>
      </c>
      <c r="F42" t="s">
        <v>100</v>
      </c>
      <c r="G42" t="s">
        <v>107</v>
      </c>
      <c r="H42" t="s">
        <v>105</v>
      </c>
      <c r="I42">
        <v>9</v>
      </c>
      <c r="J42">
        <v>8</v>
      </c>
      <c r="K42">
        <v>7</v>
      </c>
      <c r="L42">
        <v>8</v>
      </c>
      <c r="M42">
        <v>7</v>
      </c>
      <c r="N42">
        <v>4</v>
      </c>
      <c r="O42">
        <v>2</v>
      </c>
      <c r="P42">
        <v>8</v>
      </c>
      <c r="Q42">
        <v>8</v>
      </c>
    </row>
    <row r="43" spans="1:17" x14ac:dyDescent="0.45">
      <c r="A43" s="19">
        <v>46017.513194444444</v>
      </c>
      <c r="B43" t="s">
        <v>72</v>
      </c>
      <c r="C43" t="s">
        <v>73</v>
      </c>
      <c r="D43" t="s">
        <v>74</v>
      </c>
      <c r="E43" t="s">
        <v>77</v>
      </c>
      <c r="F43" t="s">
        <v>100</v>
      </c>
      <c r="G43" t="s">
        <v>109</v>
      </c>
      <c r="H43" t="s">
        <v>106</v>
      </c>
      <c r="I43">
        <v>10</v>
      </c>
      <c r="J43">
        <v>10</v>
      </c>
      <c r="K43">
        <v>9</v>
      </c>
      <c r="L43">
        <v>8</v>
      </c>
      <c r="M43">
        <v>7</v>
      </c>
      <c r="N43">
        <v>9</v>
      </c>
      <c r="O43">
        <v>9</v>
      </c>
      <c r="P43">
        <v>8</v>
      </c>
      <c r="Q43">
        <v>8</v>
      </c>
    </row>
    <row r="44" spans="1:17" x14ac:dyDescent="0.45">
      <c r="A44" s="19">
        <v>46017.515277777777</v>
      </c>
      <c r="B44" t="s">
        <v>72</v>
      </c>
      <c r="C44" t="s">
        <v>73</v>
      </c>
      <c r="D44" t="s">
        <v>74</v>
      </c>
      <c r="E44" t="s">
        <v>77</v>
      </c>
      <c r="F44" t="s">
        <v>100</v>
      </c>
      <c r="G44" t="s">
        <v>108</v>
      </c>
      <c r="H44" t="s">
        <v>105</v>
      </c>
      <c r="I44">
        <v>6</v>
      </c>
      <c r="J44">
        <v>6</v>
      </c>
      <c r="K44">
        <v>8</v>
      </c>
      <c r="L44">
        <v>10</v>
      </c>
      <c r="M44">
        <v>9</v>
      </c>
      <c r="N44">
        <v>1</v>
      </c>
      <c r="O44">
        <v>7</v>
      </c>
      <c r="P44">
        <v>7</v>
      </c>
      <c r="Q44">
        <v>8</v>
      </c>
    </row>
    <row r="45" spans="1:17" x14ac:dyDescent="0.45">
      <c r="A45" s="19">
        <v>46017.515972222223</v>
      </c>
      <c r="B45" t="s">
        <v>78</v>
      </c>
      <c r="C45" t="s">
        <v>73</v>
      </c>
      <c r="D45" t="s">
        <v>74</v>
      </c>
      <c r="E45" t="s">
        <v>77</v>
      </c>
      <c r="F45" t="s">
        <v>100</v>
      </c>
      <c r="G45" t="s">
        <v>101</v>
      </c>
      <c r="H45" t="s">
        <v>102</v>
      </c>
      <c r="I45">
        <v>8</v>
      </c>
      <c r="J45">
        <v>8</v>
      </c>
      <c r="K45">
        <v>8</v>
      </c>
      <c r="L45">
        <v>8</v>
      </c>
      <c r="M45">
        <v>8</v>
      </c>
      <c r="N45">
        <v>8</v>
      </c>
      <c r="O45">
        <v>9</v>
      </c>
      <c r="P45">
        <v>5</v>
      </c>
      <c r="Q45">
        <v>9</v>
      </c>
    </row>
    <row r="46" spans="1:17" x14ac:dyDescent="0.45">
      <c r="A46" s="19">
        <v>46017.518750000003</v>
      </c>
      <c r="B46" t="s">
        <v>72</v>
      </c>
      <c r="C46" t="s">
        <v>79</v>
      </c>
      <c r="D46" t="s">
        <v>74</v>
      </c>
      <c r="E46" t="s">
        <v>77</v>
      </c>
      <c r="F46" t="s">
        <v>100</v>
      </c>
      <c r="G46" t="s">
        <v>101</v>
      </c>
      <c r="H46" t="s">
        <v>105</v>
      </c>
      <c r="I46">
        <v>10</v>
      </c>
      <c r="J46">
        <v>10</v>
      </c>
      <c r="K46">
        <v>10</v>
      </c>
      <c r="L46">
        <v>9</v>
      </c>
      <c r="M46">
        <v>10</v>
      </c>
      <c r="N46">
        <v>10</v>
      </c>
      <c r="O46">
        <v>10</v>
      </c>
      <c r="P46">
        <v>10</v>
      </c>
      <c r="Q46">
        <v>10</v>
      </c>
    </row>
    <row r="47" spans="1:17" x14ac:dyDescent="0.45">
      <c r="A47" s="19">
        <v>46017.519444444442</v>
      </c>
      <c r="B47" t="s">
        <v>72</v>
      </c>
      <c r="C47" t="s">
        <v>191</v>
      </c>
      <c r="D47" t="s">
        <v>80</v>
      </c>
      <c r="E47" t="s">
        <v>77</v>
      </c>
      <c r="F47" t="s">
        <v>100</v>
      </c>
      <c r="G47" t="s">
        <v>194</v>
      </c>
      <c r="H47" t="s">
        <v>105</v>
      </c>
      <c r="I47">
        <v>1</v>
      </c>
      <c r="J47">
        <v>1</v>
      </c>
      <c r="K47">
        <v>2</v>
      </c>
      <c r="L47">
        <v>1</v>
      </c>
      <c r="M47">
        <v>1</v>
      </c>
      <c r="N47">
        <v>1</v>
      </c>
      <c r="O47">
        <v>1</v>
      </c>
      <c r="P47">
        <v>1</v>
      </c>
      <c r="Q47">
        <v>1</v>
      </c>
    </row>
    <row r="48" spans="1:17" x14ac:dyDescent="0.45">
      <c r="A48" s="19">
        <v>46017.519444444442</v>
      </c>
      <c r="B48" t="s">
        <v>78</v>
      </c>
      <c r="C48" t="s">
        <v>73</v>
      </c>
      <c r="D48" t="s">
        <v>74</v>
      </c>
      <c r="E48" t="s">
        <v>77</v>
      </c>
      <c r="F48" t="s">
        <v>100</v>
      </c>
      <c r="G48" t="s">
        <v>194</v>
      </c>
      <c r="H48" t="s">
        <v>110</v>
      </c>
      <c r="I48">
        <v>8</v>
      </c>
      <c r="J48">
        <v>8</v>
      </c>
      <c r="K48">
        <v>8</v>
      </c>
      <c r="L48">
        <v>7</v>
      </c>
      <c r="M48">
        <v>6</v>
      </c>
      <c r="N48">
        <v>8</v>
      </c>
      <c r="O48">
        <v>8</v>
      </c>
      <c r="P48">
        <v>9</v>
      </c>
      <c r="Q48">
        <v>8</v>
      </c>
    </row>
    <row r="49" spans="1:17" x14ac:dyDescent="0.45">
      <c r="A49" s="19">
        <v>46017.520138888889</v>
      </c>
      <c r="B49" t="s">
        <v>72</v>
      </c>
      <c r="C49" t="s">
        <v>73</v>
      </c>
      <c r="D49" t="s">
        <v>74</v>
      </c>
      <c r="E49" t="s">
        <v>77</v>
      </c>
      <c r="F49" t="s">
        <v>100</v>
      </c>
      <c r="G49" t="s">
        <v>109</v>
      </c>
      <c r="H49" t="s">
        <v>106</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100</v>
      </c>
      <c r="G50" t="s">
        <v>108</v>
      </c>
      <c r="H50" t="s">
        <v>105</v>
      </c>
      <c r="I50">
        <v>8</v>
      </c>
      <c r="J50">
        <v>8</v>
      </c>
      <c r="K50">
        <v>7</v>
      </c>
      <c r="L50">
        <v>8</v>
      </c>
      <c r="M50">
        <v>6</v>
      </c>
      <c r="N50">
        <v>8</v>
      </c>
      <c r="O50">
        <v>6</v>
      </c>
      <c r="P50">
        <v>5</v>
      </c>
      <c r="Q50">
        <v>8</v>
      </c>
    </row>
    <row r="51" spans="1:17" x14ac:dyDescent="0.45">
      <c r="A51" s="19">
        <v>46017.521527777775</v>
      </c>
      <c r="B51" t="s">
        <v>72</v>
      </c>
      <c r="C51" t="s">
        <v>73</v>
      </c>
      <c r="D51" t="s">
        <v>74</v>
      </c>
      <c r="E51" t="s">
        <v>77</v>
      </c>
      <c r="F51" t="s">
        <v>100</v>
      </c>
      <c r="G51" t="s">
        <v>196</v>
      </c>
      <c r="H51" t="s">
        <v>106</v>
      </c>
      <c r="I51">
        <v>10</v>
      </c>
      <c r="J51">
        <v>10</v>
      </c>
      <c r="K51">
        <v>10</v>
      </c>
      <c r="L51">
        <v>8</v>
      </c>
      <c r="M51">
        <v>8</v>
      </c>
      <c r="N51">
        <v>8</v>
      </c>
      <c r="O51">
        <v>8</v>
      </c>
      <c r="P51">
        <v>8</v>
      </c>
      <c r="Q51">
        <v>8</v>
      </c>
    </row>
    <row r="52" spans="1:17" x14ac:dyDescent="0.45">
      <c r="A52" s="19">
        <v>46017.526388888888</v>
      </c>
      <c r="B52" t="s">
        <v>78</v>
      </c>
      <c r="C52" t="s">
        <v>81</v>
      </c>
      <c r="D52" t="s">
        <v>74</v>
      </c>
      <c r="E52" t="s">
        <v>77</v>
      </c>
      <c r="F52" t="s">
        <v>100</v>
      </c>
      <c r="G52" t="s">
        <v>104</v>
      </c>
      <c r="H52" t="s">
        <v>110</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100</v>
      </c>
      <c r="G53" t="s">
        <v>196</v>
      </c>
      <c r="H53" t="s">
        <v>102</v>
      </c>
      <c r="I53">
        <v>10</v>
      </c>
      <c r="J53">
        <v>10</v>
      </c>
      <c r="K53">
        <v>10</v>
      </c>
      <c r="L53">
        <v>10</v>
      </c>
      <c r="M53">
        <v>10</v>
      </c>
      <c r="N53">
        <v>10</v>
      </c>
      <c r="O53">
        <v>10</v>
      </c>
      <c r="P53">
        <v>10</v>
      </c>
      <c r="Q53">
        <v>8</v>
      </c>
    </row>
    <row r="54" spans="1:17" x14ac:dyDescent="0.45">
      <c r="A54" s="19">
        <v>46017.53125</v>
      </c>
      <c r="B54" t="s">
        <v>78</v>
      </c>
      <c r="C54" t="s">
        <v>81</v>
      </c>
      <c r="D54" t="s">
        <v>74</v>
      </c>
      <c r="E54" t="s">
        <v>75</v>
      </c>
      <c r="F54" t="s">
        <v>100</v>
      </c>
      <c r="G54" t="s">
        <v>104</v>
      </c>
      <c r="H54" t="s">
        <v>105</v>
      </c>
      <c r="I54">
        <v>10</v>
      </c>
      <c r="J54">
        <v>10</v>
      </c>
      <c r="K54">
        <v>10</v>
      </c>
      <c r="L54">
        <v>10</v>
      </c>
      <c r="M54">
        <v>10</v>
      </c>
      <c r="N54">
        <v>10</v>
      </c>
      <c r="O54">
        <v>10</v>
      </c>
      <c r="P54">
        <v>10</v>
      </c>
      <c r="Q54">
        <v>10</v>
      </c>
    </row>
    <row r="55" spans="1:17" x14ac:dyDescent="0.45">
      <c r="A55" s="19">
        <v>46017.53125</v>
      </c>
      <c r="B55" t="s">
        <v>72</v>
      </c>
      <c r="C55" t="s">
        <v>79</v>
      </c>
      <c r="D55" t="s">
        <v>74</v>
      </c>
      <c r="E55" t="s">
        <v>77</v>
      </c>
      <c r="F55" t="s">
        <v>100</v>
      </c>
      <c r="G55" t="s">
        <v>109</v>
      </c>
      <c r="H55" t="s">
        <v>105</v>
      </c>
      <c r="I55">
        <v>8</v>
      </c>
      <c r="J55">
        <v>7</v>
      </c>
      <c r="K55">
        <v>7</v>
      </c>
      <c r="L55">
        <v>8</v>
      </c>
      <c r="M55">
        <v>7</v>
      </c>
      <c r="N55">
        <v>8</v>
      </c>
      <c r="O55">
        <v>7</v>
      </c>
      <c r="P55">
        <v>7</v>
      </c>
      <c r="Q55">
        <v>8</v>
      </c>
    </row>
    <row r="56" spans="1:17" x14ac:dyDescent="0.45">
      <c r="A56" s="19">
        <v>46017.533333333333</v>
      </c>
      <c r="B56" t="s">
        <v>72</v>
      </c>
      <c r="C56" t="s">
        <v>73</v>
      </c>
      <c r="D56" t="s">
        <v>74</v>
      </c>
      <c r="E56" t="s">
        <v>77</v>
      </c>
      <c r="F56" t="s">
        <v>100</v>
      </c>
      <c r="G56" t="s">
        <v>109</v>
      </c>
      <c r="H56" t="s">
        <v>102</v>
      </c>
      <c r="I56">
        <v>10</v>
      </c>
      <c r="J56">
        <v>9</v>
      </c>
      <c r="K56">
        <v>3</v>
      </c>
      <c r="L56">
        <v>4</v>
      </c>
      <c r="M56">
        <v>3</v>
      </c>
      <c r="N56">
        <v>3</v>
      </c>
      <c r="O56">
        <v>1</v>
      </c>
      <c r="P56">
        <v>1</v>
      </c>
      <c r="Q56">
        <v>3</v>
      </c>
    </row>
    <row r="57" spans="1:17" x14ac:dyDescent="0.45">
      <c r="A57" s="19">
        <v>46017.537499999999</v>
      </c>
      <c r="B57" t="s">
        <v>78</v>
      </c>
      <c r="C57" t="s">
        <v>81</v>
      </c>
      <c r="D57" t="s">
        <v>74</v>
      </c>
      <c r="E57" t="s">
        <v>77</v>
      </c>
      <c r="F57" t="s">
        <v>100</v>
      </c>
      <c r="G57" t="s">
        <v>194</v>
      </c>
      <c r="H57" t="s">
        <v>110</v>
      </c>
      <c r="I57">
        <v>10</v>
      </c>
      <c r="J57">
        <v>10</v>
      </c>
      <c r="K57">
        <v>9</v>
      </c>
      <c r="L57">
        <v>10</v>
      </c>
      <c r="M57">
        <v>9</v>
      </c>
      <c r="N57">
        <v>10</v>
      </c>
      <c r="O57">
        <v>9</v>
      </c>
      <c r="P57">
        <v>10</v>
      </c>
      <c r="Q57">
        <v>9</v>
      </c>
    </row>
    <row r="58" spans="1:17" x14ac:dyDescent="0.45">
      <c r="A58" s="19">
        <v>46017.55972222222</v>
      </c>
      <c r="B58" t="s">
        <v>72</v>
      </c>
      <c r="C58" t="s">
        <v>73</v>
      </c>
      <c r="D58" t="s">
        <v>74</v>
      </c>
      <c r="E58" t="s">
        <v>77</v>
      </c>
      <c r="F58" t="s">
        <v>100</v>
      </c>
      <c r="G58" t="s">
        <v>104</v>
      </c>
      <c r="H58" t="s">
        <v>105</v>
      </c>
      <c r="I58">
        <v>10</v>
      </c>
      <c r="J58">
        <v>10</v>
      </c>
      <c r="K58">
        <v>1</v>
      </c>
      <c r="L58">
        <v>5</v>
      </c>
      <c r="M58">
        <v>7</v>
      </c>
      <c r="N58">
        <v>10</v>
      </c>
      <c r="O58">
        <v>9</v>
      </c>
      <c r="P58">
        <v>9</v>
      </c>
      <c r="Q58">
        <v>10</v>
      </c>
    </row>
    <row r="59" spans="1:17" x14ac:dyDescent="0.45">
      <c r="A59" s="19">
        <v>46017.580555555556</v>
      </c>
      <c r="B59" t="s">
        <v>72</v>
      </c>
      <c r="C59" t="s">
        <v>79</v>
      </c>
      <c r="D59" t="s">
        <v>74</v>
      </c>
      <c r="E59" t="s">
        <v>75</v>
      </c>
      <c r="F59" t="s">
        <v>100</v>
      </c>
      <c r="G59" t="s">
        <v>101</v>
      </c>
      <c r="H59" t="s">
        <v>102</v>
      </c>
      <c r="I59">
        <v>5</v>
      </c>
      <c r="J59">
        <v>5</v>
      </c>
      <c r="K59">
        <v>4</v>
      </c>
      <c r="L59">
        <v>8</v>
      </c>
      <c r="M59">
        <v>5</v>
      </c>
      <c r="N59">
        <v>7</v>
      </c>
      <c r="O59">
        <v>7</v>
      </c>
      <c r="P59">
        <v>7</v>
      </c>
      <c r="Q59">
        <v>7</v>
      </c>
    </row>
    <row r="60" spans="1:17" x14ac:dyDescent="0.45">
      <c r="A60" s="19">
        <v>46017.626388888886</v>
      </c>
      <c r="B60" t="s">
        <v>72</v>
      </c>
      <c r="C60" t="s">
        <v>189</v>
      </c>
      <c r="D60" t="s">
        <v>74</v>
      </c>
      <c r="E60" t="s">
        <v>77</v>
      </c>
      <c r="F60" t="s">
        <v>103</v>
      </c>
      <c r="G60" t="s">
        <v>194</v>
      </c>
      <c r="H60" t="s">
        <v>110</v>
      </c>
      <c r="I60">
        <v>9</v>
      </c>
      <c r="J60">
        <v>9</v>
      </c>
      <c r="K60">
        <v>9</v>
      </c>
      <c r="L60">
        <v>7</v>
      </c>
      <c r="M60">
        <v>7</v>
      </c>
      <c r="N60">
        <v>8</v>
      </c>
      <c r="O60">
        <v>8</v>
      </c>
      <c r="P60">
        <v>6</v>
      </c>
      <c r="Q60">
        <v>5</v>
      </c>
    </row>
    <row r="61" spans="1:17" x14ac:dyDescent="0.45">
      <c r="A61" s="19">
        <v>46017.688194444447</v>
      </c>
      <c r="B61" t="s">
        <v>78</v>
      </c>
      <c r="C61" t="s">
        <v>81</v>
      </c>
      <c r="D61" t="s">
        <v>74</v>
      </c>
      <c r="E61" t="s">
        <v>77</v>
      </c>
      <c r="F61" t="s">
        <v>100</v>
      </c>
      <c r="G61" t="s">
        <v>104</v>
      </c>
      <c r="H61" t="s">
        <v>110</v>
      </c>
      <c r="I61">
        <v>5</v>
      </c>
      <c r="J61">
        <v>5</v>
      </c>
      <c r="K61">
        <v>5</v>
      </c>
      <c r="L61">
        <v>5</v>
      </c>
      <c r="M61">
        <v>5</v>
      </c>
      <c r="N61">
        <v>8</v>
      </c>
      <c r="O61">
        <v>4</v>
      </c>
      <c r="P61">
        <v>5</v>
      </c>
      <c r="Q61">
        <v>5</v>
      </c>
    </row>
    <row r="62" spans="1:17" x14ac:dyDescent="0.45">
      <c r="A62" s="19">
        <v>46017.698611111111</v>
      </c>
      <c r="B62" t="s">
        <v>72</v>
      </c>
      <c r="C62" t="s">
        <v>73</v>
      </c>
      <c r="D62" t="s">
        <v>74</v>
      </c>
      <c r="E62" t="s">
        <v>75</v>
      </c>
      <c r="F62" t="s">
        <v>100</v>
      </c>
      <c r="G62" t="s">
        <v>196</v>
      </c>
      <c r="H62" t="s">
        <v>102</v>
      </c>
      <c r="I62">
        <v>8</v>
      </c>
      <c r="J62">
        <v>9</v>
      </c>
      <c r="K62">
        <v>9</v>
      </c>
      <c r="L62">
        <v>9</v>
      </c>
      <c r="M62">
        <v>9</v>
      </c>
      <c r="N62">
        <v>8</v>
      </c>
      <c r="O62">
        <v>8</v>
      </c>
      <c r="P62">
        <v>8</v>
      </c>
      <c r="Q62">
        <v>9</v>
      </c>
    </row>
    <row r="63" spans="1:17" x14ac:dyDescent="0.45">
      <c r="A63" s="19">
        <v>46017.711111111108</v>
      </c>
      <c r="B63" t="s">
        <v>72</v>
      </c>
      <c r="C63" t="s">
        <v>81</v>
      </c>
      <c r="D63" t="s">
        <v>74</v>
      </c>
      <c r="E63" t="s">
        <v>75</v>
      </c>
      <c r="F63" t="s">
        <v>100</v>
      </c>
      <c r="G63" t="s">
        <v>101</v>
      </c>
      <c r="H63" t="s">
        <v>110</v>
      </c>
      <c r="I63">
        <v>9</v>
      </c>
      <c r="J63">
        <v>9</v>
      </c>
      <c r="K63">
        <v>7</v>
      </c>
      <c r="L63">
        <v>6</v>
      </c>
      <c r="M63">
        <v>7</v>
      </c>
      <c r="N63">
        <v>5</v>
      </c>
      <c r="O63">
        <v>6</v>
      </c>
      <c r="P63">
        <v>8</v>
      </c>
      <c r="Q63">
        <v>5</v>
      </c>
    </row>
    <row r="64" spans="1:17" x14ac:dyDescent="0.45">
      <c r="A64" s="19">
        <v>46017.80972222222</v>
      </c>
      <c r="B64" t="s">
        <v>72</v>
      </c>
      <c r="C64" t="s">
        <v>191</v>
      </c>
      <c r="D64" t="s">
        <v>80</v>
      </c>
      <c r="E64" t="s">
        <v>77</v>
      </c>
      <c r="F64" t="s">
        <v>100</v>
      </c>
      <c r="G64" t="s">
        <v>196</v>
      </c>
      <c r="H64" t="s">
        <v>102</v>
      </c>
      <c r="I64">
        <v>9</v>
      </c>
      <c r="J64">
        <v>9</v>
      </c>
      <c r="K64">
        <v>9</v>
      </c>
      <c r="L64">
        <v>9</v>
      </c>
      <c r="M64">
        <v>8</v>
      </c>
      <c r="N64">
        <v>9</v>
      </c>
      <c r="O64">
        <v>9</v>
      </c>
      <c r="P64">
        <v>8</v>
      </c>
      <c r="Q64">
        <v>7</v>
      </c>
    </row>
    <row r="65" spans="1:17" x14ac:dyDescent="0.45">
      <c r="A65" s="19">
        <v>46018.36041666667</v>
      </c>
      <c r="B65" t="s">
        <v>72</v>
      </c>
      <c r="C65" t="s">
        <v>73</v>
      </c>
      <c r="D65" t="s">
        <v>74</v>
      </c>
      <c r="E65" t="s">
        <v>77</v>
      </c>
      <c r="F65" t="s">
        <v>103</v>
      </c>
      <c r="G65" t="s">
        <v>108</v>
      </c>
      <c r="H65" t="s">
        <v>105</v>
      </c>
      <c r="I65">
        <v>9</v>
      </c>
      <c r="J65">
        <v>10</v>
      </c>
      <c r="K65">
        <v>9</v>
      </c>
      <c r="L65">
        <v>10</v>
      </c>
      <c r="M65">
        <v>10</v>
      </c>
      <c r="N65">
        <v>5</v>
      </c>
      <c r="O65">
        <v>10</v>
      </c>
      <c r="P65">
        <v>7</v>
      </c>
      <c r="Q65">
        <v>9</v>
      </c>
    </row>
    <row r="66" spans="1:17" x14ac:dyDescent="0.45">
      <c r="A66" s="19">
        <v>46019.6</v>
      </c>
      <c r="B66" t="s">
        <v>72</v>
      </c>
      <c r="C66" t="s">
        <v>79</v>
      </c>
      <c r="D66" t="s">
        <v>80</v>
      </c>
      <c r="E66" t="s">
        <v>77</v>
      </c>
      <c r="F66" t="s">
        <v>100</v>
      </c>
      <c r="G66" t="s">
        <v>194</v>
      </c>
      <c r="H66" t="s">
        <v>105</v>
      </c>
      <c r="I66">
        <v>10</v>
      </c>
      <c r="J66">
        <v>10</v>
      </c>
      <c r="K66">
        <v>10</v>
      </c>
      <c r="L66">
        <v>10</v>
      </c>
      <c r="M66">
        <v>10</v>
      </c>
      <c r="N66">
        <v>10</v>
      </c>
      <c r="O66">
        <v>10</v>
      </c>
      <c r="P66">
        <v>10</v>
      </c>
      <c r="Q66">
        <v>10</v>
      </c>
    </row>
    <row r="67" spans="1:17" x14ac:dyDescent="0.45">
      <c r="A67" s="19">
        <v>46019.604166666664</v>
      </c>
      <c r="B67" t="s">
        <v>72</v>
      </c>
      <c r="C67" t="s">
        <v>81</v>
      </c>
      <c r="D67" t="s">
        <v>74</v>
      </c>
      <c r="E67" t="s">
        <v>190</v>
      </c>
      <c r="F67" t="s">
        <v>100</v>
      </c>
      <c r="G67" t="s">
        <v>104</v>
      </c>
      <c r="H67" t="s">
        <v>110</v>
      </c>
      <c r="I67">
        <v>7</v>
      </c>
      <c r="J67">
        <v>5</v>
      </c>
      <c r="K67">
        <v>3</v>
      </c>
      <c r="L67">
        <v>5</v>
      </c>
      <c r="M67">
        <v>4</v>
      </c>
      <c r="N67">
        <v>3</v>
      </c>
      <c r="O67">
        <v>5</v>
      </c>
      <c r="P67">
        <v>6</v>
      </c>
      <c r="Q67">
        <v>6</v>
      </c>
    </row>
    <row r="68" spans="1:17" x14ac:dyDescent="0.45">
      <c r="A68" s="19">
        <v>46019.626388888886</v>
      </c>
      <c r="B68" t="s">
        <v>78</v>
      </c>
      <c r="C68" t="s">
        <v>79</v>
      </c>
      <c r="D68" t="s">
        <v>74</v>
      </c>
      <c r="E68" t="s">
        <v>75</v>
      </c>
      <c r="F68" t="s">
        <v>100</v>
      </c>
      <c r="G68" t="s">
        <v>107</v>
      </c>
      <c r="H68" t="s">
        <v>105</v>
      </c>
      <c r="I68">
        <v>5</v>
      </c>
      <c r="J68">
        <v>5</v>
      </c>
      <c r="K68">
        <v>4</v>
      </c>
      <c r="L68">
        <v>4</v>
      </c>
      <c r="M68">
        <v>2</v>
      </c>
      <c r="N68">
        <v>3</v>
      </c>
      <c r="O68">
        <v>2</v>
      </c>
      <c r="P68">
        <v>3</v>
      </c>
      <c r="Q68">
        <v>3</v>
      </c>
    </row>
    <row r="69" spans="1:17" x14ac:dyDescent="0.45">
      <c r="A69" s="19">
        <v>46019.645833333336</v>
      </c>
      <c r="B69" t="s">
        <v>72</v>
      </c>
      <c r="C69" t="s">
        <v>79</v>
      </c>
      <c r="D69" t="s">
        <v>74</v>
      </c>
      <c r="E69" t="s">
        <v>77</v>
      </c>
      <c r="F69" t="s">
        <v>100</v>
      </c>
      <c r="G69" t="s">
        <v>111</v>
      </c>
      <c r="H69" t="s">
        <v>105</v>
      </c>
      <c r="I69">
        <v>4</v>
      </c>
      <c r="J69">
        <v>3</v>
      </c>
      <c r="K69">
        <v>1</v>
      </c>
      <c r="L69">
        <v>5</v>
      </c>
      <c r="M69">
        <v>4</v>
      </c>
      <c r="N69">
        <v>3</v>
      </c>
      <c r="O69">
        <v>1</v>
      </c>
      <c r="P69">
        <v>3</v>
      </c>
      <c r="Q69">
        <v>5</v>
      </c>
    </row>
    <row r="70" spans="1:17" x14ac:dyDescent="0.45">
      <c r="A70" s="19">
        <v>46019.647916666669</v>
      </c>
      <c r="B70" t="s">
        <v>78</v>
      </c>
      <c r="C70" t="s">
        <v>81</v>
      </c>
      <c r="D70" t="s">
        <v>74</v>
      </c>
      <c r="E70" t="s">
        <v>77</v>
      </c>
      <c r="F70" t="s">
        <v>100</v>
      </c>
      <c r="G70" t="s">
        <v>196</v>
      </c>
      <c r="H70" t="s">
        <v>110</v>
      </c>
      <c r="I70">
        <v>7</v>
      </c>
      <c r="J70">
        <v>7</v>
      </c>
      <c r="K70">
        <v>8</v>
      </c>
      <c r="L70">
        <v>9</v>
      </c>
      <c r="M70">
        <v>8</v>
      </c>
      <c r="N70">
        <v>10</v>
      </c>
      <c r="O70">
        <v>9</v>
      </c>
      <c r="P70">
        <v>9</v>
      </c>
      <c r="Q70">
        <v>9</v>
      </c>
    </row>
    <row r="71" spans="1:17" x14ac:dyDescent="0.45">
      <c r="A71" s="19">
        <v>46019.648611111108</v>
      </c>
      <c r="B71" t="s">
        <v>78</v>
      </c>
      <c r="C71" t="s">
        <v>79</v>
      </c>
      <c r="D71" t="s">
        <v>74</v>
      </c>
      <c r="E71" t="s">
        <v>75</v>
      </c>
      <c r="F71" t="s">
        <v>103</v>
      </c>
      <c r="G71" t="s">
        <v>108</v>
      </c>
      <c r="H71" t="s">
        <v>102</v>
      </c>
      <c r="I71">
        <v>6</v>
      </c>
      <c r="J71">
        <v>6</v>
      </c>
      <c r="K71">
        <v>5</v>
      </c>
      <c r="L71">
        <v>5</v>
      </c>
      <c r="M71">
        <v>5</v>
      </c>
      <c r="N71">
        <v>1</v>
      </c>
      <c r="O71">
        <v>5</v>
      </c>
      <c r="P71">
        <v>5</v>
      </c>
      <c r="Q71">
        <v>5</v>
      </c>
    </row>
    <row r="72" spans="1:17" x14ac:dyDescent="0.45">
      <c r="A72" s="19">
        <v>46019.650694444441</v>
      </c>
      <c r="B72" t="s">
        <v>72</v>
      </c>
      <c r="C72" t="s">
        <v>73</v>
      </c>
      <c r="D72" t="s">
        <v>74</v>
      </c>
      <c r="E72" t="s">
        <v>75</v>
      </c>
      <c r="F72" t="s">
        <v>100</v>
      </c>
      <c r="G72" t="s">
        <v>101</v>
      </c>
      <c r="H72" t="s">
        <v>105</v>
      </c>
      <c r="I72">
        <v>3</v>
      </c>
      <c r="J72">
        <v>3</v>
      </c>
      <c r="K72">
        <v>3</v>
      </c>
      <c r="L72">
        <v>5</v>
      </c>
      <c r="M72">
        <v>3</v>
      </c>
      <c r="N72">
        <v>3</v>
      </c>
      <c r="O72">
        <v>3</v>
      </c>
      <c r="P72">
        <v>3</v>
      </c>
      <c r="Q72">
        <v>4</v>
      </c>
    </row>
    <row r="73" spans="1:17" x14ac:dyDescent="0.45">
      <c r="A73" s="19">
        <v>46019.652083333334</v>
      </c>
      <c r="B73" t="s">
        <v>78</v>
      </c>
      <c r="C73" t="s">
        <v>73</v>
      </c>
      <c r="D73" t="s">
        <v>74</v>
      </c>
      <c r="E73" t="s">
        <v>77</v>
      </c>
      <c r="F73" t="s">
        <v>103</v>
      </c>
      <c r="G73" t="s">
        <v>196</v>
      </c>
      <c r="H73" t="s">
        <v>106</v>
      </c>
      <c r="I73">
        <v>8</v>
      </c>
      <c r="J73">
        <v>8</v>
      </c>
      <c r="K73">
        <v>4</v>
      </c>
      <c r="L73">
        <v>2</v>
      </c>
      <c r="M73">
        <v>6</v>
      </c>
      <c r="N73">
        <v>3</v>
      </c>
      <c r="O73">
        <v>8</v>
      </c>
      <c r="P73">
        <v>4</v>
      </c>
      <c r="Q73">
        <v>8</v>
      </c>
    </row>
    <row r="74" spans="1:17" x14ac:dyDescent="0.45">
      <c r="A74" s="19">
        <v>46019.658333333333</v>
      </c>
      <c r="B74" t="s">
        <v>78</v>
      </c>
      <c r="C74" t="s">
        <v>189</v>
      </c>
      <c r="D74" t="s">
        <v>74</v>
      </c>
      <c r="E74" t="s">
        <v>192</v>
      </c>
      <c r="F74" t="s">
        <v>100</v>
      </c>
      <c r="G74" t="s">
        <v>104</v>
      </c>
      <c r="H74" t="s">
        <v>110</v>
      </c>
      <c r="I74">
        <v>5</v>
      </c>
      <c r="J74">
        <v>5</v>
      </c>
      <c r="K74">
        <v>5</v>
      </c>
      <c r="L74">
        <v>5</v>
      </c>
      <c r="M74">
        <v>5</v>
      </c>
      <c r="N74">
        <v>10</v>
      </c>
      <c r="O74">
        <v>5</v>
      </c>
      <c r="P74">
        <v>5</v>
      </c>
      <c r="Q74">
        <v>10</v>
      </c>
    </row>
    <row r="75" spans="1:17" x14ac:dyDescent="0.45">
      <c r="A75" s="19">
        <v>46019.685416666667</v>
      </c>
      <c r="B75" t="s">
        <v>72</v>
      </c>
      <c r="C75" t="s">
        <v>73</v>
      </c>
      <c r="D75" t="s">
        <v>74</v>
      </c>
      <c r="E75" t="s">
        <v>77</v>
      </c>
      <c r="F75" t="s">
        <v>103</v>
      </c>
      <c r="G75" t="s">
        <v>196</v>
      </c>
      <c r="H75" t="s">
        <v>102</v>
      </c>
      <c r="I75">
        <v>5</v>
      </c>
      <c r="J75">
        <v>10</v>
      </c>
      <c r="K75">
        <v>2</v>
      </c>
      <c r="L75">
        <v>8</v>
      </c>
      <c r="M75">
        <v>5</v>
      </c>
      <c r="N75">
        <v>5</v>
      </c>
      <c r="O75">
        <v>1</v>
      </c>
      <c r="P75">
        <v>4</v>
      </c>
      <c r="Q75">
        <v>5</v>
      </c>
    </row>
    <row r="76" spans="1:17" x14ac:dyDescent="0.45">
      <c r="A76" s="19">
        <v>46019.6875</v>
      </c>
      <c r="B76" t="s">
        <v>78</v>
      </c>
      <c r="C76" t="s">
        <v>79</v>
      </c>
      <c r="D76" t="s">
        <v>74</v>
      </c>
      <c r="E76" t="s">
        <v>75</v>
      </c>
      <c r="F76" t="s">
        <v>100</v>
      </c>
      <c r="G76" t="s">
        <v>111</v>
      </c>
      <c r="H76" t="s">
        <v>105</v>
      </c>
      <c r="I76">
        <v>8</v>
      </c>
      <c r="J76">
        <v>9</v>
      </c>
      <c r="K76">
        <v>9</v>
      </c>
      <c r="L76">
        <v>9</v>
      </c>
      <c r="M76">
        <v>3</v>
      </c>
      <c r="N76">
        <v>3</v>
      </c>
      <c r="O76">
        <v>2</v>
      </c>
      <c r="P76">
        <v>2</v>
      </c>
      <c r="Q76">
        <v>6</v>
      </c>
    </row>
    <row r="77" spans="1:17" x14ac:dyDescent="0.45">
      <c r="A77" s="19">
        <v>46019.693749999999</v>
      </c>
      <c r="B77" t="s">
        <v>78</v>
      </c>
      <c r="C77" t="s">
        <v>79</v>
      </c>
      <c r="D77" t="s">
        <v>80</v>
      </c>
      <c r="E77" t="s">
        <v>192</v>
      </c>
      <c r="F77" t="s">
        <v>103</v>
      </c>
      <c r="G77" t="s">
        <v>104</v>
      </c>
      <c r="H77" t="s">
        <v>106</v>
      </c>
      <c r="I77">
        <v>5</v>
      </c>
      <c r="J77">
        <v>5</v>
      </c>
      <c r="K77">
        <v>5</v>
      </c>
      <c r="L77">
        <v>5</v>
      </c>
      <c r="M77">
        <v>5</v>
      </c>
      <c r="N77">
        <v>5</v>
      </c>
      <c r="O77">
        <v>5</v>
      </c>
      <c r="P77">
        <v>5</v>
      </c>
      <c r="Q77">
        <v>5</v>
      </c>
    </row>
    <row r="78" spans="1:17" x14ac:dyDescent="0.45">
      <c r="A78" s="19">
        <v>46019.697222222225</v>
      </c>
      <c r="B78" t="s">
        <v>72</v>
      </c>
      <c r="C78" t="s">
        <v>191</v>
      </c>
      <c r="D78" t="s">
        <v>74</v>
      </c>
      <c r="E78" t="s">
        <v>77</v>
      </c>
      <c r="F78" t="s">
        <v>100</v>
      </c>
      <c r="G78" t="s">
        <v>104</v>
      </c>
      <c r="H78" t="s">
        <v>105</v>
      </c>
      <c r="I78">
        <v>8</v>
      </c>
      <c r="J78">
        <v>8</v>
      </c>
      <c r="K78">
        <v>8</v>
      </c>
      <c r="L78">
        <v>8</v>
      </c>
      <c r="M78">
        <v>9</v>
      </c>
      <c r="N78">
        <v>7</v>
      </c>
      <c r="O78">
        <v>9</v>
      </c>
      <c r="P78">
        <v>10</v>
      </c>
      <c r="Q78">
        <v>8</v>
      </c>
    </row>
    <row r="79" spans="1:17" x14ac:dyDescent="0.45">
      <c r="A79" s="19">
        <v>46019.699305555558</v>
      </c>
      <c r="B79" t="s">
        <v>72</v>
      </c>
      <c r="C79" t="s">
        <v>73</v>
      </c>
      <c r="D79" t="s">
        <v>74</v>
      </c>
      <c r="E79" t="s">
        <v>75</v>
      </c>
      <c r="F79" t="s">
        <v>100</v>
      </c>
      <c r="G79" t="s">
        <v>109</v>
      </c>
      <c r="H79" t="s">
        <v>105</v>
      </c>
      <c r="I79">
        <v>8</v>
      </c>
      <c r="J79">
        <v>7</v>
      </c>
      <c r="K79">
        <v>9</v>
      </c>
      <c r="L79">
        <v>8</v>
      </c>
      <c r="M79">
        <v>8</v>
      </c>
      <c r="N79">
        <v>8</v>
      </c>
      <c r="O79">
        <v>6</v>
      </c>
      <c r="P79">
        <v>6</v>
      </c>
      <c r="Q79">
        <v>7</v>
      </c>
    </row>
    <row r="80" spans="1:17" x14ac:dyDescent="0.45">
      <c r="A80" s="19">
        <v>46019.737500000003</v>
      </c>
      <c r="B80" t="s">
        <v>72</v>
      </c>
      <c r="C80" t="s">
        <v>193</v>
      </c>
      <c r="D80" t="s">
        <v>74</v>
      </c>
      <c r="E80" t="s">
        <v>192</v>
      </c>
      <c r="F80" t="s">
        <v>197</v>
      </c>
      <c r="G80" t="s">
        <v>104</v>
      </c>
      <c r="H80" t="s">
        <v>110</v>
      </c>
      <c r="I80">
        <v>6</v>
      </c>
      <c r="J80">
        <v>2</v>
      </c>
      <c r="K80">
        <v>3</v>
      </c>
      <c r="L80">
        <v>2</v>
      </c>
      <c r="M80">
        <v>3</v>
      </c>
      <c r="N80">
        <v>7</v>
      </c>
      <c r="O80">
        <v>5</v>
      </c>
      <c r="P80">
        <v>5</v>
      </c>
      <c r="Q80">
        <v>7</v>
      </c>
    </row>
    <row r="81" spans="1:17" x14ac:dyDescent="0.45">
      <c r="A81" s="19">
        <v>46019.746527777781</v>
      </c>
      <c r="B81" t="s">
        <v>78</v>
      </c>
      <c r="C81" t="s">
        <v>81</v>
      </c>
      <c r="D81" t="s">
        <v>74</v>
      </c>
      <c r="E81" t="s">
        <v>77</v>
      </c>
      <c r="F81" t="s">
        <v>100</v>
      </c>
      <c r="G81" t="s">
        <v>104</v>
      </c>
      <c r="H81" t="s">
        <v>110</v>
      </c>
      <c r="I81">
        <v>8</v>
      </c>
      <c r="J81">
        <v>8</v>
      </c>
      <c r="K81">
        <v>8</v>
      </c>
      <c r="L81">
        <v>8</v>
      </c>
      <c r="M81">
        <v>8</v>
      </c>
      <c r="N81">
        <v>8</v>
      </c>
      <c r="O81">
        <v>8</v>
      </c>
      <c r="P81">
        <v>8</v>
      </c>
      <c r="Q81">
        <v>8</v>
      </c>
    </row>
    <row r="82" spans="1:17" x14ac:dyDescent="0.45">
      <c r="A82" s="19">
        <v>46019.775694444441</v>
      </c>
      <c r="B82" t="s">
        <v>78</v>
      </c>
      <c r="C82" t="s">
        <v>193</v>
      </c>
      <c r="D82" t="s">
        <v>74</v>
      </c>
      <c r="E82" t="s">
        <v>75</v>
      </c>
      <c r="F82" t="s">
        <v>197</v>
      </c>
      <c r="G82" t="s">
        <v>194</v>
      </c>
      <c r="H82" t="s">
        <v>110</v>
      </c>
      <c r="I82">
        <v>7</v>
      </c>
      <c r="J82">
        <v>7</v>
      </c>
      <c r="K82">
        <v>5</v>
      </c>
      <c r="L82">
        <v>5</v>
      </c>
      <c r="M82">
        <v>6</v>
      </c>
      <c r="N82">
        <v>5</v>
      </c>
      <c r="O82">
        <v>8</v>
      </c>
      <c r="P82">
        <v>6</v>
      </c>
      <c r="Q82">
        <v>8</v>
      </c>
    </row>
    <row r="83" spans="1:17" x14ac:dyDescent="0.45">
      <c r="A83" s="19">
        <v>46019.807638888888</v>
      </c>
      <c r="B83" t="s">
        <v>72</v>
      </c>
      <c r="C83" t="s">
        <v>193</v>
      </c>
      <c r="D83" t="s">
        <v>74</v>
      </c>
      <c r="E83" t="s">
        <v>77</v>
      </c>
      <c r="F83" t="s">
        <v>197</v>
      </c>
      <c r="G83" t="s">
        <v>104</v>
      </c>
      <c r="H83" t="s">
        <v>102</v>
      </c>
      <c r="I83">
        <v>8</v>
      </c>
      <c r="J83">
        <v>9</v>
      </c>
      <c r="K83">
        <v>5</v>
      </c>
      <c r="L83">
        <v>5</v>
      </c>
      <c r="M83">
        <v>5</v>
      </c>
      <c r="N83">
        <v>5</v>
      </c>
      <c r="O83">
        <v>1</v>
      </c>
      <c r="P83">
        <v>5</v>
      </c>
      <c r="Q83">
        <v>5</v>
      </c>
    </row>
    <row r="84" spans="1:17" x14ac:dyDescent="0.45">
      <c r="A84" s="19">
        <v>46019.814583333333</v>
      </c>
      <c r="B84" t="s">
        <v>72</v>
      </c>
      <c r="C84" t="s">
        <v>79</v>
      </c>
      <c r="D84" t="s">
        <v>74</v>
      </c>
      <c r="E84" t="s">
        <v>75</v>
      </c>
      <c r="F84" t="s">
        <v>100</v>
      </c>
      <c r="G84" t="s">
        <v>104</v>
      </c>
      <c r="H84" t="s">
        <v>105</v>
      </c>
      <c r="I84">
        <v>10</v>
      </c>
      <c r="J84">
        <v>8</v>
      </c>
      <c r="K84">
        <v>8</v>
      </c>
      <c r="L84">
        <v>7</v>
      </c>
      <c r="M84">
        <v>7</v>
      </c>
      <c r="N84">
        <v>6</v>
      </c>
      <c r="O84">
        <v>7</v>
      </c>
      <c r="P84">
        <v>6</v>
      </c>
      <c r="Q84">
        <v>8</v>
      </c>
    </row>
    <row r="85" spans="1:17" x14ac:dyDescent="0.45">
      <c r="A85" s="19">
        <v>46019.818055555559</v>
      </c>
      <c r="B85" t="s">
        <v>72</v>
      </c>
      <c r="C85" t="s">
        <v>73</v>
      </c>
      <c r="D85" t="s">
        <v>74</v>
      </c>
      <c r="E85" t="s">
        <v>190</v>
      </c>
      <c r="F85" t="s">
        <v>100</v>
      </c>
      <c r="G85" t="s">
        <v>104</v>
      </c>
      <c r="H85" t="s">
        <v>102</v>
      </c>
      <c r="I85">
        <v>6</v>
      </c>
      <c r="J85">
        <v>7</v>
      </c>
      <c r="K85">
        <v>5</v>
      </c>
      <c r="L85">
        <v>5</v>
      </c>
      <c r="M85">
        <v>5</v>
      </c>
      <c r="N85">
        <v>5</v>
      </c>
      <c r="O85">
        <v>5</v>
      </c>
      <c r="P85">
        <v>5</v>
      </c>
      <c r="Q85">
        <v>5</v>
      </c>
    </row>
    <row r="86" spans="1:17" x14ac:dyDescent="0.45">
      <c r="A86" s="19">
        <v>46019.819444444445</v>
      </c>
      <c r="B86" t="s">
        <v>72</v>
      </c>
      <c r="C86" t="s">
        <v>79</v>
      </c>
      <c r="D86" t="s">
        <v>74</v>
      </c>
      <c r="E86" t="s">
        <v>77</v>
      </c>
      <c r="F86" t="s">
        <v>100</v>
      </c>
      <c r="G86" t="s">
        <v>104</v>
      </c>
      <c r="H86" t="s">
        <v>105</v>
      </c>
      <c r="I86">
        <v>9</v>
      </c>
      <c r="J86">
        <v>9</v>
      </c>
      <c r="K86">
        <v>8</v>
      </c>
      <c r="L86">
        <v>9</v>
      </c>
      <c r="M86">
        <v>9</v>
      </c>
      <c r="N86">
        <v>9</v>
      </c>
      <c r="O86">
        <v>7</v>
      </c>
      <c r="P86">
        <v>8</v>
      </c>
      <c r="Q86">
        <v>8</v>
      </c>
    </row>
    <row r="87" spans="1:17" x14ac:dyDescent="0.45">
      <c r="A87" s="19">
        <v>46019.820138888892</v>
      </c>
      <c r="B87" t="s">
        <v>78</v>
      </c>
      <c r="C87" t="s">
        <v>73</v>
      </c>
      <c r="D87" t="s">
        <v>80</v>
      </c>
      <c r="E87" t="s">
        <v>77</v>
      </c>
      <c r="F87" t="s">
        <v>100</v>
      </c>
      <c r="G87" t="s">
        <v>104</v>
      </c>
      <c r="H87" t="s">
        <v>110</v>
      </c>
      <c r="I87">
        <v>5</v>
      </c>
      <c r="J87">
        <v>5</v>
      </c>
      <c r="K87">
        <v>10</v>
      </c>
      <c r="L87">
        <v>4</v>
      </c>
      <c r="M87">
        <v>4</v>
      </c>
      <c r="N87">
        <v>5</v>
      </c>
      <c r="O87">
        <v>5</v>
      </c>
      <c r="P87">
        <v>8</v>
      </c>
      <c r="Q87">
        <v>8</v>
      </c>
    </row>
    <row r="88" spans="1:17" x14ac:dyDescent="0.45">
      <c r="A88" s="19">
        <v>46019.824999999997</v>
      </c>
      <c r="B88" t="s">
        <v>78</v>
      </c>
      <c r="C88" t="s">
        <v>79</v>
      </c>
      <c r="D88" t="s">
        <v>74</v>
      </c>
      <c r="E88" t="s">
        <v>77</v>
      </c>
      <c r="F88" t="s">
        <v>100</v>
      </c>
      <c r="G88" t="s">
        <v>104</v>
      </c>
      <c r="H88" t="s">
        <v>105</v>
      </c>
      <c r="I88">
        <v>10</v>
      </c>
      <c r="J88">
        <v>9</v>
      </c>
      <c r="K88">
        <v>9</v>
      </c>
      <c r="L88">
        <v>9</v>
      </c>
      <c r="M88">
        <v>9</v>
      </c>
      <c r="N88">
        <v>9</v>
      </c>
      <c r="O88">
        <v>10</v>
      </c>
      <c r="P88">
        <v>9</v>
      </c>
      <c r="Q88">
        <v>10</v>
      </c>
    </row>
    <row r="89" spans="1:17" x14ac:dyDescent="0.45">
      <c r="A89" s="19">
        <v>46019.836805555555</v>
      </c>
      <c r="B89" t="s">
        <v>72</v>
      </c>
      <c r="C89" t="s">
        <v>79</v>
      </c>
      <c r="D89" t="s">
        <v>74</v>
      </c>
      <c r="E89" t="s">
        <v>192</v>
      </c>
      <c r="F89" t="s">
        <v>100</v>
      </c>
      <c r="G89" t="s">
        <v>194</v>
      </c>
      <c r="H89" t="s">
        <v>105</v>
      </c>
      <c r="I89">
        <v>10</v>
      </c>
      <c r="J89">
        <v>10</v>
      </c>
      <c r="K89">
        <v>10</v>
      </c>
      <c r="L89">
        <v>10</v>
      </c>
      <c r="M89">
        <v>10</v>
      </c>
      <c r="N89">
        <v>10</v>
      </c>
      <c r="O89">
        <v>10</v>
      </c>
      <c r="P89">
        <v>10</v>
      </c>
      <c r="Q89">
        <v>10</v>
      </c>
    </row>
    <row r="90" spans="1:17" x14ac:dyDescent="0.45">
      <c r="A90" s="19">
        <v>46019.838888888888</v>
      </c>
      <c r="B90" t="s">
        <v>72</v>
      </c>
      <c r="C90" t="s">
        <v>73</v>
      </c>
      <c r="D90" t="s">
        <v>74</v>
      </c>
      <c r="E90" t="s">
        <v>190</v>
      </c>
      <c r="F90" t="s">
        <v>100</v>
      </c>
      <c r="G90" t="s">
        <v>194</v>
      </c>
      <c r="H90" t="s">
        <v>102</v>
      </c>
      <c r="I90">
        <v>10</v>
      </c>
      <c r="J90">
        <v>9</v>
      </c>
      <c r="K90">
        <v>9</v>
      </c>
      <c r="L90">
        <v>9</v>
      </c>
      <c r="M90">
        <v>10</v>
      </c>
      <c r="N90">
        <v>9</v>
      </c>
      <c r="O90">
        <v>9</v>
      </c>
      <c r="P90">
        <v>8</v>
      </c>
      <c r="Q90">
        <v>9</v>
      </c>
    </row>
    <row r="91" spans="1:17" x14ac:dyDescent="0.45">
      <c r="A91" s="19">
        <v>46019.84097222222</v>
      </c>
      <c r="B91" t="s">
        <v>72</v>
      </c>
      <c r="C91" t="s">
        <v>73</v>
      </c>
      <c r="D91" t="s">
        <v>80</v>
      </c>
      <c r="E91" t="s">
        <v>77</v>
      </c>
      <c r="F91" t="s">
        <v>100</v>
      </c>
      <c r="G91" t="s">
        <v>194</v>
      </c>
      <c r="H91" t="s">
        <v>195</v>
      </c>
      <c r="I91">
        <v>6</v>
      </c>
      <c r="J91">
        <v>10</v>
      </c>
      <c r="K91">
        <v>8</v>
      </c>
      <c r="L91">
        <v>9</v>
      </c>
      <c r="M91">
        <v>9</v>
      </c>
      <c r="N91">
        <v>9</v>
      </c>
      <c r="O91">
        <v>8</v>
      </c>
      <c r="P91">
        <v>8</v>
      </c>
      <c r="Q91">
        <v>9</v>
      </c>
    </row>
    <row r="92" spans="1:17" x14ac:dyDescent="0.45">
      <c r="A92" s="19">
        <v>46019.848611111112</v>
      </c>
      <c r="B92" t="s">
        <v>72</v>
      </c>
      <c r="C92" t="s">
        <v>73</v>
      </c>
      <c r="D92" t="s">
        <v>74</v>
      </c>
      <c r="E92" t="s">
        <v>77</v>
      </c>
      <c r="F92" t="s">
        <v>100</v>
      </c>
      <c r="G92" t="s">
        <v>194</v>
      </c>
      <c r="H92" t="s">
        <v>105</v>
      </c>
      <c r="I92">
        <v>10</v>
      </c>
      <c r="J92">
        <v>9</v>
      </c>
      <c r="K92">
        <v>9</v>
      </c>
      <c r="L92">
        <v>9</v>
      </c>
      <c r="M92">
        <v>10</v>
      </c>
      <c r="N92">
        <v>9</v>
      </c>
      <c r="O92">
        <v>8</v>
      </c>
      <c r="P92">
        <v>8</v>
      </c>
      <c r="Q92">
        <v>10</v>
      </c>
    </row>
    <row r="93" spans="1:17" x14ac:dyDescent="0.45">
      <c r="A93" s="19">
        <v>46019.859722222223</v>
      </c>
      <c r="B93" t="s">
        <v>78</v>
      </c>
      <c r="C93" t="s">
        <v>73</v>
      </c>
      <c r="D93" t="s">
        <v>74</v>
      </c>
      <c r="E93" t="s">
        <v>77</v>
      </c>
      <c r="F93" t="s">
        <v>100</v>
      </c>
      <c r="G93" t="s">
        <v>194</v>
      </c>
      <c r="H93" t="s">
        <v>105</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100</v>
      </c>
      <c r="G94" t="s">
        <v>109</v>
      </c>
      <c r="H94" t="s">
        <v>105</v>
      </c>
      <c r="I94">
        <v>5</v>
      </c>
      <c r="J94">
        <v>8</v>
      </c>
      <c r="K94">
        <v>4</v>
      </c>
      <c r="L94">
        <v>9</v>
      </c>
      <c r="M94">
        <v>7</v>
      </c>
      <c r="N94">
        <v>5</v>
      </c>
      <c r="O94">
        <v>7</v>
      </c>
      <c r="P94">
        <v>8</v>
      </c>
      <c r="Q94">
        <v>10</v>
      </c>
    </row>
    <row r="95" spans="1:17" x14ac:dyDescent="0.45">
      <c r="A95" s="19">
        <v>46019.88958333333</v>
      </c>
      <c r="B95" t="s">
        <v>72</v>
      </c>
      <c r="C95" t="s">
        <v>73</v>
      </c>
      <c r="D95" t="s">
        <v>74</v>
      </c>
      <c r="E95" t="s">
        <v>75</v>
      </c>
      <c r="F95" t="s">
        <v>100</v>
      </c>
      <c r="G95" t="s">
        <v>194</v>
      </c>
      <c r="H95" t="s">
        <v>110</v>
      </c>
      <c r="I95">
        <v>9</v>
      </c>
      <c r="J95">
        <v>7</v>
      </c>
      <c r="K95">
        <v>5</v>
      </c>
      <c r="L95">
        <v>7</v>
      </c>
      <c r="M95">
        <v>5</v>
      </c>
      <c r="N95">
        <v>8</v>
      </c>
      <c r="O95">
        <v>5</v>
      </c>
      <c r="P95">
        <v>5</v>
      </c>
      <c r="Q95">
        <v>7</v>
      </c>
    </row>
    <row r="96" spans="1:17" x14ac:dyDescent="0.45">
      <c r="A96" s="19">
        <v>46019.900694444441</v>
      </c>
      <c r="B96" t="s">
        <v>72</v>
      </c>
      <c r="C96" t="s">
        <v>79</v>
      </c>
      <c r="D96" t="s">
        <v>74</v>
      </c>
      <c r="E96" t="s">
        <v>77</v>
      </c>
      <c r="F96" t="s">
        <v>100</v>
      </c>
      <c r="G96" t="s">
        <v>109</v>
      </c>
      <c r="H96" t="s">
        <v>106</v>
      </c>
      <c r="I96">
        <v>4</v>
      </c>
      <c r="J96">
        <v>6</v>
      </c>
      <c r="K96">
        <v>5</v>
      </c>
      <c r="L96">
        <v>5</v>
      </c>
      <c r="M96">
        <v>4</v>
      </c>
      <c r="N96">
        <v>4</v>
      </c>
      <c r="O96">
        <v>3</v>
      </c>
      <c r="P96">
        <v>4</v>
      </c>
      <c r="Q96">
        <v>3</v>
      </c>
    </row>
    <row r="97" spans="1:17" x14ac:dyDescent="0.45">
      <c r="A97" s="19">
        <v>46019.902083333334</v>
      </c>
      <c r="B97" t="s">
        <v>78</v>
      </c>
      <c r="C97" t="s">
        <v>189</v>
      </c>
      <c r="D97" t="s">
        <v>74</v>
      </c>
      <c r="E97" t="s">
        <v>77</v>
      </c>
      <c r="F97" t="s">
        <v>100</v>
      </c>
      <c r="G97" t="s">
        <v>194</v>
      </c>
      <c r="H97" t="s">
        <v>110</v>
      </c>
      <c r="I97">
        <v>8</v>
      </c>
      <c r="J97">
        <v>7</v>
      </c>
      <c r="K97">
        <v>5</v>
      </c>
      <c r="L97">
        <v>7</v>
      </c>
      <c r="M97">
        <v>7</v>
      </c>
      <c r="N97">
        <v>5</v>
      </c>
      <c r="O97">
        <v>5</v>
      </c>
      <c r="P97">
        <v>7</v>
      </c>
      <c r="Q97">
        <v>7</v>
      </c>
    </row>
    <row r="98" spans="1:17" x14ac:dyDescent="0.45">
      <c r="A98" s="19">
        <v>46019.902777777781</v>
      </c>
      <c r="B98" t="s">
        <v>72</v>
      </c>
      <c r="C98" t="s">
        <v>193</v>
      </c>
      <c r="D98" t="s">
        <v>74</v>
      </c>
      <c r="E98" t="s">
        <v>77</v>
      </c>
      <c r="F98" t="s">
        <v>103</v>
      </c>
      <c r="G98" t="s">
        <v>108</v>
      </c>
      <c r="H98" t="s">
        <v>195</v>
      </c>
      <c r="I98">
        <v>6</v>
      </c>
      <c r="J98">
        <v>6</v>
      </c>
      <c r="K98">
        <v>5</v>
      </c>
      <c r="L98">
        <v>5</v>
      </c>
      <c r="M98">
        <v>5</v>
      </c>
      <c r="N98">
        <v>5</v>
      </c>
      <c r="O98">
        <v>5</v>
      </c>
      <c r="P98">
        <v>5</v>
      </c>
      <c r="Q98">
        <v>5</v>
      </c>
    </row>
    <row r="99" spans="1:17" x14ac:dyDescent="0.45">
      <c r="A99" s="19">
        <v>46019.90347222222</v>
      </c>
      <c r="B99" t="s">
        <v>72</v>
      </c>
      <c r="C99" t="s">
        <v>73</v>
      </c>
      <c r="D99" t="s">
        <v>80</v>
      </c>
      <c r="E99" t="s">
        <v>77</v>
      </c>
      <c r="F99" t="s">
        <v>100</v>
      </c>
      <c r="G99" t="s">
        <v>196</v>
      </c>
      <c r="H99" t="s">
        <v>110</v>
      </c>
      <c r="I99">
        <v>8</v>
      </c>
      <c r="J99">
        <v>8</v>
      </c>
      <c r="K99">
        <v>5</v>
      </c>
      <c r="L99">
        <v>8</v>
      </c>
      <c r="M99">
        <v>6</v>
      </c>
      <c r="N99">
        <v>9</v>
      </c>
      <c r="O99">
        <v>5</v>
      </c>
      <c r="P99">
        <v>7</v>
      </c>
      <c r="Q99">
        <v>8</v>
      </c>
    </row>
    <row r="100" spans="1:17" x14ac:dyDescent="0.45">
      <c r="A100" s="19">
        <v>46019.904861111114</v>
      </c>
      <c r="B100" t="s">
        <v>78</v>
      </c>
      <c r="C100" t="s">
        <v>81</v>
      </c>
      <c r="D100" t="s">
        <v>74</v>
      </c>
      <c r="E100" t="s">
        <v>77</v>
      </c>
      <c r="F100" t="s">
        <v>100</v>
      </c>
      <c r="G100" t="s">
        <v>101</v>
      </c>
      <c r="H100" t="s">
        <v>102</v>
      </c>
      <c r="I100">
        <v>6</v>
      </c>
      <c r="J100">
        <v>6</v>
      </c>
      <c r="K100">
        <v>3</v>
      </c>
      <c r="L100">
        <v>6</v>
      </c>
      <c r="M100">
        <v>5</v>
      </c>
      <c r="N100">
        <v>6</v>
      </c>
      <c r="O100">
        <v>5</v>
      </c>
      <c r="P100">
        <v>6</v>
      </c>
      <c r="Q100">
        <v>6</v>
      </c>
    </row>
    <row r="101" spans="1:17" x14ac:dyDescent="0.45">
      <c r="A101" s="19">
        <v>46020.206944444442</v>
      </c>
      <c r="B101" t="s">
        <v>72</v>
      </c>
      <c r="C101" t="s">
        <v>193</v>
      </c>
      <c r="D101" t="s">
        <v>74</v>
      </c>
      <c r="E101" t="s">
        <v>77</v>
      </c>
      <c r="F101" t="s">
        <v>100</v>
      </c>
      <c r="G101" t="s">
        <v>104</v>
      </c>
      <c r="H101" t="s">
        <v>102</v>
      </c>
      <c r="I101">
        <v>8</v>
      </c>
      <c r="J101">
        <v>8</v>
      </c>
      <c r="K101">
        <v>8</v>
      </c>
      <c r="L101">
        <v>10</v>
      </c>
      <c r="M101">
        <v>10</v>
      </c>
      <c r="N101">
        <v>10</v>
      </c>
      <c r="O101">
        <v>10</v>
      </c>
      <c r="P101">
        <v>10</v>
      </c>
      <c r="Q101">
        <v>10</v>
      </c>
    </row>
    <row r="102" spans="1:17" x14ac:dyDescent="0.45">
      <c r="A102" s="19">
        <v>46020.280555555553</v>
      </c>
      <c r="B102" t="s">
        <v>72</v>
      </c>
      <c r="C102" t="s">
        <v>191</v>
      </c>
      <c r="D102" t="s">
        <v>74</v>
      </c>
      <c r="E102" t="s">
        <v>75</v>
      </c>
      <c r="F102" t="s">
        <v>100</v>
      </c>
      <c r="G102" t="s">
        <v>107</v>
      </c>
      <c r="H102" t="s">
        <v>195</v>
      </c>
      <c r="I102">
        <v>8</v>
      </c>
      <c r="J102">
        <v>8</v>
      </c>
      <c r="K102">
        <v>7</v>
      </c>
      <c r="L102">
        <v>8</v>
      </c>
      <c r="M102">
        <v>8</v>
      </c>
      <c r="N102">
        <v>7</v>
      </c>
      <c r="O102">
        <v>7</v>
      </c>
      <c r="P102">
        <v>7</v>
      </c>
      <c r="Q102">
        <v>8</v>
      </c>
    </row>
    <row r="103" spans="1:17" x14ac:dyDescent="0.45">
      <c r="A103" s="19">
        <v>46020.28125</v>
      </c>
      <c r="B103" t="s">
        <v>78</v>
      </c>
      <c r="C103" t="s">
        <v>189</v>
      </c>
      <c r="D103" t="s">
        <v>74</v>
      </c>
      <c r="E103" t="s">
        <v>77</v>
      </c>
      <c r="F103" t="s">
        <v>100</v>
      </c>
      <c r="G103" t="s">
        <v>104</v>
      </c>
      <c r="H103" t="s">
        <v>110</v>
      </c>
      <c r="I103">
        <v>5</v>
      </c>
      <c r="J103">
        <v>5</v>
      </c>
      <c r="K103">
        <v>5</v>
      </c>
      <c r="L103">
        <v>5</v>
      </c>
      <c r="M103">
        <v>5</v>
      </c>
      <c r="N103">
        <v>5</v>
      </c>
      <c r="O103">
        <v>5</v>
      </c>
      <c r="P103">
        <v>5</v>
      </c>
      <c r="Q103">
        <v>5</v>
      </c>
    </row>
    <row r="104" spans="1:17" x14ac:dyDescent="0.45">
      <c r="A104" s="19">
        <v>46020.282638888886</v>
      </c>
      <c r="B104" t="s">
        <v>72</v>
      </c>
      <c r="C104" t="s">
        <v>193</v>
      </c>
      <c r="D104" t="s">
        <v>74</v>
      </c>
      <c r="E104" t="s">
        <v>77</v>
      </c>
      <c r="F104" t="s">
        <v>100</v>
      </c>
      <c r="G104" t="s">
        <v>109</v>
      </c>
      <c r="H104" t="s">
        <v>105</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100</v>
      </c>
      <c r="G105" t="s">
        <v>196</v>
      </c>
      <c r="H105" t="s">
        <v>110</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100</v>
      </c>
      <c r="G106" t="s">
        <v>104</v>
      </c>
      <c r="H106" t="s">
        <v>102</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100</v>
      </c>
      <c r="G107" t="s">
        <v>194</v>
      </c>
      <c r="H107" t="s">
        <v>110</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100</v>
      </c>
      <c r="G108" t="s">
        <v>101</v>
      </c>
      <c r="H108" t="s">
        <v>102</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100</v>
      </c>
      <c r="G109" t="s">
        <v>104</v>
      </c>
      <c r="H109" t="s">
        <v>102</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100</v>
      </c>
      <c r="G110" t="s">
        <v>104</v>
      </c>
      <c r="H110" t="s">
        <v>102</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100</v>
      </c>
      <c r="G111" t="s">
        <v>111</v>
      </c>
      <c r="H111" t="s">
        <v>105</v>
      </c>
      <c r="I111">
        <v>7</v>
      </c>
      <c r="J111">
        <v>6</v>
      </c>
      <c r="K111">
        <v>8</v>
      </c>
      <c r="L111">
        <v>8</v>
      </c>
      <c r="M111">
        <v>7</v>
      </c>
      <c r="N111">
        <v>6</v>
      </c>
      <c r="O111">
        <v>5</v>
      </c>
      <c r="P111">
        <v>5</v>
      </c>
      <c r="Q111">
        <v>8</v>
      </c>
    </row>
    <row r="112" spans="1:17" x14ac:dyDescent="0.45">
      <c r="A112" s="19">
        <v>46020.398611111108</v>
      </c>
      <c r="B112" t="s">
        <v>78</v>
      </c>
      <c r="C112" t="s">
        <v>191</v>
      </c>
      <c r="D112" t="s">
        <v>74</v>
      </c>
      <c r="E112" t="s">
        <v>77</v>
      </c>
      <c r="F112" t="s">
        <v>100</v>
      </c>
      <c r="G112" t="s">
        <v>101</v>
      </c>
      <c r="H112" t="s">
        <v>102</v>
      </c>
      <c r="I112">
        <v>8</v>
      </c>
      <c r="J112">
        <v>8</v>
      </c>
      <c r="K112">
        <v>6</v>
      </c>
      <c r="L112">
        <v>7</v>
      </c>
      <c r="M112">
        <v>6</v>
      </c>
      <c r="N112">
        <v>7</v>
      </c>
      <c r="O112">
        <v>5</v>
      </c>
      <c r="P112">
        <v>5</v>
      </c>
      <c r="Q112">
        <v>5</v>
      </c>
    </row>
    <row r="113" spans="1:17" x14ac:dyDescent="0.45">
      <c r="A113" s="19">
        <v>46020.4</v>
      </c>
      <c r="B113" t="s">
        <v>72</v>
      </c>
      <c r="C113" t="s">
        <v>79</v>
      </c>
      <c r="D113" t="s">
        <v>74</v>
      </c>
      <c r="E113" t="s">
        <v>77</v>
      </c>
      <c r="F113" t="s">
        <v>100</v>
      </c>
      <c r="G113" t="s">
        <v>196</v>
      </c>
      <c r="H113" t="s">
        <v>105</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100</v>
      </c>
      <c r="G114" t="s">
        <v>194</v>
      </c>
      <c r="H114" t="s">
        <v>106</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100</v>
      </c>
      <c r="G115" t="s">
        <v>196</v>
      </c>
      <c r="H115" t="s">
        <v>195</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100</v>
      </c>
      <c r="G116" t="s">
        <v>104</v>
      </c>
      <c r="H116" t="s">
        <v>195</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100</v>
      </c>
      <c r="G117" t="s">
        <v>104</v>
      </c>
      <c r="H117" t="s">
        <v>110</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100</v>
      </c>
      <c r="G118" t="s">
        <v>111</v>
      </c>
      <c r="H118" t="s">
        <v>110</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100</v>
      </c>
      <c r="G119" t="s">
        <v>109</v>
      </c>
      <c r="H119" t="s">
        <v>102</v>
      </c>
      <c r="I119">
        <v>4</v>
      </c>
      <c r="J119">
        <v>1</v>
      </c>
      <c r="K119">
        <v>1</v>
      </c>
      <c r="L119">
        <v>5</v>
      </c>
      <c r="M119">
        <v>1</v>
      </c>
      <c r="N119">
        <v>3</v>
      </c>
      <c r="O119">
        <v>1</v>
      </c>
      <c r="P119">
        <v>1</v>
      </c>
      <c r="Q119">
        <v>5</v>
      </c>
    </row>
    <row r="120" spans="1:17" x14ac:dyDescent="0.45">
      <c r="A120" s="19">
        <v>46020.543055555558</v>
      </c>
      <c r="B120" t="s">
        <v>72</v>
      </c>
      <c r="C120" t="s">
        <v>193</v>
      </c>
      <c r="D120" t="s">
        <v>74</v>
      </c>
      <c r="E120" t="s">
        <v>77</v>
      </c>
      <c r="F120" t="s">
        <v>100</v>
      </c>
      <c r="G120" t="s">
        <v>111</v>
      </c>
      <c r="H120" t="s">
        <v>195</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100</v>
      </c>
      <c r="G121" t="s">
        <v>101</v>
      </c>
      <c r="H121" t="s">
        <v>106</v>
      </c>
      <c r="I121">
        <v>6</v>
      </c>
      <c r="J121">
        <v>6</v>
      </c>
      <c r="K121">
        <v>6</v>
      </c>
      <c r="L121">
        <v>6</v>
      </c>
      <c r="M121">
        <v>6</v>
      </c>
      <c r="N121">
        <v>6</v>
      </c>
      <c r="O121">
        <v>6</v>
      </c>
      <c r="P121">
        <v>6</v>
      </c>
      <c r="Q121">
        <v>6</v>
      </c>
    </row>
    <row r="122" spans="1:17" x14ac:dyDescent="0.45">
      <c r="A122" s="19">
        <v>46020.544444444444</v>
      </c>
      <c r="B122" t="s">
        <v>78</v>
      </c>
      <c r="C122" t="s">
        <v>191</v>
      </c>
      <c r="D122" t="s">
        <v>74</v>
      </c>
      <c r="E122" t="s">
        <v>75</v>
      </c>
      <c r="F122" t="s">
        <v>103</v>
      </c>
      <c r="G122" t="s">
        <v>108</v>
      </c>
      <c r="H122" t="s">
        <v>195</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100</v>
      </c>
      <c r="G123" t="s">
        <v>108</v>
      </c>
      <c r="H123" t="s">
        <v>110</v>
      </c>
      <c r="I123">
        <v>4</v>
      </c>
      <c r="J123">
        <v>4</v>
      </c>
      <c r="K123">
        <v>2</v>
      </c>
      <c r="L123">
        <v>5</v>
      </c>
      <c r="M123">
        <v>1</v>
      </c>
      <c r="N123">
        <v>1</v>
      </c>
      <c r="O123">
        <v>1</v>
      </c>
      <c r="P123">
        <v>4</v>
      </c>
      <c r="Q123">
        <v>4</v>
      </c>
    </row>
    <row r="124" spans="1:17" x14ac:dyDescent="0.45">
      <c r="A124" s="19">
        <v>46020.54583333333</v>
      </c>
      <c r="B124" t="s">
        <v>72</v>
      </c>
      <c r="C124" t="s">
        <v>189</v>
      </c>
      <c r="D124" t="s">
        <v>74</v>
      </c>
      <c r="E124" t="s">
        <v>77</v>
      </c>
      <c r="F124" t="s">
        <v>100</v>
      </c>
      <c r="G124" t="s">
        <v>194</v>
      </c>
      <c r="H124" t="s">
        <v>110</v>
      </c>
      <c r="I124">
        <v>7</v>
      </c>
      <c r="J124">
        <v>7</v>
      </c>
      <c r="K124">
        <v>7</v>
      </c>
      <c r="L124">
        <v>7</v>
      </c>
      <c r="M124">
        <v>7</v>
      </c>
      <c r="N124">
        <v>7</v>
      </c>
      <c r="O124">
        <v>7</v>
      </c>
      <c r="P124">
        <v>7</v>
      </c>
      <c r="Q124">
        <v>8</v>
      </c>
    </row>
    <row r="125" spans="1:17" x14ac:dyDescent="0.45">
      <c r="A125" s="19">
        <v>46020.589583333334</v>
      </c>
      <c r="B125" t="s">
        <v>72</v>
      </c>
      <c r="C125" t="s">
        <v>191</v>
      </c>
      <c r="D125" t="s">
        <v>74</v>
      </c>
      <c r="E125" t="s">
        <v>75</v>
      </c>
      <c r="F125" t="s">
        <v>100</v>
      </c>
      <c r="G125" t="s">
        <v>109</v>
      </c>
      <c r="H125" t="s">
        <v>102</v>
      </c>
      <c r="I125">
        <v>10</v>
      </c>
      <c r="J125">
        <v>9</v>
      </c>
      <c r="K125">
        <v>10</v>
      </c>
      <c r="L125">
        <v>10</v>
      </c>
      <c r="M125">
        <v>10</v>
      </c>
      <c r="N125">
        <v>8</v>
      </c>
      <c r="O125">
        <v>9</v>
      </c>
      <c r="P125">
        <v>9</v>
      </c>
      <c r="Q125">
        <v>9</v>
      </c>
    </row>
    <row r="126" spans="1:17" x14ac:dyDescent="0.45">
      <c r="A126" s="19">
        <v>46020.590277777781</v>
      </c>
      <c r="B126" t="s">
        <v>72</v>
      </c>
      <c r="C126" t="s">
        <v>189</v>
      </c>
      <c r="D126" t="s">
        <v>74</v>
      </c>
      <c r="E126" t="s">
        <v>77</v>
      </c>
      <c r="F126" t="s">
        <v>100</v>
      </c>
      <c r="G126" t="s">
        <v>104</v>
      </c>
      <c r="H126" t="s">
        <v>105</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100</v>
      </c>
      <c r="G127" t="s">
        <v>101</v>
      </c>
      <c r="H127" t="s">
        <v>110</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100</v>
      </c>
      <c r="G128" t="s">
        <v>108</v>
      </c>
      <c r="H128" t="s">
        <v>195</v>
      </c>
      <c r="I128">
        <v>1</v>
      </c>
      <c r="J128">
        <v>1</v>
      </c>
      <c r="K128">
        <v>1</v>
      </c>
      <c r="L128">
        <v>5</v>
      </c>
      <c r="M128">
        <v>1</v>
      </c>
      <c r="N128">
        <v>1</v>
      </c>
      <c r="O128">
        <v>1</v>
      </c>
      <c r="P128">
        <v>5</v>
      </c>
      <c r="Q128">
        <v>5</v>
      </c>
    </row>
    <row r="129" spans="1:17" x14ac:dyDescent="0.45">
      <c r="A129" s="19">
        <v>46020.602777777778</v>
      </c>
      <c r="B129" t="s">
        <v>78</v>
      </c>
      <c r="C129" t="s">
        <v>191</v>
      </c>
      <c r="D129" t="s">
        <v>74</v>
      </c>
      <c r="E129" t="s">
        <v>77</v>
      </c>
      <c r="F129" t="s">
        <v>100</v>
      </c>
      <c r="G129" t="s">
        <v>108</v>
      </c>
      <c r="H129" t="s">
        <v>195</v>
      </c>
      <c r="I129">
        <v>6</v>
      </c>
      <c r="J129">
        <v>6</v>
      </c>
      <c r="K129">
        <v>6</v>
      </c>
      <c r="L129">
        <v>8</v>
      </c>
      <c r="M129">
        <v>6</v>
      </c>
      <c r="N129">
        <v>3</v>
      </c>
      <c r="O129">
        <v>5</v>
      </c>
      <c r="P129">
        <v>5</v>
      </c>
      <c r="Q129">
        <v>4</v>
      </c>
    </row>
    <row r="130" spans="1:17" x14ac:dyDescent="0.45">
      <c r="A130" s="19">
        <v>46020.603472222225</v>
      </c>
      <c r="B130" t="s">
        <v>78</v>
      </c>
      <c r="C130" t="s">
        <v>191</v>
      </c>
      <c r="D130" t="s">
        <v>74</v>
      </c>
      <c r="E130" t="s">
        <v>75</v>
      </c>
      <c r="F130" t="s">
        <v>100</v>
      </c>
      <c r="G130" t="s">
        <v>108</v>
      </c>
      <c r="H130" t="s">
        <v>106</v>
      </c>
      <c r="I130">
        <v>6</v>
      </c>
      <c r="J130">
        <v>6</v>
      </c>
      <c r="K130">
        <v>4</v>
      </c>
      <c r="L130">
        <v>5</v>
      </c>
      <c r="M130">
        <v>5</v>
      </c>
      <c r="N130">
        <v>1</v>
      </c>
      <c r="O130">
        <v>5</v>
      </c>
      <c r="P130">
        <v>4</v>
      </c>
      <c r="Q130">
        <v>5</v>
      </c>
    </row>
    <row r="131" spans="1:17" x14ac:dyDescent="0.45">
      <c r="A131" s="19">
        <v>46020.603472222225</v>
      </c>
      <c r="B131" t="s">
        <v>72</v>
      </c>
      <c r="C131" t="s">
        <v>193</v>
      </c>
      <c r="D131" t="s">
        <v>74</v>
      </c>
      <c r="E131" t="s">
        <v>75</v>
      </c>
      <c r="F131" t="s">
        <v>100</v>
      </c>
      <c r="G131" t="s">
        <v>107</v>
      </c>
      <c r="H131" t="s">
        <v>105</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100</v>
      </c>
      <c r="G132" t="s">
        <v>107</v>
      </c>
      <c r="H132" t="s">
        <v>102</v>
      </c>
      <c r="I132">
        <v>8</v>
      </c>
      <c r="J132">
        <v>9</v>
      </c>
      <c r="K132">
        <v>5</v>
      </c>
      <c r="L132">
        <v>5</v>
      </c>
      <c r="M132">
        <v>5</v>
      </c>
      <c r="N132">
        <v>4</v>
      </c>
      <c r="O132">
        <v>5</v>
      </c>
      <c r="P132">
        <v>5</v>
      </c>
      <c r="Q132">
        <v>5</v>
      </c>
    </row>
    <row r="133" spans="1:17" x14ac:dyDescent="0.45">
      <c r="A133" s="19">
        <v>46020.604861111111</v>
      </c>
      <c r="B133" t="s">
        <v>78</v>
      </c>
      <c r="C133" t="s">
        <v>189</v>
      </c>
      <c r="D133" t="s">
        <v>74</v>
      </c>
      <c r="E133" t="s">
        <v>77</v>
      </c>
      <c r="F133" t="s">
        <v>100</v>
      </c>
      <c r="G133" t="s">
        <v>104</v>
      </c>
      <c r="H133" t="s">
        <v>110</v>
      </c>
      <c r="I133">
        <v>9</v>
      </c>
      <c r="J133">
        <v>9</v>
      </c>
      <c r="K133">
        <v>9</v>
      </c>
      <c r="L133">
        <v>9</v>
      </c>
      <c r="M133">
        <v>7</v>
      </c>
      <c r="N133">
        <v>10</v>
      </c>
      <c r="O133">
        <v>5</v>
      </c>
      <c r="P133">
        <v>5</v>
      </c>
      <c r="Q133">
        <v>9</v>
      </c>
    </row>
    <row r="134" spans="1:17" x14ac:dyDescent="0.45">
      <c r="A134" s="19">
        <v>46020.605555555558</v>
      </c>
      <c r="B134" t="s">
        <v>78</v>
      </c>
      <c r="C134" t="s">
        <v>81</v>
      </c>
      <c r="D134" t="s">
        <v>74</v>
      </c>
      <c r="E134" t="s">
        <v>190</v>
      </c>
      <c r="F134" t="s">
        <v>100</v>
      </c>
      <c r="G134" t="s">
        <v>109</v>
      </c>
      <c r="H134" t="s">
        <v>110</v>
      </c>
      <c r="I134">
        <v>5</v>
      </c>
      <c r="J134">
        <v>5</v>
      </c>
      <c r="K134">
        <v>5</v>
      </c>
      <c r="L134">
        <v>5</v>
      </c>
      <c r="M134">
        <v>5</v>
      </c>
      <c r="N134">
        <v>5</v>
      </c>
      <c r="O134">
        <v>5</v>
      </c>
      <c r="P134">
        <v>5</v>
      </c>
      <c r="Q134">
        <v>5</v>
      </c>
    </row>
    <row r="135" spans="1:17" x14ac:dyDescent="0.45">
      <c r="A135" s="19">
        <v>46020.606249999997</v>
      </c>
      <c r="B135" t="s">
        <v>72</v>
      </c>
      <c r="C135" t="s">
        <v>189</v>
      </c>
      <c r="D135" t="s">
        <v>74</v>
      </c>
      <c r="E135" t="s">
        <v>77</v>
      </c>
      <c r="F135" t="s">
        <v>100</v>
      </c>
      <c r="G135" t="s">
        <v>196</v>
      </c>
      <c r="H135" t="s">
        <v>110</v>
      </c>
      <c r="I135">
        <v>9</v>
      </c>
      <c r="J135">
        <v>9</v>
      </c>
      <c r="K135">
        <v>5</v>
      </c>
      <c r="L135">
        <v>9</v>
      </c>
      <c r="M135">
        <v>8</v>
      </c>
      <c r="N135">
        <v>10</v>
      </c>
      <c r="O135">
        <v>5</v>
      </c>
      <c r="P135">
        <v>5</v>
      </c>
      <c r="Q135">
        <v>7</v>
      </c>
    </row>
    <row r="136" spans="1:17" x14ac:dyDescent="0.45">
      <c r="A136" s="19">
        <v>46020.609027777777</v>
      </c>
      <c r="B136" t="s">
        <v>78</v>
      </c>
      <c r="C136" t="s">
        <v>189</v>
      </c>
      <c r="D136" t="s">
        <v>74</v>
      </c>
      <c r="E136" t="s">
        <v>77</v>
      </c>
      <c r="F136" t="s">
        <v>100</v>
      </c>
      <c r="G136" t="s">
        <v>104</v>
      </c>
      <c r="H136" t="s">
        <v>110</v>
      </c>
      <c r="I136">
        <v>5</v>
      </c>
      <c r="J136">
        <v>5</v>
      </c>
      <c r="K136">
        <v>5</v>
      </c>
      <c r="L136">
        <v>6</v>
      </c>
      <c r="M136">
        <v>6</v>
      </c>
      <c r="N136">
        <v>6</v>
      </c>
      <c r="O136">
        <v>6</v>
      </c>
      <c r="P136">
        <v>6</v>
      </c>
      <c r="Q136">
        <v>6</v>
      </c>
    </row>
    <row r="137" spans="1:17" x14ac:dyDescent="0.45">
      <c r="A137" s="19">
        <v>46020.613194444442</v>
      </c>
      <c r="B137" t="s">
        <v>72</v>
      </c>
      <c r="C137" t="s">
        <v>193</v>
      </c>
      <c r="D137" t="s">
        <v>74</v>
      </c>
      <c r="E137" t="s">
        <v>77</v>
      </c>
      <c r="F137" t="s">
        <v>197</v>
      </c>
      <c r="G137" t="s">
        <v>194</v>
      </c>
      <c r="H137" t="s">
        <v>110</v>
      </c>
      <c r="I137">
        <v>8</v>
      </c>
      <c r="J137">
        <v>8</v>
      </c>
      <c r="K137">
        <v>8</v>
      </c>
      <c r="L137">
        <v>8</v>
      </c>
      <c r="M137">
        <v>10</v>
      </c>
      <c r="N137">
        <v>10</v>
      </c>
      <c r="O137">
        <v>10</v>
      </c>
      <c r="P137">
        <v>10</v>
      </c>
      <c r="Q137">
        <v>10</v>
      </c>
    </row>
    <row r="138" spans="1:17" x14ac:dyDescent="0.45">
      <c r="A138" s="19">
        <v>46020.637499999997</v>
      </c>
      <c r="B138" t="s">
        <v>78</v>
      </c>
      <c r="C138" t="s">
        <v>191</v>
      </c>
      <c r="D138" t="s">
        <v>74</v>
      </c>
      <c r="E138" t="s">
        <v>77</v>
      </c>
      <c r="F138" t="s">
        <v>100</v>
      </c>
      <c r="G138" t="s">
        <v>108</v>
      </c>
      <c r="H138" t="s">
        <v>195</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100</v>
      </c>
      <c r="G139" t="s">
        <v>104</v>
      </c>
      <c r="H139" t="s">
        <v>110</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100</v>
      </c>
      <c r="G140" t="s">
        <v>108</v>
      </c>
      <c r="H140" t="s">
        <v>105</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100</v>
      </c>
      <c r="G141" t="s">
        <v>101</v>
      </c>
      <c r="H141" t="s">
        <v>102</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100</v>
      </c>
      <c r="G142" t="s">
        <v>101</v>
      </c>
      <c r="H142" t="s">
        <v>102</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100</v>
      </c>
      <c r="G143" t="s">
        <v>194</v>
      </c>
      <c r="H143" t="s">
        <v>102</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100</v>
      </c>
      <c r="G144" t="s">
        <v>108</v>
      </c>
      <c r="H144" t="s">
        <v>110</v>
      </c>
      <c r="I144">
        <v>1</v>
      </c>
      <c r="J144">
        <v>1</v>
      </c>
      <c r="K144">
        <v>8</v>
      </c>
      <c r="L144">
        <v>8</v>
      </c>
      <c r="M144">
        <v>8</v>
      </c>
      <c r="N144">
        <v>8</v>
      </c>
      <c r="O144">
        <v>8</v>
      </c>
      <c r="P144">
        <v>8</v>
      </c>
      <c r="Q144">
        <v>8</v>
      </c>
    </row>
    <row r="145" spans="1:17" x14ac:dyDescent="0.45">
      <c r="A145" s="19">
        <v>46021.449305555558</v>
      </c>
      <c r="B145" t="s">
        <v>72</v>
      </c>
      <c r="C145" t="s">
        <v>191</v>
      </c>
      <c r="D145" t="s">
        <v>74</v>
      </c>
      <c r="E145" t="s">
        <v>77</v>
      </c>
      <c r="F145" t="s">
        <v>100</v>
      </c>
      <c r="G145" t="s">
        <v>111</v>
      </c>
      <c r="H145" t="s">
        <v>105</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100</v>
      </c>
      <c r="G146" t="s">
        <v>111</v>
      </c>
      <c r="H146" t="s">
        <v>105</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100</v>
      </c>
      <c r="G147" t="s">
        <v>107</v>
      </c>
      <c r="H147" t="s">
        <v>106</v>
      </c>
      <c r="I147">
        <v>8</v>
      </c>
      <c r="J147">
        <v>8</v>
      </c>
      <c r="K147">
        <v>5</v>
      </c>
      <c r="L147">
        <v>5</v>
      </c>
      <c r="M147">
        <v>5</v>
      </c>
      <c r="N147">
        <v>3</v>
      </c>
      <c r="O147">
        <v>5</v>
      </c>
      <c r="P147">
        <v>5</v>
      </c>
      <c r="Q147">
        <v>5</v>
      </c>
    </row>
    <row r="148" spans="1:17" x14ac:dyDescent="0.45">
      <c r="A148" s="19">
        <v>46021.457638888889</v>
      </c>
      <c r="B148" t="s">
        <v>72</v>
      </c>
      <c r="C148" t="s">
        <v>193</v>
      </c>
      <c r="D148" t="s">
        <v>74</v>
      </c>
      <c r="E148" t="s">
        <v>75</v>
      </c>
      <c r="F148" t="s">
        <v>100</v>
      </c>
      <c r="G148" t="s">
        <v>108</v>
      </c>
      <c r="H148" t="s">
        <v>110</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100</v>
      </c>
      <c r="G149" t="s">
        <v>196</v>
      </c>
      <c r="H149" t="s">
        <v>110</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100</v>
      </c>
      <c r="G150" t="s">
        <v>108</v>
      </c>
      <c r="H150" t="s">
        <v>106</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100</v>
      </c>
      <c r="G151" t="s">
        <v>111</v>
      </c>
      <c r="H151" t="s">
        <v>105</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100</v>
      </c>
      <c r="G152" t="s">
        <v>107</v>
      </c>
      <c r="H152" t="s">
        <v>105</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100</v>
      </c>
      <c r="G153" t="s">
        <v>107</v>
      </c>
      <c r="H153" t="s">
        <v>105</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100</v>
      </c>
      <c r="G154" t="s">
        <v>194</v>
      </c>
      <c r="H154" t="s">
        <v>102</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100</v>
      </c>
      <c r="G155" t="s">
        <v>194</v>
      </c>
      <c r="H155" t="s">
        <v>105</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100</v>
      </c>
      <c r="G156" t="s">
        <v>111</v>
      </c>
      <c r="H156" t="s">
        <v>102</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100</v>
      </c>
      <c r="G157" t="s">
        <v>101</v>
      </c>
      <c r="H157" t="s">
        <v>102</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100</v>
      </c>
      <c r="G158" t="s">
        <v>107</v>
      </c>
      <c r="H158" t="s">
        <v>195</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100</v>
      </c>
      <c r="G159" t="s">
        <v>107</v>
      </c>
      <c r="H159" t="s">
        <v>105</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100</v>
      </c>
      <c r="G160" t="s">
        <v>109</v>
      </c>
      <c r="H160" t="s">
        <v>110</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100</v>
      </c>
      <c r="G161" t="s">
        <v>109</v>
      </c>
      <c r="H161" t="s">
        <v>110</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100</v>
      </c>
      <c r="G162" t="s">
        <v>104</v>
      </c>
      <c r="H162" t="s">
        <v>110</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100</v>
      </c>
      <c r="G163" t="s">
        <v>194</v>
      </c>
      <c r="H163" t="s">
        <v>110</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100</v>
      </c>
      <c r="G164" t="s">
        <v>104</v>
      </c>
      <c r="H164" t="s">
        <v>110</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100</v>
      </c>
      <c r="G165" t="s">
        <v>109</v>
      </c>
      <c r="H165" t="s">
        <v>105</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100</v>
      </c>
      <c r="G166" t="s">
        <v>109</v>
      </c>
      <c r="H166" t="s">
        <v>110</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100</v>
      </c>
      <c r="G167" t="s">
        <v>109</v>
      </c>
      <c r="H167" t="s">
        <v>102</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100</v>
      </c>
      <c r="G168" t="s">
        <v>107</v>
      </c>
      <c r="H168" t="s">
        <v>110</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100</v>
      </c>
      <c r="G169" t="s">
        <v>196</v>
      </c>
      <c r="H169" t="s">
        <v>110</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100</v>
      </c>
      <c r="G170" t="s">
        <v>109</v>
      </c>
      <c r="H170" t="s">
        <v>110</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103</v>
      </c>
      <c r="G171" t="s">
        <v>104</v>
      </c>
      <c r="H171" t="s">
        <v>110</v>
      </c>
      <c r="I171">
        <v>5</v>
      </c>
      <c r="J171">
        <v>8</v>
      </c>
      <c r="K171">
        <v>7</v>
      </c>
      <c r="L171">
        <v>8</v>
      </c>
      <c r="M171">
        <v>1</v>
      </c>
      <c r="N171">
        <v>2</v>
      </c>
      <c r="O171">
        <v>3</v>
      </c>
      <c r="P171">
        <v>3</v>
      </c>
      <c r="Q171">
        <v>7</v>
      </c>
    </row>
    <row r="172" spans="1:17" x14ac:dyDescent="0.45">
      <c r="A172" s="19">
        <v>46026.576388888891</v>
      </c>
      <c r="B172" t="s">
        <v>78</v>
      </c>
      <c r="C172" t="s">
        <v>189</v>
      </c>
      <c r="D172" t="s">
        <v>74</v>
      </c>
      <c r="E172" t="s">
        <v>77</v>
      </c>
      <c r="F172" t="s">
        <v>100</v>
      </c>
      <c r="G172" t="s">
        <v>194</v>
      </c>
      <c r="H172" t="s">
        <v>110</v>
      </c>
      <c r="I172">
        <v>6</v>
      </c>
      <c r="J172">
        <v>7</v>
      </c>
      <c r="K172">
        <v>5</v>
      </c>
      <c r="L172">
        <v>7</v>
      </c>
      <c r="M172">
        <v>7</v>
      </c>
      <c r="N172">
        <v>7</v>
      </c>
      <c r="O172">
        <v>5</v>
      </c>
      <c r="P172">
        <v>7</v>
      </c>
      <c r="Q172">
        <v>7</v>
      </c>
    </row>
    <row r="173" spans="1:17" x14ac:dyDescent="0.45">
      <c r="A173" s="19">
        <v>46026.57708333333</v>
      </c>
      <c r="B173" t="s">
        <v>78</v>
      </c>
      <c r="C173" t="s">
        <v>191</v>
      </c>
      <c r="D173" t="s">
        <v>74</v>
      </c>
      <c r="E173" t="s">
        <v>75</v>
      </c>
      <c r="F173" t="s">
        <v>100</v>
      </c>
      <c r="G173" t="s">
        <v>108</v>
      </c>
      <c r="H173" t="s">
        <v>195</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100</v>
      </c>
      <c r="G174" t="s">
        <v>107</v>
      </c>
      <c r="H174" t="s">
        <v>106</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100</v>
      </c>
      <c r="G175" t="s">
        <v>109</v>
      </c>
      <c r="H175" t="s">
        <v>102</v>
      </c>
      <c r="I175">
        <v>6</v>
      </c>
      <c r="J175">
        <v>6</v>
      </c>
      <c r="K175">
        <v>6</v>
      </c>
      <c r="L175">
        <v>6</v>
      </c>
      <c r="M175">
        <v>7</v>
      </c>
      <c r="N175">
        <v>7</v>
      </c>
      <c r="O175">
        <v>5</v>
      </c>
      <c r="P175">
        <v>7</v>
      </c>
      <c r="Q175">
        <v>6</v>
      </c>
    </row>
    <row r="176" spans="1:17" x14ac:dyDescent="0.45">
      <c r="A176" s="19">
        <v>46026.57916666667</v>
      </c>
      <c r="B176" t="s">
        <v>72</v>
      </c>
      <c r="C176" t="s">
        <v>191</v>
      </c>
      <c r="D176" t="s">
        <v>74</v>
      </c>
      <c r="E176" t="s">
        <v>75</v>
      </c>
      <c r="F176" t="s">
        <v>100</v>
      </c>
      <c r="G176" t="s">
        <v>108</v>
      </c>
      <c r="H176" t="s">
        <v>106</v>
      </c>
      <c r="I176">
        <v>4</v>
      </c>
      <c r="J176">
        <v>5</v>
      </c>
      <c r="K176">
        <v>4</v>
      </c>
      <c r="L176">
        <v>6</v>
      </c>
      <c r="M176">
        <v>4</v>
      </c>
      <c r="N176">
        <v>4</v>
      </c>
      <c r="O176">
        <v>4</v>
      </c>
      <c r="P176">
        <v>5</v>
      </c>
      <c r="Q176">
        <v>4</v>
      </c>
    </row>
    <row r="177" spans="1:17" x14ac:dyDescent="0.45">
      <c r="A177" s="19">
        <v>46026.57916666667</v>
      </c>
      <c r="B177" t="s">
        <v>72</v>
      </c>
      <c r="C177" t="s">
        <v>193</v>
      </c>
      <c r="D177" t="s">
        <v>80</v>
      </c>
      <c r="E177" t="s">
        <v>75</v>
      </c>
      <c r="F177" t="s">
        <v>100</v>
      </c>
      <c r="G177" t="s">
        <v>108</v>
      </c>
      <c r="H177" t="s">
        <v>110</v>
      </c>
      <c r="I177">
        <v>2</v>
      </c>
      <c r="J177">
        <v>4</v>
      </c>
      <c r="K177">
        <v>3</v>
      </c>
      <c r="L177">
        <v>5</v>
      </c>
      <c r="M177">
        <v>4</v>
      </c>
      <c r="N177">
        <v>1</v>
      </c>
      <c r="O177">
        <v>1</v>
      </c>
      <c r="P177">
        <v>4</v>
      </c>
      <c r="Q177">
        <v>4</v>
      </c>
    </row>
    <row r="178" spans="1:17" x14ac:dyDescent="0.45">
      <c r="A178" s="19">
        <v>46026.580555555556</v>
      </c>
      <c r="B178" t="s">
        <v>72</v>
      </c>
      <c r="C178" t="s">
        <v>191</v>
      </c>
      <c r="D178" t="s">
        <v>74</v>
      </c>
      <c r="E178" t="s">
        <v>75</v>
      </c>
      <c r="F178" t="s">
        <v>100</v>
      </c>
      <c r="G178" t="s">
        <v>107</v>
      </c>
      <c r="H178" t="s">
        <v>105</v>
      </c>
      <c r="I178">
        <v>4</v>
      </c>
      <c r="J178">
        <v>4</v>
      </c>
      <c r="K178">
        <v>3</v>
      </c>
      <c r="L178">
        <v>5</v>
      </c>
      <c r="M178">
        <v>3</v>
      </c>
      <c r="N178">
        <v>2</v>
      </c>
      <c r="O178">
        <v>1</v>
      </c>
      <c r="P178">
        <v>1</v>
      </c>
      <c r="Q178">
        <v>1</v>
      </c>
    </row>
    <row r="179" spans="1:17" x14ac:dyDescent="0.45">
      <c r="A179" s="19">
        <v>46026.580555555556</v>
      </c>
      <c r="B179" t="s">
        <v>72</v>
      </c>
      <c r="C179" t="s">
        <v>193</v>
      </c>
      <c r="D179" t="s">
        <v>74</v>
      </c>
      <c r="E179" t="s">
        <v>77</v>
      </c>
      <c r="F179" t="s">
        <v>100</v>
      </c>
      <c r="G179" t="s">
        <v>109</v>
      </c>
      <c r="H179" t="s">
        <v>195</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100</v>
      </c>
      <c r="G180" t="s">
        <v>101</v>
      </c>
      <c r="H180" t="s">
        <v>102</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100</v>
      </c>
      <c r="G181" t="s">
        <v>111</v>
      </c>
      <c r="H181" t="s">
        <v>102</v>
      </c>
      <c r="I181">
        <v>5</v>
      </c>
      <c r="J181">
        <v>5</v>
      </c>
      <c r="K181">
        <v>5</v>
      </c>
      <c r="L181">
        <v>7</v>
      </c>
      <c r="M181">
        <v>5</v>
      </c>
      <c r="N181">
        <v>6</v>
      </c>
      <c r="O181">
        <v>5</v>
      </c>
      <c r="P181">
        <v>7</v>
      </c>
      <c r="Q181">
        <v>7</v>
      </c>
    </row>
    <row r="182" spans="1:17" x14ac:dyDescent="0.45">
      <c r="A182" s="19">
        <v>46026.7</v>
      </c>
      <c r="B182" t="s">
        <v>72</v>
      </c>
      <c r="C182" t="s">
        <v>73</v>
      </c>
      <c r="D182" t="s">
        <v>74</v>
      </c>
      <c r="E182" t="s">
        <v>75</v>
      </c>
      <c r="F182" t="s">
        <v>100</v>
      </c>
      <c r="G182" t="s">
        <v>111</v>
      </c>
      <c r="H182" t="s">
        <v>105</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100</v>
      </c>
      <c r="G183" t="s">
        <v>101</v>
      </c>
      <c r="H183" t="s">
        <v>110</v>
      </c>
      <c r="I183">
        <v>8</v>
      </c>
      <c r="J183">
        <v>8</v>
      </c>
      <c r="K183">
        <v>5</v>
      </c>
      <c r="L183">
        <v>8</v>
      </c>
      <c r="M183">
        <v>6</v>
      </c>
      <c r="N183">
        <v>8</v>
      </c>
      <c r="O183">
        <v>6</v>
      </c>
      <c r="P183">
        <v>7</v>
      </c>
      <c r="Q183">
        <v>7</v>
      </c>
    </row>
    <row r="184" spans="1:17" x14ac:dyDescent="0.45">
      <c r="A184" s="19">
        <v>46026.701388888891</v>
      </c>
      <c r="B184" t="s">
        <v>78</v>
      </c>
      <c r="C184" t="s">
        <v>193</v>
      </c>
      <c r="D184" t="s">
        <v>74</v>
      </c>
      <c r="E184" t="s">
        <v>75</v>
      </c>
      <c r="F184" t="s">
        <v>100</v>
      </c>
      <c r="G184" t="s">
        <v>108</v>
      </c>
      <c r="H184" t="s">
        <v>106</v>
      </c>
      <c r="I184">
        <v>2</v>
      </c>
      <c r="J184">
        <v>5</v>
      </c>
      <c r="K184">
        <v>3</v>
      </c>
      <c r="L184">
        <v>5</v>
      </c>
      <c r="M184">
        <v>3</v>
      </c>
      <c r="N184">
        <v>2</v>
      </c>
      <c r="O184">
        <v>1</v>
      </c>
      <c r="P184">
        <v>5</v>
      </c>
      <c r="Q184">
        <v>5</v>
      </c>
    </row>
    <row r="185" spans="1:17" x14ac:dyDescent="0.45">
      <c r="A185" s="19">
        <v>46026.70208333333</v>
      </c>
      <c r="B185" t="s">
        <v>78</v>
      </c>
      <c r="C185" t="s">
        <v>189</v>
      </c>
      <c r="D185" t="s">
        <v>74</v>
      </c>
      <c r="E185" t="s">
        <v>77</v>
      </c>
      <c r="F185" t="s">
        <v>100</v>
      </c>
      <c r="G185" t="s">
        <v>104</v>
      </c>
      <c r="H185" t="s">
        <v>110</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103</v>
      </c>
      <c r="G186" t="s">
        <v>109</v>
      </c>
      <c r="H186" t="s">
        <v>106</v>
      </c>
      <c r="I186">
        <v>7</v>
      </c>
      <c r="J186">
        <v>7</v>
      </c>
      <c r="K186">
        <v>6</v>
      </c>
      <c r="L186">
        <v>8</v>
      </c>
      <c r="M186">
        <v>5</v>
      </c>
      <c r="N186">
        <v>5</v>
      </c>
      <c r="O186">
        <v>5</v>
      </c>
      <c r="P186">
        <v>6</v>
      </c>
      <c r="Q186">
        <v>5</v>
      </c>
    </row>
    <row r="187" spans="1:17" x14ac:dyDescent="0.45">
      <c r="A187" s="19">
        <v>46026.70416666667</v>
      </c>
      <c r="B187" t="s">
        <v>72</v>
      </c>
      <c r="C187" t="s">
        <v>193</v>
      </c>
      <c r="D187" t="s">
        <v>74</v>
      </c>
      <c r="E187" t="s">
        <v>77</v>
      </c>
      <c r="F187" t="s">
        <v>197</v>
      </c>
      <c r="G187" t="s">
        <v>104</v>
      </c>
      <c r="H187" t="s">
        <v>110</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100</v>
      </c>
      <c r="G188" t="s">
        <v>109</v>
      </c>
      <c r="H188" t="s">
        <v>105</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100</v>
      </c>
      <c r="G189" t="s">
        <v>101</v>
      </c>
      <c r="H189" t="s">
        <v>102</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100</v>
      </c>
      <c r="G190" t="s">
        <v>111</v>
      </c>
      <c r="H190" t="s">
        <v>105</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100</v>
      </c>
      <c r="G191" t="s">
        <v>101</v>
      </c>
      <c r="H191" t="s">
        <v>110</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100</v>
      </c>
      <c r="G192" t="s">
        <v>111</v>
      </c>
      <c r="H192" t="s">
        <v>106</v>
      </c>
      <c r="I192">
        <v>7</v>
      </c>
      <c r="J192">
        <v>7</v>
      </c>
      <c r="K192">
        <v>6</v>
      </c>
      <c r="L192">
        <v>8</v>
      </c>
      <c r="M192">
        <v>7</v>
      </c>
      <c r="N192">
        <v>8</v>
      </c>
      <c r="O192">
        <v>7</v>
      </c>
      <c r="P192">
        <v>7</v>
      </c>
      <c r="Q192">
        <v>7</v>
      </c>
    </row>
    <row r="193" spans="1:17" x14ac:dyDescent="0.45">
      <c r="A193" s="19">
        <v>46029.685416666667</v>
      </c>
      <c r="B193" t="s">
        <v>72</v>
      </c>
      <c r="C193" t="s">
        <v>189</v>
      </c>
      <c r="D193" t="s">
        <v>74</v>
      </c>
      <c r="E193" t="s">
        <v>77</v>
      </c>
      <c r="F193" t="s">
        <v>100</v>
      </c>
      <c r="G193" t="s">
        <v>196</v>
      </c>
      <c r="H193" t="s">
        <v>110</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100</v>
      </c>
      <c r="G194" t="s">
        <v>101</v>
      </c>
      <c r="H194" t="s">
        <v>105</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100</v>
      </c>
      <c r="G195" t="s">
        <v>196</v>
      </c>
      <c r="H195" t="s">
        <v>102</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100</v>
      </c>
      <c r="G196" t="s">
        <v>104</v>
      </c>
      <c r="H196" t="s">
        <v>102</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100</v>
      </c>
      <c r="G197" t="s">
        <v>104</v>
      </c>
      <c r="H197" t="s">
        <v>105</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100</v>
      </c>
      <c r="G198" t="s">
        <v>104</v>
      </c>
      <c r="H198" t="s">
        <v>106</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100</v>
      </c>
      <c r="G199" t="s">
        <v>104</v>
      </c>
      <c r="H199" t="s">
        <v>105</v>
      </c>
      <c r="I199">
        <v>5</v>
      </c>
      <c r="J199">
        <v>5</v>
      </c>
      <c r="K199">
        <v>5</v>
      </c>
      <c r="L199">
        <v>5</v>
      </c>
      <c r="M199">
        <v>5</v>
      </c>
      <c r="N199">
        <v>5</v>
      </c>
      <c r="O199">
        <v>5</v>
      </c>
      <c r="P199">
        <v>4</v>
      </c>
      <c r="Q199">
        <v>5</v>
      </c>
    </row>
    <row r="200" spans="1:17" x14ac:dyDescent="0.45">
      <c r="A200" s="19">
        <v>46031.374305555553</v>
      </c>
      <c r="B200" t="s">
        <v>72</v>
      </c>
      <c r="C200" t="s">
        <v>193</v>
      </c>
      <c r="D200" t="s">
        <v>74</v>
      </c>
      <c r="E200" t="s">
        <v>75</v>
      </c>
      <c r="F200" t="s">
        <v>197</v>
      </c>
      <c r="G200" t="s">
        <v>194</v>
      </c>
      <c r="H200" t="s">
        <v>102</v>
      </c>
      <c r="I200">
        <v>9</v>
      </c>
      <c r="J200">
        <v>8</v>
      </c>
      <c r="K200">
        <v>9</v>
      </c>
      <c r="L200">
        <v>9</v>
      </c>
      <c r="M200">
        <v>8</v>
      </c>
      <c r="N200">
        <v>9</v>
      </c>
      <c r="O200">
        <v>10</v>
      </c>
      <c r="P200">
        <v>9</v>
      </c>
      <c r="Q200">
        <v>10</v>
      </c>
    </row>
    <row r="201" spans="1:17" x14ac:dyDescent="0.45">
      <c r="A201" s="19">
        <v>46031.390277777777</v>
      </c>
      <c r="B201" t="s">
        <v>78</v>
      </c>
      <c r="C201" t="s">
        <v>191</v>
      </c>
      <c r="D201" t="s">
        <v>74</v>
      </c>
      <c r="E201" t="s">
        <v>77</v>
      </c>
      <c r="F201" t="s">
        <v>100</v>
      </c>
      <c r="G201" t="s">
        <v>107</v>
      </c>
      <c r="H201" t="s">
        <v>106</v>
      </c>
      <c r="I201">
        <v>4</v>
      </c>
      <c r="J201">
        <v>4</v>
      </c>
      <c r="K201">
        <v>3</v>
      </c>
      <c r="L201">
        <v>5</v>
      </c>
      <c r="M201">
        <v>4</v>
      </c>
      <c r="N201">
        <v>5</v>
      </c>
      <c r="O201">
        <v>1</v>
      </c>
      <c r="P201">
        <v>5</v>
      </c>
      <c r="Q201">
        <v>5</v>
      </c>
    </row>
    <row r="202" spans="1:17" x14ac:dyDescent="0.45">
      <c r="A202" s="19">
        <v>46031.390972222223</v>
      </c>
      <c r="B202" t="s">
        <v>72</v>
      </c>
      <c r="C202" t="s">
        <v>193</v>
      </c>
      <c r="D202" t="s">
        <v>74</v>
      </c>
      <c r="E202" t="s">
        <v>75</v>
      </c>
      <c r="F202" t="s">
        <v>100</v>
      </c>
      <c r="G202" t="s">
        <v>111</v>
      </c>
      <c r="H202" t="s">
        <v>102</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100</v>
      </c>
      <c r="G203" t="s">
        <v>107</v>
      </c>
      <c r="H203" t="s">
        <v>195</v>
      </c>
      <c r="I203">
        <v>6</v>
      </c>
      <c r="J203">
        <v>8</v>
      </c>
      <c r="K203">
        <v>8</v>
      </c>
      <c r="L203">
        <v>9</v>
      </c>
      <c r="M203">
        <v>7</v>
      </c>
      <c r="N203">
        <v>7</v>
      </c>
      <c r="O203">
        <v>7</v>
      </c>
      <c r="P203">
        <v>8</v>
      </c>
      <c r="Q203">
        <v>8</v>
      </c>
    </row>
    <row r="204" spans="1:17" x14ac:dyDescent="0.45">
      <c r="A204" s="19">
        <v>46031.39166666667</v>
      </c>
      <c r="B204" t="s">
        <v>72</v>
      </c>
      <c r="C204" t="s">
        <v>191</v>
      </c>
      <c r="D204" t="s">
        <v>74</v>
      </c>
      <c r="E204" t="s">
        <v>75</v>
      </c>
      <c r="F204" t="s">
        <v>100</v>
      </c>
      <c r="G204" t="s">
        <v>108</v>
      </c>
      <c r="H204" t="s">
        <v>106</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100</v>
      </c>
      <c r="G205" t="s">
        <v>109</v>
      </c>
      <c r="H205" t="s">
        <v>102</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100</v>
      </c>
      <c r="G206" t="s">
        <v>101</v>
      </c>
      <c r="H206" t="s">
        <v>110</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100</v>
      </c>
      <c r="G207" t="s">
        <v>111</v>
      </c>
      <c r="H207" t="s">
        <v>102</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100</v>
      </c>
      <c r="G208" t="s">
        <v>111</v>
      </c>
      <c r="H208" t="s">
        <v>105</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100</v>
      </c>
      <c r="G209" t="s">
        <v>109</v>
      </c>
      <c r="H209" t="s">
        <v>102</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100</v>
      </c>
      <c r="G210" t="s">
        <v>109</v>
      </c>
      <c r="H210" t="s">
        <v>110</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100</v>
      </c>
      <c r="G211" t="s">
        <v>101</v>
      </c>
      <c r="H211" t="s">
        <v>110</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100</v>
      </c>
      <c r="G212" t="s">
        <v>111</v>
      </c>
      <c r="H212" t="s">
        <v>102</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100</v>
      </c>
      <c r="G213" t="s">
        <v>111</v>
      </c>
      <c r="H213" t="s">
        <v>110</v>
      </c>
      <c r="I213">
        <v>5</v>
      </c>
      <c r="J213">
        <v>5</v>
      </c>
      <c r="K213">
        <v>1</v>
      </c>
      <c r="L213">
        <v>5</v>
      </c>
      <c r="M213">
        <v>5</v>
      </c>
      <c r="N213">
        <v>5</v>
      </c>
      <c r="O213">
        <v>4</v>
      </c>
      <c r="P213">
        <v>5</v>
      </c>
      <c r="Q213">
        <v>5</v>
      </c>
    </row>
    <row r="214" spans="1:17" x14ac:dyDescent="0.45">
      <c r="A214" s="19">
        <v>46031.4</v>
      </c>
      <c r="B214" t="s">
        <v>72</v>
      </c>
      <c r="C214" t="s">
        <v>73</v>
      </c>
      <c r="D214" t="s">
        <v>74</v>
      </c>
      <c r="E214" t="s">
        <v>77</v>
      </c>
      <c r="F214" t="s">
        <v>100</v>
      </c>
      <c r="G214" t="s">
        <v>111</v>
      </c>
      <c r="H214" t="s">
        <v>195</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100</v>
      </c>
      <c r="G215" t="s">
        <v>111</v>
      </c>
      <c r="H215" t="s">
        <v>195</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100</v>
      </c>
      <c r="G216" t="s">
        <v>196</v>
      </c>
      <c r="H216" t="s">
        <v>105</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100</v>
      </c>
      <c r="G217" t="s">
        <v>109</v>
      </c>
      <c r="H217" t="s">
        <v>102</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100</v>
      </c>
      <c r="G218" t="s">
        <v>109</v>
      </c>
      <c r="H218" t="s">
        <v>110</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100</v>
      </c>
      <c r="G219" t="s">
        <v>111</v>
      </c>
      <c r="H219" t="s">
        <v>106</v>
      </c>
      <c r="I219">
        <v>6</v>
      </c>
      <c r="J219">
        <v>7</v>
      </c>
      <c r="K219">
        <v>7</v>
      </c>
      <c r="L219">
        <v>7</v>
      </c>
      <c r="M219">
        <v>7</v>
      </c>
      <c r="N219">
        <v>7</v>
      </c>
      <c r="O219">
        <v>7</v>
      </c>
      <c r="P219">
        <v>7</v>
      </c>
      <c r="Q219">
        <v>7</v>
      </c>
    </row>
    <row r="220" spans="1:17" x14ac:dyDescent="0.45">
      <c r="A220" s="19">
        <v>46031.402777777781</v>
      </c>
      <c r="B220" t="s">
        <v>78</v>
      </c>
      <c r="C220" t="s">
        <v>193</v>
      </c>
      <c r="D220" t="s">
        <v>74</v>
      </c>
      <c r="E220" t="s">
        <v>75</v>
      </c>
      <c r="F220" t="s">
        <v>100</v>
      </c>
      <c r="G220" t="s">
        <v>108</v>
      </c>
      <c r="H220" t="s">
        <v>105</v>
      </c>
      <c r="I220">
        <v>7</v>
      </c>
      <c r="J220">
        <v>8</v>
      </c>
      <c r="K220">
        <v>8</v>
      </c>
      <c r="L220">
        <v>8</v>
      </c>
      <c r="M220">
        <v>8</v>
      </c>
      <c r="N220">
        <v>5</v>
      </c>
      <c r="O220">
        <v>5</v>
      </c>
      <c r="P220">
        <v>7</v>
      </c>
      <c r="Q220">
        <v>6</v>
      </c>
    </row>
    <row r="221" spans="1:17" x14ac:dyDescent="0.45">
      <c r="A221" s="19">
        <v>46031.402777777781</v>
      </c>
      <c r="B221" t="s">
        <v>72</v>
      </c>
      <c r="C221" t="s">
        <v>191</v>
      </c>
      <c r="D221" t="s">
        <v>74</v>
      </c>
      <c r="E221" t="s">
        <v>75</v>
      </c>
      <c r="F221" t="s">
        <v>100</v>
      </c>
      <c r="G221" t="s">
        <v>108</v>
      </c>
      <c r="H221" t="s">
        <v>102</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100</v>
      </c>
      <c r="G222" t="s">
        <v>111</v>
      </c>
      <c r="H222" t="s">
        <v>102</v>
      </c>
      <c r="I222">
        <v>4</v>
      </c>
      <c r="J222">
        <v>4</v>
      </c>
      <c r="K222">
        <v>4</v>
      </c>
      <c r="L222">
        <v>6</v>
      </c>
      <c r="M222">
        <v>5</v>
      </c>
      <c r="N222">
        <v>6</v>
      </c>
      <c r="O222">
        <v>5</v>
      </c>
      <c r="P222">
        <v>6</v>
      </c>
      <c r="Q222">
        <v>5</v>
      </c>
    </row>
    <row r="223" spans="1:17" x14ac:dyDescent="0.45">
      <c r="A223" s="19">
        <v>46031.404861111114</v>
      </c>
      <c r="B223" t="s">
        <v>72</v>
      </c>
      <c r="C223" t="s">
        <v>191</v>
      </c>
      <c r="D223" t="s">
        <v>74</v>
      </c>
      <c r="E223" t="s">
        <v>77</v>
      </c>
      <c r="F223" t="s">
        <v>100</v>
      </c>
      <c r="G223" t="s">
        <v>111</v>
      </c>
      <c r="H223" t="s">
        <v>105</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100</v>
      </c>
      <c r="G224" t="s">
        <v>111</v>
      </c>
      <c r="H224" t="s">
        <v>105</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100</v>
      </c>
      <c r="G225" t="s">
        <v>111</v>
      </c>
      <c r="H225" t="s">
        <v>110</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100</v>
      </c>
      <c r="G226" t="s">
        <v>109</v>
      </c>
      <c r="H226" t="s">
        <v>102</v>
      </c>
      <c r="I226">
        <v>6</v>
      </c>
      <c r="J226">
        <v>6</v>
      </c>
      <c r="K226">
        <v>7</v>
      </c>
      <c r="L226">
        <v>7</v>
      </c>
      <c r="M226">
        <v>5</v>
      </c>
      <c r="N226">
        <v>6</v>
      </c>
      <c r="O226">
        <v>6</v>
      </c>
      <c r="P226">
        <v>6</v>
      </c>
      <c r="Q226">
        <v>7</v>
      </c>
    </row>
    <row r="227" spans="1:17" x14ac:dyDescent="0.45">
      <c r="A227" s="19">
        <v>46031.406944444447</v>
      </c>
      <c r="B227" t="s">
        <v>72</v>
      </c>
      <c r="C227" t="s">
        <v>193</v>
      </c>
      <c r="D227" t="s">
        <v>74</v>
      </c>
      <c r="E227" t="s">
        <v>75</v>
      </c>
      <c r="F227" t="s">
        <v>100</v>
      </c>
      <c r="G227" t="s">
        <v>107</v>
      </c>
      <c r="H227" t="s">
        <v>105</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100</v>
      </c>
      <c r="G228" t="s">
        <v>101</v>
      </c>
      <c r="H228" t="s">
        <v>110</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100</v>
      </c>
      <c r="G229" t="s">
        <v>196</v>
      </c>
      <c r="H229" t="s">
        <v>105</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100</v>
      </c>
      <c r="G230" t="s">
        <v>111</v>
      </c>
      <c r="H230" t="s">
        <v>105</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100</v>
      </c>
      <c r="G231" t="s">
        <v>107</v>
      </c>
      <c r="H231" t="s">
        <v>195</v>
      </c>
      <c r="I231">
        <v>4</v>
      </c>
      <c r="J231">
        <v>5</v>
      </c>
      <c r="K231">
        <v>1</v>
      </c>
      <c r="L231">
        <v>6</v>
      </c>
      <c r="M231">
        <v>4</v>
      </c>
      <c r="N231">
        <v>4</v>
      </c>
      <c r="O231">
        <v>5</v>
      </c>
      <c r="P231">
        <v>5</v>
      </c>
      <c r="Q231">
        <v>5</v>
      </c>
    </row>
    <row r="232" spans="1:17" x14ac:dyDescent="0.45">
      <c r="A232" s="19">
        <v>46031.40902777778</v>
      </c>
      <c r="B232" t="s">
        <v>78</v>
      </c>
      <c r="C232" t="s">
        <v>193</v>
      </c>
      <c r="D232" t="s">
        <v>74</v>
      </c>
      <c r="E232" t="s">
        <v>75</v>
      </c>
      <c r="F232" t="s">
        <v>100</v>
      </c>
      <c r="G232" t="s">
        <v>108</v>
      </c>
      <c r="H232" t="s">
        <v>195</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100</v>
      </c>
      <c r="G233" t="s">
        <v>111</v>
      </c>
      <c r="H233" t="s">
        <v>105</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100</v>
      </c>
      <c r="G234" t="s">
        <v>104</v>
      </c>
      <c r="H234" t="s">
        <v>102</v>
      </c>
      <c r="I234">
        <v>8</v>
      </c>
      <c r="J234">
        <v>8</v>
      </c>
      <c r="K234">
        <v>8</v>
      </c>
      <c r="L234">
        <v>8</v>
      </c>
      <c r="M234">
        <v>9</v>
      </c>
      <c r="N234">
        <v>8</v>
      </c>
      <c r="O234">
        <v>8</v>
      </c>
      <c r="P234">
        <v>8</v>
      </c>
      <c r="Q234">
        <v>10</v>
      </c>
    </row>
    <row r="235" spans="1:17" x14ac:dyDescent="0.45">
      <c r="A235" s="19">
        <v>46031.409722222219</v>
      </c>
      <c r="B235" t="s">
        <v>72</v>
      </c>
      <c r="C235" t="s">
        <v>191</v>
      </c>
      <c r="D235" t="s">
        <v>74</v>
      </c>
      <c r="E235" t="s">
        <v>75</v>
      </c>
      <c r="F235" t="s">
        <v>100</v>
      </c>
      <c r="G235" t="s">
        <v>107</v>
      </c>
      <c r="H235" t="s">
        <v>106</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100</v>
      </c>
      <c r="G236" t="s">
        <v>109</v>
      </c>
      <c r="H236" t="s">
        <v>110</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100</v>
      </c>
      <c r="G237" t="s">
        <v>111</v>
      </c>
      <c r="H237" t="s">
        <v>106</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103</v>
      </c>
      <c r="G238" t="s">
        <v>104</v>
      </c>
      <c r="H238" t="s">
        <v>106</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100</v>
      </c>
      <c r="G239" t="s">
        <v>101</v>
      </c>
      <c r="H239" t="s">
        <v>102</v>
      </c>
      <c r="I239">
        <v>8</v>
      </c>
      <c r="J239">
        <v>10</v>
      </c>
      <c r="K239">
        <v>8</v>
      </c>
      <c r="L239">
        <v>10</v>
      </c>
      <c r="M239">
        <v>9</v>
      </c>
      <c r="N239">
        <v>8</v>
      </c>
      <c r="O239">
        <v>7</v>
      </c>
      <c r="P239">
        <v>9</v>
      </c>
      <c r="Q239">
        <v>9</v>
      </c>
    </row>
    <row r="240" spans="1:17" x14ac:dyDescent="0.45">
      <c r="A240" s="19">
        <v>46031.440972222219</v>
      </c>
      <c r="B240" t="s">
        <v>78</v>
      </c>
      <c r="C240" t="s">
        <v>193</v>
      </c>
      <c r="D240" t="s">
        <v>74</v>
      </c>
      <c r="E240" t="s">
        <v>75</v>
      </c>
      <c r="F240" t="s">
        <v>100</v>
      </c>
      <c r="G240" t="s">
        <v>107</v>
      </c>
      <c r="H240" t="s">
        <v>195</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100</v>
      </c>
      <c r="G241" t="s">
        <v>111</v>
      </c>
      <c r="H241" t="s">
        <v>106</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100</v>
      </c>
      <c r="G242" t="s">
        <v>111</v>
      </c>
      <c r="H242" t="s">
        <v>102</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100</v>
      </c>
      <c r="G243" t="s">
        <v>111</v>
      </c>
      <c r="H243" t="s">
        <v>105</v>
      </c>
      <c r="I243">
        <v>6</v>
      </c>
      <c r="J243">
        <v>5</v>
      </c>
      <c r="K243">
        <v>5</v>
      </c>
      <c r="L243">
        <v>7</v>
      </c>
      <c r="M243">
        <v>7</v>
      </c>
      <c r="N243">
        <v>7</v>
      </c>
      <c r="O243">
        <v>7</v>
      </c>
      <c r="P243">
        <v>8</v>
      </c>
      <c r="Q243">
        <v>8</v>
      </c>
    </row>
    <row r="244" spans="1:17" x14ac:dyDescent="0.45">
      <c r="A244" s="19">
        <v>46031.442361111112</v>
      </c>
      <c r="B244" t="s">
        <v>78</v>
      </c>
      <c r="C244" t="s">
        <v>191</v>
      </c>
      <c r="D244" t="s">
        <v>74</v>
      </c>
      <c r="E244" t="s">
        <v>77</v>
      </c>
      <c r="F244" t="s">
        <v>100</v>
      </c>
      <c r="G244" t="s">
        <v>107</v>
      </c>
      <c r="H244" t="s">
        <v>105</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100</v>
      </c>
      <c r="G245" t="s">
        <v>111</v>
      </c>
      <c r="H245" t="s">
        <v>106</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100</v>
      </c>
      <c r="G246" t="s">
        <v>108</v>
      </c>
      <c r="H246" t="s">
        <v>110</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100</v>
      </c>
      <c r="G247" t="s">
        <v>101</v>
      </c>
      <c r="H247" t="s">
        <v>110</v>
      </c>
      <c r="I247">
        <v>6</v>
      </c>
      <c r="J247">
        <v>7</v>
      </c>
      <c r="K247">
        <v>7</v>
      </c>
      <c r="L247">
        <v>7</v>
      </c>
      <c r="M247">
        <v>7</v>
      </c>
      <c r="N247">
        <v>7</v>
      </c>
      <c r="O247">
        <v>7</v>
      </c>
      <c r="P247">
        <v>7</v>
      </c>
      <c r="Q247">
        <v>7</v>
      </c>
    </row>
    <row r="248" spans="1:17" x14ac:dyDescent="0.45">
      <c r="A248" s="19">
        <v>46031.444444444445</v>
      </c>
      <c r="B248" t="s">
        <v>72</v>
      </c>
      <c r="C248" t="s">
        <v>191</v>
      </c>
      <c r="D248" t="s">
        <v>74</v>
      </c>
      <c r="E248" t="s">
        <v>75</v>
      </c>
      <c r="F248" t="s">
        <v>100</v>
      </c>
      <c r="G248" t="s">
        <v>111</v>
      </c>
      <c r="H248" t="s">
        <v>195</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100</v>
      </c>
      <c r="G249" t="s">
        <v>109</v>
      </c>
      <c r="H249" t="s">
        <v>102</v>
      </c>
      <c r="I249">
        <v>7</v>
      </c>
      <c r="J249">
        <v>7</v>
      </c>
      <c r="K249">
        <v>7</v>
      </c>
      <c r="L249">
        <v>7</v>
      </c>
      <c r="M249">
        <v>7</v>
      </c>
      <c r="N249">
        <v>7</v>
      </c>
      <c r="O249">
        <v>7</v>
      </c>
      <c r="P249">
        <v>7</v>
      </c>
      <c r="Q249">
        <v>7</v>
      </c>
    </row>
    <row r="250" spans="1:17" x14ac:dyDescent="0.45">
      <c r="A250" s="19">
        <v>46031.464583333334</v>
      </c>
      <c r="B250" t="s">
        <v>78</v>
      </c>
      <c r="C250" t="s">
        <v>193</v>
      </c>
      <c r="D250" t="s">
        <v>74</v>
      </c>
      <c r="E250" t="s">
        <v>75</v>
      </c>
      <c r="F250" t="s">
        <v>100</v>
      </c>
      <c r="G250" t="s">
        <v>107</v>
      </c>
      <c r="H250" t="s">
        <v>106</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100</v>
      </c>
      <c r="G251" t="s">
        <v>111</v>
      </c>
      <c r="H251" t="s">
        <v>106</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100</v>
      </c>
      <c r="G252" t="s">
        <v>109</v>
      </c>
      <c r="H252" t="s">
        <v>195</v>
      </c>
      <c r="I252">
        <v>8</v>
      </c>
      <c r="J252">
        <v>8</v>
      </c>
      <c r="K252">
        <v>8</v>
      </c>
      <c r="L252">
        <v>9</v>
      </c>
      <c r="M252">
        <v>8</v>
      </c>
      <c r="N252">
        <v>10</v>
      </c>
      <c r="O252">
        <v>7</v>
      </c>
      <c r="P252">
        <v>7</v>
      </c>
      <c r="Q252">
        <v>10</v>
      </c>
    </row>
    <row r="253" spans="1:17" x14ac:dyDescent="0.45">
      <c r="A253" s="19">
        <v>46031.46597222222</v>
      </c>
      <c r="B253" t="s">
        <v>72</v>
      </c>
      <c r="C253" t="s">
        <v>191</v>
      </c>
      <c r="D253" t="s">
        <v>74</v>
      </c>
      <c r="E253" t="s">
        <v>77</v>
      </c>
      <c r="F253" t="s">
        <v>100</v>
      </c>
      <c r="G253" t="s">
        <v>111</v>
      </c>
      <c r="H253" t="s">
        <v>106</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100</v>
      </c>
      <c r="G254" t="s">
        <v>107</v>
      </c>
      <c r="H254" t="s">
        <v>195</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100</v>
      </c>
      <c r="G255" t="s">
        <v>107</v>
      </c>
      <c r="H255" t="s">
        <v>102</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100</v>
      </c>
      <c r="G256" t="s">
        <v>111</v>
      </c>
      <c r="H256" t="s">
        <v>102</v>
      </c>
      <c r="I256">
        <v>6</v>
      </c>
      <c r="J256">
        <v>6</v>
      </c>
      <c r="K256">
        <v>1</v>
      </c>
      <c r="L256">
        <v>7</v>
      </c>
      <c r="M256">
        <v>5</v>
      </c>
      <c r="N256">
        <v>6</v>
      </c>
      <c r="O256">
        <v>6</v>
      </c>
      <c r="P256">
        <v>6</v>
      </c>
      <c r="Q256">
        <v>6</v>
      </c>
    </row>
    <row r="257" spans="1:17" x14ac:dyDescent="0.45">
      <c r="A257" s="19">
        <v>46031.468055555553</v>
      </c>
      <c r="B257" t="s">
        <v>72</v>
      </c>
      <c r="C257" t="s">
        <v>191</v>
      </c>
      <c r="D257" t="s">
        <v>74</v>
      </c>
      <c r="E257" t="s">
        <v>77</v>
      </c>
      <c r="F257" t="s">
        <v>100</v>
      </c>
      <c r="G257" t="s">
        <v>108</v>
      </c>
      <c r="H257" t="s">
        <v>195</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100</v>
      </c>
      <c r="G258" t="s">
        <v>109</v>
      </c>
      <c r="H258" t="s">
        <v>102</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100</v>
      </c>
      <c r="G259" t="s">
        <v>111</v>
      </c>
      <c r="H259" t="s">
        <v>105</v>
      </c>
      <c r="I259">
        <v>6</v>
      </c>
      <c r="J259">
        <v>7</v>
      </c>
      <c r="K259">
        <v>2</v>
      </c>
      <c r="L259">
        <v>7</v>
      </c>
      <c r="M259">
        <v>5</v>
      </c>
      <c r="N259">
        <v>5</v>
      </c>
      <c r="O259">
        <v>5</v>
      </c>
      <c r="P259">
        <v>6</v>
      </c>
      <c r="Q259">
        <v>5</v>
      </c>
    </row>
    <row r="260" spans="1:17" x14ac:dyDescent="0.45">
      <c r="A260" s="19">
        <v>46031.469444444447</v>
      </c>
      <c r="B260" t="s">
        <v>78</v>
      </c>
      <c r="C260" t="s">
        <v>191</v>
      </c>
      <c r="D260" t="s">
        <v>74</v>
      </c>
      <c r="E260" t="s">
        <v>75</v>
      </c>
      <c r="F260" t="s">
        <v>100</v>
      </c>
      <c r="G260" t="s">
        <v>108</v>
      </c>
      <c r="H260" t="s">
        <v>195</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100</v>
      </c>
      <c r="G261" t="s">
        <v>109</v>
      </c>
      <c r="H261" t="s">
        <v>105</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100</v>
      </c>
      <c r="G262" t="s">
        <v>109</v>
      </c>
      <c r="H262" t="s">
        <v>102</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100</v>
      </c>
      <c r="G263" t="s">
        <v>111</v>
      </c>
      <c r="H263" t="s">
        <v>195</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100</v>
      </c>
      <c r="G264" t="s">
        <v>107</v>
      </c>
      <c r="H264" t="s">
        <v>106</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100</v>
      </c>
      <c r="G265" t="s">
        <v>108</v>
      </c>
      <c r="H265" t="s">
        <v>106</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100</v>
      </c>
      <c r="G266" t="s">
        <v>101</v>
      </c>
      <c r="H266" t="s">
        <v>110</v>
      </c>
      <c r="I266">
        <v>6</v>
      </c>
      <c r="J266">
        <v>5</v>
      </c>
      <c r="K266">
        <v>5</v>
      </c>
      <c r="L266">
        <v>7</v>
      </c>
      <c r="M266">
        <v>6</v>
      </c>
      <c r="N266">
        <v>7</v>
      </c>
      <c r="O266">
        <v>5</v>
      </c>
      <c r="P266">
        <v>6</v>
      </c>
      <c r="Q266">
        <v>6</v>
      </c>
    </row>
    <row r="267" spans="1:17" x14ac:dyDescent="0.45">
      <c r="A267" s="19">
        <v>46031.473611111112</v>
      </c>
      <c r="B267" t="s">
        <v>72</v>
      </c>
      <c r="C267" t="s">
        <v>191</v>
      </c>
      <c r="D267" t="s">
        <v>74</v>
      </c>
      <c r="E267" t="s">
        <v>77</v>
      </c>
      <c r="F267" t="s">
        <v>100</v>
      </c>
      <c r="G267" t="s">
        <v>111</v>
      </c>
      <c r="H267" t="s">
        <v>106</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100</v>
      </c>
      <c r="G268" t="s">
        <v>111</v>
      </c>
      <c r="H268" t="s">
        <v>105</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100</v>
      </c>
      <c r="G269" t="s">
        <v>101</v>
      </c>
      <c r="H269" t="s">
        <v>105</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100</v>
      </c>
      <c r="G270" t="s">
        <v>107</v>
      </c>
      <c r="H270" t="s">
        <v>195</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103</v>
      </c>
      <c r="G271" t="s">
        <v>111</v>
      </c>
      <c r="H271" t="s">
        <v>110</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100</v>
      </c>
      <c r="G272" t="s">
        <v>111</v>
      </c>
      <c r="H272" t="s">
        <v>105</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100</v>
      </c>
      <c r="G273" t="s">
        <v>109</v>
      </c>
      <c r="H273" t="s">
        <v>102</v>
      </c>
      <c r="I273">
        <v>7</v>
      </c>
      <c r="J273">
        <v>8</v>
      </c>
      <c r="K273">
        <v>2</v>
      </c>
      <c r="L273">
        <v>6</v>
      </c>
      <c r="M273">
        <v>6</v>
      </c>
      <c r="N273">
        <v>6</v>
      </c>
      <c r="O273">
        <v>5</v>
      </c>
      <c r="P273">
        <v>5</v>
      </c>
      <c r="Q273">
        <v>6</v>
      </c>
    </row>
    <row r="274" spans="1:17" x14ac:dyDescent="0.45">
      <c r="A274" s="19">
        <v>46031.60833333333</v>
      </c>
      <c r="B274" t="s">
        <v>72</v>
      </c>
      <c r="C274" t="s">
        <v>191</v>
      </c>
      <c r="D274" t="s">
        <v>74</v>
      </c>
      <c r="E274" t="s">
        <v>75</v>
      </c>
      <c r="F274" t="s">
        <v>100</v>
      </c>
      <c r="G274" t="s">
        <v>107</v>
      </c>
      <c r="H274" t="s">
        <v>195</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100</v>
      </c>
      <c r="G275" t="s">
        <v>111</v>
      </c>
      <c r="H275" t="s">
        <v>105</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100</v>
      </c>
      <c r="G276" t="s">
        <v>111</v>
      </c>
      <c r="H276" t="s">
        <v>105</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100</v>
      </c>
      <c r="G277" t="s">
        <v>109</v>
      </c>
      <c r="H277" t="s">
        <v>102</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100</v>
      </c>
      <c r="G278" t="s">
        <v>107</v>
      </c>
      <c r="H278" t="s">
        <v>195</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100</v>
      </c>
      <c r="G279" t="s">
        <v>111</v>
      </c>
      <c r="H279" t="s">
        <v>106</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103</v>
      </c>
      <c r="G280" t="s">
        <v>107</v>
      </c>
      <c r="H280" t="s">
        <v>110</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100</v>
      </c>
      <c r="G281" t="s">
        <v>107</v>
      </c>
      <c r="H281" t="s">
        <v>105</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100</v>
      </c>
      <c r="G282" t="s">
        <v>107</v>
      </c>
      <c r="H282" t="s">
        <v>106</v>
      </c>
      <c r="I282">
        <v>6</v>
      </c>
      <c r="J282">
        <v>7</v>
      </c>
      <c r="K282">
        <v>4</v>
      </c>
      <c r="L282">
        <v>8</v>
      </c>
      <c r="M282">
        <v>6</v>
      </c>
      <c r="N282">
        <v>6</v>
      </c>
      <c r="O282">
        <v>5</v>
      </c>
      <c r="P282">
        <v>7</v>
      </c>
      <c r="Q282">
        <v>6</v>
      </c>
    </row>
    <row r="283" spans="1:17" x14ac:dyDescent="0.45">
      <c r="A283" s="19">
        <v>46031.636111111111</v>
      </c>
      <c r="B283" t="s">
        <v>72</v>
      </c>
      <c r="C283" t="s">
        <v>193</v>
      </c>
      <c r="D283" t="s">
        <v>74</v>
      </c>
      <c r="E283" t="s">
        <v>75</v>
      </c>
      <c r="F283" t="s">
        <v>100</v>
      </c>
      <c r="G283" t="s">
        <v>108</v>
      </c>
      <c r="H283" t="s">
        <v>195</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100</v>
      </c>
      <c r="G284" t="s">
        <v>111</v>
      </c>
      <c r="H284" t="s">
        <v>105</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100</v>
      </c>
      <c r="G285" t="s">
        <v>111</v>
      </c>
      <c r="H285" t="s">
        <v>105</v>
      </c>
      <c r="I285">
        <v>7</v>
      </c>
      <c r="J285">
        <v>7</v>
      </c>
      <c r="K285">
        <v>5</v>
      </c>
      <c r="L285">
        <v>7</v>
      </c>
      <c r="M285">
        <v>5</v>
      </c>
      <c r="N285">
        <v>6</v>
      </c>
      <c r="O285">
        <v>5</v>
      </c>
      <c r="P285">
        <v>7</v>
      </c>
      <c r="Q285">
        <v>6</v>
      </c>
    </row>
    <row r="286" spans="1:17" x14ac:dyDescent="0.45">
      <c r="A286" s="19">
        <v>46031.640277777777</v>
      </c>
      <c r="B286" t="s">
        <v>78</v>
      </c>
      <c r="C286" t="s">
        <v>191</v>
      </c>
      <c r="D286" t="s">
        <v>74</v>
      </c>
      <c r="E286" t="s">
        <v>77</v>
      </c>
      <c r="F286" t="s">
        <v>100</v>
      </c>
      <c r="G286" t="s">
        <v>107</v>
      </c>
      <c r="H286" t="s">
        <v>106</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100</v>
      </c>
      <c r="G287" t="s">
        <v>109</v>
      </c>
      <c r="H287" t="s">
        <v>110</v>
      </c>
      <c r="I287">
        <v>4</v>
      </c>
      <c r="J287">
        <v>4</v>
      </c>
      <c r="K287">
        <v>2</v>
      </c>
      <c r="L287">
        <v>8</v>
      </c>
      <c r="M287">
        <v>5</v>
      </c>
      <c r="N287">
        <v>5</v>
      </c>
      <c r="O287">
        <v>4</v>
      </c>
      <c r="P287">
        <v>6</v>
      </c>
      <c r="Q287">
        <v>5</v>
      </c>
    </row>
    <row r="288" spans="1:17" x14ac:dyDescent="0.45">
      <c r="A288" s="19">
        <v>46031.64166666667</v>
      </c>
      <c r="B288" t="s">
        <v>72</v>
      </c>
      <c r="C288" t="s">
        <v>191</v>
      </c>
      <c r="D288" t="s">
        <v>74</v>
      </c>
      <c r="E288" t="s">
        <v>77</v>
      </c>
      <c r="F288" t="s">
        <v>100</v>
      </c>
      <c r="G288" t="s">
        <v>111</v>
      </c>
      <c r="H288" t="s">
        <v>195</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100</v>
      </c>
      <c r="G289" t="s">
        <v>101</v>
      </c>
      <c r="H289" t="s">
        <v>110</v>
      </c>
      <c r="I289">
        <v>8</v>
      </c>
      <c r="J289">
        <v>8</v>
      </c>
      <c r="K289">
        <v>5</v>
      </c>
      <c r="L289">
        <v>9</v>
      </c>
      <c r="M289">
        <v>10</v>
      </c>
      <c r="N289">
        <v>10</v>
      </c>
      <c r="O289">
        <v>9</v>
      </c>
      <c r="P289">
        <v>9</v>
      </c>
      <c r="Q289">
        <v>10</v>
      </c>
    </row>
    <row r="290" spans="1:17" x14ac:dyDescent="0.45">
      <c r="A290" s="19">
        <v>46031.642361111109</v>
      </c>
      <c r="B290" t="s">
        <v>72</v>
      </c>
      <c r="C290" t="s">
        <v>73</v>
      </c>
      <c r="D290" t="s">
        <v>74</v>
      </c>
      <c r="E290" t="s">
        <v>190</v>
      </c>
      <c r="F290" t="s">
        <v>100</v>
      </c>
      <c r="G290" t="s">
        <v>101</v>
      </c>
      <c r="H290" t="s">
        <v>102</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100</v>
      </c>
      <c r="G291" t="s">
        <v>109</v>
      </c>
      <c r="H291" t="s">
        <v>105</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100</v>
      </c>
      <c r="G292" t="s">
        <v>111</v>
      </c>
      <c r="H292" t="s">
        <v>105</v>
      </c>
      <c r="I292">
        <v>9</v>
      </c>
      <c r="J292">
        <v>9</v>
      </c>
      <c r="K292">
        <v>3</v>
      </c>
      <c r="L292">
        <v>10</v>
      </c>
      <c r="M292">
        <v>8</v>
      </c>
      <c r="N292">
        <v>8</v>
      </c>
      <c r="O292">
        <v>6</v>
      </c>
      <c r="P292">
        <v>8</v>
      </c>
      <c r="Q292">
        <v>8</v>
      </c>
    </row>
    <row r="293" spans="1:17" x14ac:dyDescent="0.45">
      <c r="A293" s="19">
        <v>46031.643750000003</v>
      </c>
      <c r="B293" t="s">
        <v>72</v>
      </c>
      <c r="C293" t="s">
        <v>193</v>
      </c>
      <c r="D293" t="s">
        <v>74</v>
      </c>
      <c r="E293" t="s">
        <v>75</v>
      </c>
      <c r="F293" t="s">
        <v>197</v>
      </c>
      <c r="G293" t="s">
        <v>111</v>
      </c>
      <c r="H293" t="s">
        <v>105</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100</v>
      </c>
      <c r="G294" t="s">
        <v>109</v>
      </c>
      <c r="H294" t="s">
        <v>102</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100</v>
      </c>
      <c r="G295" t="s">
        <v>111</v>
      </c>
      <c r="H295" t="s">
        <v>106</v>
      </c>
      <c r="I295">
        <v>6</v>
      </c>
      <c r="J295">
        <v>6</v>
      </c>
      <c r="K295">
        <v>3</v>
      </c>
      <c r="L295">
        <v>7</v>
      </c>
      <c r="M295">
        <v>5</v>
      </c>
      <c r="N295">
        <v>6</v>
      </c>
      <c r="O295">
        <v>5</v>
      </c>
      <c r="P295">
        <v>5</v>
      </c>
      <c r="Q295">
        <v>6</v>
      </c>
    </row>
    <row r="296" spans="1:17" x14ac:dyDescent="0.45">
      <c r="A296" s="19">
        <v>46031.647222222222</v>
      </c>
      <c r="B296" t="s">
        <v>78</v>
      </c>
      <c r="C296" t="s">
        <v>189</v>
      </c>
      <c r="D296" t="s">
        <v>74</v>
      </c>
      <c r="E296" t="s">
        <v>77</v>
      </c>
      <c r="F296" t="s">
        <v>100</v>
      </c>
      <c r="G296" t="s">
        <v>101</v>
      </c>
      <c r="H296" t="s">
        <v>110</v>
      </c>
      <c r="I296">
        <v>8</v>
      </c>
      <c r="J296">
        <v>9</v>
      </c>
      <c r="K296">
        <v>9</v>
      </c>
      <c r="L296">
        <v>10</v>
      </c>
      <c r="M296">
        <v>8</v>
      </c>
      <c r="N296">
        <v>8</v>
      </c>
      <c r="O296">
        <v>9</v>
      </c>
      <c r="P296">
        <v>10</v>
      </c>
      <c r="Q296">
        <v>10</v>
      </c>
    </row>
    <row r="297" spans="1:17" x14ac:dyDescent="0.45">
      <c r="A297" s="19">
        <v>46031.684027777781</v>
      </c>
      <c r="B297" t="s">
        <v>78</v>
      </c>
      <c r="C297" t="s">
        <v>193</v>
      </c>
      <c r="D297" t="s">
        <v>74</v>
      </c>
      <c r="E297" t="s">
        <v>77</v>
      </c>
      <c r="F297" t="s">
        <v>100</v>
      </c>
      <c r="G297" t="s">
        <v>194</v>
      </c>
      <c r="H297" t="s">
        <v>110</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100</v>
      </c>
      <c r="G298" t="s">
        <v>111</v>
      </c>
      <c r="H298" t="s">
        <v>105</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197</v>
      </c>
      <c r="G299" t="s">
        <v>194</v>
      </c>
      <c r="H299" t="s">
        <v>110</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100</v>
      </c>
      <c r="G300" t="s">
        <v>109</v>
      </c>
      <c r="H300" t="s">
        <v>110</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100</v>
      </c>
      <c r="G301" t="s">
        <v>101</v>
      </c>
      <c r="H301" t="s">
        <v>102</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100</v>
      </c>
      <c r="G302" t="s">
        <v>194</v>
      </c>
      <c r="H302" t="s">
        <v>110</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100</v>
      </c>
      <c r="G303" t="s">
        <v>101</v>
      </c>
      <c r="H303" t="s">
        <v>110</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100</v>
      </c>
      <c r="G304" t="s">
        <v>101</v>
      </c>
      <c r="H304" t="s">
        <v>105</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100</v>
      </c>
      <c r="G305" t="s">
        <v>194</v>
      </c>
      <c r="H305" t="s">
        <v>110</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100</v>
      </c>
      <c r="G306" t="s">
        <v>109</v>
      </c>
      <c r="H306" t="s">
        <v>110</v>
      </c>
      <c r="I306">
        <v>7</v>
      </c>
      <c r="J306">
        <v>9</v>
      </c>
      <c r="K306">
        <v>8</v>
      </c>
      <c r="L306">
        <v>6</v>
      </c>
      <c r="M306">
        <v>5</v>
      </c>
      <c r="N306">
        <v>3</v>
      </c>
      <c r="O306">
        <v>9</v>
      </c>
      <c r="P306">
        <v>3</v>
      </c>
      <c r="Q306">
        <v>4</v>
      </c>
    </row>
    <row r="307" spans="1:17" x14ac:dyDescent="0.45">
      <c r="A307" s="19">
        <v>46031.8</v>
      </c>
      <c r="B307" t="s">
        <v>72</v>
      </c>
      <c r="C307" t="s">
        <v>79</v>
      </c>
      <c r="D307" t="s">
        <v>74</v>
      </c>
      <c r="E307" t="s">
        <v>77</v>
      </c>
      <c r="F307" t="s">
        <v>100</v>
      </c>
      <c r="G307" t="s">
        <v>111</v>
      </c>
      <c r="H307" t="s">
        <v>106</v>
      </c>
      <c r="I307">
        <v>3</v>
      </c>
      <c r="J307">
        <v>8</v>
      </c>
      <c r="K307">
        <v>8</v>
      </c>
      <c r="L307">
        <v>4</v>
      </c>
      <c r="M307">
        <v>4</v>
      </c>
      <c r="N307">
        <v>3</v>
      </c>
      <c r="O307">
        <v>7</v>
      </c>
      <c r="P307">
        <v>5</v>
      </c>
      <c r="Q307">
        <v>5</v>
      </c>
    </row>
    <row r="308" spans="1:17" x14ac:dyDescent="0.45">
      <c r="A308" s="19">
        <v>46031.804861111108</v>
      </c>
      <c r="B308" t="s">
        <v>72</v>
      </c>
      <c r="C308" t="s">
        <v>193</v>
      </c>
      <c r="D308" t="s">
        <v>74</v>
      </c>
      <c r="E308" t="s">
        <v>75</v>
      </c>
      <c r="F308" t="s">
        <v>197</v>
      </c>
      <c r="G308" t="s">
        <v>104</v>
      </c>
      <c r="H308" t="s">
        <v>105</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100</v>
      </c>
      <c r="G309" t="s">
        <v>108</v>
      </c>
      <c r="H309" t="s">
        <v>105</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100</v>
      </c>
      <c r="G310" t="s">
        <v>111</v>
      </c>
      <c r="H310" t="s">
        <v>102</v>
      </c>
      <c r="I310">
        <v>10</v>
      </c>
      <c r="J310">
        <v>10</v>
      </c>
      <c r="K310">
        <v>10</v>
      </c>
      <c r="L310">
        <v>10</v>
      </c>
      <c r="M310">
        <v>10</v>
      </c>
      <c r="N310">
        <v>9</v>
      </c>
      <c r="O310">
        <v>9</v>
      </c>
      <c r="P310">
        <v>10</v>
      </c>
      <c r="Q310">
        <v>10</v>
      </c>
    </row>
    <row r="311" spans="1:17" x14ac:dyDescent="0.45">
      <c r="A311" s="19">
        <v>46032.577777777777</v>
      </c>
      <c r="B311" t="s">
        <v>72</v>
      </c>
      <c r="C311" t="s">
        <v>189</v>
      </c>
      <c r="D311" t="s">
        <v>74</v>
      </c>
      <c r="E311" t="s">
        <v>77</v>
      </c>
      <c r="F311" t="s">
        <v>100</v>
      </c>
      <c r="G311" t="s">
        <v>196</v>
      </c>
      <c r="H311" t="s">
        <v>110</v>
      </c>
      <c r="I311">
        <v>7</v>
      </c>
      <c r="J311">
        <v>7</v>
      </c>
      <c r="K311">
        <v>5</v>
      </c>
      <c r="L311">
        <v>8</v>
      </c>
      <c r="M311">
        <v>8</v>
      </c>
      <c r="N311">
        <v>9</v>
      </c>
      <c r="O311">
        <v>9</v>
      </c>
      <c r="P311">
        <v>9</v>
      </c>
      <c r="Q311">
        <v>10</v>
      </c>
    </row>
    <row r="312" spans="1:17" x14ac:dyDescent="0.45">
      <c r="A312" s="19">
        <v>46032.577777777777</v>
      </c>
      <c r="B312" t="s">
        <v>72</v>
      </c>
      <c r="C312" t="s">
        <v>189</v>
      </c>
      <c r="D312" t="s">
        <v>74</v>
      </c>
      <c r="E312" t="s">
        <v>77</v>
      </c>
      <c r="F312" t="s">
        <v>100</v>
      </c>
      <c r="G312" t="s">
        <v>104</v>
      </c>
      <c r="H312" t="s">
        <v>110</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100</v>
      </c>
      <c r="G313" t="s">
        <v>196</v>
      </c>
      <c r="H313" t="s">
        <v>110</v>
      </c>
      <c r="I313">
        <v>8</v>
      </c>
      <c r="J313">
        <v>9</v>
      </c>
      <c r="K313">
        <v>10</v>
      </c>
      <c r="L313">
        <v>10</v>
      </c>
      <c r="M313">
        <v>8</v>
      </c>
      <c r="N313">
        <v>9</v>
      </c>
      <c r="O313">
        <v>8</v>
      </c>
      <c r="P313">
        <v>8</v>
      </c>
      <c r="Q313">
        <v>10</v>
      </c>
    </row>
    <row r="314" spans="1:17" x14ac:dyDescent="0.45">
      <c r="A314" s="19">
        <v>46033.399305555555</v>
      </c>
      <c r="B314" t="s">
        <v>78</v>
      </c>
      <c r="C314" t="s">
        <v>189</v>
      </c>
      <c r="D314" t="s">
        <v>74</v>
      </c>
      <c r="E314" t="s">
        <v>77</v>
      </c>
      <c r="F314" t="s">
        <v>100</v>
      </c>
      <c r="G314" t="s">
        <v>104</v>
      </c>
      <c r="H314" t="s">
        <v>110</v>
      </c>
      <c r="I314">
        <v>6</v>
      </c>
      <c r="J314">
        <v>6</v>
      </c>
      <c r="K314">
        <v>7</v>
      </c>
      <c r="L314">
        <v>7</v>
      </c>
      <c r="M314">
        <v>7</v>
      </c>
      <c r="N314">
        <v>8</v>
      </c>
      <c r="O314">
        <v>5</v>
      </c>
      <c r="P314">
        <v>5</v>
      </c>
      <c r="Q314">
        <v>8</v>
      </c>
    </row>
    <row r="315" spans="1:17" x14ac:dyDescent="0.45">
      <c r="A315" s="19">
        <v>46033.431250000001</v>
      </c>
      <c r="B315" t="s">
        <v>72</v>
      </c>
      <c r="C315" t="s">
        <v>189</v>
      </c>
      <c r="D315" t="s">
        <v>74</v>
      </c>
      <c r="E315" t="s">
        <v>77</v>
      </c>
      <c r="F315" t="s">
        <v>100</v>
      </c>
      <c r="G315" t="s">
        <v>104</v>
      </c>
      <c r="H315" t="s">
        <v>110</v>
      </c>
      <c r="I315">
        <v>7</v>
      </c>
      <c r="J315">
        <v>8</v>
      </c>
      <c r="K315">
        <v>8</v>
      </c>
      <c r="L315">
        <v>8</v>
      </c>
      <c r="M315">
        <v>5</v>
      </c>
      <c r="N315">
        <v>8</v>
      </c>
      <c r="O315">
        <v>6</v>
      </c>
      <c r="P315">
        <v>6</v>
      </c>
      <c r="Q315">
        <v>8</v>
      </c>
    </row>
    <row r="316" spans="1:17" x14ac:dyDescent="0.45">
      <c r="A316" s="19">
        <v>46033.888194444444</v>
      </c>
      <c r="B316" t="s">
        <v>78</v>
      </c>
      <c r="C316" t="s">
        <v>189</v>
      </c>
      <c r="D316" t="s">
        <v>74</v>
      </c>
      <c r="E316" t="s">
        <v>77</v>
      </c>
      <c r="F316" t="s">
        <v>100</v>
      </c>
      <c r="G316" t="s">
        <v>196</v>
      </c>
      <c r="H316" t="s">
        <v>110</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100</v>
      </c>
      <c r="G317" t="s">
        <v>101</v>
      </c>
      <c r="H317" t="s">
        <v>110</v>
      </c>
      <c r="I317">
        <v>6</v>
      </c>
      <c r="J317">
        <v>8</v>
      </c>
      <c r="K317">
        <v>5</v>
      </c>
      <c r="L317">
        <v>6</v>
      </c>
      <c r="M317">
        <v>6</v>
      </c>
      <c r="N317">
        <v>7</v>
      </c>
      <c r="O317">
        <v>6</v>
      </c>
      <c r="P317">
        <v>7</v>
      </c>
      <c r="Q317">
        <v>7</v>
      </c>
    </row>
    <row r="318" spans="1:17" x14ac:dyDescent="0.45">
      <c r="A318" s="19">
        <v>46034.478472222225</v>
      </c>
      <c r="B318" t="s">
        <v>72</v>
      </c>
      <c r="C318" t="s">
        <v>189</v>
      </c>
      <c r="D318" t="s">
        <v>74</v>
      </c>
      <c r="E318" t="s">
        <v>77</v>
      </c>
      <c r="F318" t="s">
        <v>100</v>
      </c>
      <c r="G318" t="s">
        <v>104</v>
      </c>
      <c r="H318" t="s">
        <v>110</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100</v>
      </c>
      <c r="G319" t="s">
        <v>196</v>
      </c>
      <c r="H319" t="s">
        <v>110</v>
      </c>
      <c r="I319">
        <v>4</v>
      </c>
      <c r="J319">
        <v>4</v>
      </c>
      <c r="K319">
        <v>6</v>
      </c>
      <c r="L319">
        <v>7</v>
      </c>
      <c r="M319">
        <v>5</v>
      </c>
      <c r="N319">
        <v>8</v>
      </c>
      <c r="O319">
        <v>5</v>
      </c>
      <c r="P319">
        <v>5</v>
      </c>
      <c r="Q319">
        <v>8</v>
      </c>
    </row>
    <row r="320" spans="1:17" x14ac:dyDescent="0.45">
      <c r="A320" s="19">
        <v>46034.479861111111</v>
      </c>
      <c r="B320" t="s">
        <v>72</v>
      </c>
      <c r="C320" t="s">
        <v>189</v>
      </c>
      <c r="D320" t="s">
        <v>74</v>
      </c>
      <c r="E320" t="s">
        <v>77</v>
      </c>
      <c r="F320" t="s">
        <v>100</v>
      </c>
      <c r="G320" t="s">
        <v>104</v>
      </c>
      <c r="H320" t="s">
        <v>110</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100</v>
      </c>
      <c r="G321" t="s">
        <v>101</v>
      </c>
      <c r="H321" t="s">
        <v>110</v>
      </c>
      <c r="I321">
        <v>5</v>
      </c>
      <c r="J321">
        <v>7</v>
      </c>
      <c r="K321">
        <v>7</v>
      </c>
      <c r="L321">
        <v>9</v>
      </c>
      <c r="M321">
        <v>5</v>
      </c>
      <c r="N321">
        <v>6</v>
      </c>
      <c r="O321">
        <v>5</v>
      </c>
      <c r="P321">
        <v>7</v>
      </c>
      <c r="Q321">
        <v>7</v>
      </c>
    </row>
    <row r="322" spans="1:17" x14ac:dyDescent="0.45">
      <c r="A322" s="19">
        <v>46034.481249999997</v>
      </c>
      <c r="B322" t="s">
        <v>72</v>
      </c>
      <c r="C322" t="s">
        <v>189</v>
      </c>
      <c r="D322" t="s">
        <v>74</v>
      </c>
      <c r="E322" t="s">
        <v>77</v>
      </c>
      <c r="F322" t="s">
        <v>100</v>
      </c>
      <c r="G322" t="s">
        <v>104</v>
      </c>
      <c r="H322" t="s">
        <v>110</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100</v>
      </c>
      <c r="G323" t="s">
        <v>101</v>
      </c>
      <c r="H323" t="s">
        <v>110</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100</v>
      </c>
      <c r="G324" t="s">
        <v>101</v>
      </c>
      <c r="H324" t="s">
        <v>110</v>
      </c>
      <c r="I324">
        <v>7</v>
      </c>
      <c r="J324">
        <v>7</v>
      </c>
      <c r="K324">
        <v>8</v>
      </c>
      <c r="L324">
        <v>8</v>
      </c>
      <c r="M324">
        <v>6</v>
      </c>
      <c r="N324">
        <v>7</v>
      </c>
      <c r="O324">
        <v>6</v>
      </c>
      <c r="P324">
        <v>7</v>
      </c>
      <c r="Q324">
        <v>7</v>
      </c>
    </row>
    <row r="325" spans="1:17" x14ac:dyDescent="0.45">
      <c r="A325" s="19">
        <v>46034.484722222223</v>
      </c>
      <c r="B325" t="s">
        <v>72</v>
      </c>
      <c r="C325" t="s">
        <v>189</v>
      </c>
      <c r="D325" t="s">
        <v>74</v>
      </c>
      <c r="E325" t="s">
        <v>77</v>
      </c>
      <c r="F325" t="s">
        <v>100</v>
      </c>
      <c r="G325" t="s">
        <v>194</v>
      </c>
      <c r="H325" t="s">
        <v>110</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100</v>
      </c>
      <c r="G326" t="s">
        <v>109</v>
      </c>
      <c r="H326" t="s">
        <v>102</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100</v>
      </c>
      <c r="G327" t="s">
        <v>111</v>
      </c>
      <c r="H327" t="s">
        <v>105</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100</v>
      </c>
      <c r="G328" t="s">
        <v>196</v>
      </c>
      <c r="H328" t="s">
        <v>110</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100</v>
      </c>
      <c r="G329" t="s">
        <v>107</v>
      </c>
      <c r="H329" t="s">
        <v>106</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100</v>
      </c>
      <c r="G330" t="s">
        <v>104</v>
      </c>
      <c r="H330" t="s">
        <v>110</v>
      </c>
      <c r="I330">
        <v>7</v>
      </c>
      <c r="J330">
        <v>7</v>
      </c>
      <c r="K330">
        <v>9</v>
      </c>
      <c r="L330">
        <v>9</v>
      </c>
      <c r="M330">
        <v>9</v>
      </c>
      <c r="N330">
        <v>9</v>
      </c>
      <c r="O330">
        <v>5</v>
      </c>
      <c r="P330">
        <v>6</v>
      </c>
      <c r="Q330">
        <v>9</v>
      </c>
    </row>
    <row r="331" spans="1:17" x14ac:dyDescent="0.45">
      <c r="A331" s="19">
        <v>46034.490972222222</v>
      </c>
      <c r="B331" t="s">
        <v>78</v>
      </c>
      <c r="C331" t="s">
        <v>189</v>
      </c>
      <c r="D331" t="s">
        <v>74</v>
      </c>
      <c r="E331" t="s">
        <v>77</v>
      </c>
      <c r="F331" t="s">
        <v>100</v>
      </c>
      <c r="G331" t="s">
        <v>104</v>
      </c>
      <c r="H331" t="s">
        <v>110</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100</v>
      </c>
      <c r="G332" t="s">
        <v>101</v>
      </c>
      <c r="H332" t="s">
        <v>102</v>
      </c>
      <c r="I332">
        <v>4</v>
      </c>
      <c r="J332">
        <v>4</v>
      </c>
      <c r="K332">
        <v>5</v>
      </c>
      <c r="L332">
        <v>6</v>
      </c>
      <c r="M332">
        <v>4</v>
      </c>
      <c r="N332">
        <v>5</v>
      </c>
      <c r="O332">
        <v>3</v>
      </c>
      <c r="P332">
        <v>4</v>
      </c>
      <c r="Q332">
        <v>5</v>
      </c>
    </row>
    <row r="333" spans="1:17" x14ac:dyDescent="0.45">
      <c r="A333" s="19">
        <v>46034.508333333331</v>
      </c>
      <c r="B333" t="s">
        <v>72</v>
      </c>
      <c r="C333" t="s">
        <v>189</v>
      </c>
      <c r="D333" t="s">
        <v>74</v>
      </c>
      <c r="E333" t="s">
        <v>77</v>
      </c>
      <c r="F333" t="s">
        <v>100</v>
      </c>
      <c r="G333" t="s">
        <v>196</v>
      </c>
      <c r="H333" t="s">
        <v>110</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100</v>
      </c>
      <c r="G334" t="s">
        <v>107</v>
      </c>
      <c r="H334" t="s">
        <v>102</v>
      </c>
      <c r="I334">
        <v>6</v>
      </c>
      <c r="J334">
        <v>6</v>
      </c>
      <c r="K334">
        <v>8</v>
      </c>
      <c r="L334">
        <v>8</v>
      </c>
      <c r="M334">
        <v>6</v>
      </c>
      <c r="N334">
        <v>7</v>
      </c>
      <c r="O334">
        <v>6</v>
      </c>
      <c r="P334">
        <v>7</v>
      </c>
      <c r="Q334">
        <v>7</v>
      </c>
    </row>
    <row r="335" spans="1:17" x14ac:dyDescent="0.45">
      <c r="A335" s="19">
        <v>46034.509722222225</v>
      </c>
      <c r="B335" t="s">
        <v>72</v>
      </c>
      <c r="C335" t="s">
        <v>191</v>
      </c>
      <c r="D335" t="s">
        <v>74</v>
      </c>
      <c r="E335" t="s">
        <v>75</v>
      </c>
      <c r="F335" t="s">
        <v>103</v>
      </c>
      <c r="G335" t="s">
        <v>108</v>
      </c>
      <c r="H335" t="s">
        <v>106</v>
      </c>
      <c r="I335">
        <v>2</v>
      </c>
      <c r="J335">
        <v>2</v>
      </c>
      <c r="K335">
        <v>3</v>
      </c>
      <c r="L335">
        <v>5</v>
      </c>
      <c r="M335">
        <v>1</v>
      </c>
      <c r="N335">
        <v>1</v>
      </c>
      <c r="O335">
        <v>1</v>
      </c>
      <c r="P335">
        <v>3</v>
      </c>
      <c r="Q335">
        <v>1</v>
      </c>
    </row>
    <row r="336" spans="1:17" x14ac:dyDescent="0.45">
      <c r="A336" s="19">
        <v>46034.513888888891</v>
      </c>
      <c r="B336" t="s">
        <v>78</v>
      </c>
      <c r="C336" t="s">
        <v>189</v>
      </c>
      <c r="D336" t="s">
        <v>74</v>
      </c>
      <c r="E336" t="s">
        <v>77</v>
      </c>
      <c r="F336" t="s">
        <v>100</v>
      </c>
      <c r="G336" t="s">
        <v>104</v>
      </c>
      <c r="H336" t="s">
        <v>110</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100</v>
      </c>
      <c r="G337" t="s">
        <v>196</v>
      </c>
      <c r="H337" t="s">
        <v>110</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100</v>
      </c>
      <c r="G338" t="s">
        <v>101</v>
      </c>
      <c r="H338" t="s">
        <v>110</v>
      </c>
      <c r="I338">
        <v>7</v>
      </c>
      <c r="J338">
        <v>8</v>
      </c>
      <c r="K338">
        <v>7</v>
      </c>
      <c r="L338">
        <v>7</v>
      </c>
      <c r="M338">
        <v>6</v>
      </c>
      <c r="N338">
        <v>8</v>
      </c>
      <c r="O338">
        <v>6</v>
      </c>
      <c r="P338">
        <v>8</v>
      </c>
      <c r="Q338">
        <v>8</v>
      </c>
    </row>
    <row r="339" spans="1:17" x14ac:dyDescent="0.45">
      <c r="A339" s="19">
        <v>46034.515972222223</v>
      </c>
      <c r="B339" t="s">
        <v>78</v>
      </c>
      <c r="C339" t="s">
        <v>189</v>
      </c>
      <c r="D339" t="s">
        <v>74</v>
      </c>
      <c r="E339" t="s">
        <v>77</v>
      </c>
      <c r="F339" t="s">
        <v>100</v>
      </c>
      <c r="G339" t="s">
        <v>104</v>
      </c>
      <c r="H339" t="s">
        <v>110</v>
      </c>
      <c r="I339">
        <v>8</v>
      </c>
      <c r="J339">
        <v>8</v>
      </c>
      <c r="K339">
        <v>9</v>
      </c>
      <c r="L339">
        <v>9</v>
      </c>
      <c r="M339">
        <v>8</v>
      </c>
      <c r="N339">
        <v>9</v>
      </c>
      <c r="O339">
        <v>10</v>
      </c>
      <c r="P339">
        <v>9</v>
      </c>
      <c r="Q339">
        <v>10</v>
      </c>
    </row>
    <row r="340" spans="1:17" x14ac:dyDescent="0.45">
      <c r="A340" s="19">
        <v>46034.515972222223</v>
      </c>
      <c r="B340" t="s">
        <v>72</v>
      </c>
      <c r="C340" t="s">
        <v>189</v>
      </c>
      <c r="D340" t="s">
        <v>74</v>
      </c>
      <c r="E340" t="s">
        <v>77</v>
      </c>
      <c r="F340" t="s">
        <v>100</v>
      </c>
      <c r="G340" t="s">
        <v>104</v>
      </c>
      <c r="H340" t="s">
        <v>110</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100</v>
      </c>
      <c r="G341" t="s">
        <v>104</v>
      </c>
      <c r="H341" t="s">
        <v>110</v>
      </c>
      <c r="I341">
        <v>7</v>
      </c>
      <c r="J341">
        <v>8</v>
      </c>
      <c r="K341">
        <v>8</v>
      </c>
      <c r="L341">
        <v>8</v>
      </c>
      <c r="M341">
        <v>5</v>
      </c>
      <c r="N341">
        <v>8</v>
      </c>
      <c r="O341">
        <v>5</v>
      </c>
      <c r="P341">
        <v>8</v>
      </c>
      <c r="Q341">
        <v>8</v>
      </c>
    </row>
    <row r="342" spans="1:17" x14ac:dyDescent="0.45">
      <c r="A342" s="19">
        <v>46034.592361111114</v>
      </c>
      <c r="B342" t="s">
        <v>72</v>
      </c>
      <c r="C342" t="s">
        <v>189</v>
      </c>
      <c r="D342" t="s">
        <v>74</v>
      </c>
      <c r="E342" t="s">
        <v>77</v>
      </c>
      <c r="F342" t="s">
        <v>100</v>
      </c>
      <c r="G342" t="s">
        <v>194</v>
      </c>
      <c r="H342" t="s">
        <v>110</v>
      </c>
      <c r="I342">
        <v>8</v>
      </c>
      <c r="J342">
        <v>8</v>
      </c>
      <c r="K342">
        <v>8</v>
      </c>
      <c r="L342">
        <v>9</v>
      </c>
      <c r="M342">
        <v>8</v>
      </c>
      <c r="N342">
        <v>8</v>
      </c>
      <c r="O342">
        <v>7</v>
      </c>
      <c r="P342">
        <v>7</v>
      </c>
      <c r="Q342">
        <v>8</v>
      </c>
    </row>
    <row r="343" spans="1:17" x14ac:dyDescent="0.45">
      <c r="A343" s="19">
        <v>46034.593055555553</v>
      </c>
      <c r="B343" t="s">
        <v>78</v>
      </c>
      <c r="C343" t="s">
        <v>189</v>
      </c>
      <c r="D343" t="s">
        <v>74</v>
      </c>
      <c r="E343" t="s">
        <v>77</v>
      </c>
      <c r="F343" t="s">
        <v>100</v>
      </c>
      <c r="G343" t="s">
        <v>194</v>
      </c>
      <c r="H343" t="s">
        <v>110</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100</v>
      </c>
      <c r="G344" t="s">
        <v>104</v>
      </c>
      <c r="H344" t="s">
        <v>110</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100</v>
      </c>
      <c r="G345" t="s">
        <v>111</v>
      </c>
      <c r="H345" t="s">
        <v>105</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100</v>
      </c>
      <c r="G346" t="s">
        <v>104</v>
      </c>
      <c r="H346" t="s">
        <v>110</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100</v>
      </c>
      <c r="G347" t="s">
        <v>101</v>
      </c>
      <c r="H347" t="s">
        <v>102</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100</v>
      </c>
      <c r="G348" t="s">
        <v>196</v>
      </c>
      <c r="H348" t="s">
        <v>110</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100</v>
      </c>
      <c r="G349" t="s">
        <v>196</v>
      </c>
      <c r="H349" t="s">
        <v>110</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100</v>
      </c>
      <c r="G350" t="s">
        <v>196</v>
      </c>
      <c r="H350" t="s">
        <v>110</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100</v>
      </c>
      <c r="G351" t="s">
        <v>101</v>
      </c>
      <c r="H351" t="s">
        <v>110</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100</v>
      </c>
      <c r="G352" t="s">
        <v>109</v>
      </c>
      <c r="H352" t="s">
        <v>105</v>
      </c>
      <c r="I352">
        <v>8</v>
      </c>
      <c r="J352">
        <v>8</v>
      </c>
      <c r="K352">
        <v>6</v>
      </c>
      <c r="L352">
        <v>7</v>
      </c>
      <c r="M352">
        <v>6</v>
      </c>
      <c r="N352">
        <v>7</v>
      </c>
      <c r="O352">
        <v>5</v>
      </c>
      <c r="P352">
        <v>7</v>
      </c>
      <c r="Q352">
        <v>7</v>
      </c>
    </row>
    <row r="353" spans="1:17" x14ac:dyDescent="0.45">
      <c r="A353" s="19">
        <v>46034.7</v>
      </c>
      <c r="B353" t="s">
        <v>72</v>
      </c>
      <c r="C353" t="s">
        <v>73</v>
      </c>
      <c r="D353" t="s">
        <v>74</v>
      </c>
      <c r="E353" t="s">
        <v>77</v>
      </c>
      <c r="F353" t="s">
        <v>100</v>
      </c>
      <c r="G353" t="s">
        <v>101</v>
      </c>
      <c r="H353" t="s">
        <v>102</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100</v>
      </c>
      <c r="G354" t="s">
        <v>107</v>
      </c>
      <c r="H354" t="s">
        <v>195</v>
      </c>
      <c r="I354">
        <v>7</v>
      </c>
      <c r="J354">
        <v>7</v>
      </c>
      <c r="K354">
        <v>8</v>
      </c>
      <c r="L354">
        <v>8</v>
      </c>
      <c r="M354">
        <v>6</v>
      </c>
      <c r="N354">
        <v>7</v>
      </c>
      <c r="O354">
        <v>5</v>
      </c>
      <c r="P354">
        <v>7</v>
      </c>
      <c r="Q354">
        <v>7</v>
      </c>
    </row>
    <row r="355" spans="1:17" x14ac:dyDescent="0.45">
      <c r="A355" s="19">
        <v>46034.701388888891</v>
      </c>
      <c r="B355" t="s">
        <v>72</v>
      </c>
      <c r="C355" t="s">
        <v>189</v>
      </c>
      <c r="D355" t="s">
        <v>74</v>
      </c>
      <c r="E355" t="s">
        <v>77</v>
      </c>
      <c r="F355" t="s">
        <v>100</v>
      </c>
      <c r="G355" t="s">
        <v>104</v>
      </c>
      <c r="H355" t="s">
        <v>110</v>
      </c>
      <c r="I355">
        <v>9</v>
      </c>
      <c r="J355">
        <v>9</v>
      </c>
      <c r="K355">
        <v>10</v>
      </c>
      <c r="L355">
        <v>10</v>
      </c>
      <c r="M355">
        <v>9</v>
      </c>
      <c r="N355">
        <v>10</v>
      </c>
      <c r="O355">
        <v>8</v>
      </c>
      <c r="P355">
        <v>8</v>
      </c>
      <c r="Q355">
        <v>9</v>
      </c>
    </row>
    <row r="356" spans="1:17" x14ac:dyDescent="0.45">
      <c r="A356" s="19">
        <v>46034.720138888886</v>
      </c>
      <c r="B356" t="s">
        <v>78</v>
      </c>
      <c r="C356" t="s">
        <v>189</v>
      </c>
      <c r="D356" t="s">
        <v>74</v>
      </c>
      <c r="E356" t="s">
        <v>77</v>
      </c>
      <c r="F356" t="s">
        <v>100</v>
      </c>
      <c r="G356" t="s">
        <v>104</v>
      </c>
      <c r="H356" t="s">
        <v>110</v>
      </c>
      <c r="I356">
        <v>7</v>
      </c>
      <c r="J356">
        <v>8</v>
      </c>
      <c r="K356">
        <v>8</v>
      </c>
      <c r="L356">
        <v>9</v>
      </c>
      <c r="M356">
        <v>8</v>
      </c>
      <c r="N356">
        <v>10</v>
      </c>
      <c r="O356">
        <v>8</v>
      </c>
      <c r="P356">
        <v>8</v>
      </c>
      <c r="Q356">
        <v>9</v>
      </c>
    </row>
    <row r="357" spans="1:17" x14ac:dyDescent="0.45">
      <c r="A357" s="19">
        <v>46034.753472222219</v>
      </c>
      <c r="B357" t="s">
        <v>78</v>
      </c>
      <c r="C357" t="s">
        <v>189</v>
      </c>
      <c r="D357" t="s">
        <v>74</v>
      </c>
      <c r="E357" t="s">
        <v>77</v>
      </c>
      <c r="F357" t="s">
        <v>100</v>
      </c>
      <c r="G357" t="s">
        <v>104</v>
      </c>
      <c r="H357" t="s">
        <v>110</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100</v>
      </c>
      <c r="G358" t="s">
        <v>101</v>
      </c>
      <c r="H358" t="s">
        <v>110</v>
      </c>
      <c r="I358">
        <v>9</v>
      </c>
      <c r="J358">
        <v>9</v>
      </c>
      <c r="K358">
        <v>8</v>
      </c>
      <c r="L358">
        <v>9</v>
      </c>
      <c r="M358">
        <v>8</v>
      </c>
      <c r="N358">
        <v>8</v>
      </c>
      <c r="O358">
        <v>7</v>
      </c>
      <c r="P358">
        <v>7</v>
      </c>
      <c r="Q358">
        <v>8</v>
      </c>
    </row>
    <row r="359" spans="1:17" x14ac:dyDescent="0.45">
      <c r="A359" s="19">
        <v>46034.770138888889</v>
      </c>
      <c r="B359" t="s">
        <v>72</v>
      </c>
      <c r="C359" t="s">
        <v>189</v>
      </c>
      <c r="D359" t="s">
        <v>74</v>
      </c>
      <c r="E359" t="s">
        <v>77</v>
      </c>
      <c r="F359" t="s">
        <v>100</v>
      </c>
      <c r="G359" t="s">
        <v>104</v>
      </c>
      <c r="H359" t="s">
        <v>110</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100</v>
      </c>
      <c r="G360" t="s">
        <v>196</v>
      </c>
      <c r="H360" t="s">
        <v>102</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100</v>
      </c>
      <c r="G361" t="s">
        <v>196</v>
      </c>
      <c r="H361" t="s">
        <v>110</v>
      </c>
      <c r="I361">
        <v>9</v>
      </c>
      <c r="J361">
        <v>8</v>
      </c>
      <c r="K361">
        <v>8</v>
      </c>
      <c r="L361">
        <v>8</v>
      </c>
      <c r="M361">
        <v>7</v>
      </c>
      <c r="N361">
        <v>7</v>
      </c>
      <c r="O361">
        <v>6</v>
      </c>
      <c r="P361">
        <v>7</v>
      </c>
      <c r="Q361">
        <v>8</v>
      </c>
    </row>
    <row r="362" spans="1:17" x14ac:dyDescent="0.45">
      <c r="A362" s="19">
        <v>46034.894444444442</v>
      </c>
      <c r="B362" t="s">
        <v>72</v>
      </c>
      <c r="C362" t="s">
        <v>189</v>
      </c>
      <c r="D362" t="s">
        <v>74</v>
      </c>
      <c r="E362" t="s">
        <v>77</v>
      </c>
      <c r="F362" t="s">
        <v>100</v>
      </c>
      <c r="G362" t="s">
        <v>194</v>
      </c>
      <c r="H362" t="s">
        <v>110</v>
      </c>
      <c r="I362">
        <v>7</v>
      </c>
      <c r="J362">
        <v>7</v>
      </c>
      <c r="K362">
        <v>8</v>
      </c>
      <c r="L362">
        <v>9</v>
      </c>
      <c r="M362">
        <v>7</v>
      </c>
      <c r="N362">
        <v>10</v>
      </c>
      <c r="O362">
        <v>8</v>
      </c>
      <c r="P362">
        <v>8</v>
      </c>
      <c r="Q362">
        <v>10</v>
      </c>
    </row>
    <row r="363" spans="1:17" x14ac:dyDescent="0.45">
      <c r="A363" s="19">
        <v>46034.895138888889</v>
      </c>
      <c r="B363" t="s">
        <v>72</v>
      </c>
      <c r="C363" t="s">
        <v>189</v>
      </c>
      <c r="D363" t="s">
        <v>74</v>
      </c>
      <c r="E363" t="s">
        <v>77</v>
      </c>
      <c r="F363" t="s">
        <v>100</v>
      </c>
      <c r="G363" t="s">
        <v>104</v>
      </c>
      <c r="H363" t="s">
        <v>110</v>
      </c>
      <c r="I363">
        <v>3</v>
      </c>
      <c r="J363">
        <v>3</v>
      </c>
      <c r="K363">
        <v>5</v>
      </c>
      <c r="L363">
        <v>6</v>
      </c>
      <c r="M363">
        <v>5</v>
      </c>
      <c r="N363">
        <v>6</v>
      </c>
      <c r="O363">
        <v>4</v>
      </c>
      <c r="P363">
        <v>6</v>
      </c>
      <c r="Q363">
        <v>6</v>
      </c>
    </row>
    <row r="364" spans="1:17" x14ac:dyDescent="0.45">
      <c r="A364" s="19">
        <v>46034.9</v>
      </c>
      <c r="B364" t="s">
        <v>78</v>
      </c>
      <c r="C364" t="s">
        <v>81</v>
      </c>
      <c r="D364" t="s">
        <v>74</v>
      </c>
      <c r="E364" t="s">
        <v>77</v>
      </c>
      <c r="F364" t="s">
        <v>100</v>
      </c>
      <c r="G364" t="s">
        <v>101</v>
      </c>
      <c r="H364" t="s">
        <v>102</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100</v>
      </c>
      <c r="G365" t="s">
        <v>196</v>
      </c>
      <c r="H365" t="s">
        <v>102</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100</v>
      </c>
      <c r="G366" t="s">
        <v>109</v>
      </c>
      <c r="H366" t="s">
        <v>110</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100</v>
      </c>
      <c r="G367" t="s">
        <v>111</v>
      </c>
      <c r="H367" t="s">
        <v>102</v>
      </c>
      <c r="I367">
        <v>7</v>
      </c>
      <c r="J367">
        <v>8</v>
      </c>
      <c r="K367">
        <v>8</v>
      </c>
      <c r="L367">
        <v>8</v>
      </c>
      <c r="M367">
        <v>5</v>
      </c>
      <c r="N367">
        <v>6</v>
      </c>
      <c r="O367">
        <v>5</v>
      </c>
      <c r="P367">
        <v>6</v>
      </c>
      <c r="Q367">
        <v>6</v>
      </c>
    </row>
    <row r="368" spans="1:17" x14ac:dyDescent="0.45">
      <c r="A368" s="19">
        <v>46034.904861111114</v>
      </c>
      <c r="B368" t="s">
        <v>72</v>
      </c>
      <c r="C368" t="s">
        <v>189</v>
      </c>
      <c r="D368" t="s">
        <v>74</v>
      </c>
      <c r="E368" t="s">
        <v>77</v>
      </c>
      <c r="F368" t="s">
        <v>100</v>
      </c>
      <c r="G368" t="s">
        <v>104</v>
      </c>
      <c r="H368" t="s">
        <v>110</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100</v>
      </c>
      <c r="G369" t="s">
        <v>101</v>
      </c>
      <c r="H369" t="s">
        <v>105</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100</v>
      </c>
      <c r="G370" t="s">
        <v>104</v>
      </c>
      <c r="H370" t="s">
        <v>110</v>
      </c>
      <c r="I370">
        <v>6</v>
      </c>
      <c r="J370">
        <v>6</v>
      </c>
      <c r="K370">
        <v>8</v>
      </c>
      <c r="L370">
        <v>9</v>
      </c>
      <c r="M370">
        <v>8</v>
      </c>
      <c r="N370">
        <v>8</v>
      </c>
      <c r="O370">
        <v>5</v>
      </c>
      <c r="P370">
        <v>7</v>
      </c>
      <c r="Q370">
        <v>8</v>
      </c>
    </row>
    <row r="371" spans="1:17" x14ac:dyDescent="0.45">
      <c r="A371" s="19">
        <v>46034.908333333333</v>
      </c>
      <c r="B371" t="s">
        <v>78</v>
      </c>
      <c r="C371" t="s">
        <v>189</v>
      </c>
      <c r="D371" t="s">
        <v>74</v>
      </c>
      <c r="E371" t="s">
        <v>77</v>
      </c>
      <c r="F371" t="s">
        <v>100</v>
      </c>
      <c r="G371" t="s">
        <v>196</v>
      </c>
      <c r="H371" t="s">
        <v>110</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100</v>
      </c>
      <c r="G372" t="s">
        <v>111</v>
      </c>
      <c r="H372" t="s">
        <v>106</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100</v>
      </c>
      <c r="G373" t="s">
        <v>109</v>
      </c>
      <c r="H373" t="s">
        <v>105</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100</v>
      </c>
      <c r="G374" t="s">
        <v>107</v>
      </c>
      <c r="H374" t="s">
        <v>105</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100</v>
      </c>
      <c r="G375" t="s">
        <v>109</v>
      </c>
      <c r="H375" t="s">
        <v>102</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100</v>
      </c>
      <c r="G376" t="s">
        <v>111</v>
      </c>
      <c r="H376" t="s">
        <v>102</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100</v>
      </c>
      <c r="G377" t="s">
        <v>196</v>
      </c>
      <c r="H377" t="s">
        <v>110</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100</v>
      </c>
      <c r="G378" t="s">
        <v>104</v>
      </c>
      <c r="H378" t="s">
        <v>110</v>
      </c>
      <c r="I378">
        <v>7</v>
      </c>
      <c r="J378">
        <v>8</v>
      </c>
      <c r="K378">
        <v>7</v>
      </c>
      <c r="L378">
        <v>7</v>
      </c>
      <c r="M378">
        <v>8</v>
      </c>
      <c r="N378">
        <v>9</v>
      </c>
      <c r="O378">
        <v>7</v>
      </c>
      <c r="P378">
        <v>7</v>
      </c>
      <c r="Q378">
        <v>8</v>
      </c>
    </row>
    <row r="379" spans="1:17" x14ac:dyDescent="0.45">
      <c r="A379" s="19">
        <v>46035.34375</v>
      </c>
      <c r="B379" t="s">
        <v>72</v>
      </c>
      <c r="C379" t="s">
        <v>189</v>
      </c>
      <c r="D379" t="s">
        <v>74</v>
      </c>
      <c r="E379" t="s">
        <v>77</v>
      </c>
      <c r="F379" t="s">
        <v>100</v>
      </c>
      <c r="G379" t="s">
        <v>196</v>
      </c>
      <c r="H379" t="s">
        <v>110</v>
      </c>
      <c r="I379">
        <v>6</v>
      </c>
      <c r="J379">
        <v>7</v>
      </c>
      <c r="K379">
        <v>5</v>
      </c>
      <c r="L379">
        <v>8</v>
      </c>
      <c r="M379">
        <v>7</v>
      </c>
      <c r="N379">
        <v>7</v>
      </c>
      <c r="O379">
        <v>7</v>
      </c>
      <c r="P379">
        <v>7</v>
      </c>
      <c r="Q379">
        <v>8</v>
      </c>
    </row>
    <row r="380" spans="1:17" x14ac:dyDescent="0.45">
      <c r="A380" s="19">
        <v>46035.345138888886</v>
      </c>
      <c r="B380" t="s">
        <v>72</v>
      </c>
      <c r="C380" t="s">
        <v>189</v>
      </c>
      <c r="D380" t="s">
        <v>74</v>
      </c>
      <c r="E380" t="s">
        <v>77</v>
      </c>
      <c r="F380" t="s">
        <v>100</v>
      </c>
      <c r="G380" t="s">
        <v>104</v>
      </c>
      <c r="H380" t="s">
        <v>110</v>
      </c>
      <c r="I380">
        <v>8</v>
      </c>
      <c r="J380">
        <v>8</v>
      </c>
      <c r="K380">
        <v>9</v>
      </c>
      <c r="L380">
        <v>9</v>
      </c>
      <c r="M380">
        <v>7</v>
      </c>
      <c r="N380">
        <v>9</v>
      </c>
      <c r="O380">
        <v>7</v>
      </c>
      <c r="P380">
        <v>7</v>
      </c>
      <c r="Q380">
        <v>9</v>
      </c>
    </row>
    <row r="381" spans="1:17" x14ac:dyDescent="0.45">
      <c r="A381" s="19">
        <v>46035.354861111111</v>
      </c>
      <c r="B381" t="s">
        <v>78</v>
      </c>
      <c r="C381" t="s">
        <v>189</v>
      </c>
      <c r="D381" t="s">
        <v>74</v>
      </c>
      <c r="E381" t="s">
        <v>77</v>
      </c>
      <c r="F381" t="s">
        <v>100</v>
      </c>
      <c r="G381" t="s">
        <v>196</v>
      </c>
      <c r="H381" t="s">
        <v>110</v>
      </c>
      <c r="I381">
        <v>8</v>
      </c>
      <c r="J381">
        <v>8</v>
      </c>
      <c r="K381">
        <v>5</v>
      </c>
      <c r="L381">
        <v>8</v>
      </c>
      <c r="M381">
        <v>6</v>
      </c>
      <c r="N381">
        <v>9</v>
      </c>
      <c r="O381">
        <v>5</v>
      </c>
      <c r="P381">
        <v>7</v>
      </c>
      <c r="Q381">
        <v>8</v>
      </c>
    </row>
    <row r="382" spans="1:17" x14ac:dyDescent="0.45">
      <c r="A382" s="19">
        <v>46035.370138888888</v>
      </c>
      <c r="B382" t="s">
        <v>78</v>
      </c>
      <c r="C382" t="s">
        <v>189</v>
      </c>
      <c r="D382" t="s">
        <v>74</v>
      </c>
      <c r="E382" t="s">
        <v>190</v>
      </c>
      <c r="F382" t="s">
        <v>100</v>
      </c>
      <c r="G382" t="s">
        <v>104</v>
      </c>
      <c r="H382" t="s">
        <v>110</v>
      </c>
      <c r="I382">
        <v>9</v>
      </c>
      <c r="J382">
        <v>9</v>
      </c>
      <c r="K382">
        <v>8</v>
      </c>
      <c r="L382">
        <v>9</v>
      </c>
      <c r="M382">
        <v>8</v>
      </c>
      <c r="N382">
        <v>10</v>
      </c>
      <c r="O382">
        <v>8</v>
      </c>
      <c r="P382">
        <v>8</v>
      </c>
      <c r="Q382">
        <v>10</v>
      </c>
    </row>
    <row r="383" spans="1:17" x14ac:dyDescent="0.45">
      <c r="A383" s="19">
        <v>46035.370833333334</v>
      </c>
      <c r="B383" t="s">
        <v>72</v>
      </c>
      <c r="C383" t="s">
        <v>189</v>
      </c>
      <c r="D383" t="s">
        <v>74</v>
      </c>
      <c r="E383" t="s">
        <v>77</v>
      </c>
      <c r="F383" t="s">
        <v>100</v>
      </c>
      <c r="G383" t="s">
        <v>196</v>
      </c>
      <c r="H383" t="s">
        <v>102</v>
      </c>
      <c r="I383">
        <v>5</v>
      </c>
      <c r="J383">
        <v>5</v>
      </c>
      <c r="K383">
        <v>4</v>
      </c>
      <c r="L383">
        <v>8</v>
      </c>
      <c r="M383">
        <v>4</v>
      </c>
      <c r="N383">
        <v>8</v>
      </c>
      <c r="O383">
        <v>4</v>
      </c>
      <c r="P383">
        <v>5</v>
      </c>
      <c r="Q383">
        <v>7</v>
      </c>
    </row>
    <row r="384" spans="1:17" x14ac:dyDescent="0.45">
      <c r="A384" s="19">
        <v>46035.371527777781</v>
      </c>
      <c r="B384" t="s">
        <v>78</v>
      </c>
      <c r="C384" t="s">
        <v>191</v>
      </c>
      <c r="D384" t="s">
        <v>74</v>
      </c>
      <c r="E384" t="s">
        <v>75</v>
      </c>
      <c r="F384" t="s">
        <v>100</v>
      </c>
      <c r="G384" t="s">
        <v>107</v>
      </c>
      <c r="H384" t="s">
        <v>105</v>
      </c>
      <c r="I384">
        <v>1</v>
      </c>
      <c r="J384">
        <v>1</v>
      </c>
      <c r="K384">
        <v>4</v>
      </c>
      <c r="L384">
        <v>5</v>
      </c>
      <c r="M384">
        <v>5</v>
      </c>
      <c r="N384">
        <v>4</v>
      </c>
      <c r="O384">
        <v>4</v>
      </c>
      <c r="P384">
        <v>5</v>
      </c>
      <c r="Q384">
        <v>3</v>
      </c>
    </row>
    <row r="385" spans="1:17" x14ac:dyDescent="0.45">
      <c r="A385" s="19">
        <v>46035.388888888891</v>
      </c>
      <c r="B385" t="s">
        <v>78</v>
      </c>
      <c r="C385" t="s">
        <v>189</v>
      </c>
      <c r="D385" t="s">
        <v>74</v>
      </c>
      <c r="E385" t="s">
        <v>77</v>
      </c>
      <c r="F385" t="s">
        <v>100</v>
      </c>
      <c r="G385" t="s">
        <v>194</v>
      </c>
      <c r="H385" t="s">
        <v>110</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100</v>
      </c>
      <c r="G386" t="s">
        <v>109</v>
      </c>
      <c r="H386" t="s">
        <v>105</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100</v>
      </c>
      <c r="G387" t="s">
        <v>101</v>
      </c>
      <c r="H387" t="s">
        <v>110</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100</v>
      </c>
      <c r="G388" t="s">
        <v>111</v>
      </c>
      <c r="H388" t="s">
        <v>105</v>
      </c>
      <c r="I388">
        <v>5</v>
      </c>
      <c r="J388">
        <v>5</v>
      </c>
      <c r="K388">
        <v>5</v>
      </c>
      <c r="L388">
        <v>5</v>
      </c>
      <c r="M388">
        <v>5</v>
      </c>
      <c r="N388">
        <v>5</v>
      </c>
      <c r="O388">
        <v>5</v>
      </c>
      <c r="P388">
        <v>5</v>
      </c>
      <c r="Q388">
        <v>5</v>
      </c>
    </row>
    <row r="389" spans="1:17" x14ac:dyDescent="0.45">
      <c r="A389" s="19">
        <v>46035.459722222222</v>
      </c>
      <c r="B389" t="s">
        <v>78</v>
      </c>
      <c r="C389" t="s">
        <v>189</v>
      </c>
      <c r="D389" t="s">
        <v>74</v>
      </c>
      <c r="E389" t="s">
        <v>77</v>
      </c>
      <c r="F389" t="s">
        <v>100</v>
      </c>
      <c r="G389" t="s">
        <v>104</v>
      </c>
      <c r="H389" t="s">
        <v>110</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100</v>
      </c>
      <c r="G390" t="s">
        <v>196</v>
      </c>
      <c r="H390" t="s">
        <v>110</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100</v>
      </c>
      <c r="G391" t="s">
        <v>109</v>
      </c>
      <c r="H391" t="s">
        <v>106</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100</v>
      </c>
      <c r="G392" t="s">
        <v>104</v>
      </c>
      <c r="H392" t="s">
        <v>110</v>
      </c>
      <c r="I392">
        <v>4</v>
      </c>
      <c r="J392">
        <v>5</v>
      </c>
      <c r="K392">
        <v>7</v>
      </c>
      <c r="L392">
        <v>7</v>
      </c>
      <c r="M392">
        <v>5</v>
      </c>
      <c r="N392">
        <v>7</v>
      </c>
      <c r="O392">
        <v>5</v>
      </c>
      <c r="P392">
        <v>5</v>
      </c>
      <c r="Q392">
        <v>7</v>
      </c>
    </row>
    <row r="393" spans="1:17" x14ac:dyDescent="0.45">
      <c r="A393" s="19">
        <v>46035.467361111114</v>
      </c>
      <c r="B393" t="s">
        <v>72</v>
      </c>
      <c r="C393" t="s">
        <v>193</v>
      </c>
      <c r="D393" t="s">
        <v>74</v>
      </c>
      <c r="E393" t="s">
        <v>75</v>
      </c>
      <c r="F393" t="s">
        <v>100</v>
      </c>
      <c r="G393" t="s">
        <v>108</v>
      </c>
      <c r="H393" t="s">
        <v>195</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100</v>
      </c>
      <c r="G394" t="s">
        <v>101</v>
      </c>
      <c r="H394" t="s">
        <v>105</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100</v>
      </c>
      <c r="G395" t="s">
        <v>194</v>
      </c>
      <c r="H395" t="s">
        <v>102</v>
      </c>
      <c r="I395">
        <v>9</v>
      </c>
      <c r="J395">
        <v>9</v>
      </c>
      <c r="K395">
        <v>9</v>
      </c>
      <c r="L395">
        <v>7</v>
      </c>
      <c r="M395">
        <v>8</v>
      </c>
      <c r="N395">
        <v>6</v>
      </c>
      <c r="O395">
        <v>8</v>
      </c>
      <c r="P395">
        <v>10</v>
      </c>
      <c r="Q395">
        <v>10</v>
      </c>
    </row>
    <row r="396" spans="1:17" x14ac:dyDescent="0.45">
      <c r="A396" s="19">
        <v>46035.526388888888</v>
      </c>
      <c r="B396" t="s">
        <v>78</v>
      </c>
      <c r="C396" t="s">
        <v>191</v>
      </c>
      <c r="D396" t="s">
        <v>74</v>
      </c>
      <c r="E396" t="s">
        <v>77</v>
      </c>
      <c r="F396" t="s">
        <v>100</v>
      </c>
      <c r="G396" t="s">
        <v>109</v>
      </c>
      <c r="H396" t="s">
        <v>102</v>
      </c>
      <c r="I396">
        <v>7</v>
      </c>
      <c r="J396">
        <v>7</v>
      </c>
      <c r="K396">
        <v>5</v>
      </c>
      <c r="L396">
        <v>7</v>
      </c>
      <c r="M396">
        <v>5</v>
      </c>
      <c r="N396">
        <v>6</v>
      </c>
      <c r="O396">
        <v>5</v>
      </c>
      <c r="P396">
        <v>6</v>
      </c>
      <c r="Q396">
        <v>6</v>
      </c>
    </row>
    <row r="397" spans="1:17" x14ac:dyDescent="0.45">
      <c r="A397" s="19">
        <v>46035.527083333334</v>
      </c>
      <c r="B397" t="s">
        <v>72</v>
      </c>
      <c r="C397" t="s">
        <v>73</v>
      </c>
      <c r="D397" t="s">
        <v>74</v>
      </c>
      <c r="E397" t="s">
        <v>190</v>
      </c>
      <c r="F397" t="s">
        <v>100</v>
      </c>
      <c r="G397" t="s">
        <v>101</v>
      </c>
      <c r="H397" t="s">
        <v>102</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100</v>
      </c>
      <c r="G398" t="s">
        <v>101</v>
      </c>
      <c r="H398" t="s">
        <v>110</v>
      </c>
      <c r="I398">
        <v>8</v>
      </c>
      <c r="J398">
        <v>8</v>
      </c>
      <c r="K398">
        <v>7</v>
      </c>
      <c r="L398">
        <v>7</v>
      </c>
      <c r="M398">
        <v>7</v>
      </c>
      <c r="N398">
        <v>8</v>
      </c>
      <c r="O398">
        <v>7</v>
      </c>
      <c r="P398">
        <v>8</v>
      </c>
      <c r="Q398">
        <v>8</v>
      </c>
    </row>
    <row r="399" spans="1:17" x14ac:dyDescent="0.45">
      <c r="A399" s="19">
        <v>46035.527777777781</v>
      </c>
      <c r="B399" t="s">
        <v>72</v>
      </c>
      <c r="C399" t="s">
        <v>189</v>
      </c>
      <c r="D399" t="s">
        <v>74</v>
      </c>
      <c r="E399" t="s">
        <v>77</v>
      </c>
      <c r="F399" t="s">
        <v>100</v>
      </c>
      <c r="G399" t="s">
        <v>194</v>
      </c>
      <c r="H399" t="s">
        <v>110</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100</v>
      </c>
      <c r="G400" t="s">
        <v>101</v>
      </c>
      <c r="H400" t="s">
        <v>110</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100</v>
      </c>
      <c r="G401" t="s">
        <v>109</v>
      </c>
      <c r="H401" t="s">
        <v>106</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100</v>
      </c>
      <c r="G402" t="s">
        <v>104</v>
      </c>
      <c r="H402" t="s">
        <v>110</v>
      </c>
      <c r="I402">
        <v>4</v>
      </c>
      <c r="J402">
        <v>4</v>
      </c>
      <c r="K402">
        <v>3</v>
      </c>
      <c r="L402">
        <v>5</v>
      </c>
      <c r="M402">
        <v>5</v>
      </c>
      <c r="N402">
        <v>2</v>
      </c>
      <c r="O402">
        <v>2</v>
      </c>
      <c r="P402">
        <v>5</v>
      </c>
      <c r="Q402">
        <v>2</v>
      </c>
    </row>
    <row r="403" spans="1:17" x14ac:dyDescent="0.45">
      <c r="A403" s="19">
        <v>46035.532638888886</v>
      </c>
      <c r="B403" t="s">
        <v>78</v>
      </c>
      <c r="C403" t="s">
        <v>193</v>
      </c>
      <c r="D403" t="s">
        <v>74</v>
      </c>
      <c r="E403" t="s">
        <v>75</v>
      </c>
      <c r="F403" t="s">
        <v>100</v>
      </c>
      <c r="G403" t="s">
        <v>108</v>
      </c>
      <c r="H403" t="s">
        <v>195</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100</v>
      </c>
      <c r="G404" t="s">
        <v>101</v>
      </c>
      <c r="H404" t="s">
        <v>110</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opLeftCell="AP379" workbookViewId="0">
      <selection activeCell="BE2" sqref="BE2:BF404"/>
    </sheetView>
  </sheetViews>
  <sheetFormatPr defaultRowHeight="14.25" x14ac:dyDescent="0.45"/>
  <cols>
    <col min="7" max="8"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127</v>
      </c>
      <c r="S1" s="21" t="s">
        <v>126</v>
      </c>
      <c r="T1" s="21" t="s">
        <v>128</v>
      </c>
      <c r="U1" s="18" t="s">
        <v>129</v>
      </c>
      <c r="V1" s="22" t="s">
        <v>48</v>
      </c>
      <c r="W1" s="22" t="s">
        <v>130</v>
      </c>
      <c r="X1" s="22" t="s">
        <v>131</v>
      </c>
      <c r="Y1" s="22" t="s">
        <v>132</v>
      </c>
      <c r="Z1" s="20" t="s">
        <v>133</v>
      </c>
      <c r="AA1" s="21" t="s">
        <v>51</v>
      </c>
      <c r="AB1" s="21" t="s">
        <v>134</v>
      </c>
      <c r="AC1" s="21" t="s">
        <v>135</v>
      </c>
      <c r="AD1" s="21" t="s">
        <v>136</v>
      </c>
      <c r="AE1" s="18" t="s">
        <v>137</v>
      </c>
      <c r="AF1" s="22" t="s">
        <v>54</v>
      </c>
      <c r="AG1" s="22" t="s">
        <v>138</v>
      </c>
      <c r="AH1" s="22" t="s">
        <v>139</v>
      </c>
      <c r="AI1" s="22" t="s">
        <v>140</v>
      </c>
      <c r="AJ1" s="22" t="s">
        <v>141</v>
      </c>
      <c r="AK1" s="21" t="s">
        <v>57</v>
      </c>
      <c r="AL1" s="21" t="s">
        <v>142</v>
      </c>
      <c r="AM1" s="21" t="s">
        <v>143</v>
      </c>
      <c r="AN1" s="21" t="s">
        <v>144</v>
      </c>
      <c r="AO1" s="21" t="s">
        <v>145</v>
      </c>
      <c r="AP1" s="22" t="s">
        <v>60</v>
      </c>
      <c r="AQ1" s="22" t="s">
        <v>146</v>
      </c>
      <c r="AR1" s="22" t="s">
        <v>147</v>
      </c>
      <c r="AS1" s="22" t="s">
        <v>148</v>
      </c>
      <c r="AT1" s="22" t="s">
        <v>149</v>
      </c>
      <c r="AU1" s="21" t="s">
        <v>63</v>
      </c>
      <c r="AV1" s="21" t="s">
        <v>150</v>
      </c>
      <c r="AW1" s="21" t="s">
        <v>151</v>
      </c>
      <c r="AX1" s="21" t="s">
        <v>152</v>
      </c>
      <c r="AY1" s="21" t="s">
        <v>153</v>
      </c>
      <c r="AZ1" s="22" t="s">
        <v>66</v>
      </c>
      <c r="BA1" s="22" t="s">
        <v>154</v>
      </c>
      <c r="BB1" s="22" t="s">
        <v>155</v>
      </c>
      <c r="BC1" s="22" t="s">
        <v>156</v>
      </c>
      <c r="BD1" s="22" t="s">
        <v>157</v>
      </c>
      <c r="BE1" s="21" t="s">
        <v>69</v>
      </c>
      <c r="BF1" s="21" t="s">
        <v>158</v>
      </c>
      <c r="BG1" s="21" t="s">
        <v>159</v>
      </c>
      <c r="BH1" s="21" t="s">
        <v>160</v>
      </c>
      <c r="BI1" s="21" t="s">
        <v>161</v>
      </c>
    </row>
    <row r="2" spans="1:61" x14ac:dyDescent="0.45">
      <c r="A2" s="30">
        <f>step3_validation[[#This Row],[Persona_ID]]</f>
        <v>1</v>
      </c>
      <c r="B2" s="31">
        <f>step3_validation[[#This Row],[Used_Seed]]</f>
        <v>42</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15.708500157795985</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6</v>
      </c>
      <c r="R2" t="str">
        <f>IF(AND(Q2&gt;=1,Q2&lt;5),"Oppose",IF(AND(Q2&gt;=5,Q2&lt;8),"Neutral",IF(AND(Q2&gt;=8,Q2&lt;=10),"Support","")))</f>
        <v>Neutral</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4</v>
      </c>
      <c r="V2">
        <f>step3_validation[[#This Row],[AI_ENF2]]</f>
        <v>7</v>
      </c>
      <c r="W2" t="str">
        <f>IF(AND(V2&gt;=1,V2&lt;5),"Oppose",IF(AND(V2&gt;=5,V2&lt;8),"Neutral",IF(AND(V2&gt;=8,V2&lt;=10),"Support","")))</f>
        <v>Neutral</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1</v>
      </c>
      <c r="AA2">
        <f>step3_validation[[#This Row],[AI_FAC1]]</f>
        <v>8</v>
      </c>
      <c r="AB2" t="str">
        <f>IF(AND(AA2&gt;=1,AA2&lt;5),"Oppose",IF(AND(AA2&gt;=5,AA2&lt;8),"Neutral",IF(AND(AA2&gt;=8,AA2&lt;=10),"Support","")))</f>
        <v>Support</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3</v>
      </c>
      <c r="AF2">
        <f>step3_validation[[#This Row],[AI_FAC2]]</f>
        <v>9</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4</v>
      </c>
      <c r="AK2">
        <f>step3_validation[[#This Row],[AI_TRU1]]</f>
        <v>7</v>
      </c>
      <c r="AL2" t="str">
        <f>IF(AND(AK2&gt;=1,AK2&lt;5),"Oppose",IF(AND(AK2&gt;=5,AK2&lt;8),"Neutral",IF(AND(AK2&gt;=8,AK2&lt;=10),"Support","")))</f>
        <v>Neutral</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3</v>
      </c>
      <c r="AP2">
        <f>step3_validation[[#This Row],[AI_TRU2]]</f>
        <v>9</v>
      </c>
      <c r="AQ2" t="str">
        <f>IF(AND(AP2&gt;=1,AP2&lt;5),"Oppose",IF(AND(AP2&gt;=5,AP2&lt;8),"Neutral",IF(AND(AP2&gt;=8,AP2&lt;=10),"Support","")))</f>
        <v>Support</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1</v>
      </c>
      <c r="AU2">
        <f>step3_validation[[#This Row],[AI_TRU3]]</f>
        <v>8</v>
      </c>
      <c r="AV2" t="str">
        <f>IF(AND(AU2&gt;=1,AU2&lt;5),"Oppose",IF(AND(AU2&gt;=5,AU2&lt;8),"Neutral",IF(AND(AU2&gt;=8,AU2&lt;=10),"Support","")))</f>
        <v>Support</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2</v>
      </c>
      <c r="AZ2">
        <f>step3_validation[[#This Row],[AI_TRU4]]</f>
        <v>9</v>
      </c>
      <c r="BA2" t="str">
        <f>IF(AND(AZ2&gt;=1,AZ2&lt;5),"Oppose",IF(AND(AZ2&gt;=5,AZ2&lt;8),"Neutral",IF(AND(AZ2&gt;=8,AZ2&lt;=10),"Support","")))</f>
        <v>Support</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1</v>
      </c>
      <c r="BE2">
        <f>step3_validation[[#This Row],[AI_OUT1]]</f>
        <v>8</v>
      </c>
      <c r="BF2" t="str">
        <f>IF(AND(BE2&gt;=1,BE2&lt;5),"Oppose",IF(AND(BE2&gt;=5,BE2&lt;8),"Neutral",IF(AND(BE2&gt;=8,BE2&lt;=10),"Support","")))</f>
        <v>Support</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2</v>
      </c>
    </row>
    <row r="3" spans="1:61" x14ac:dyDescent="0.45">
      <c r="A3" s="30">
        <f>step3_validation[[#This Row],[Persona_ID]]</f>
        <v>2</v>
      </c>
      <c r="B3" s="31">
        <f>step3_validation[[#This Row],[Used_Seed]]</f>
        <v>43</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15.684853202480896</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8</v>
      </c>
      <c r="R3" t="str">
        <f t="shared" ref="R3:R66" si="0">IF(AND(Q3&gt;=1,Q3&lt;5),"Oppose",IF(AND(Q3&gt;=5,Q3&lt;8),"Neutral",IF(AND(Q3&gt;=8,Q3&lt;=10),"Support","")))</f>
        <v>Support</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0</v>
      </c>
      <c r="V3">
        <f>step3_validation[[#This Row],[AI_ENF2]]</f>
        <v>8</v>
      </c>
      <c r="W3" t="str">
        <f t="shared" ref="W3:W66" si="3">IF(AND(V3&gt;=1,V3&lt;5),"Oppose",IF(AND(V3&gt;=5,V3&lt;8),"Neutral",IF(AND(V3&gt;=8,V3&lt;=10),"Support","")))</f>
        <v>Support</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0</v>
      </c>
      <c r="AA3">
        <f>step3_validation[[#This Row],[AI_FAC1]]</f>
        <v>9</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3</v>
      </c>
      <c r="AF3">
        <f>step3_validation[[#This Row],[AI_FAC2]]</f>
        <v>9</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0</v>
      </c>
      <c r="AK3">
        <f>step3_validation[[#This Row],[AI_TRU1]]</f>
        <v>9</v>
      </c>
      <c r="AL3" t="str">
        <f t="shared" ref="AL3:AL66" si="12">IF(AND(AK3&gt;=1,AK3&lt;5),"Oppose",IF(AND(AK3&gt;=5,AK3&lt;8),"Neutral",IF(AND(AK3&gt;=8,AK3&lt;=10),"Support","")))</f>
        <v>Support</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1</v>
      </c>
      <c r="AP3">
        <f>step3_validation[[#This Row],[AI_TRU2]]</f>
        <v>9</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0</v>
      </c>
      <c r="AU3">
        <f>step3_validation[[#This Row],[AI_TRU3]]</f>
        <v>8</v>
      </c>
      <c r="AV3" t="str">
        <f t="shared" ref="AV3:AV66" si="18">IF(AND(AU3&gt;=1,AU3&lt;5),"Oppose",IF(AND(AU3&gt;=5,AU3&lt;8),"Neutral",IF(AND(AU3&gt;=8,AU3&lt;=10),"Support","")))</f>
        <v>Support</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0</v>
      </c>
      <c r="AZ3">
        <f>step3_validation[[#This Row],[AI_TRU4]]</f>
        <v>8</v>
      </c>
      <c r="BA3" t="str">
        <f t="shared" ref="BA3:BA66" si="21">IF(AND(AZ3&gt;=1,AZ3&lt;5),"Oppose",IF(AND(AZ3&gt;=5,AZ3&lt;8),"Neutral",IF(AND(AZ3&gt;=8,AZ3&lt;=10),"Support","")))</f>
        <v>Support</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1</v>
      </c>
      <c r="BE3">
        <f>step3_validation[[#This Row],[AI_OUT1]]</f>
        <v>9</v>
      </c>
      <c r="BF3" t="str">
        <f t="shared" ref="BF3:BF66" si="24">IF(AND(BE3&gt;=1,BE3&lt;5),"Oppose",IF(AND(BE3&gt;=5,BE3&lt;8),"Neutral",IF(AND(BE3&gt;=8,BE3&lt;=10),"Support","")))</f>
        <v>Support</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1</v>
      </c>
    </row>
    <row r="4" spans="1:61" x14ac:dyDescent="0.45">
      <c r="A4" s="30">
        <f>step3_validation[[#This Row],[Persona_ID]]</f>
        <v>3</v>
      </c>
      <c r="B4" s="31">
        <f>step3_validation[[#This Row],[Used_Seed]]</f>
        <v>44</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61.974847384930733</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7</v>
      </c>
      <c r="R4" t="str">
        <f t="shared" si="0"/>
        <v>Neutral</v>
      </c>
      <c r="S4">
        <f>survey_responses[[#This Row],[Tôi tin rằng với các quy định quản lý thuế hiện nay, hành vi gian lận hoặc trốn thuế sẽ dễ dàng bị phát hiện và xử lý nghiêm. - HUMAN-ENF1]]</f>
        <v>6</v>
      </c>
      <c r="T4" t="str">
        <f t="shared" si="1"/>
        <v>Neutral</v>
      </c>
      <c r="U4" s="32">
        <f t="shared" si="2"/>
        <v>1</v>
      </c>
      <c r="V4">
        <f>step3_validation[[#This Row],[AI_ENF2]]</f>
        <v>8</v>
      </c>
      <c r="W4" t="str">
        <f t="shared" si="3"/>
        <v>Support</v>
      </c>
      <c r="X4">
        <f>survey_responses[[#This Row],[Tôi tin rằng Nhà nước, cơ quan thuế có đủ khả năng và công nghệ để phát hiện, xử lý nghiêm các hành vi trốn thuế. - HUMAN-ENF2]]</f>
        <v>5</v>
      </c>
      <c r="Y4" t="str">
        <f t="shared" si="4"/>
        <v>Neutral</v>
      </c>
      <c r="Z4" s="32">
        <f t="shared" si="5"/>
        <v>3</v>
      </c>
      <c r="AA4">
        <f>step3_validation[[#This Row],[AI_FAC1]]</f>
        <v>9</v>
      </c>
      <c r="AB4" t="str">
        <f t="shared" si="6"/>
        <v>Support</v>
      </c>
      <c r="AC4">
        <f>survey_responses[[#This Row],[Các thủ tục khai báo thuế VÀ/HOẶC quy trình làm việc với cơ quan thuế đơn giản, tiện lợi, nhanh chóng hơn so với trước đây. - HUMAN-FAC1]]</f>
        <v>4</v>
      </c>
      <c r="AD4" t="str">
        <f t="shared" si="7"/>
        <v>Oppose</v>
      </c>
      <c r="AE4" s="32">
        <f t="shared" si="8"/>
        <v>5</v>
      </c>
      <c r="AF4">
        <f>step3_validation[[#This Row],[AI_FAC2]]</f>
        <v>9</v>
      </c>
      <c r="AG4" t="str">
        <f t="shared" si="9"/>
        <v>Support</v>
      </c>
      <c r="AH4">
        <f>survey_responses[[#This Row],[So với trước đây, tôi thấy cách tính thuế và các bậc thuế trong phương án mới đơn giản, dễ hiểu và dễ thực hiện hơn. - HUMAN-FAC2]]</f>
        <v>5</v>
      </c>
      <c r="AI4" t="str">
        <f t="shared" si="10"/>
        <v>Neutral</v>
      </c>
      <c r="AJ4" s="32">
        <f t="shared" si="11"/>
        <v>4</v>
      </c>
      <c r="AK4">
        <f>step3_validation[[#This Row],[AI_TRU1]]</f>
        <v>7</v>
      </c>
      <c r="AL4" t="str">
        <f t="shared" si="12"/>
        <v>Neutral</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3</v>
      </c>
      <c r="AP4">
        <f>step3_validation[[#This Row],[AI_TRU2]]</f>
        <v>8</v>
      </c>
      <c r="AQ4" t="str">
        <f t="shared" si="15"/>
        <v>Support</v>
      </c>
      <c r="AR4">
        <f>survey_responses[[#This Row],[Tôi thấy mức thuế tôi phải đóng theo phương án mới là công bằng (người thu nhập như tôi đóng mức này là hợp lý). - HUMAN-TRU2]]</f>
        <v>4</v>
      </c>
      <c r="AS4" t="str">
        <f t="shared" si="16"/>
        <v>Oppose</v>
      </c>
      <c r="AT4" s="32">
        <f t="shared" si="17"/>
        <v>4</v>
      </c>
      <c r="AU4">
        <f>step3_validation[[#This Row],[AI_TRU3]]</f>
        <v>7</v>
      </c>
      <c r="AV4" t="str">
        <f t="shared" si="18"/>
        <v>Neutral</v>
      </c>
      <c r="AW4">
        <f>survey_responses[[#This Row],[Tôi tin tưởng số tiền thuế tôi đóng sẽ được Nhà nước sử dụng hiệu quả để cải thiện dịch vụ công (y tế, đường xá...). - HUMAN-TRU3]]</f>
        <v>4</v>
      </c>
      <c r="AX4" t="str">
        <f t="shared" si="19"/>
        <v>Oppose</v>
      </c>
      <c r="AY4" s="32">
        <f t="shared" si="20"/>
        <v>3</v>
      </c>
      <c r="AZ4">
        <f>step3_validation[[#This Row],[AI_TRU4]]</f>
        <v>6</v>
      </c>
      <c r="BA4" t="str">
        <f t="shared" si="21"/>
        <v>Neutral</v>
      </c>
      <c r="BB4">
        <f>survey_responses[[#This Row],[Tôi thấy Nhà nước đã giải thích rõ ràng, minh bạch về lý do và mục tiêu của việc sửa đổi thuế lần này. - HUMAN-TRU4]]</f>
        <v>10</v>
      </c>
      <c r="BC4" t="str">
        <f t="shared" si="22"/>
        <v>Support</v>
      </c>
      <c r="BD4" s="32">
        <f t="shared" si="23"/>
        <v>4</v>
      </c>
      <c r="BE4">
        <f>step3_validation[[#This Row],[AI_OUT1]]</f>
        <v>9</v>
      </c>
      <c r="BF4" t="str">
        <f t="shared" si="24"/>
        <v>Support</v>
      </c>
      <c r="BG4">
        <f>survey_responses[[#This Row],[Sau khi xem xét các quyền lợi và nghĩa vụ, bạn có ủng hộ và tuân thủ chính sách mới hiện nay? - HUMAN-OUT1]]</f>
        <v>4</v>
      </c>
      <c r="BH4" t="str">
        <f t="shared" si="25"/>
        <v>Oppose</v>
      </c>
      <c r="BI4" s="32">
        <f t="shared" si="26"/>
        <v>5</v>
      </c>
    </row>
    <row r="5" spans="1:61" x14ac:dyDescent="0.45">
      <c r="A5" s="30">
        <f>step3_validation[[#This Row],[Persona_ID]]</f>
        <v>4</v>
      </c>
      <c r="B5" s="31">
        <f>step3_validation[[#This Row],[Used_Seed]]</f>
        <v>45</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6</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2">
        <f t="shared" si="5"/>
        <v>4</v>
      </c>
      <c r="AA5">
        <f>step3_validation[[#This Row],[AI_FAC1]]</f>
        <v>5</v>
      </c>
      <c r="AB5" t="str">
        <f t="shared" si="6"/>
        <v>Neutral</v>
      </c>
      <c r="AC5">
        <f>survey_responses[[#This Row],[Các thủ tục khai báo thuế VÀ/HOẶC quy trình làm việc với cơ quan thuế đơn giản, tiện lợi, nhanh chóng hơn so với trước đây. - HUMAN-FAC1]]</f>
        <v>8</v>
      </c>
      <c r="AD5" t="str">
        <f t="shared" si="7"/>
        <v>Support</v>
      </c>
      <c r="AE5" s="32">
        <f t="shared" si="8"/>
        <v>3</v>
      </c>
      <c r="AF5">
        <f>step3_validation[[#This Row],[AI_FAC2]]</f>
        <v>8</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1</v>
      </c>
      <c r="AK5">
        <f>step3_validation[[#This Row],[AI_TRU1]]</f>
        <v>7</v>
      </c>
      <c r="AL5" t="str">
        <f t="shared" si="12"/>
        <v>Neutral</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2</v>
      </c>
      <c r="AP5">
        <f>step3_validation[[#This Row],[AI_TRU2]]</f>
        <v>9</v>
      </c>
      <c r="AQ5" t="str">
        <f t="shared" si="15"/>
        <v>Support</v>
      </c>
      <c r="AR5">
        <f>survey_responses[[#This Row],[Tôi thấy mức thuế tôi phải đóng theo phương án mới là công bằng (người thu nhập như tôi đóng mức này là hợp lý). - HUMAN-TRU2]]</f>
        <v>7</v>
      </c>
      <c r="AS5" t="str">
        <f t="shared" si="16"/>
        <v>Neutral</v>
      </c>
      <c r="AT5" s="32">
        <f t="shared" si="17"/>
        <v>2</v>
      </c>
      <c r="AU5">
        <f>step3_validation[[#This Row],[AI_TRU3]]</f>
        <v>6</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4</v>
      </c>
      <c r="AZ5">
        <f>step3_validation[[#This Row],[AI_TRU4]]</f>
        <v>7</v>
      </c>
      <c r="BA5" t="str">
        <f t="shared" si="21"/>
        <v>Neutral</v>
      </c>
      <c r="BB5">
        <f>survey_responses[[#This Row],[Tôi thấy Nhà nước đã giải thích rõ ràng, minh bạch về lý do và mục tiêu của việc sửa đổi thuế lần này. - HUMAN-TRU4]]</f>
        <v>7</v>
      </c>
      <c r="BC5" t="str">
        <f t="shared" si="22"/>
        <v>Neutral</v>
      </c>
      <c r="BD5" s="32">
        <f t="shared" si="23"/>
        <v>0</v>
      </c>
      <c r="BE5">
        <f>step3_validation[[#This Row],[AI_OUT1]]</f>
        <v>9</v>
      </c>
      <c r="BF5" t="str">
        <f t="shared" si="24"/>
        <v>Support</v>
      </c>
      <c r="BG5">
        <f>survey_responses[[#This Row],[Sau khi xem xét các quyền lợi và nghĩa vụ, bạn có ủng hộ và tuân thủ chính sách mới hiện nay? - HUMAN-OUT1]]</f>
        <v>10</v>
      </c>
      <c r="BH5" t="str">
        <f t="shared" si="25"/>
        <v>Support</v>
      </c>
      <c r="BI5" s="32">
        <f t="shared" si="26"/>
        <v>1</v>
      </c>
    </row>
    <row r="6" spans="1:61" x14ac:dyDescent="0.45">
      <c r="A6" s="30">
        <f>step3_validation[[#This Row],[Persona_ID]]</f>
        <v>5</v>
      </c>
      <c r="B6" s="31">
        <f>step3_validation[[#This Row],[Used_Seed]]</f>
        <v>46</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t="str">
        <f t="shared" si="0"/>
        <v>Support</v>
      </c>
      <c r="S6">
        <f>survey_responses[[#This Row],[Tôi tin rằng với các quy định quản lý thuế hiện nay, hành vi gian lận hoặc trốn thuế sẽ dễ dàng bị phát hiện và xử lý nghiêm. - HUMAN-ENF1]]</f>
        <v>9</v>
      </c>
      <c r="T6" t="str">
        <f t="shared" si="1"/>
        <v>Support</v>
      </c>
      <c r="U6" s="32">
        <f t="shared" si="2"/>
        <v>1</v>
      </c>
      <c r="V6">
        <f>step3_validation[[#This Row],[AI_ENF2]]</f>
        <v>9</v>
      </c>
      <c r="W6" t="str">
        <f t="shared" si="3"/>
        <v>Support</v>
      </c>
      <c r="X6">
        <f>survey_responses[[#This Row],[Tôi tin rằng Nhà nước, cơ quan thuế có đủ khả năng và công nghệ để phát hiện, xử lý nghiêm các hành vi trốn thuế. - HUMAN-ENF2]]</f>
        <v>9</v>
      </c>
      <c r="Y6" t="str">
        <f t="shared" si="4"/>
        <v>Support</v>
      </c>
      <c r="Z6" s="32">
        <f t="shared" si="5"/>
        <v>0</v>
      </c>
      <c r="AA6">
        <f>step3_validation[[#This Row],[AI_FAC1]]</f>
        <v>7</v>
      </c>
      <c r="AB6" t="str">
        <f t="shared" si="6"/>
        <v>Neutral</v>
      </c>
      <c r="AC6">
        <f>survey_responses[[#This Row],[Các thủ tục khai báo thuế VÀ/HOẶC quy trình làm việc với cơ quan thuế đơn giản, tiện lợi, nhanh chóng hơn so với trước đây. - HUMAN-FAC1]]</f>
        <v>10</v>
      </c>
      <c r="AD6" t="str">
        <f t="shared" si="7"/>
        <v>Support</v>
      </c>
      <c r="AE6" s="32">
        <f t="shared" si="8"/>
        <v>3</v>
      </c>
      <c r="AF6">
        <f>step3_validation[[#This Row],[AI_FAC2]]</f>
        <v>9</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0</v>
      </c>
      <c r="AK6">
        <f>step3_validation[[#This Row],[AI_TRU1]]</f>
        <v>8</v>
      </c>
      <c r="AL6" t="str">
        <f t="shared" si="12"/>
        <v>Support</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1</v>
      </c>
      <c r="AP6">
        <f>step3_validation[[#This Row],[AI_TRU2]]</f>
        <v>9</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2">
        <f t="shared" si="17"/>
        <v>0</v>
      </c>
      <c r="AU6">
        <f>step3_validation[[#This Row],[AI_TRU3]]</f>
        <v>8</v>
      </c>
      <c r="AV6" t="str">
        <f t="shared" si="18"/>
        <v>Support</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1</v>
      </c>
      <c r="AZ6">
        <f>step3_validation[[#This Row],[AI_TRU4]]</f>
        <v>9</v>
      </c>
      <c r="BA6" t="str">
        <f t="shared" si="21"/>
        <v>Support</v>
      </c>
      <c r="BB6">
        <f>survey_responses[[#This Row],[Tôi thấy Nhà nước đã giải thích rõ ràng, minh bạch về lý do và mục tiêu của việc sửa đổi thuế lần này. - HUMAN-TRU4]]</f>
        <v>9</v>
      </c>
      <c r="BC6" t="str">
        <f t="shared" si="22"/>
        <v>Support</v>
      </c>
      <c r="BD6" s="32">
        <f t="shared" si="23"/>
        <v>0</v>
      </c>
      <c r="BE6">
        <f>step3_validation[[#This Row],[AI_OUT1]]</f>
        <v>8</v>
      </c>
      <c r="BF6" t="str">
        <f t="shared" si="24"/>
        <v>Support</v>
      </c>
      <c r="BG6">
        <f>survey_responses[[#This Row],[Sau khi xem xét các quyền lợi và nghĩa vụ, bạn có ủng hộ và tuân thủ chính sách mới hiện nay? - HUMAN-OUT1]]</f>
        <v>9</v>
      </c>
      <c r="BH6" t="str">
        <f t="shared" si="25"/>
        <v>Support</v>
      </c>
      <c r="BI6" s="32">
        <f t="shared" si="26"/>
        <v>1</v>
      </c>
    </row>
    <row r="7" spans="1:61" x14ac:dyDescent="0.45">
      <c r="A7" s="30">
        <f>step3_validation[[#This Row],[Persona_ID]]</f>
        <v>6</v>
      </c>
      <c r="B7" s="31">
        <f>step3_validation[[#This Row],[Used_Seed]]</f>
        <v>47</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89.18610610127881</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7</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1</v>
      </c>
      <c r="V7">
        <f>step3_validation[[#This Row],[AI_ENF2]]</f>
        <v>0</v>
      </c>
      <c r="W7" t="str">
        <f t="shared" si="3"/>
        <v/>
      </c>
      <c r="X7">
        <f>survey_responses[[#This Row],[Tôi tin rằng Nhà nước, cơ quan thuế có đủ khả năng và công nghệ để phát hiện, xử lý nghiêm các hành vi trốn thuế. - HUMAN-ENF2]]</f>
        <v>8</v>
      </c>
      <c r="Y7" t="str">
        <f t="shared" si="4"/>
        <v>Support</v>
      </c>
      <c r="Z7" s="32">
        <f t="shared" si="5"/>
        <v>8</v>
      </c>
      <c r="AA7">
        <f>step3_validation[[#This Row],[AI_FAC1]]</f>
        <v>0</v>
      </c>
      <c r="AB7" t="str">
        <f t="shared" si="6"/>
        <v/>
      </c>
      <c r="AC7">
        <f>survey_responses[[#This Row],[Các thủ tục khai báo thuế VÀ/HOẶC quy trình làm việc với cơ quan thuế đơn giản, tiện lợi, nhanh chóng hơn so với trước đây. - HUMAN-FAC1]]</f>
        <v>5</v>
      </c>
      <c r="AD7" t="str">
        <f t="shared" si="7"/>
        <v>Neutral</v>
      </c>
      <c r="AE7" s="32">
        <f t="shared" si="8"/>
        <v>5</v>
      </c>
      <c r="AF7">
        <f>step3_validation[[#This Row],[AI_FAC2]]</f>
        <v>0</v>
      </c>
      <c r="AG7" t="str">
        <f t="shared" si="9"/>
        <v/>
      </c>
      <c r="AH7">
        <f>survey_responses[[#This Row],[So với trước đây, tôi thấy cách tính thuế và các bậc thuế trong phương án mới đơn giản, dễ hiểu và dễ thực hiện hơn. - HUMAN-FAC2]]</f>
        <v>8</v>
      </c>
      <c r="AI7" t="str">
        <f t="shared" si="10"/>
        <v>Support</v>
      </c>
      <c r="AJ7" s="32">
        <f t="shared" si="11"/>
        <v>8</v>
      </c>
      <c r="AK7">
        <f>step3_validation[[#This Row],[AI_TRU1]]</f>
        <v>0</v>
      </c>
      <c r="AL7" t="str">
        <f t="shared" si="12"/>
        <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6</v>
      </c>
      <c r="AP7">
        <f>step3_validation[[#This Row],[AI_TRU2]]</f>
        <v>0</v>
      </c>
      <c r="AQ7" t="str">
        <f t="shared" si="15"/>
        <v/>
      </c>
      <c r="AR7">
        <f>survey_responses[[#This Row],[Tôi thấy mức thuế tôi phải đóng theo phương án mới là công bằng (người thu nhập như tôi đóng mức này là hợp lý). - HUMAN-TRU2]]</f>
        <v>6</v>
      </c>
      <c r="AS7" t="str">
        <f t="shared" si="16"/>
        <v>Neutral</v>
      </c>
      <c r="AT7" s="32">
        <f t="shared" si="17"/>
        <v>6</v>
      </c>
      <c r="AU7">
        <f>step3_validation[[#This Row],[AI_TRU3]]</f>
        <v>0</v>
      </c>
      <c r="AV7" t="str">
        <f t="shared" si="18"/>
        <v/>
      </c>
      <c r="AW7">
        <f>survey_responses[[#This Row],[Tôi tin tưởng số tiền thuế tôi đóng sẽ được Nhà nước sử dụng hiệu quả để cải thiện dịch vụ công (y tế, đường xá...). - HUMAN-TRU3]]</f>
        <v>4</v>
      </c>
      <c r="AX7" t="str">
        <f t="shared" si="19"/>
        <v>Oppose</v>
      </c>
      <c r="AY7" s="32">
        <f t="shared" si="20"/>
        <v>4</v>
      </c>
      <c r="AZ7">
        <f>step3_validation[[#This Row],[AI_TRU4]]</f>
        <v>0</v>
      </c>
      <c r="BA7" t="str">
        <f t="shared" si="21"/>
        <v/>
      </c>
      <c r="BB7">
        <f>survey_responses[[#This Row],[Tôi thấy Nhà nước đã giải thích rõ ràng, minh bạch về lý do và mục tiêu của việc sửa đổi thuế lần này. - HUMAN-TRU4]]</f>
        <v>5</v>
      </c>
      <c r="BC7" t="str">
        <f t="shared" si="22"/>
        <v>Neutral</v>
      </c>
      <c r="BD7" s="32">
        <f t="shared" si="23"/>
        <v>5</v>
      </c>
      <c r="BE7">
        <f>step3_validation[[#This Row],[AI_OUT1]]</f>
        <v>0</v>
      </c>
      <c r="BF7" t="str">
        <f t="shared" si="24"/>
        <v/>
      </c>
      <c r="BG7">
        <f>survey_responses[[#This Row],[Sau khi xem xét các quyền lợi và nghĩa vụ, bạn có ủng hộ và tuân thủ chính sách mới hiện nay? - HUMAN-OUT1]]</f>
        <v>6</v>
      </c>
      <c r="BH7" t="str">
        <f t="shared" si="25"/>
        <v>Neutral</v>
      </c>
      <c r="BI7" s="32">
        <f t="shared" si="26"/>
        <v>6</v>
      </c>
    </row>
    <row r="8" spans="1:61" x14ac:dyDescent="0.45">
      <c r="A8" s="30">
        <f>step3_validation[[#This Row],[Persona_ID]]</f>
        <v>7</v>
      </c>
      <c r="B8" s="31">
        <f>step3_validation[[#This Row],[Used_Seed]]</f>
        <v>48</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21.534681572110244</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9</v>
      </c>
      <c r="R8" t="str">
        <f t="shared" si="0"/>
        <v>Support</v>
      </c>
      <c r="S8">
        <f>survey_responses[[#This Row],[Tôi tin rằng với các quy định quản lý thuế hiện nay, hành vi gian lận hoặc trốn thuế sẽ dễ dàng bị phát hiện và xử lý nghiêm. - HUMAN-ENF1]]</f>
        <v>5</v>
      </c>
      <c r="T8" t="str">
        <f t="shared" si="1"/>
        <v>Neutral</v>
      </c>
      <c r="U8" s="32">
        <f t="shared" si="2"/>
        <v>4</v>
      </c>
      <c r="V8">
        <f>step3_validation[[#This Row],[AI_ENF2]]</f>
        <v>8</v>
      </c>
      <c r="W8" t="str">
        <f t="shared" si="3"/>
        <v>Support</v>
      </c>
      <c r="X8">
        <f>survey_responses[[#This Row],[Tôi tin rằng Nhà nước, cơ quan thuế có đủ khả năng và công nghệ để phát hiện, xử lý nghiêm các hành vi trốn thuế. - HUMAN-ENF2]]</f>
        <v>4</v>
      </c>
      <c r="Y8" t="str">
        <f t="shared" si="4"/>
        <v>Oppose</v>
      </c>
      <c r="Z8" s="32">
        <f t="shared" si="5"/>
        <v>4</v>
      </c>
      <c r="AA8">
        <f>step3_validation[[#This Row],[AI_FAC1]]</f>
        <v>9</v>
      </c>
      <c r="AB8" t="str">
        <f t="shared" si="6"/>
        <v>Support</v>
      </c>
      <c r="AC8">
        <f>survey_responses[[#This Row],[Các thủ tục khai báo thuế VÀ/HOẶC quy trình làm việc với cơ quan thuế đơn giản, tiện lợi, nhanh chóng hơn so với trước đây. - HUMAN-FAC1]]</f>
        <v>4</v>
      </c>
      <c r="AD8" t="str">
        <f t="shared" si="7"/>
        <v>Oppose</v>
      </c>
      <c r="AE8" s="32">
        <f t="shared" si="8"/>
        <v>5</v>
      </c>
      <c r="AF8">
        <f>step3_validation[[#This Row],[AI_FAC2]]</f>
        <v>8</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2</v>
      </c>
      <c r="AK8">
        <f>step3_validation[[#This Row],[AI_TRU1]]</f>
        <v>9</v>
      </c>
      <c r="AL8" t="str">
        <f t="shared" si="12"/>
        <v>Support</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3</v>
      </c>
      <c r="AP8">
        <f>step3_validation[[#This Row],[AI_TRU2]]</f>
        <v>8</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2">
        <f t="shared" si="17"/>
        <v>1</v>
      </c>
      <c r="AU8">
        <f>step3_validation[[#This Row],[AI_TRU3]]</f>
        <v>9</v>
      </c>
      <c r="AV8" t="str">
        <f t="shared" si="18"/>
        <v>Support</v>
      </c>
      <c r="AW8">
        <f>survey_responses[[#This Row],[Tôi tin tưởng số tiền thuế tôi đóng sẽ được Nhà nước sử dụng hiệu quả để cải thiện dịch vụ công (y tế, đường xá...). - HUMAN-TRU3]]</f>
        <v>2</v>
      </c>
      <c r="AX8" t="str">
        <f t="shared" si="19"/>
        <v>Oppose</v>
      </c>
      <c r="AY8" s="32">
        <f t="shared" si="20"/>
        <v>7</v>
      </c>
      <c r="AZ8">
        <f>step3_validation[[#This Row],[AI_TRU4]]</f>
        <v>8</v>
      </c>
      <c r="BA8" t="str">
        <f t="shared" si="21"/>
        <v>Support</v>
      </c>
      <c r="BB8">
        <f>survey_responses[[#This Row],[Tôi thấy Nhà nước đã giải thích rõ ràng, minh bạch về lý do và mục tiêu của việc sửa đổi thuế lần này. - HUMAN-TRU4]]</f>
        <v>4</v>
      </c>
      <c r="BC8" t="str">
        <f t="shared" si="22"/>
        <v>Oppose</v>
      </c>
      <c r="BD8" s="32">
        <f t="shared" si="23"/>
        <v>4</v>
      </c>
      <c r="BE8">
        <f>step3_validation[[#This Row],[AI_OUT1]]</f>
        <v>9</v>
      </c>
      <c r="BF8" t="str">
        <f t="shared" si="24"/>
        <v>Support</v>
      </c>
      <c r="BG8">
        <f>survey_responses[[#This Row],[Sau khi xem xét các quyền lợi và nghĩa vụ, bạn có ủng hộ và tuân thủ chính sách mới hiện nay? - HUMAN-OUT1]]</f>
        <v>4</v>
      </c>
      <c r="BH8" t="str">
        <f t="shared" si="25"/>
        <v>Oppose</v>
      </c>
      <c r="BI8" s="32">
        <f t="shared" si="26"/>
        <v>5</v>
      </c>
    </row>
    <row r="9" spans="1:61" x14ac:dyDescent="0.45">
      <c r="A9" s="30">
        <f>step3_validation[[#This Row],[Persona_ID]]</f>
        <v>8</v>
      </c>
      <c r="B9" s="31">
        <f>step3_validation[[#This Row],[Used_Seed]]</f>
        <v>49</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6</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5</v>
      </c>
      <c r="V9">
        <f>step3_validation[[#This Row],[AI_ENF2]]</f>
        <v>7</v>
      </c>
      <c r="W9" t="str">
        <f t="shared" si="3"/>
        <v>Neutral</v>
      </c>
      <c r="X9">
        <f>survey_responses[[#This Row],[Tôi tin rằng Nhà nước, cơ quan thuế có đủ khả năng và công nghệ để phát hiện, xử lý nghiêm các hành vi trốn thuế. - HUMAN-ENF2]]</f>
        <v>1</v>
      </c>
      <c r="Y9" t="str">
        <f t="shared" si="4"/>
        <v>Oppose</v>
      </c>
      <c r="Z9" s="32">
        <f t="shared" si="5"/>
        <v>6</v>
      </c>
      <c r="AA9">
        <f>step3_validation[[#This Row],[AI_FAC1]]</f>
        <v>9</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7</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5</v>
      </c>
      <c r="AK9">
        <f>step3_validation[[#This Row],[AI_TRU1]]</f>
        <v>9</v>
      </c>
      <c r="AL9" t="str">
        <f t="shared" si="12"/>
        <v>Support</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3</v>
      </c>
      <c r="AP9">
        <f>step3_validation[[#This Row],[AI_TRU2]]</f>
        <v>8</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6</v>
      </c>
      <c r="AU9">
        <f>step3_validation[[#This Row],[AI_TRU3]]</f>
        <v>9</v>
      </c>
      <c r="AV9" t="str">
        <f t="shared" si="18"/>
        <v>Support</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2</v>
      </c>
      <c r="AZ9">
        <f>step3_validation[[#This Row],[AI_TRU4]]</f>
        <v>8</v>
      </c>
      <c r="BA9" t="str">
        <f t="shared" si="21"/>
        <v>Support</v>
      </c>
      <c r="BB9">
        <f>survey_responses[[#This Row],[Tôi thấy Nhà nước đã giải thích rõ ràng, minh bạch về lý do và mục tiêu của việc sửa đổi thuế lần này. - HUMAN-TRU4]]</f>
        <v>3</v>
      </c>
      <c r="BC9" t="str">
        <f t="shared" si="22"/>
        <v>Oppose</v>
      </c>
      <c r="BD9" s="32">
        <f t="shared" si="23"/>
        <v>5</v>
      </c>
      <c r="BE9">
        <f>step3_validation[[#This Row],[AI_OUT1]]</f>
        <v>9</v>
      </c>
      <c r="BF9" t="str">
        <f t="shared" si="24"/>
        <v>Support</v>
      </c>
      <c r="BG9">
        <f>survey_responses[[#This Row],[Sau khi xem xét các quyền lợi và nghĩa vụ, bạn có ủng hộ và tuân thủ chính sách mới hiện nay? - HUMAN-OUT1]]</f>
        <v>3</v>
      </c>
      <c r="BH9" t="str">
        <f t="shared" si="25"/>
        <v>Oppose</v>
      </c>
      <c r="BI9" s="32">
        <f t="shared" si="26"/>
        <v>6</v>
      </c>
    </row>
    <row r="10" spans="1:61" x14ac:dyDescent="0.45">
      <c r="A10" s="30">
        <f>step3_validation[[#This Row],[Persona_ID]]</f>
        <v>9</v>
      </c>
      <c r="B10" s="31">
        <f>step3_validation[[#This Row],[Used_Seed]]</f>
        <v>50</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15.095756759677263</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3</v>
      </c>
      <c r="V10">
        <f>step3_validation[[#This Row],[AI_ENF2]]</f>
        <v>8</v>
      </c>
      <c r="W10" t="str">
        <f t="shared" si="3"/>
        <v>Support</v>
      </c>
      <c r="X10">
        <f>survey_responses[[#This Row],[Tôi tin rằng Nhà nước, cơ quan thuế có đủ khả năng và công nghệ để phát hiện, xử lý nghiêm các hành vi trốn thuế. - HUMAN-ENF2]]</f>
        <v>10</v>
      </c>
      <c r="Y10" t="str">
        <f t="shared" si="4"/>
        <v>Support</v>
      </c>
      <c r="Z10" s="32">
        <f t="shared" si="5"/>
        <v>2</v>
      </c>
      <c r="AA10">
        <f>step3_validation[[#This Row],[AI_FAC1]]</f>
        <v>6</v>
      </c>
      <c r="AB10" t="str">
        <f t="shared" si="6"/>
        <v>Neutral</v>
      </c>
      <c r="AC10">
        <f>survey_responses[[#This Row],[Các thủ tục khai báo thuế VÀ/HOẶC quy trình làm việc với cơ quan thuế đơn giản, tiện lợi, nhanh chóng hơn so với trước đây. - HUMAN-FAC1]]</f>
        <v>8</v>
      </c>
      <c r="AD10" t="str">
        <f t="shared" si="7"/>
        <v>Support</v>
      </c>
      <c r="AE10" s="32">
        <f t="shared" si="8"/>
        <v>2</v>
      </c>
      <c r="AF10">
        <f>step3_validation[[#This Row],[AI_FAC2]]</f>
        <v>9</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2</v>
      </c>
      <c r="AK10">
        <f>step3_validation[[#This Row],[AI_TRU1]]</f>
        <v>7</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0</v>
      </c>
      <c r="AP10">
        <f>step3_validation[[#This Row],[AI_TRU2]]</f>
        <v>9</v>
      </c>
      <c r="AQ10" t="str">
        <f t="shared" si="15"/>
        <v>Support</v>
      </c>
      <c r="AR10">
        <f>survey_responses[[#This Row],[Tôi thấy mức thuế tôi phải đóng theo phương án mới là công bằng (người thu nhập như tôi đóng mức này là hợp lý). - HUMAN-TRU2]]</f>
        <v>5</v>
      </c>
      <c r="AS10" t="str">
        <f t="shared" si="16"/>
        <v>Neutral</v>
      </c>
      <c r="AT10" s="32">
        <f t="shared" si="17"/>
        <v>4</v>
      </c>
      <c r="AU10">
        <f>step3_validation[[#This Row],[AI_TRU3]]</f>
        <v>8</v>
      </c>
      <c r="AV10" t="str">
        <f t="shared" si="18"/>
        <v>Support</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3</v>
      </c>
      <c r="AZ10">
        <f>step3_validation[[#This Row],[AI_TRU4]]</f>
        <v>7</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2</v>
      </c>
      <c r="BE10">
        <f>step3_validation[[#This Row],[AI_OUT1]]</f>
        <v>9</v>
      </c>
      <c r="BF10" t="str">
        <f t="shared" si="24"/>
        <v>Support</v>
      </c>
      <c r="BG10">
        <f>survey_responses[[#This Row],[Sau khi xem xét các quyền lợi và nghĩa vụ, bạn có ủng hộ và tuân thủ chính sách mới hiện nay? - HUMAN-OUT1]]</f>
        <v>8</v>
      </c>
      <c r="BH10" t="str">
        <f t="shared" si="25"/>
        <v>Support</v>
      </c>
      <c r="BI10" s="32">
        <f t="shared" si="26"/>
        <v>1</v>
      </c>
    </row>
    <row r="11" spans="1:61" x14ac:dyDescent="0.45">
      <c r="A11" s="30">
        <f>step3_validation[[#This Row],[Persona_ID]]</f>
        <v>10</v>
      </c>
      <c r="B11" s="31">
        <f>step3_validation[[#This Row],[Used_Seed]]</f>
        <v>51</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21.540417785271543</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0</v>
      </c>
      <c r="V11">
        <f>step3_validation[[#This Row],[AI_ENF2]]</f>
        <v>8</v>
      </c>
      <c r="W11" t="str">
        <f t="shared" si="3"/>
        <v>Support</v>
      </c>
      <c r="X11">
        <f>survey_responses[[#This Row],[Tôi tin rằng Nhà nước, cơ quan thuế có đủ khả năng và công nghệ để phát hiện, xử lý nghiêm các hành vi trốn thuế. - HUMAN-ENF2]]</f>
        <v>10</v>
      </c>
      <c r="Y11" t="str">
        <f t="shared" si="4"/>
        <v>Support</v>
      </c>
      <c r="Z11" s="32">
        <f t="shared" si="5"/>
        <v>2</v>
      </c>
      <c r="AA11">
        <f>step3_validation[[#This Row],[AI_FAC1]]</f>
        <v>9</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8</v>
      </c>
      <c r="AF11">
        <f>step3_validation[[#This Row],[AI_FAC2]]</f>
        <v>10</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5</v>
      </c>
      <c r="AK11">
        <f>step3_validation[[#This Row],[AI_TRU1]]</f>
        <v>8</v>
      </c>
      <c r="AL11" t="str">
        <f t="shared" si="12"/>
        <v>Support</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0</v>
      </c>
      <c r="AP11">
        <f>step3_validation[[#This Row],[AI_TRU2]]</f>
        <v>9</v>
      </c>
      <c r="AQ11" t="str">
        <f t="shared" si="15"/>
        <v>Support</v>
      </c>
      <c r="AR11">
        <f>survey_responses[[#This Row],[Tôi thấy mức thuế tôi phải đóng theo phương án mới là công bằng (người thu nhập như tôi đóng mức này là hợp lý). - HUMAN-TRU2]]</f>
        <v>5</v>
      </c>
      <c r="AS11" t="str">
        <f t="shared" si="16"/>
        <v>Neutral</v>
      </c>
      <c r="AT11" s="32">
        <f t="shared" si="17"/>
        <v>4</v>
      </c>
      <c r="AU11">
        <f>step3_validation[[#This Row],[AI_TRU3]]</f>
        <v>7</v>
      </c>
      <c r="AV11" t="str">
        <f t="shared" si="18"/>
        <v>Neutral</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2</v>
      </c>
      <c r="AZ11">
        <f>step3_validation[[#This Row],[AI_TRU4]]</f>
        <v>9</v>
      </c>
      <c r="BA11" t="str">
        <f t="shared" si="21"/>
        <v>Support</v>
      </c>
      <c r="BB11">
        <f>survey_responses[[#This Row],[Tôi thấy Nhà nước đã giải thích rõ ràng, minh bạch về lý do và mục tiêu của việc sửa đổi thuế lần này. - HUMAN-TRU4]]</f>
        <v>5</v>
      </c>
      <c r="BC11" t="str">
        <f t="shared" si="22"/>
        <v>Neutral</v>
      </c>
      <c r="BD11" s="32">
        <f t="shared" si="23"/>
        <v>4</v>
      </c>
      <c r="BE11">
        <f>step3_validation[[#This Row],[AI_OUT1]]</f>
        <v>9</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1</v>
      </c>
    </row>
    <row r="12" spans="1:61" x14ac:dyDescent="0.45">
      <c r="A12" s="30">
        <f>step3_validation[[#This Row],[Persona_ID]]</f>
        <v>11</v>
      </c>
      <c r="B12" s="31">
        <f>step3_validation[[#This Row],[Used_Seed]]</f>
        <v>52</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41.474603139272951</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9</v>
      </c>
      <c r="R12" t="str">
        <f t="shared" si="0"/>
        <v>Support</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1</v>
      </c>
      <c r="V12">
        <f>step3_validation[[#This Row],[AI_ENF2]]</f>
        <v>8</v>
      </c>
      <c r="W12" t="str">
        <f t="shared" si="3"/>
        <v>Support</v>
      </c>
      <c r="X12">
        <f>survey_responses[[#This Row],[Tôi tin rằng Nhà nước, cơ quan thuế có đủ khả năng và công nghệ để phát hiện, xử lý nghiêm các hành vi trốn thuế. - HUMAN-ENF2]]</f>
        <v>3</v>
      </c>
      <c r="Y12" t="str">
        <f t="shared" si="4"/>
        <v>Oppose</v>
      </c>
      <c r="Z12" s="32">
        <f t="shared" si="5"/>
        <v>5</v>
      </c>
      <c r="AA12">
        <f>step3_validation[[#This Row],[AI_FAC1]]</f>
        <v>9</v>
      </c>
      <c r="AB12" t="str">
        <f t="shared" si="6"/>
        <v>Support</v>
      </c>
      <c r="AC12">
        <f>survey_responses[[#This Row],[Các thủ tục khai báo thuế VÀ/HOẶC quy trình làm việc với cơ quan thuế đơn giản, tiện lợi, nhanh chóng hơn so với trước đây. - HUMAN-FAC1]]</f>
        <v>1</v>
      </c>
      <c r="AD12" t="str">
        <f t="shared" si="7"/>
        <v>Oppose</v>
      </c>
      <c r="AE12" s="32">
        <f t="shared" si="8"/>
        <v>8</v>
      </c>
      <c r="AF12">
        <f>step3_validation[[#This Row],[AI_FAC2]]</f>
        <v>8</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2">
        <f t="shared" si="11"/>
        <v>1</v>
      </c>
      <c r="AK12">
        <f>step3_validation[[#This Row],[AI_TRU1]]</f>
        <v>9</v>
      </c>
      <c r="AL12" t="str">
        <f t="shared" si="12"/>
        <v>Support</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8</v>
      </c>
      <c r="AP12">
        <f>step3_validation[[#This Row],[AI_TRU2]]</f>
        <v>8</v>
      </c>
      <c r="AQ12" t="str">
        <f t="shared" si="15"/>
        <v>Support</v>
      </c>
      <c r="AR12">
        <f>survey_responses[[#This Row],[Tôi thấy mức thuế tôi phải đóng theo phương án mới là công bằng (người thu nhập như tôi đóng mức này là hợp lý). - HUMAN-TRU2]]</f>
        <v>5</v>
      </c>
      <c r="AS12" t="str">
        <f t="shared" si="16"/>
        <v>Neutral</v>
      </c>
      <c r="AT12" s="32">
        <f t="shared" si="17"/>
        <v>3</v>
      </c>
      <c r="AU12">
        <f>step3_validation[[#This Row],[AI_TRU3]]</f>
        <v>9</v>
      </c>
      <c r="AV12" t="str">
        <f t="shared" si="18"/>
        <v>Support</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8</v>
      </c>
      <c r="AZ12">
        <f>step3_validation[[#This Row],[AI_TRU4]]</f>
        <v>8</v>
      </c>
      <c r="BA12" t="str">
        <f t="shared" si="21"/>
        <v>Support</v>
      </c>
      <c r="BB12">
        <f>survey_responses[[#This Row],[Tôi thấy Nhà nước đã giải thích rõ ràng, minh bạch về lý do và mục tiêu của việc sửa đổi thuế lần này. - HUMAN-TRU4]]</f>
        <v>8</v>
      </c>
      <c r="BC12" t="str">
        <f t="shared" si="22"/>
        <v>Support</v>
      </c>
      <c r="BD12" s="32">
        <f t="shared" si="23"/>
        <v>0</v>
      </c>
      <c r="BE12">
        <f>step3_validation[[#This Row],[AI_OUT1]]</f>
        <v>9</v>
      </c>
      <c r="BF12" t="str">
        <f t="shared" si="24"/>
        <v>Support</v>
      </c>
      <c r="BG12">
        <f>survey_responses[[#This Row],[Sau khi xem xét các quyền lợi và nghĩa vụ, bạn có ủng hộ và tuân thủ chính sách mới hiện nay? - HUMAN-OUT1]]</f>
        <v>6</v>
      </c>
      <c r="BH12" t="str">
        <f t="shared" si="25"/>
        <v>Neutral</v>
      </c>
      <c r="BI12" s="32">
        <f t="shared" si="26"/>
        <v>3</v>
      </c>
    </row>
    <row r="13" spans="1:61" x14ac:dyDescent="0.45">
      <c r="A13" s="30">
        <f>step3_validation[[#This Row],[Persona_ID]]</f>
        <v>12</v>
      </c>
      <c r="B13" s="31">
        <f>step3_validation[[#This Row],[Used_Seed]]</f>
        <v>53</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9</v>
      </c>
      <c r="R13" t="str">
        <f t="shared" si="0"/>
        <v>Support</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4</v>
      </c>
      <c r="V13">
        <f>step3_validation[[#This Row],[AI_ENF2]]</f>
        <v>8</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2">
        <f t="shared" si="5"/>
        <v>0</v>
      </c>
      <c r="AA13">
        <f>step3_validation[[#This Row],[AI_FAC1]]</f>
        <v>9</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4</v>
      </c>
      <c r="AF13">
        <f>step3_validation[[#This Row],[AI_FAC2]]</f>
        <v>8</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2">
        <f t="shared" si="11"/>
        <v>3</v>
      </c>
      <c r="AK13">
        <f>step3_validation[[#This Row],[AI_TRU1]]</f>
        <v>9</v>
      </c>
      <c r="AL13" t="str">
        <f t="shared" si="12"/>
        <v>Support</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3</v>
      </c>
      <c r="AP13">
        <f>step3_validation[[#This Row],[AI_TRU2]]</f>
        <v>8</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2">
        <f t="shared" si="17"/>
        <v>3</v>
      </c>
      <c r="AU13">
        <f>step3_validation[[#This Row],[AI_TRU3]]</f>
        <v>9</v>
      </c>
      <c r="AV13" t="str">
        <f t="shared" si="18"/>
        <v>Support</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4</v>
      </c>
      <c r="AZ13">
        <f>step3_validation[[#This Row],[AI_TRU4]]</f>
        <v>8</v>
      </c>
      <c r="BA13" t="str">
        <f t="shared" si="21"/>
        <v>Support</v>
      </c>
      <c r="BB13">
        <f>survey_responses[[#This Row],[Tôi thấy Nhà nước đã giải thích rõ ràng, minh bạch về lý do và mục tiêu của việc sửa đổi thuế lần này. - HUMAN-TRU4]]</f>
        <v>5</v>
      </c>
      <c r="BC13" t="str">
        <f t="shared" si="22"/>
        <v>Neutral</v>
      </c>
      <c r="BD13" s="32">
        <f t="shared" si="23"/>
        <v>3</v>
      </c>
      <c r="BE13">
        <f>step3_validation[[#This Row],[AI_OUT1]]</f>
        <v>9</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4</v>
      </c>
    </row>
    <row r="14" spans="1:61" x14ac:dyDescent="0.45">
      <c r="A14" s="30">
        <f>step3_validation[[#This Row],[Persona_ID]]</f>
        <v>13</v>
      </c>
      <c r="B14" s="31">
        <f>step3_validation[[#This Row],[Used_Seed]]</f>
        <v>54</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5</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3</v>
      </c>
      <c r="V14">
        <f>step3_validation[[#This Row],[AI_ENF2]]</f>
        <v>6</v>
      </c>
      <c r="W14" t="str">
        <f t="shared" si="3"/>
        <v>Neutral</v>
      </c>
      <c r="X14">
        <f>survey_responses[[#This Row],[Tôi tin rằng Nhà nước, cơ quan thuế có đủ khả năng và công nghệ để phát hiện, xử lý nghiêm các hành vi trốn thuế. - HUMAN-ENF2]]</f>
        <v>7</v>
      </c>
      <c r="Y14" t="str">
        <f t="shared" si="4"/>
        <v>Neutral</v>
      </c>
      <c r="Z14" s="32">
        <f t="shared" si="5"/>
        <v>1</v>
      </c>
      <c r="AA14">
        <f>step3_validation[[#This Row],[AI_FAC1]]</f>
        <v>8</v>
      </c>
      <c r="AB14" t="str">
        <f t="shared" si="6"/>
        <v>Support</v>
      </c>
      <c r="AC14">
        <f>survey_responses[[#This Row],[Các thủ tục khai báo thuế VÀ/HOẶC quy trình làm việc với cơ quan thuế đơn giản, tiện lợi, nhanh chóng hơn so với trước đây. - HUMAN-FAC1]]</f>
        <v>7</v>
      </c>
      <c r="AD14" t="str">
        <f t="shared" si="7"/>
        <v>Neutral</v>
      </c>
      <c r="AE14" s="32">
        <f t="shared" si="8"/>
        <v>1</v>
      </c>
      <c r="AF14">
        <f>step3_validation[[#This Row],[AI_FAC2]]</f>
        <v>7</v>
      </c>
      <c r="AG14" t="str">
        <f t="shared" si="9"/>
        <v>Neutral</v>
      </c>
      <c r="AH14">
        <f>survey_responses[[#This Row],[So với trước đây, tôi thấy cách tính thuế và các bậc thuế trong phương án mới đơn giản, dễ hiểu và dễ thực hiện hơn. - HUMAN-FAC2]]</f>
        <v>7</v>
      </c>
      <c r="AI14" t="str">
        <f t="shared" si="10"/>
        <v>Neutral</v>
      </c>
      <c r="AJ14" s="32">
        <f t="shared" si="11"/>
        <v>0</v>
      </c>
      <c r="AK14">
        <f>step3_validation[[#This Row],[AI_TRU1]]</f>
        <v>9</v>
      </c>
      <c r="AL14" t="str">
        <f t="shared" si="12"/>
        <v>Support</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2</v>
      </c>
      <c r="AP14">
        <f>step3_validation[[#This Row],[AI_TRU2]]</f>
        <v>8</v>
      </c>
      <c r="AQ14" t="str">
        <f t="shared" si="15"/>
        <v>Support</v>
      </c>
      <c r="AR14">
        <f>survey_responses[[#This Row],[Tôi thấy mức thuế tôi phải đóng theo phương án mới là công bằng (người thu nhập như tôi đóng mức này là hợp lý). - HUMAN-TRU2]]</f>
        <v>8</v>
      </c>
      <c r="AS14" t="str">
        <f t="shared" si="16"/>
        <v>Support</v>
      </c>
      <c r="AT14" s="32">
        <f t="shared" si="17"/>
        <v>0</v>
      </c>
      <c r="AU14">
        <f>step3_validation[[#This Row],[AI_TRU3]]</f>
        <v>9</v>
      </c>
      <c r="AV14" t="str">
        <f t="shared" si="18"/>
        <v>Support</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2</v>
      </c>
      <c r="AZ14">
        <f>step3_validation[[#This Row],[AI_TRU4]]</f>
        <v>7</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2">
        <f t="shared" si="23"/>
        <v>0</v>
      </c>
      <c r="BE14">
        <f>step3_validation[[#This Row],[AI_OUT1]]</f>
        <v>9</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2</v>
      </c>
    </row>
    <row r="15" spans="1:61" x14ac:dyDescent="0.45">
      <c r="A15" s="30">
        <f>step3_validation[[#This Row],[Persona_ID]]</f>
        <v>14</v>
      </c>
      <c r="B15" s="31">
        <f>step3_validation[[#This Row],[Used_Seed]]</f>
        <v>55</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19.483840115751267</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7</v>
      </c>
      <c r="R15" t="str">
        <f t="shared" si="0"/>
        <v>Neutral</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3</v>
      </c>
      <c r="V15">
        <f>step3_validation[[#This Row],[AI_ENF2]]</f>
        <v>6</v>
      </c>
      <c r="W15" t="str">
        <f t="shared" si="3"/>
        <v>Neutral</v>
      </c>
      <c r="X15">
        <f>survey_responses[[#This Row],[Tôi tin rằng Nhà nước, cơ quan thuế có đủ khả năng và công nghệ để phát hiện, xử lý nghiêm các hành vi trốn thuế. - HUMAN-ENF2]]</f>
        <v>10</v>
      </c>
      <c r="Y15" t="str">
        <f t="shared" si="4"/>
        <v>Support</v>
      </c>
      <c r="Z15" s="32">
        <f t="shared" si="5"/>
        <v>4</v>
      </c>
      <c r="AA15">
        <f>step3_validation[[#This Row],[AI_FAC1]]</f>
        <v>8</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2">
        <f t="shared" si="8"/>
        <v>0</v>
      </c>
      <c r="AF15">
        <f>step3_validation[[#This Row],[AI_FAC2]]</f>
        <v>9</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1</v>
      </c>
      <c r="AK15">
        <f>step3_validation[[#This Row],[AI_TRU1]]</f>
        <v>6</v>
      </c>
      <c r="AL15" t="str">
        <f t="shared" si="12"/>
        <v>Neutral</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2</v>
      </c>
      <c r="AP15">
        <f>step3_validation[[#This Row],[AI_TRU2]]</f>
        <v>8</v>
      </c>
      <c r="AQ15" t="str">
        <f t="shared" si="15"/>
        <v>Support</v>
      </c>
      <c r="AR15">
        <f>survey_responses[[#This Row],[Tôi thấy mức thuế tôi phải đóng theo phương án mới là công bằng (người thu nhập như tôi đóng mức này là hợp lý). - HUMAN-TRU2]]</f>
        <v>6</v>
      </c>
      <c r="AS15" t="str">
        <f t="shared" si="16"/>
        <v>Neutral</v>
      </c>
      <c r="AT15" s="32">
        <f t="shared" si="17"/>
        <v>2</v>
      </c>
      <c r="AU15">
        <f>step3_validation[[#This Row],[AI_TRU3]]</f>
        <v>7</v>
      </c>
      <c r="AV15" t="str">
        <f t="shared" si="18"/>
        <v>Neutral</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1</v>
      </c>
      <c r="AZ15">
        <f>step3_validation[[#This Row],[AI_TRU4]]</f>
        <v>6</v>
      </c>
      <c r="BA15" t="str">
        <f t="shared" si="21"/>
        <v>Neutral</v>
      </c>
      <c r="BB15">
        <f>survey_responses[[#This Row],[Tôi thấy Nhà nước đã giải thích rõ ràng, minh bạch về lý do và mục tiêu của việc sửa đổi thuế lần này. - HUMAN-TRU4]]</f>
        <v>5</v>
      </c>
      <c r="BC15" t="str">
        <f t="shared" si="22"/>
        <v>Neutral</v>
      </c>
      <c r="BD15" s="32">
        <f t="shared" si="23"/>
        <v>1</v>
      </c>
      <c r="BE15">
        <f>step3_validation[[#This Row],[AI_OUT1]]</f>
        <v>8</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3</v>
      </c>
    </row>
    <row r="16" spans="1:61" x14ac:dyDescent="0.45">
      <c r="A16" s="30">
        <f>step3_validation[[#This Row],[Persona_ID]]</f>
        <v>15</v>
      </c>
      <c r="B16" s="31">
        <f>step3_validation[[#This Row],[Used_Seed]]</f>
        <v>56</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36.542032616513914</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t="str">
        <f t="shared" si="0"/>
        <v>Neutral</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0</v>
      </c>
      <c r="V16">
        <f>step3_validation[[#This Row],[AI_ENF2]]</f>
        <v>8</v>
      </c>
      <c r="W16" t="str">
        <f t="shared" si="3"/>
        <v>Support</v>
      </c>
      <c r="X16">
        <f>survey_responses[[#This Row],[Tôi tin rằng Nhà nước, cơ quan thuế có đủ khả năng và công nghệ để phát hiện, xử lý nghiêm các hành vi trốn thuế. - HUMAN-ENF2]]</f>
        <v>9</v>
      </c>
      <c r="Y16" t="str">
        <f t="shared" si="4"/>
        <v>Support</v>
      </c>
      <c r="Z16" s="32">
        <f t="shared" si="5"/>
        <v>1</v>
      </c>
      <c r="AA16">
        <f>step3_validation[[#This Row],[AI_FAC1]]</f>
        <v>6</v>
      </c>
      <c r="AB16" t="str">
        <f t="shared" si="6"/>
        <v>Neutral</v>
      </c>
      <c r="AC16">
        <f>survey_responses[[#This Row],[Các thủ tục khai báo thuế VÀ/HOẶC quy trình làm việc với cơ quan thuế đơn giản, tiện lợi, nhanh chóng hơn so với trước đây. - HUMAN-FAC1]]</f>
        <v>3</v>
      </c>
      <c r="AD16" t="str">
        <f t="shared" si="7"/>
        <v>Oppose</v>
      </c>
      <c r="AE16" s="32">
        <f t="shared" si="8"/>
        <v>3</v>
      </c>
      <c r="AF16">
        <f>step3_validation[[#This Row],[AI_FAC2]]</f>
        <v>9</v>
      </c>
      <c r="AG16" t="str">
        <f t="shared" si="9"/>
        <v>Support</v>
      </c>
      <c r="AH16">
        <f>survey_responses[[#This Row],[So với trước đây, tôi thấy cách tính thuế và các bậc thuế trong phương án mới đơn giản, dễ hiểu và dễ thực hiện hơn. - HUMAN-FAC2]]</f>
        <v>6</v>
      </c>
      <c r="AI16" t="str">
        <f t="shared" si="10"/>
        <v>Neutral</v>
      </c>
      <c r="AJ16" s="32">
        <f t="shared" si="11"/>
        <v>3</v>
      </c>
      <c r="AK16">
        <f>step3_validation[[#This Row],[AI_TRU1]]</f>
        <v>7</v>
      </c>
      <c r="AL16" t="str">
        <f t="shared" si="12"/>
        <v>Neutral</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6</v>
      </c>
      <c r="AP16">
        <f>step3_validation[[#This Row],[AI_TRU2]]</f>
        <v>9</v>
      </c>
      <c r="AQ16" t="str">
        <f t="shared" si="15"/>
        <v>Support</v>
      </c>
      <c r="AR16">
        <f>survey_responses[[#This Row],[Tôi thấy mức thuế tôi phải đóng theo phương án mới là công bằng (người thu nhập như tôi đóng mức này là hợp lý). - HUMAN-TRU2]]</f>
        <v>1</v>
      </c>
      <c r="AS16" t="str">
        <f t="shared" si="16"/>
        <v>Oppose</v>
      </c>
      <c r="AT16" s="32">
        <f t="shared" si="17"/>
        <v>8</v>
      </c>
      <c r="AU16">
        <f>step3_validation[[#This Row],[AI_TRU3]]</f>
        <v>8</v>
      </c>
      <c r="AV16" t="str">
        <f t="shared" si="18"/>
        <v>Support</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7</v>
      </c>
      <c r="AZ16">
        <f>step3_validation[[#This Row],[AI_TRU4]]</f>
        <v>7</v>
      </c>
      <c r="BA16" t="str">
        <f t="shared" si="21"/>
        <v>Neutral</v>
      </c>
      <c r="BB16">
        <f>survey_responses[[#This Row],[Tôi thấy Nhà nước đã giải thích rõ ràng, minh bạch về lý do và mục tiêu của việc sửa đổi thuế lần này. - HUMAN-TRU4]]</f>
        <v>1</v>
      </c>
      <c r="BC16" t="str">
        <f t="shared" si="22"/>
        <v>Oppose</v>
      </c>
      <c r="BD16" s="32">
        <f t="shared" si="23"/>
        <v>6</v>
      </c>
      <c r="BE16">
        <f>step3_validation[[#This Row],[AI_OUT1]]</f>
        <v>9</v>
      </c>
      <c r="BF16" t="str">
        <f t="shared" si="24"/>
        <v>Support</v>
      </c>
      <c r="BG16">
        <f>survey_responses[[#This Row],[Sau khi xem xét các quyền lợi và nghĩa vụ, bạn có ủng hộ và tuân thủ chính sách mới hiện nay? - HUMAN-OUT1]]</f>
        <v>1</v>
      </c>
      <c r="BH16" t="str">
        <f t="shared" si="25"/>
        <v>Oppose</v>
      </c>
      <c r="BI16" s="32">
        <f t="shared" si="26"/>
        <v>8</v>
      </c>
    </row>
    <row r="17" spans="1:61" x14ac:dyDescent="0.45">
      <c r="A17" s="30">
        <f>step3_validation[[#This Row],[Persona_ID]]</f>
        <v>16</v>
      </c>
      <c r="B17" s="31">
        <f>step3_validation[[#This Row],[Used_Seed]]</f>
        <v>57</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91.383156706793713</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8</v>
      </c>
      <c r="R17" t="str">
        <f t="shared" si="0"/>
        <v>Support</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0</v>
      </c>
      <c r="V17">
        <f>step3_validation[[#This Row],[AI_ENF2]]</f>
        <v>9</v>
      </c>
      <c r="W17" t="str">
        <f t="shared" si="3"/>
        <v>Support</v>
      </c>
      <c r="X17">
        <f>survey_responses[[#This Row],[Tôi tin rằng Nhà nước, cơ quan thuế có đủ khả năng và công nghệ để phát hiện, xử lý nghiêm các hành vi trốn thuế. - HUMAN-ENF2]]</f>
        <v>8</v>
      </c>
      <c r="Y17" t="str">
        <f t="shared" si="4"/>
        <v>Support</v>
      </c>
      <c r="Z17" s="32">
        <f t="shared" si="5"/>
        <v>1</v>
      </c>
      <c r="AA17">
        <f>step3_validation[[#This Row],[AI_FAC1]]</f>
        <v>9</v>
      </c>
      <c r="AB17" t="str">
        <f t="shared" si="6"/>
        <v>Support</v>
      </c>
      <c r="AC17">
        <f>survey_responses[[#This Row],[Các thủ tục khai báo thuế VÀ/HOẶC quy trình làm việc với cơ quan thuế đơn giản, tiện lợi, nhanh chóng hơn so với trước đây. - HUMAN-FAC1]]</f>
        <v>8</v>
      </c>
      <c r="AD17" t="str">
        <f t="shared" si="7"/>
        <v>Support</v>
      </c>
      <c r="AE17" s="32">
        <f t="shared" si="8"/>
        <v>1</v>
      </c>
      <c r="AF17">
        <f>step3_validation[[#This Row],[AI_FAC2]]</f>
        <v>10</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9</v>
      </c>
      <c r="AL17" t="str">
        <f t="shared" si="12"/>
        <v>Support</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2</v>
      </c>
      <c r="AP17">
        <f>step3_validation[[#This Row],[AI_TRU2]]</f>
        <v>8</v>
      </c>
      <c r="AQ17" t="str">
        <f t="shared" si="15"/>
        <v>Support</v>
      </c>
      <c r="AR17">
        <f>survey_responses[[#This Row],[Tôi thấy mức thuế tôi phải đóng theo phương án mới là công bằng (người thu nhập như tôi đóng mức này là hợp lý). - HUMAN-TRU2]]</f>
        <v>7</v>
      </c>
      <c r="AS17" t="str">
        <f t="shared" si="16"/>
        <v>Neutral</v>
      </c>
      <c r="AT17" s="32">
        <f t="shared" si="17"/>
        <v>1</v>
      </c>
      <c r="AU17">
        <f>step3_validation[[#This Row],[AI_TRU3]]</f>
        <v>9</v>
      </c>
      <c r="AV17" t="str">
        <f t="shared" si="18"/>
        <v>Support</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0</v>
      </c>
      <c r="AZ17">
        <f>step3_validation[[#This Row],[AI_TRU4]]</f>
        <v>8</v>
      </c>
      <c r="BA17" t="str">
        <f t="shared" si="21"/>
        <v>Support</v>
      </c>
      <c r="BB17">
        <f>survey_responses[[#This Row],[Tôi thấy Nhà nước đã giải thích rõ ràng, minh bạch về lý do và mục tiêu của việc sửa đổi thuế lần này. - HUMAN-TRU4]]</f>
        <v>8</v>
      </c>
      <c r="BC17" t="str">
        <f t="shared" si="22"/>
        <v>Support</v>
      </c>
      <c r="BD17" s="32">
        <f t="shared" si="23"/>
        <v>0</v>
      </c>
      <c r="BE17">
        <f>step3_validation[[#This Row],[AI_OUT1]]</f>
        <v>9</v>
      </c>
      <c r="BF17" t="str">
        <f t="shared" si="24"/>
        <v>Support</v>
      </c>
      <c r="BG17">
        <f>survey_responses[[#This Row],[Sau khi xem xét các quyền lợi và nghĩa vụ, bạn có ủng hộ và tuân thủ chính sách mới hiện nay? - HUMAN-OUT1]]</f>
        <v>7</v>
      </c>
      <c r="BH17" t="str">
        <f t="shared" si="25"/>
        <v>Neutral</v>
      </c>
      <c r="BI17" s="32">
        <f t="shared" si="26"/>
        <v>2</v>
      </c>
    </row>
    <row r="18" spans="1:61" x14ac:dyDescent="0.45">
      <c r="A18" s="30">
        <f>step3_validation[[#This Row],[Persona_ID]]</f>
        <v>17</v>
      </c>
      <c r="B18" s="31">
        <f>step3_validation[[#This Row],[Used_Seed]]</f>
        <v>58</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19.406149604180847</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8</v>
      </c>
      <c r="R18" t="str">
        <f t="shared" si="0"/>
        <v>Support</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2</v>
      </c>
      <c r="V18">
        <f>step3_validation[[#This Row],[AI_ENF2]]</f>
        <v>9</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2</v>
      </c>
      <c r="AA18">
        <f>step3_validation[[#This Row],[AI_FAC1]]</f>
        <v>8</v>
      </c>
      <c r="AB18" t="str">
        <f t="shared" si="6"/>
        <v>Support</v>
      </c>
      <c r="AC18">
        <f>survey_responses[[#This Row],[Các thủ tục khai báo thuế VÀ/HOẶC quy trình làm việc với cơ quan thuế đơn giản, tiện lợi, nhanh chóng hơn so với trước đây. - HUMAN-FAC1]]</f>
        <v>5</v>
      </c>
      <c r="AD18" t="str">
        <f t="shared" si="7"/>
        <v>Neutral</v>
      </c>
      <c r="AE18" s="32">
        <f t="shared" si="8"/>
        <v>3</v>
      </c>
      <c r="AF18">
        <f>step3_validation[[#This Row],[AI_FAC2]]</f>
        <v>9</v>
      </c>
      <c r="AG18" t="str">
        <f t="shared" si="9"/>
        <v>Support</v>
      </c>
      <c r="AH18">
        <f>survey_responses[[#This Row],[So với trước đây, tôi thấy cách tính thuế và các bậc thuế trong phương án mới đơn giản, dễ hiểu và dễ thực hiện hơn. - HUMAN-FAC2]]</f>
        <v>5</v>
      </c>
      <c r="AI18" t="str">
        <f t="shared" si="10"/>
        <v>Neutral</v>
      </c>
      <c r="AJ18" s="32">
        <f t="shared" si="11"/>
        <v>4</v>
      </c>
      <c r="AK18">
        <f>step3_validation[[#This Row],[AI_TRU1]]</f>
        <v>8</v>
      </c>
      <c r="AL18" t="str">
        <f t="shared" si="12"/>
        <v>Support</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2</v>
      </c>
      <c r="AP18">
        <f>step3_validation[[#This Row],[AI_TRU2]]</f>
        <v>9</v>
      </c>
      <c r="AQ18" t="str">
        <f t="shared" si="15"/>
        <v>Support</v>
      </c>
      <c r="AR18">
        <f>survey_responses[[#This Row],[Tôi thấy mức thuế tôi phải đóng theo phương án mới là công bằng (người thu nhập như tôi đóng mức này là hợp lý). - HUMAN-TRU2]]</f>
        <v>7</v>
      </c>
      <c r="AS18" t="str">
        <f t="shared" si="16"/>
        <v>Neutral</v>
      </c>
      <c r="AT18" s="32">
        <f t="shared" si="17"/>
        <v>2</v>
      </c>
      <c r="AU18">
        <f>step3_validation[[#This Row],[AI_TRU3]]</f>
        <v>8</v>
      </c>
      <c r="AV18" t="str">
        <f t="shared" si="18"/>
        <v>Support</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5</v>
      </c>
      <c r="AZ18">
        <f>step3_validation[[#This Row],[AI_TRU4]]</f>
        <v>9</v>
      </c>
      <c r="BA18" t="str">
        <f t="shared" si="21"/>
        <v>Support</v>
      </c>
      <c r="BB18">
        <f>survey_responses[[#This Row],[Tôi thấy Nhà nước đã giải thích rõ ràng, minh bạch về lý do và mục tiêu của việc sửa đổi thuế lần này. - HUMAN-TRU4]]</f>
        <v>4</v>
      </c>
      <c r="BC18" t="str">
        <f t="shared" si="22"/>
        <v>Oppose</v>
      </c>
      <c r="BD18" s="32">
        <f t="shared" si="23"/>
        <v>5</v>
      </c>
      <c r="BE18">
        <f>step3_validation[[#This Row],[AI_OUT1]]</f>
        <v>9</v>
      </c>
      <c r="BF18" t="str">
        <f t="shared" si="24"/>
        <v>Support</v>
      </c>
      <c r="BG18">
        <f>survey_responses[[#This Row],[Sau khi xem xét các quyền lợi và nghĩa vụ, bạn có ủng hộ và tuân thủ chính sách mới hiện nay? - HUMAN-OUT1]]</f>
        <v>5</v>
      </c>
      <c r="BH18" t="str">
        <f t="shared" si="25"/>
        <v>Neutral</v>
      </c>
      <c r="BI18" s="32">
        <f t="shared" si="26"/>
        <v>4</v>
      </c>
    </row>
    <row r="19" spans="1:61" x14ac:dyDescent="0.45">
      <c r="A19" s="30">
        <f>step3_validation[[#This Row],[Persona_ID]]</f>
        <v>18</v>
      </c>
      <c r="B19" s="31">
        <f>step3_validation[[#This Row],[Used_Seed]]</f>
        <v>59</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15.487894146924615</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t="str">
        <f t="shared" si="0"/>
        <v>Neutral</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1</v>
      </c>
      <c r="V19">
        <f>step3_validation[[#This Row],[AI_ENF2]]</f>
        <v>8</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0</v>
      </c>
      <c r="AA19">
        <f>step3_validation[[#This Row],[AI_FAC1]]</f>
        <v>7</v>
      </c>
      <c r="AB19" t="str">
        <f t="shared" si="6"/>
        <v>Neutral</v>
      </c>
      <c r="AC19">
        <f>survey_responses[[#This Row],[Các thủ tục khai báo thuế VÀ/HOẶC quy trình làm việc với cơ quan thuế đơn giản, tiện lợi, nhanh chóng hơn so với trước đây. - HUMAN-FAC1]]</f>
        <v>7</v>
      </c>
      <c r="AD19" t="str">
        <f t="shared" si="7"/>
        <v>Neutral</v>
      </c>
      <c r="AE19" s="32">
        <f t="shared" si="8"/>
        <v>0</v>
      </c>
      <c r="AF19">
        <f>step3_validation[[#This Row],[AI_FAC2]]</f>
        <v>9</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1</v>
      </c>
      <c r="AK19">
        <f>step3_validation[[#This Row],[AI_TRU1]]</f>
        <v>6</v>
      </c>
      <c r="AL19" t="str">
        <f t="shared" si="12"/>
        <v>Neutral</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2</v>
      </c>
      <c r="AP19">
        <f>step3_validation[[#This Row],[AI_TRU2]]</f>
        <v>8</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1</v>
      </c>
      <c r="AU19">
        <f>step3_validation[[#This Row],[AI_TRU3]]</f>
        <v>7</v>
      </c>
      <c r="AV19" t="str">
        <f t="shared" si="18"/>
        <v>Neutral</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0</v>
      </c>
      <c r="AZ19">
        <f>step3_validation[[#This Row],[AI_TRU4]]</f>
        <v>6</v>
      </c>
      <c r="BA19" t="str">
        <f t="shared" si="21"/>
        <v>Neutral</v>
      </c>
      <c r="BB19">
        <f>survey_responses[[#This Row],[Tôi thấy Nhà nước đã giải thích rõ ràng, minh bạch về lý do và mục tiêu của việc sửa đổi thuế lần này. - HUMAN-TRU4]]</f>
        <v>6</v>
      </c>
      <c r="BC19" t="str">
        <f t="shared" si="22"/>
        <v>Neutral</v>
      </c>
      <c r="BD19" s="32">
        <f t="shared" si="23"/>
        <v>0</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60</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210.91384645517641</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t="str">
        <f t="shared" si="0"/>
        <v>Neutral</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3</v>
      </c>
      <c r="V20">
        <f>step3_validation[[#This Row],[AI_ENF2]]</f>
        <v>6</v>
      </c>
      <c r="W20" t="str">
        <f t="shared" si="3"/>
        <v>Neutral</v>
      </c>
      <c r="X20">
        <f>survey_responses[[#This Row],[Tôi tin rằng Nhà nước, cơ quan thuế có đủ khả năng và công nghệ để phát hiện, xử lý nghiêm các hành vi trốn thuế. - HUMAN-ENF2]]</f>
        <v>10</v>
      </c>
      <c r="Y20" t="str">
        <f t="shared" si="4"/>
        <v>Support</v>
      </c>
      <c r="Z20" s="32">
        <f t="shared" si="5"/>
        <v>4</v>
      </c>
      <c r="AA20">
        <f>step3_validation[[#This Row],[AI_FAC1]]</f>
        <v>8</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2">
        <f t="shared" si="8"/>
        <v>3</v>
      </c>
      <c r="AF20">
        <f>step3_validation[[#This Row],[AI_FAC2]]</f>
        <v>9</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2">
        <f t="shared" si="11"/>
        <v>4</v>
      </c>
      <c r="AK20">
        <f>step3_validation[[#This Row],[AI_TRU1]]</f>
        <v>8</v>
      </c>
      <c r="AL20" t="str">
        <f t="shared" si="12"/>
        <v>Support</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3</v>
      </c>
      <c r="AP20">
        <f>step3_validation[[#This Row],[AI_TRU2]]</f>
        <v>9</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2">
        <f t="shared" si="17"/>
        <v>6</v>
      </c>
      <c r="AU20">
        <f>step3_validation[[#This Row],[AI_TRU3]]</f>
        <v>7</v>
      </c>
      <c r="AV20" t="str">
        <f t="shared" si="18"/>
        <v>Neutral</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5</v>
      </c>
      <c r="AZ20">
        <f>step3_validation[[#This Row],[AI_TRU4]]</f>
        <v>8</v>
      </c>
      <c r="BA20" t="str">
        <f t="shared" si="21"/>
        <v>Support</v>
      </c>
      <c r="BB20">
        <f>survey_responses[[#This Row],[Tôi thấy Nhà nước đã giải thích rõ ràng, minh bạch về lý do và mục tiêu của việc sửa đổi thuế lần này. - HUMAN-TRU4]]</f>
        <v>5</v>
      </c>
      <c r="BC20" t="str">
        <f t="shared" si="22"/>
        <v>Neutral</v>
      </c>
      <c r="BD20" s="32">
        <f t="shared" si="23"/>
        <v>3</v>
      </c>
      <c r="BE20">
        <f>step3_validation[[#This Row],[AI_OUT1]]</f>
        <v>9</v>
      </c>
      <c r="BF20" t="str">
        <f t="shared" si="24"/>
        <v>Support</v>
      </c>
      <c r="BG20">
        <f>survey_responses[[#This Row],[Sau khi xem xét các quyền lợi và nghĩa vụ, bạn có ủng hộ và tuân thủ chính sách mới hiện nay? - HUMAN-OUT1]]</f>
        <v>8</v>
      </c>
      <c r="BH20" t="str">
        <f t="shared" si="25"/>
        <v>Support</v>
      </c>
      <c r="BI20" s="32">
        <f t="shared" si="26"/>
        <v>1</v>
      </c>
    </row>
    <row r="21" spans="1:61" x14ac:dyDescent="0.45">
      <c r="A21" s="30">
        <f>step3_validation[[#This Row],[Persona_ID]]</f>
        <v>20</v>
      </c>
      <c r="B21" s="31">
        <f>step3_validation[[#This Row],[Used_Seed]]</f>
        <v>61</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65.060057414795708</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7</v>
      </c>
      <c r="R21" t="str">
        <f t="shared" si="0"/>
        <v>Neutral</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2</v>
      </c>
      <c r="V21">
        <f>step3_validation[[#This Row],[AI_ENF2]]</f>
        <v>8</v>
      </c>
      <c r="W21" t="str">
        <f t="shared" si="3"/>
        <v>Support</v>
      </c>
      <c r="X21">
        <f>survey_responses[[#This Row],[Tôi tin rằng Nhà nước, cơ quan thuế có đủ khả năng và công nghệ để phát hiện, xử lý nghiêm các hành vi trốn thuế. - HUMAN-ENF2]]</f>
        <v>9</v>
      </c>
      <c r="Y21" t="str">
        <f t="shared" si="4"/>
        <v>Support</v>
      </c>
      <c r="Z21" s="32">
        <f t="shared" si="5"/>
        <v>1</v>
      </c>
      <c r="AA21">
        <f>step3_validation[[#This Row],[AI_FAC1]]</f>
        <v>9</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2">
        <f t="shared" si="8"/>
        <v>2</v>
      </c>
      <c r="AF21">
        <f>step3_validation[[#This Row],[AI_FAC2]]</f>
        <v>9</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0</v>
      </c>
      <c r="AK21">
        <f>step3_validation[[#This Row],[AI_TRU1]]</f>
        <v>7</v>
      </c>
      <c r="AL21" t="str">
        <f t="shared" si="12"/>
        <v>Neutral</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0</v>
      </c>
      <c r="AP21">
        <f>step3_validation[[#This Row],[AI_TRU2]]</f>
        <v>8</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2">
        <f t="shared" si="17"/>
        <v>0</v>
      </c>
      <c r="AU21">
        <f>step3_validation[[#This Row],[AI_TRU3]]</f>
        <v>7</v>
      </c>
      <c r="AV21" t="str">
        <f t="shared" si="18"/>
        <v>Neutral</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2</v>
      </c>
      <c r="AZ21">
        <f>step3_validation[[#This Row],[AI_TRU4]]</f>
        <v>6</v>
      </c>
      <c r="BA21" t="str">
        <f t="shared" si="21"/>
        <v>Neutral</v>
      </c>
      <c r="BB21">
        <f>survey_responses[[#This Row],[Tôi thấy Nhà nước đã giải thích rõ ràng, minh bạch về lý do và mục tiêu của việc sửa đổi thuế lần này. - HUMAN-TRU4]]</f>
        <v>5</v>
      </c>
      <c r="BC21" t="str">
        <f t="shared" si="22"/>
        <v>Neutral</v>
      </c>
      <c r="BD21" s="32">
        <f t="shared" si="23"/>
        <v>1</v>
      </c>
      <c r="BE21">
        <f>step3_validation[[#This Row],[AI_OUT1]]</f>
        <v>8</v>
      </c>
      <c r="BF21" t="str">
        <f t="shared" si="24"/>
        <v>Support</v>
      </c>
      <c r="BG21">
        <f>survey_responses[[#This Row],[Sau khi xem xét các quyền lợi và nghĩa vụ, bạn có ủng hộ và tuân thủ chính sách mới hiện nay? - HUMAN-OUT1]]</f>
        <v>6</v>
      </c>
      <c r="BH21" t="str">
        <f t="shared" si="25"/>
        <v>Neutral</v>
      </c>
      <c r="BI21" s="32">
        <f t="shared" si="26"/>
        <v>2</v>
      </c>
    </row>
    <row r="22" spans="1:61" x14ac:dyDescent="0.45">
      <c r="A22" s="30">
        <f>step3_validation[[#This Row],[Persona_ID]]</f>
        <v>21</v>
      </c>
      <c r="B22" s="31">
        <f>step3_validation[[#This Row],[Used_Seed]]</f>
        <v>62</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156.3407739523318</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8</v>
      </c>
      <c r="R22" t="str">
        <f t="shared" si="0"/>
        <v>Support</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2</v>
      </c>
      <c r="V22">
        <f>step3_validation[[#This Row],[AI_ENF2]]</f>
        <v>9</v>
      </c>
      <c r="W22" t="str">
        <f t="shared" si="3"/>
        <v>Support</v>
      </c>
      <c r="X22">
        <f>survey_responses[[#This Row],[Tôi tin rằng Nhà nước, cơ quan thuế có đủ khả năng và công nghệ để phát hiện, xử lý nghiêm các hành vi trốn thuế. - HUMAN-ENF2]]</f>
        <v>10</v>
      </c>
      <c r="Y22" t="str">
        <f t="shared" si="4"/>
        <v>Support</v>
      </c>
      <c r="Z22" s="32">
        <f t="shared" si="5"/>
        <v>1</v>
      </c>
      <c r="AA22">
        <f>step3_validation[[#This Row],[AI_FAC1]]</f>
        <v>8</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0</v>
      </c>
      <c r="AF22">
        <f>step3_validation[[#This Row],[AI_FAC2]]</f>
        <v>9</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2</v>
      </c>
      <c r="AK22">
        <f>step3_validation[[#This Row],[AI_TRU1]]</f>
        <v>8</v>
      </c>
      <c r="AL22" t="str">
        <f t="shared" si="12"/>
        <v>Support</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1</v>
      </c>
      <c r="AP22">
        <f>step3_validation[[#This Row],[AI_TRU2]]</f>
        <v>9</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2">
        <f t="shared" si="17"/>
        <v>2</v>
      </c>
      <c r="AU22">
        <f>step3_validation[[#This Row],[AI_TRU3]]</f>
        <v>8</v>
      </c>
      <c r="AV22" t="str">
        <f t="shared" si="18"/>
        <v>Support</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6</v>
      </c>
      <c r="AZ22">
        <f>step3_validation[[#This Row],[AI_TRU4]]</f>
        <v>9</v>
      </c>
      <c r="BA22" t="str">
        <f t="shared" si="21"/>
        <v>Support</v>
      </c>
      <c r="BB22">
        <f>survey_responses[[#This Row],[Tôi thấy Nhà nước đã giải thích rõ ràng, minh bạch về lý do và mục tiêu của việc sửa đổi thuế lần này. - HUMAN-TRU4]]</f>
        <v>3</v>
      </c>
      <c r="BC22" t="str">
        <f t="shared" si="22"/>
        <v>Oppose</v>
      </c>
      <c r="BD22" s="32">
        <f t="shared" si="23"/>
        <v>6</v>
      </c>
      <c r="BE22">
        <f>step3_validation[[#This Row],[AI_OUT1]]</f>
        <v>9</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6</v>
      </c>
    </row>
    <row r="23" spans="1:61" x14ac:dyDescent="0.45">
      <c r="A23" s="30">
        <f>step3_validation[[#This Row],[Persona_ID]]</f>
        <v>22</v>
      </c>
      <c r="B23" s="31">
        <f>step3_validation[[#This Row],[Used_Seed]]</f>
        <v>63</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15.17780202053744</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t="str">
        <f t="shared" si="0"/>
        <v>Neutral</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1</v>
      </c>
      <c r="V23">
        <f>step3_validation[[#This Row],[AI_ENF2]]</f>
        <v>8</v>
      </c>
      <c r="W23" t="str">
        <f t="shared" si="3"/>
        <v>Support</v>
      </c>
      <c r="X23">
        <f>survey_responses[[#This Row],[Tôi tin rằng Nhà nước, cơ quan thuế có đủ khả năng và công nghệ để phát hiện, xử lý nghiêm các hành vi trốn thuế. - HUMAN-ENF2]]</f>
        <v>8</v>
      </c>
      <c r="Y23" t="str">
        <f t="shared" si="4"/>
        <v>Support</v>
      </c>
      <c r="Z23" s="32">
        <f t="shared" si="5"/>
        <v>0</v>
      </c>
      <c r="AA23">
        <f>step3_validation[[#This Row],[AI_FAC1]]</f>
        <v>9</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4</v>
      </c>
      <c r="AF23">
        <f>step3_validation[[#This Row],[AI_FAC2]]</f>
        <v>9</v>
      </c>
      <c r="AG23" t="str">
        <f t="shared" si="9"/>
        <v>Support</v>
      </c>
      <c r="AH23">
        <f>survey_responses[[#This Row],[So với trước đây, tôi thấy cách tính thuế và các bậc thuế trong phương án mới đơn giản, dễ hiểu và dễ thực hiện hơn. - HUMAN-FAC2]]</f>
        <v>8</v>
      </c>
      <c r="AI23" t="str">
        <f t="shared" si="10"/>
        <v>Support</v>
      </c>
      <c r="AJ23" s="32">
        <f t="shared" si="11"/>
        <v>1</v>
      </c>
      <c r="AK23">
        <f>step3_validation[[#This Row],[AI_TRU1]]</f>
        <v>8</v>
      </c>
      <c r="AL23" t="str">
        <f t="shared" si="12"/>
        <v>Support</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0</v>
      </c>
      <c r="AP23">
        <f>step3_validation[[#This Row],[AI_TRU2]]</f>
        <v>9</v>
      </c>
      <c r="AQ23" t="str">
        <f t="shared" si="15"/>
        <v>Support</v>
      </c>
      <c r="AR23">
        <f>survey_responses[[#This Row],[Tôi thấy mức thuế tôi phải đóng theo phương án mới là công bằng (người thu nhập như tôi đóng mức này là hợp lý). - HUMAN-TRU2]]</f>
        <v>8</v>
      </c>
      <c r="AS23" t="str">
        <f t="shared" si="16"/>
        <v>Support</v>
      </c>
      <c r="AT23" s="32">
        <f t="shared" si="17"/>
        <v>1</v>
      </c>
      <c r="AU23">
        <f>step3_validation[[#This Row],[AI_TRU3]]</f>
        <v>8</v>
      </c>
      <c r="AV23" t="str">
        <f t="shared" si="18"/>
        <v>Support</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0</v>
      </c>
      <c r="AZ23">
        <f>step3_validation[[#This Row],[AI_TRU4]]</f>
        <v>7</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1</v>
      </c>
      <c r="BE23">
        <f>step3_validation[[#This Row],[AI_OUT1]]</f>
        <v>9</v>
      </c>
      <c r="BF23" t="str">
        <f t="shared" si="24"/>
        <v>Support</v>
      </c>
      <c r="BG23">
        <f>survey_responses[[#This Row],[Sau khi xem xét các quyền lợi và nghĩa vụ, bạn có ủng hộ và tuân thủ chính sách mới hiện nay? - HUMAN-OUT1]]</f>
        <v>8</v>
      </c>
      <c r="BH23" t="str">
        <f t="shared" si="25"/>
        <v>Support</v>
      </c>
      <c r="BI23" s="32">
        <f t="shared" si="26"/>
        <v>1</v>
      </c>
    </row>
    <row r="24" spans="1:61" x14ac:dyDescent="0.45">
      <c r="A24" s="30">
        <f>step3_validation[[#This Row],[Persona_ID]]</f>
        <v>23</v>
      </c>
      <c r="B24" s="31">
        <f>step3_validation[[#This Row],[Used_Seed]]</f>
        <v>64</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90.91008276878496</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8</v>
      </c>
      <c r="R24" t="str">
        <f t="shared" si="0"/>
        <v>Support</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3</v>
      </c>
      <c r="V24">
        <f>step3_validation[[#This Row],[AI_ENF2]]</f>
        <v>7</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2</v>
      </c>
      <c r="AA24">
        <f>step3_validation[[#This Row],[AI_FAC1]]</f>
        <v>9</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2">
        <f t="shared" si="8"/>
        <v>4</v>
      </c>
      <c r="AF24">
        <f>step3_validation[[#This Row],[AI_FAC2]]</f>
        <v>8</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2">
        <f t="shared" si="11"/>
        <v>3</v>
      </c>
      <c r="AK24">
        <f>step3_validation[[#This Row],[AI_TRU1]]</f>
        <v>9</v>
      </c>
      <c r="AL24" t="str">
        <f t="shared" si="12"/>
        <v>Support</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4</v>
      </c>
      <c r="AP24">
        <f>step3_validation[[#This Row],[AI_TRU2]]</f>
        <v>8</v>
      </c>
      <c r="AQ24" t="str">
        <f t="shared" si="15"/>
        <v>Support</v>
      </c>
      <c r="AR24">
        <f>survey_responses[[#This Row],[Tôi thấy mức thuế tôi phải đóng theo phương án mới là công bằng (người thu nhập như tôi đóng mức này là hợp lý). - HUMAN-TRU2]]</f>
        <v>5</v>
      </c>
      <c r="AS24" t="str">
        <f t="shared" si="16"/>
        <v>Neutral</v>
      </c>
      <c r="AT24" s="32">
        <f t="shared" si="17"/>
        <v>3</v>
      </c>
      <c r="AU24">
        <f>step3_validation[[#This Row],[AI_TRU3]]</f>
        <v>9</v>
      </c>
      <c r="AV24" t="str">
        <f t="shared" si="18"/>
        <v>Support</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4</v>
      </c>
      <c r="AZ24">
        <f>step3_validation[[#This Row],[AI_TRU4]]</f>
        <v>8</v>
      </c>
      <c r="BA24" t="str">
        <f t="shared" si="21"/>
        <v>Support</v>
      </c>
      <c r="BB24">
        <f>survey_responses[[#This Row],[Tôi thấy Nhà nước đã giải thích rõ ràng, minh bạch về lý do và mục tiêu của việc sửa đổi thuế lần này. - HUMAN-TRU4]]</f>
        <v>5</v>
      </c>
      <c r="BC24" t="str">
        <f t="shared" si="22"/>
        <v>Neutral</v>
      </c>
      <c r="BD24" s="32">
        <f t="shared" si="23"/>
        <v>3</v>
      </c>
      <c r="BE24">
        <f>step3_validation[[#This Row],[AI_OUT1]]</f>
        <v>9</v>
      </c>
      <c r="BF24" t="str">
        <f t="shared" si="24"/>
        <v>Support</v>
      </c>
      <c r="BG24">
        <f>survey_responses[[#This Row],[Sau khi xem xét các quyền lợi và nghĩa vụ, bạn có ủng hộ và tuân thủ chính sách mới hiện nay? - HUMAN-OUT1]]</f>
        <v>5</v>
      </c>
      <c r="BH24" t="str">
        <f t="shared" si="25"/>
        <v>Neutral</v>
      </c>
      <c r="BI24" s="32">
        <f t="shared" si="26"/>
        <v>4</v>
      </c>
    </row>
    <row r="25" spans="1:61" x14ac:dyDescent="0.45">
      <c r="A25" s="30">
        <f>step3_validation[[#This Row],[Persona_ID]]</f>
        <v>24</v>
      </c>
      <c r="B25" s="31">
        <f>step3_validation[[#This Row],[Used_Seed]]</f>
        <v>65</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24.600300732680093</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9</v>
      </c>
      <c r="R25" t="str">
        <f t="shared" si="0"/>
        <v>Support</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0</v>
      </c>
      <c r="V25">
        <f>step3_validation[[#This Row],[AI_ENF2]]</f>
        <v>7</v>
      </c>
      <c r="W25" t="str">
        <f t="shared" si="3"/>
        <v>Neutral</v>
      </c>
      <c r="X25">
        <f>survey_responses[[#This Row],[Tôi tin rằng Nhà nước, cơ quan thuế có đủ khả năng và công nghệ để phát hiện, xử lý nghiêm các hành vi trốn thuế. - HUMAN-ENF2]]</f>
        <v>8</v>
      </c>
      <c r="Y25" t="str">
        <f t="shared" si="4"/>
        <v>Support</v>
      </c>
      <c r="Z25" s="32">
        <f t="shared" si="5"/>
        <v>1</v>
      </c>
      <c r="AA25">
        <f>step3_validation[[#This Row],[AI_FAC1]]</f>
        <v>9</v>
      </c>
      <c r="AB25" t="str">
        <f t="shared" si="6"/>
        <v>Support</v>
      </c>
      <c r="AC25">
        <f>survey_responses[[#This Row],[Các thủ tục khai báo thuế VÀ/HOẶC quy trình làm việc với cơ quan thuế đơn giản, tiện lợi, nhanh chóng hơn so với trước đây. - HUMAN-FAC1]]</f>
        <v>6</v>
      </c>
      <c r="AD25" t="str">
        <f t="shared" si="7"/>
        <v>Neutral</v>
      </c>
      <c r="AE25" s="32">
        <f t="shared" si="8"/>
        <v>3</v>
      </c>
      <c r="AF25">
        <f>step3_validation[[#This Row],[AI_FAC2]]</f>
        <v>8</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1</v>
      </c>
      <c r="AK25">
        <f>step3_validation[[#This Row],[AI_TRU1]]</f>
        <v>9</v>
      </c>
      <c r="AL25" t="str">
        <f t="shared" si="12"/>
        <v>Support</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9</v>
      </c>
      <c r="AV25" t="str">
        <f t="shared" si="18"/>
        <v>Support</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3</v>
      </c>
      <c r="AZ25">
        <f>step3_validation[[#This Row],[AI_TRU4]]</f>
        <v>8</v>
      </c>
      <c r="BA25" t="str">
        <f t="shared" si="21"/>
        <v>Support</v>
      </c>
      <c r="BB25">
        <f>survey_responses[[#This Row],[Tôi thấy Nhà nước đã giải thích rõ ràng, minh bạch về lý do và mục tiêu của việc sửa đổi thuế lần này. - HUMAN-TRU4]]</f>
        <v>6</v>
      </c>
      <c r="BC25" t="str">
        <f t="shared" si="22"/>
        <v>Neutral</v>
      </c>
      <c r="BD25" s="32">
        <f t="shared" si="23"/>
        <v>2</v>
      </c>
      <c r="BE25">
        <f>step3_validation[[#This Row],[AI_OUT1]]</f>
        <v>9</v>
      </c>
      <c r="BF25" t="str">
        <f t="shared" si="24"/>
        <v>Support</v>
      </c>
      <c r="BG25">
        <f>survey_responses[[#This Row],[Sau khi xem xét các quyền lợi và nghĩa vụ, bạn có ủng hộ và tuân thủ chính sách mới hiện nay? - HUMAN-OUT1]]</f>
        <v>8</v>
      </c>
      <c r="BH25" t="str">
        <f t="shared" si="25"/>
        <v>Support</v>
      </c>
      <c r="BI25" s="32">
        <f t="shared" si="26"/>
        <v>1</v>
      </c>
    </row>
    <row r="26" spans="1:61" x14ac:dyDescent="0.45">
      <c r="A26" s="30">
        <f>step3_validation[[#This Row],[Persona_ID]]</f>
        <v>25</v>
      </c>
      <c r="B26" s="31">
        <f>step3_validation[[#This Row],[Used_Seed]]</f>
        <v>66</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33.604279442095795</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7</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0</v>
      </c>
      <c r="AA26">
        <f>step3_validation[[#This Row],[AI_FAC1]]</f>
        <v>8</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3</v>
      </c>
      <c r="AF26">
        <f>step3_validation[[#This Row],[AI_FAC2]]</f>
        <v>9</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2">
        <f t="shared" si="11"/>
        <v>3</v>
      </c>
      <c r="AK26">
        <f>step3_validation[[#This Row],[AI_TRU1]]</f>
        <v>8</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1</v>
      </c>
      <c r="AP26">
        <f>step3_validation[[#This Row],[AI_TRU2]]</f>
        <v>9</v>
      </c>
      <c r="AQ26" t="str">
        <f t="shared" si="15"/>
        <v>Support</v>
      </c>
      <c r="AR26">
        <f>survey_responses[[#This Row],[Tôi thấy mức thuế tôi phải đóng theo phương án mới là công bằng (người thu nhập như tôi đóng mức này là hợp lý). - HUMAN-TRU2]]</f>
        <v>7</v>
      </c>
      <c r="AS26" t="str">
        <f t="shared" si="16"/>
        <v>Neutral</v>
      </c>
      <c r="AT26" s="32">
        <f t="shared" si="17"/>
        <v>2</v>
      </c>
      <c r="AU26">
        <f>step3_validation[[#This Row],[AI_TRU3]]</f>
        <v>8</v>
      </c>
      <c r="AV26" t="str">
        <f t="shared" si="18"/>
        <v>Support</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5</v>
      </c>
      <c r="AZ26">
        <f>step3_validation[[#This Row],[AI_TRU4]]</f>
        <v>7</v>
      </c>
      <c r="BA26" t="str">
        <f t="shared" si="21"/>
        <v>Neutral</v>
      </c>
      <c r="BB26">
        <f>survey_responses[[#This Row],[Tôi thấy Nhà nước đã giải thích rõ ràng, minh bạch về lý do và mục tiêu của việc sửa đổi thuế lần này. - HUMAN-TRU4]]</f>
        <v>3</v>
      </c>
      <c r="BC26" t="str">
        <f t="shared" si="22"/>
        <v>Oppose</v>
      </c>
      <c r="BD26" s="32">
        <f t="shared" si="23"/>
        <v>4</v>
      </c>
      <c r="BE26">
        <f>step3_validation[[#This Row],[AI_OUT1]]</f>
        <v>9</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4</v>
      </c>
    </row>
    <row r="27" spans="1:61" x14ac:dyDescent="0.45">
      <c r="A27" s="30">
        <f>step3_validation[[#This Row],[Persona_ID]]</f>
        <v>26</v>
      </c>
      <c r="B27" s="31">
        <f>step3_validation[[#This Row],[Used_Seed]]</f>
        <v>67</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9</v>
      </c>
      <c r="R27" t="str">
        <f t="shared" si="0"/>
        <v>Support</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1</v>
      </c>
      <c r="V27">
        <f>step3_validation[[#This Row],[AI_ENF2]]</f>
        <v>8</v>
      </c>
      <c r="W27" t="str">
        <f t="shared" si="3"/>
        <v>Support</v>
      </c>
      <c r="X27">
        <f>survey_responses[[#This Row],[Tôi tin rằng Nhà nước, cơ quan thuế có đủ khả năng và công nghệ để phát hiện, xử lý nghiêm các hành vi trốn thuế. - HUMAN-ENF2]]</f>
        <v>10</v>
      </c>
      <c r="Y27" t="str">
        <f t="shared" si="4"/>
        <v>Support</v>
      </c>
      <c r="Z27" s="32">
        <f t="shared" si="5"/>
        <v>2</v>
      </c>
      <c r="AA27">
        <f>step3_validation[[#This Row],[AI_FAC1]]</f>
        <v>9</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2">
        <f t="shared" si="8"/>
        <v>1</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2</v>
      </c>
      <c r="AK27">
        <f>step3_validation[[#This Row],[AI_TRU1]]</f>
        <v>9</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3</v>
      </c>
      <c r="AP27">
        <f>step3_validation[[#This Row],[AI_TRU2]]</f>
        <v>8</v>
      </c>
      <c r="AQ27" t="str">
        <f t="shared" si="15"/>
        <v>Support</v>
      </c>
      <c r="AR27">
        <f>survey_responses[[#This Row],[Tôi thấy mức thuế tôi phải đóng theo phương án mới là công bằng (người thu nhập như tôi đóng mức này là hợp lý). - HUMAN-TRU2]]</f>
        <v>10</v>
      </c>
      <c r="AS27" t="str">
        <f t="shared" si="16"/>
        <v>Support</v>
      </c>
      <c r="AT27" s="32">
        <f t="shared" si="17"/>
        <v>2</v>
      </c>
      <c r="AU27">
        <f>step3_validation[[#This Row],[AI_TRU3]]</f>
        <v>9</v>
      </c>
      <c r="AV27" t="str">
        <f t="shared" si="18"/>
        <v>Support</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8</v>
      </c>
      <c r="AZ27">
        <f>step3_validation[[#This Row],[AI_TRU4]]</f>
        <v>8</v>
      </c>
      <c r="BA27" t="str">
        <f t="shared" si="21"/>
        <v>Support</v>
      </c>
      <c r="BB27">
        <f>survey_responses[[#This Row],[Tôi thấy Nhà nước đã giải thích rõ ràng, minh bạch về lý do và mục tiêu của việc sửa đổi thuế lần này. - HUMAN-TRU4]]</f>
        <v>4</v>
      </c>
      <c r="BC27" t="str">
        <f t="shared" si="22"/>
        <v>Oppose</v>
      </c>
      <c r="BD27" s="32">
        <f t="shared" si="23"/>
        <v>4</v>
      </c>
      <c r="BE27">
        <f>step3_validation[[#This Row],[AI_OUT1]]</f>
        <v>9</v>
      </c>
      <c r="BF27" t="str">
        <f t="shared" si="24"/>
        <v>Support</v>
      </c>
      <c r="BG27">
        <f>survey_responses[[#This Row],[Sau khi xem xét các quyền lợi và nghĩa vụ, bạn có ủng hộ và tuân thủ chính sách mới hiện nay? - HUMAN-OUT1]]</f>
        <v>10</v>
      </c>
      <c r="BH27" t="str">
        <f t="shared" si="25"/>
        <v>Support</v>
      </c>
      <c r="BI27" s="32">
        <f t="shared" si="26"/>
        <v>1</v>
      </c>
    </row>
    <row r="28" spans="1:61" x14ac:dyDescent="0.45">
      <c r="A28" s="30">
        <f>step3_validation[[#This Row],[Persona_ID]]</f>
        <v>27</v>
      </c>
      <c r="B28" s="31">
        <f>step3_validation[[#This Row],[Used_Seed]]</f>
        <v>68</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6</v>
      </c>
      <c r="V28">
        <f>step3_validation[[#This Row],[AI_ENF2]]</f>
        <v>6</v>
      </c>
      <c r="W28" t="str">
        <f t="shared" si="3"/>
        <v>Neutral</v>
      </c>
      <c r="X28">
        <f>survey_responses[[#This Row],[Tôi tin rằng Nhà nước, cơ quan thuế có đủ khả năng và công nghệ để phát hiện, xử lý nghiêm các hành vi trốn thuế. - HUMAN-ENF2]]</f>
        <v>1</v>
      </c>
      <c r="Y28" t="str">
        <f t="shared" si="4"/>
        <v>Oppose</v>
      </c>
      <c r="Z28" s="32">
        <f t="shared" si="5"/>
        <v>5</v>
      </c>
      <c r="AA28">
        <f>step3_validation[[#This Row],[AI_FAC1]]</f>
        <v>9</v>
      </c>
      <c r="AB28" t="str">
        <f t="shared" si="6"/>
        <v>Support</v>
      </c>
      <c r="AC28">
        <f>survey_responses[[#This Row],[Các thủ tục khai báo thuế VÀ/HOẶC quy trình làm việc với cơ quan thuế đơn giản, tiện lợi, nhanh chóng hơn so với trước đây. - HUMAN-FAC1]]</f>
        <v>1</v>
      </c>
      <c r="AD28" t="str">
        <f t="shared" si="7"/>
        <v>Oppose</v>
      </c>
      <c r="AE28" s="32">
        <f t="shared" si="8"/>
        <v>8</v>
      </c>
      <c r="AF28">
        <f>step3_validation[[#This Row],[AI_FAC2]]</f>
        <v>8</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7</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6</v>
      </c>
      <c r="AP28">
        <f>step3_validation[[#This Row],[AI_TRU2]]</f>
        <v>9</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8</v>
      </c>
      <c r="AU28">
        <f>step3_validation[[#This Row],[AI_TRU3]]</f>
        <v>8</v>
      </c>
      <c r="AV28" t="str">
        <f t="shared" si="18"/>
        <v>Support</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7</v>
      </c>
      <c r="AZ28">
        <f>step3_validation[[#This Row],[AI_TRU4]]</f>
        <v>7</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2">
        <f t="shared" si="23"/>
        <v>6</v>
      </c>
      <c r="BE28">
        <f>step3_validation[[#This Row],[AI_OUT1]]</f>
        <v>9</v>
      </c>
      <c r="BF28" t="str">
        <f t="shared" si="24"/>
        <v>Support</v>
      </c>
      <c r="BG28">
        <f>survey_responses[[#This Row],[Sau khi xem xét các quyền lợi và nghĩa vụ, bạn có ủng hộ và tuân thủ chính sách mới hiện nay? - HUMAN-OUT1]]</f>
        <v>1</v>
      </c>
      <c r="BH28" t="str">
        <f t="shared" si="25"/>
        <v>Oppose</v>
      </c>
      <c r="BI28" s="32">
        <f t="shared" si="26"/>
        <v>8</v>
      </c>
    </row>
    <row r="29" spans="1:61" x14ac:dyDescent="0.45">
      <c r="A29" s="30">
        <f>step3_validation[[#This Row],[Persona_ID]]</f>
        <v>28</v>
      </c>
      <c r="B29" s="31">
        <f>step3_validation[[#This Row],[Used_Seed]]</f>
        <v>69</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16.336053168367823</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7</v>
      </c>
      <c r="R29" t="str">
        <f t="shared" si="0"/>
        <v>Neutral</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6</v>
      </c>
      <c r="V29">
        <f>step3_validation[[#This Row],[AI_ENF2]]</f>
        <v>9</v>
      </c>
      <c r="W29" t="str">
        <f t="shared" si="3"/>
        <v>Support</v>
      </c>
      <c r="X29">
        <f>survey_responses[[#This Row],[Tôi tin rằng Nhà nước, cơ quan thuế có đủ khả năng và công nghệ để phát hiện, xử lý nghiêm các hành vi trốn thuế. - HUMAN-ENF2]]</f>
        <v>1</v>
      </c>
      <c r="Y29" t="str">
        <f t="shared" si="4"/>
        <v>Oppose</v>
      </c>
      <c r="Z29" s="32">
        <f t="shared" si="5"/>
        <v>8</v>
      </c>
      <c r="AA29">
        <f>step3_validation[[#This Row],[AI_FAC1]]</f>
        <v>8</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7</v>
      </c>
      <c r="AF29">
        <f>step3_validation[[#This Row],[AI_FAC2]]</f>
        <v>9</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8</v>
      </c>
      <c r="AK29">
        <f>step3_validation[[#This Row],[AI_TRU1]]</f>
        <v>6</v>
      </c>
      <c r="AL29" t="str">
        <f t="shared" si="12"/>
        <v>Neutral</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5</v>
      </c>
      <c r="AP29">
        <f>step3_validation[[#This Row],[AI_TRU2]]</f>
        <v>8</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7</v>
      </c>
      <c r="AU29">
        <f>step3_validation[[#This Row],[AI_TRU3]]</f>
        <v>9</v>
      </c>
      <c r="AV29" t="str">
        <f t="shared" si="18"/>
        <v>Support</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8</v>
      </c>
      <c r="AZ29">
        <f>step3_validation[[#This Row],[AI_TRU4]]</f>
        <v>7</v>
      </c>
      <c r="BA29" t="str">
        <f t="shared" si="21"/>
        <v>Neutral</v>
      </c>
      <c r="BB29">
        <f>survey_responses[[#This Row],[Tôi thấy Nhà nước đã giải thích rõ ràng, minh bạch về lý do và mục tiêu của việc sửa đổi thuế lần này. - HUMAN-TRU4]]</f>
        <v>1</v>
      </c>
      <c r="BC29" t="str">
        <f t="shared" si="22"/>
        <v>Oppose</v>
      </c>
      <c r="BD29" s="32">
        <f t="shared" si="23"/>
        <v>6</v>
      </c>
      <c r="BE29">
        <f>step3_validation[[#This Row],[AI_OUT1]]</f>
        <v>9</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8</v>
      </c>
    </row>
    <row r="30" spans="1:61" x14ac:dyDescent="0.45">
      <c r="A30" s="30">
        <f>step3_validation[[#This Row],[Persona_ID]]</f>
        <v>29</v>
      </c>
      <c r="B30" s="31">
        <f>step3_validation[[#This Row],[Used_Seed]]</f>
        <v>70</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16.4628292036559</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3</v>
      </c>
      <c r="V30">
        <f>step3_validation[[#This Row],[AI_ENF2]]</f>
        <v>8</v>
      </c>
      <c r="W30" t="str">
        <f t="shared" si="3"/>
        <v>Support</v>
      </c>
      <c r="X30">
        <f>survey_responses[[#This Row],[Tôi tin rằng Nhà nước, cơ quan thuế có đủ khả năng và công nghệ để phát hiện, xử lý nghiêm các hành vi trốn thuế. - HUMAN-ENF2]]</f>
        <v>10</v>
      </c>
      <c r="Y30" t="str">
        <f t="shared" si="4"/>
        <v>Support</v>
      </c>
      <c r="Z30" s="32">
        <f t="shared" si="5"/>
        <v>2</v>
      </c>
      <c r="AA30">
        <f>step3_validation[[#This Row],[AI_FAC1]]</f>
        <v>9</v>
      </c>
      <c r="AB30" t="str">
        <f t="shared" si="6"/>
        <v>Support</v>
      </c>
      <c r="AC30">
        <f>survey_responses[[#This Row],[Các thủ tục khai báo thuế VÀ/HOẶC quy trình làm việc với cơ quan thuế đơn giản, tiện lợi, nhanh chóng hơn so với trước đây. - HUMAN-FAC1]]</f>
        <v>9</v>
      </c>
      <c r="AD30" t="str">
        <f t="shared" si="7"/>
        <v>Support</v>
      </c>
      <c r="AE30" s="32">
        <f t="shared" si="8"/>
        <v>0</v>
      </c>
      <c r="AF30">
        <f>step3_validation[[#This Row],[AI_FAC2]]</f>
        <v>9</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2">
        <f t="shared" si="11"/>
        <v>1</v>
      </c>
      <c r="AK30">
        <f>step3_validation[[#This Row],[AI_TRU1]]</f>
        <v>8</v>
      </c>
      <c r="AL30" t="str">
        <f t="shared" si="12"/>
        <v>Support</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2</v>
      </c>
      <c r="AP30">
        <f>step3_validation[[#This Row],[AI_TRU2]]</f>
        <v>9</v>
      </c>
      <c r="AQ30" t="str">
        <f t="shared" si="15"/>
        <v>Support</v>
      </c>
      <c r="AR30">
        <f>survey_responses[[#This Row],[Tôi thấy mức thuế tôi phải đóng theo phương án mới là công bằng (người thu nhập như tôi đóng mức này là hợp lý). - HUMAN-TRU2]]</f>
        <v>9</v>
      </c>
      <c r="AS30" t="str">
        <f t="shared" si="16"/>
        <v>Support</v>
      </c>
      <c r="AT30" s="32">
        <f t="shared" si="17"/>
        <v>0</v>
      </c>
      <c r="AU30">
        <f>step3_validation[[#This Row],[AI_TRU3]]</f>
        <v>8</v>
      </c>
      <c r="AV30" t="str">
        <f t="shared" si="18"/>
        <v>Support</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2</v>
      </c>
      <c r="AZ30">
        <f>step3_validation[[#This Row],[AI_TRU4]]</f>
        <v>9</v>
      </c>
      <c r="BA30" t="str">
        <f t="shared" si="21"/>
        <v>Support</v>
      </c>
      <c r="BB30">
        <f>survey_responses[[#This Row],[Tôi thấy Nhà nước đã giải thích rõ ràng, minh bạch về lý do và mục tiêu của việc sửa đổi thuế lần này. - HUMAN-TRU4]]</f>
        <v>10</v>
      </c>
      <c r="BC30" t="str">
        <f t="shared" si="22"/>
        <v>Support</v>
      </c>
      <c r="BD30" s="32">
        <f t="shared" si="23"/>
        <v>1</v>
      </c>
      <c r="BE30">
        <f>step3_validation[[#This Row],[AI_OUT1]]</f>
        <v>8</v>
      </c>
      <c r="BF30" t="str">
        <f t="shared" si="24"/>
        <v>Support</v>
      </c>
      <c r="BG30">
        <f>survey_responses[[#This Row],[Sau khi xem xét các quyền lợi và nghĩa vụ, bạn có ủng hộ và tuân thủ chính sách mới hiện nay? - HUMAN-OUT1]]</f>
        <v>10</v>
      </c>
      <c r="BH30" t="str">
        <f t="shared" si="25"/>
        <v>Support</v>
      </c>
      <c r="BI30" s="32">
        <f t="shared" si="26"/>
        <v>2</v>
      </c>
    </row>
    <row r="31" spans="1:61" x14ac:dyDescent="0.45">
      <c r="A31" s="30">
        <f>step3_validation[[#This Row],[Persona_ID]]</f>
        <v>30</v>
      </c>
      <c r="B31" s="31">
        <f>step3_validation[[#This Row],[Used_Seed]]</f>
        <v>71</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12.223520163452035</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7</v>
      </c>
      <c r="R31" t="str">
        <f t="shared" si="0"/>
        <v>Neutral</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3</v>
      </c>
      <c r="V31">
        <f>step3_validation[[#This Row],[AI_ENF2]]</f>
        <v>8</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2">
        <f t="shared" si="5"/>
        <v>2</v>
      </c>
      <c r="AA31">
        <f>step3_validation[[#This Row],[AI_FAC1]]</f>
        <v>9</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2">
        <f t="shared" si="8"/>
        <v>0</v>
      </c>
      <c r="AF31">
        <f>step3_validation[[#This Row],[AI_FAC2]]</f>
        <v>8</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2</v>
      </c>
      <c r="AK31">
        <f>step3_validation[[#This Row],[AI_TRU1]]</f>
        <v>7</v>
      </c>
      <c r="AL31" t="str">
        <f t="shared" si="12"/>
        <v>Neutral</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3</v>
      </c>
      <c r="AP31">
        <f>step3_validation[[#This Row],[AI_TRU2]]</f>
        <v>8</v>
      </c>
      <c r="AQ31" t="str">
        <f t="shared" si="15"/>
        <v>Support</v>
      </c>
      <c r="AR31">
        <f>survey_responses[[#This Row],[Tôi thấy mức thuế tôi phải đóng theo phương án mới là công bằng (người thu nhập như tôi đóng mức này là hợp lý). - HUMAN-TRU2]]</f>
        <v>10</v>
      </c>
      <c r="AS31" t="str">
        <f t="shared" si="16"/>
        <v>Support</v>
      </c>
      <c r="AT31" s="32">
        <f t="shared" si="17"/>
        <v>2</v>
      </c>
      <c r="AU31">
        <f>step3_validation[[#This Row],[AI_TRU3]]</f>
        <v>9</v>
      </c>
      <c r="AV31" t="str">
        <f t="shared" si="18"/>
        <v>Support</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1</v>
      </c>
      <c r="AZ31">
        <f>step3_validation[[#This Row],[AI_TRU4]]</f>
        <v>8</v>
      </c>
      <c r="BA31" t="str">
        <f t="shared" si="21"/>
        <v>Support</v>
      </c>
      <c r="BB31">
        <f>survey_responses[[#This Row],[Tôi thấy Nhà nước đã giải thích rõ ràng, minh bạch về lý do và mục tiêu của việc sửa đổi thuế lần này. - HUMAN-TRU4]]</f>
        <v>10</v>
      </c>
      <c r="BC31" t="str">
        <f t="shared" si="22"/>
        <v>Support</v>
      </c>
      <c r="BD31" s="32">
        <f t="shared" si="23"/>
        <v>2</v>
      </c>
      <c r="BE31">
        <f>step3_validation[[#This Row],[AI_OUT1]]</f>
        <v>9</v>
      </c>
      <c r="BF31" t="str">
        <f t="shared" si="24"/>
        <v>Support</v>
      </c>
      <c r="BG31">
        <f>survey_responses[[#This Row],[Sau khi xem xét các quyền lợi và nghĩa vụ, bạn có ủng hộ và tuân thủ chính sách mới hiện nay? - HUMAN-OUT1]]</f>
        <v>10</v>
      </c>
      <c r="BH31" t="str">
        <f t="shared" si="25"/>
        <v>Support</v>
      </c>
      <c r="BI31" s="32">
        <f t="shared" si="26"/>
        <v>1</v>
      </c>
    </row>
    <row r="32" spans="1:61" x14ac:dyDescent="0.45">
      <c r="A32" s="30">
        <f>step3_validation[[#This Row],[Persona_ID]]</f>
        <v>31</v>
      </c>
      <c r="B32" s="31">
        <f>step3_validation[[#This Row],[Used_Seed]]</f>
        <v>72</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27.385769839953532</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7</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3</v>
      </c>
      <c r="V32">
        <f>step3_validation[[#This Row],[AI_ENF2]]</f>
        <v>6</v>
      </c>
      <c r="W32" t="str">
        <f t="shared" si="3"/>
        <v>Neutral</v>
      </c>
      <c r="X32">
        <f>survey_responses[[#This Row],[Tôi tin rằng Nhà nước, cơ quan thuế có đủ khả năng và công nghệ để phát hiện, xử lý nghiêm các hành vi trốn thuế. - HUMAN-ENF2]]</f>
        <v>7</v>
      </c>
      <c r="Y32" t="str">
        <f t="shared" si="4"/>
        <v>Neutral</v>
      </c>
      <c r="Z32" s="32">
        <f t="shared" si="5"/>
        <v>1</v>
      </c>
      <c r="AA32">
        <f>step3_validation[[#This Row],[AI_FAC1]]</f>
        <v>8</v>
      </c>
      <c r="AB32" t="str">
        <f t="shared" si="6"/>
        <v>Support</v>
      </c>
      <c r="AC32">
        <f>survey_responses[[#This Row],[Các thủ tục khai báo thuế VÀ/HOẶC quy trình làm việc với cơ quan thuế đơn giản, tiện lợi, nhanh chóng hơn so với trước đây. - HUMAN-FAC1]]</f>
        <v>10</v>
      </c>
      <c r="AD32" t="str">
        <f t="shared" si="7"/>
        <v>Support</v>
      </c>
      <c r="AE32" s="32">
        <f t="shared" si="8"/>
        <v>2</v>
      </c>
      <c r="AF32">
        <f>step3_validation[[#This Row],[AI_FAC2]]</f>
        <v>9</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2</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9</v>
      </c>
      <c r="AQ32" t="str">
        <f t="shared" si="15"/>
        <v>Support</v>
      </c>
      <c r="AR32">
        <f>survey_responses[[#This Row],[Tôi thấy mức thuế tôi phải đóng theo phương án mới là công bằng (người thu nhập như tôi đóng mức này là hợp lý). - HUMAN-TRU2]]</f>
        <v>10</v>
      </c>
      <c r="AS32" t="str">
        <f t="shared" si="16"/>
        <v>Support</v>
      </c>
      <c r="AT32" s="32">
        <f t="shared" si="17"/>
        <v>1</v>
      </c>
      <c r="AU32">
        <f>step3_validation[[#This Row],[AI_TRU3]]</f>
        <v>8</v>
      </c>
      <c r="AV32" t="str">
        <f t="shared" si="18"/>
        <v>Support</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5</v>
      </c>
      <c r="AZ32">
        <f>step3_validation[[#This Row],[AI_TRU4]]</f>
        <v>7</v>
      </c>
      <c r="BA32" t="str">
        <f t="shared" si="21"/>
        <v>Neutral</v>
      </c>
      <c r="BB32">
        <f>survey_responses[[#This Row],[Tôi thấy Nhà nước đã giải thích rõ ràng, minh bạch về lý do và mục tiêu của việc sửa đổi thuế lần này. - HUMAN-TRU4]]</f>
        <v>5</v>
      </c>
      <c r="BC32" t="str">
        <f t="shared" si="22"/>
        <v>Neutral</v>
      </c>
      <c r="BD32" s="32">
        <f t="shared" si="23"/>
        <v>2</v>
      </c>
      <c r="BE32">
        <f>step3_validation[[#This Row],[AI_OUT1]]</f>
        <v>9</v>
      </c>
      <c r="BF32" t="str">
        <f t="shared" si="24"/>
        <v>Support</v>
      </c>
      <c r="BG32">
        <f>survey_responses[[#This Row],[Sau khi xem xét các quyền lợi và nghĩa vụ, bạn có ủng hộ và tuân thủ chính sách mới hiện nay? - HUMAN-OUT1]]</f>
        <v>8</v>
      </c>
      <c r="BH32" t="str">
        <f t="shared" si="25"/>
        <v>Support</v>
      </c>
      <c r="BI32" s="32">
        <f t="shared" si="26"/>
        <v>1</v>
      </c>
    </row>
    <row r="33" spans="1:61" x14ac:dyDescent="0.45">
      <c r="A33" s="30">
        <f>step3_validation[[#This Row],[Persona_ID]]</f>
        <v>32</v>
      </c>
      <c r="B33" s="31">
        <f>step3_validation[[#This Row],[Used_Seed]]</f>
        <v>73</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26.973310439591643</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7</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2</v>
      </c>
      <c r="V33">
        <f>step3_validation[[#This Row],[AI_ENF2]]</f>
        <v>6</v>
      </c>
      <c r="W33" t="str">
        <f t="shared" si="3"/>
        <v>Neutral</v>
      </c>
      <c r="X33">
        <f>survey_responses[[#This Row],[Tôi tin rằng Nhà nước, cơ quan thuế có đủ khả năng và công nghệ để phát hiện, xử lý nghiêm các hành vi trốn thuế. - HUMAN-ENF2]]</f>
        <v>5</v>
      </c>
      <c r="Y33" t="str">
        <f t="shared" si="4"/>
        <v>Neutral</v>
      </c>
      <c r="Z33" s="32">
        <f t="shared" si="5"/>
        <v>1</v>
      </c>
      <c r="AA33">
        <f>step3_validation[[#This Row],[AI_FAC1]]</f>
        <v>9</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4</v>
      </c>
      <c r="AF33">
        <f>step3_validation[[#This Row],[AI_FAC2]]</f>
        <v>8</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3</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2</v>
      </c>
      <c r="AP33">
        <f>step3_validation[[#This Row],[AI_TRU2]]</f>
        <v>8</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3</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6</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2">
        <f t="shared" si="23"/>
        <v>1</v>
      </c>
      <c r="BE33">
        <f>step3_validation[[#This Row],[AI_OUT1]]</f>
        <v>8</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3</v>
      </c>
    </row>
    <row r="34" spans="1:61" x14ac:dyDescent="0.45">
      <c r="A34" s="30">
        <f>step3_validation[[#This Row],[Persona_ID]]</f>
        <v>33</v>
      </c>
      <c r="B34" s="31">
        <f>step3_validation[[#This Row],[Used_Seed]]</f>
        <v>74</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30.936371302917472</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7</v>
      </c>
      <c r="W34" t="str">
        <f t="shared" si="3"/>
        <v>Neutral</v>
      </c>
      <c r="X34">
        <f>survey_responses[[#This Row],[Tôi tin rằng Nhà nước, cơ quan thuế có đủ khả năng và công nghệ để phát hiện, xử lý nghiêm các hành vi trốn thuế. - HUMAN-ENF2]]</f>
        <v>9</v>
      </c>
      <c r="Y34" t="str">
        <f t="shared" si="4"/>
        <v>Support</v>
      </c>
      <c r="Z34" s="32">
        <f t="shared" si="5"/>
        <v>2</v>
      </c>
      <c r="AA34">
        <f>step3_validation[[#This Row],[AI_FAC1]]</f>
        <v>9</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2</v>
      </c>
      <c r="AF34">
        <f>step3_validation[[#This Row],[AI_FAC2]]</f>
        <v>9</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1</v>
      </c>
      <c r="AK34">
        <f>step3_validation[[#This Row],[AI_TRU1]]</f>
        <v>8</v>
      </c>
      <c r="AL34" t="str">
        <f t="shared" si="12"/>
        <v>Support</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0</v>
      </c>
      <c r="AP34">
        <f>step3_validation[[#This Row],[AI_TRU2]]</f>
        <v>9</v>
      </c>
      <c r="AQ34" t="str">
        <f t="shared" si="15"/>
        <v>Support</v>
      </c>
      <c r="AR34">
        <f>survey_responses[[#This Row],[Tôi thấy mức thuế tôi phải đóng theo phương án mới là công bằng (người thu nhập như tôi đóng mức này là hợp lý). - HUMAN-TRU2]]</f>
        <v>8</v>
      </c>
      <c r="AS34" t="str">
        <f t="shared" si="16"/>
        <v>Support</v>
      </c>
      <c r="AT34" s="32">
        <f t="shared" si="17"/>
        <v>1</v>
      </c>
      <c r="AU34">
        <f>step3_validation[[#This Row],[AI_TRU3]]</f>
        <v>8</v>
      </c>
      <c r="AV34" t="str">
        <f t="shared" si="18"/>
        <v>Support</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5</v>
      </c>
      <c r="AZ34">
        <f>step3_validation[[#This Row],[AI_TRU4]]</f>
        <v>7</v>
      </c>
      <c r="BA34" t="str">
        <f t="shared" si="21"/>
        <v>Neutral</v>
      </c>
      <c r="BB34">
        <f>survey_responses[[#This Row],[Tôi thấy Nhà nước đã giải thích rõ ràng, minh bạch về lý do và mục tiêu của việc sửa đổi thuế lần này. - HUMAN-TRU4]]</f>
        <v>6</v>
      </c>
      <c r="BC34" t="str">
        <f t="shared" si="22"/>
        <v>Neutral</v>
      </c>
      <c r="BD34" s="32">
        <f t="shared" si="23"/>
        <v>1</v>
      </c>
      <c r="BE34">
        <f>step3_validation[[#This Row],[AI_OUT1]]</f>
        <v>9</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2</v>
      </c>
    </row>
    <row r="35" spans="1:61" x14ac:dyDescent="0.45">
      <c r="A35" s="30">
        <f>step3_validation[[#This Row],[Persona_ID]]</f>
        <v>34</v>
      </c>
      <c r="B35" s="31">
        <f>step3_validation[[#This Row],[Used_Seed]]</f>
        <v>75</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14.135256727553292</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9</v>
      </c>
      <c r="R35" t="str">
        <f t="shared" si="0"/>
        <v>Support</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1</v>
      </c>
      <c r="V35">
        <f>step3_validation[[#This Row],[AI_ENF2]]</f>
        <v>8</v>
      </c>
      <c r="W35" t="str">
        <f t="shared" si="3"/>
        <v>Support</v>
      </c>
      <c r="X35">
        <f>survey_responses[[#This Row],[Tôi tin rằng Nhà nước, cơ quan thuế có đủ khả năng và công nghệ để phát hiện, xử lý nghiêm các hành vi trốn thuế. - HUMAN-ENF2]]</f>
        <v>10</v>
      </c>
      <c r="Y35" t="str">
        <f t="shared" si="4"/>
        <v>Support</v>
      </c>
      <c r="Z35" s="32">
        <f t="shared" si="5"/>
        <v>2</v>
      </c>
      <c r="AA35">
        <f>step3_validation[[#This Row],[AI_FAC1]]</f>
        <v>9</v>
      </c>
      <c r="AB35" t="str">
        <f t="shared" si="6"/>
        <v>Support</v>
      </c>
      <c r="AC35">
        <f>survey_responses[[#This Row],[Các thủ tục khai báo thuế VÀ/HOẶC quy trình làm việc với cơ quan thuế đơn giản, tiện lợi, nhanh chóng hơn so với trước đây. - HUMAN-FAC1]]</f>
        <v>10</v>
      </c>
      <c r="AD35" t="str">
        <f t="shared" si="7"/>
        <v>Support</v>
      </c>
      <c r="AE35" s="32">
        <f t="shared" si="8"/>
        <v>1</v>
      </c>
      <c r="AF35">
        <f>step3_validation[[#This Row],[AI_FAC2]]</f>
        <v>8</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2</v>
      </c>
      <c r="AK35">
        <f>step3_validation[[#This Row],[AI_TRU1]]</f>
        <v>9</v>
      </c>
      <c r="AL35" t="str">
        <f t="shared" si="12"/>
        <v>Support</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1</v>
      </c>
      <c r="AP35">
        <f>step3_validation[[#This Row],[AI_TRU2]]</f>
        <v>8</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2</v>
      </c>
      <c r="AU35">
        <f>step3_validation[[#This Row],[AI_TRU3]]</f>
        <v>9</v>
      </c>
      <c r="AV35" t="str">
        <f t="shared" si="18"/>
        <v>Support</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1</v>
      </c>
      <c r="AZ35">
        <f>step3_validation[[#This Row],[AI_TRU4]]</f>
        <v>8</v>
      </c>
      <c r="BA35" t="str">
        <f t="shared" si="21"/>
        <v>Support</v>
      </c>
      <c r="BB35">
        <f>survey_responses[[#This Row],[Tôi thấy Nhà nước đã giải thích rõ ràng, minh bạch về lý do và mục tiêu của việc sửa đổi thuế lần này. - HUMAN-TRU4]]</f>
        <v>10</v>
      </c>
      <c r="BC35" t="str">
        <f t="shared" si="22"/>
        <v>Support</v>
      </c>
      <c r="BD35" s="32">
        <f t="shared" si="23"/>
        <v>2</v>
      </c>
      <c r="BE35">
        <f>step3_validation[[#This Row],[AI_OUT1]]</f>
        <v>9</v>
      </c>
      <c r="BF35" t="str">
        <f t="shared" si="24"/>
        <v>Support</v>
      </c>
      <c r="BG35">
        <f>survey_responses[[#This Row],[Sau khi xem xét các quyền lợi và nghĩa vụ, bạn có ủng hộ và tuân thủ chính sách mới hiện nay? - HUMAN-OUT1]]</f>
        <v>10</v>
      </c>
      <c r="BH35" t="str">
        <f t="shared" si="25"/>
        <v>Support</v>
      </c>
      <c r="BI35" s="32">
        <f t="shared" si="26"/>
        <v>1</v>
      </c>
    </row>
    <row r="36" spans="1:61" x14ac:dyDescent="0.45">
      <c r="A36" s="30">
        <f>step3_validation[[#This Row],[Persona_ID]]</f>
        <v>35</v>
      </c>
      <c r="B36" s="31">
        <f>step3_validation[[#This Row],[Used_Seed]]</f>
        <v>76</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16.728124504466535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6</v>
      </c>
      <c r="R36" t="str">
        <f t="shared" si="0"/>
        <v>Neutral</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4</v>
      </c>
      <c r="V36">
        <f>step3_validation[[#This Row],[AI_ENF2]]</f>
        <v>7</v>
      </c>
      <c r="W36" t="str">
        <f t="shared" si="3"/>
        <v>Neutral</v>
      </c>
      <c r="X36">
        <f>survey_responses[[#This Row],[Tôi tin rằng Nhà nước, cơ quan thuế có đủ khả năng và công nghệ để phát hiện, xử lý nghiêm các hành vi trốn thuế. - HUMAN-ENF2]]</f>
        <v>10</v>
      </c>
      <c r="Y36" t="str">
        <f t="shared" si="4"/>
        <v>Support</v>
      </c>
      <c r="Z36" s="32">
        <f t="shared" si="5"/>
        <v>3</v>
      </c>
      <c r="AA36">
        <f>step3_validation[[#This Row],[AI_FAC1]]</f>
        <v>9</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2">
        <f t="shared" si="8"/>
        <v>1</v>
      </c>
      <c r="AF36">
        <f>step3_validation[[#This Row],[AI_FAC2]]</f>
        <v>10</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2">
        <f t="shared" si="11"/>
        <v>0</v>
      </c>
      <c r="AK36">
        <f>step3_validation[[#This Row],[AI_TRU1]]</f>
        <v>8</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2</v>
      </c>
      <c r="AP36">
        <f>step3_validation[[#This Row],[AI_TRU2]]</f>
        <v>9</v>
      </c>
      <c r="AQ36" t="str">
        <f t="shared" si="15"/>
        <v>Support</v>
      </c>
      <c r="AR36">
        <f>survey_responses[[#This Row],[Tôi thấy mức thuế tôi phải đóng theo phương án mới là công bằng (người thu nhập như tôi đóng mức này là hợp lý). - HUMAN-TRU2]]</f>
        <v>10</v>
      </c>
      <c r="AS36" t="str">
        <f t="shared" si="16"/>
        <v>Support</v>
      </c>
      <c r="AT36" s="32">
        <f t="shared" si="17"/>
        <v>1</v>
      </c>
      <c r="AU36">
        <f>step3_validation[[#This Row],[AI_TRU3]]</f>
        <v>8</v>
      </c>
      <c r="AV36" t="str">
        <f t="shared" si="18"/>
        <v>Support</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2</v>
      </c>
      <c r="AZ36">
        <f>step3_validation[[#This Row],[AI_TRU4]]</f>
        <v>9</v>
      </c>
      <c r="BA36" t="str">
        <f t="shared" si="21"/>
        <v>Support</v>
      </c>
      <c r="BB36">
        <f>survey_responses[[#This Row],[Tôi thấy Nhà nước đã giải thích rõ ràng, minh bạch về lý do và mục tiêu của việc sửa đổi thuế lần này. - HUMAN-TRU4]]</f>
        <v>10</v>
      </c>
      <c r="BC36" t="str">
        <f t="shared" si="22"/>
        <v>Support</v>
      </c>
      <c r="BD36" s="32">
        <f t="shared" si="23"/>
        <v>1</v>
      </c>
      <c r="BE36">
        <f>step3_validation[[#This Row],[AI_OUT1]]</f>
        <v>9</v>
      </c>
      <c r="BF36" t="str">
        <f t="shared" si="24"/>
        <v>Support</v>
      </c>
      <c r="BG36">
        <f>survey_responses[[#This Row],[Sau khi xem xét các quyền lợi và nghĩa vụ, bạn có ủng hộ và tuân thủ chính sách mới hiện nay? - HUMAN-OUT1]]</f>
        <v>10</v>
      </c>
      <c r="BH36" t="str">
        <f t="shared" si="25"/>
        <v>Support</v>
      </c>
      <c r="BI36" s="32">
        <f t="shared" si="26"/>
        <v>1</v>
      </c>
    </row>
    <row r="37" spans="1:61" x14ac:dyDescent="0.45">
      <c r="A37" s="30">
        <f>step3_validation[[#This Row],[Persona_ID]]</f>
        <v>36</v>
      </c>
      <c r="B37" s="31">
        <f>step3_validation[[#This Row],[Used_Seed]]</f>
        <v>77</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13.9578050881882</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3</v>
      </c>
      <c r="V37">
        <f>step3_validation[[#This Row],[AI_ENF2]]</f>
        <v>8</v>
      </c>
      <c r="W37" t="str">
        <f t="shared" si="3"/>
        <v>Support</v>
      </c>
      <c r="X37">
        <f>survey_responses[[#This Row],[Tôi tin rằng Nhà nước, cơ quan thuế có đủ khả năng và công nghệ để phát hiện, xử lý nghiêm các hành vi trốn thuế. - HUMAN-ENF2]]</f>
        <v>9</v>
      </c>
      <c r="Y37" t="str">
        <f t="shared" si="4"/>
        <v>Support</v>
      </c>
      <c r="Z37" s="32">
        <f t="shared" si="5"/>
        <v>1</v>
      </c>
      <c r="AA37">
        <f>step3_validation[[#This Row],[AI_FAC1]]</f>
        <v>9</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2">
        <f t="shared" si="8"/>
        <v>1</v>
      </c>
      <c r="AF37">
        <f>step3_validation[[#This Row],[AI_FAC2]]</f>
        <v>8</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0</v>
      </c>
      <c r="AK37">
        <f>step3_validation[[#This Row],[AI_TRU1]]</f>
        <v>9</v>
      </c>
      <c r="AL37" t="str">
        <f t="shared" si="12"/>
        <v>Support</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1</v>
      </c>
      <c r="AP37">
        <f>step3_validation[[#This Row],[AI_TRU2]]</f>
        <v>8</v>
      </c>
      <c r="AQ37" t="str">
        <f t="shared" si="15"/>
        <v>Support</v>
      </c>
      <c r="AR37">
        <f>survey_responses[[#This Row],[Tôi thấy mức thuế tôi phải đóng theo phương án mới là công bằng (người thu nhập như tôi đóng mức này là hợp lý). - HUMAN-TRU2]]</f>
        <v>9</v>
      </c>
      <c r="AS37" t="str">
        <f t="shared" si="16"/>
        <v>Support</v>
      </c>
      <c r="AT37" s="32">
        <f t="shared" si="17"/>
        <v>1</v>
      </c>
      <c r="AU37">
        <f>step3_validation[[#This Row],[AI_TRU3]]</f>
        <v>9</v>
      </c>
      <c r="AV37" t="str">
        <f t="shared" si="18"/>
        <v>Support</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1</v>
      </c>
      <c r="AZ37">
        <f>step3_validation[[#This Row],[AI_TRU4]]</f>
        <v>8</v>
      </c>
      <c r="BA37" t="str">
        <f t="shared" si="21"/>
        <v>Support</v>
      </c>
      <c r="BB37">
        <f>survey_responses[[#This Row],[Tôi thấy Nhà nước đã giải thích rõ ràng, minh bạch về lý do và mục tiêu của việc sửa đổi thuế lần này. - HUMAN-TRU4]]</f>
        <v>10</v>
      </c>
      <c r="BC37" t="str">
        <f t="shared" si="22"/>
        <v>Support</v>
      </c>
      <c r="BD37" s="32">
        <f t="shared" si="23"/>
        <v>2</v>
      </c>
      <c r="BE37">
        <f>step3_validation[[#This Row],[AI_OUT1]]</f>
        <v>9</v>
      </c>
      <c r="BF37" t="str">
        <f t="shared" si="24"/>
        <v>Support</v>
      </c>
      <c r="BG37">
        <f>survey_responses[[#This Row],[Sau khi xem xét các quyền lợi và nghĩa vụ, bạn có ủng hộ và tuân thủ chính sách mới hiện nay? - HUMAN-OUT1]]</f>
        <v>10</v>
      </c>
      <c r="BH37" t="str">
        <f t="shared" si="25"/>
        <v>Support</v>
      </c>
      <c r="BI37" s="32">
        <f t="shared" si="26"/>
        <v>1</v>
      </c>
    </row>
    <row r="38" spans="1:61" x14ac:dyDescent="0.45">
      <c r="A38" s="30">
        <f>step3_validation[[#This Row],[Persona_ID]]</f>
        <v>37</v>
      </c>
      <c r="B38" s="31">
        <f>step3_validation[[#This Row],[Used_Seed]]</f>
        <v>78</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12.13204698601211</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7</v>
      </c>
      <c r="R38" t="str">
        <f t="shared" si="0"/>
        <v>Neutral</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3</v>
      </c>
      <c r="V38">
        <f>step3_validation[[#This Row],[AI_ENF2]]</f>
        <v>6</v>
      </c>
      <c r="W38" t="str">
        <f t="shared" si="3"/>
        <v>Neutral</v>
      </c>
      <c r="X38">
        <f>survey_responses[[#This Row],[Tôi tin rằng Nhà nước, cơ quan thuế có đủ khả năng và công nghệ để phát hiện, xử lý nghiêm các hành vi trốn thuế. - HUMAN-ENF2]]</f>
        <v>10</v>
      </c>
      <c r="Y38" t="str">
        <f t="shared" si="4"/>
        <v>Support</v>
      </c>
      <c r="Z38" s="32">
        <f t="shared" si="5"/>
        <v>4</v>
      </c>
      <c r="AA38">
        <f>step3_validation[[#This Row],[AI_FAC1]]</f>
        <v>8</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2</v>
      </c>
      <c r="AF38">
        <f>step3_validation[[#This Row],[AI_FAC2]]</f>
        <v>9</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1</v>
      </c>
      <c r="AK38">
        <f>step3_validation[[#This Row],[AI_TRU1]]</f>
        <v>8</v>
      </c>
      <c r="AL38" t="str">
        <f t="shared" si="12"/>
        <v>Support</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1</v>
      </c>
      <c r="AP38">
        <f>step3_validation[[#This Row],[AI_TRU2]]</f>
        <v>9</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2">
        <f t="shared" si="17"/>
        <v>0</v>
      </c>
      <c r="AU38">
        <f>step3_validation[[#This Row],[AI_TRU3]]</f>
        <v>8</v>
      </c>
      <c r="AV38" t="str">
        <f t="shared" si="18"/>
        <v>Support</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1</v>
      </c>
      <c r="AZ38">
        <f>step3_validation[[#This Row],[AI_TRU4]]</f>
        <v>9</v>
      </c>
      <c r="BA38" t="str">
        <f t="shared" si="21"/>
        <v>Support</v>
      </c>
      <c r="BB38">
        <f>survey_responses[[#This Row],[Tôi thấy Nhà nước đã giải thích rõ ràng, minh bạch về lý do và mục tiêu của việc sửa đổi thuế lần này. - HUMAN-TRU4]]</f>
        <v>9</v>
      </c>
      <c r="BC38" t="str">
        <f t="shared" si="22"/>
        <v>Support</v>
      </c>
      <c r="BD38" s="32">
        <f t="shared" si="23"/>
        <v>0</v>
      </c>
      <c r="BE38">
        <f>step3_validation[[#This Row],[AI_OUT1]]</f>
        <v>10</v>
      </c>
      <c r="BF38" t="str">
        <f t="shared" si="24"/>
        <v>Support</v>
      </c>
      <c r="BG38">
        <f>survey_responses[[#This Row],[Sau khi xem xét các quyền lợi và nghĩa vụ, bạn có ủng hộ và tuân thủ chính sách mới hiện nay? - HUMAN-OUT1]]</f>
        <v>8</v>
      </c>
      <c r="BH38" t="str">
        <f t="shared" si="25"/>
        <v>Support</v>
      </c>
      <c r="BI38" s="32">
        <f t="shared" si="26"/>
        <v>2</v>
      </c>
    </row>
    <row r="39" spans="1:61" x14ac:dyDescent="0.45">
      <c r="A39" s="30">
        <f>step3_validation[[#This Row],[Persona_ID]]</f>
        <v>38</v>
      </c>
      <c r="B39" s="31">
        <f>step3_validation[[#This Row],[Used_Seed]]</f>
        <v>79</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41.771205707899007</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9</v>
      </c>
      <c r="R39" t="str">
        <f t="shared" si="0"/>
        <v>Support</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1</v>
      </c>
      <c r="V39">
        <f>step3_validation[[#This Row],[AI_ENF2]]</f>
        <v>8</v>
      </c>
      <c r="W39" t="str">
        <f t="shared" si="3"/>
        <v>Support</v>
      </c>
      <c r="X39">
        <f>survey_responses[[#This Row],[Tôi tin rằng Nhà nước, cơ quan thuế có đủ khả năng và công nghệ để phát hiện, xử lý nghiêm các hành vi trốn thuế. - HUMAN-ENF2]]</f>
        <v>8</v>
      </c>
      <c r="Y39" t="str">
        <f t="shared" si="4"/>
        <v>Support</v>
      </c>
      <c r="Z39" s="32">
        <f t="shared" si="5"/>
        <v>0</v>
      </c>
      <c r="AA39">
        <f>step3_validation[[#This Row],[AI_FAC1]]</f>
        <v>9</v>
      </c>
      <c r="AB39" t="str">
        <f t="shared" si="6"/>
        <v>Support</v>
      </c>
      <c r="AC39">
        <f>survey_responses[[#This Row],[Các thủ tục khai báo thuế VÀ/HOẶC quy trình làm việc với cơ quan thuế đơn giản, tiện lợi, nhanh chóng hơn so với trước đây. - HUMAN-FAC1]]</f>
        <v>8</v>
      </c>
      <c r="AD39" t="str">
        <f t="shared" si="7"/>
        <v>Support</v>
      </c>
      <c r="AE39" s="32">
        <f t="shared" si="8"/>
        <v>1</v>
      </c>
      <c r="AF39">
        <f>step3_validation[[#This Row],[AI_FAC2]]</f>
        <v>8</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0</v>
      </c>
      <c r="AK39">
        <f>step3_validation[[#This Row],[AI_TRU1]]</f>
        <v>9</v>
      </c>
      <c r="AL39" t="str">
        <f t="shared" si="12"/>
        <v>Support</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1</v>
      </c>
      <c r="AP39">
        <f>step3_validation[[#This Row],[AI_TRU2]]</f>
        <v>8</v>
      </c>
      <c r="AQ39" t="str">
        <f t="shared" si="15"/>
        <v>Support</v>
      </c>
      <c r="AR39">
        <f>survey_responses[[#This Row],[Tôi thấy mức thuế tôi phải đóng theo phương án mới là công bằng (người thu nhập như tôi đóng mức này là hợp lý). - HUMAN-TRU2]]</f>
        <v>8</v>
      </c>
      <c r="AS39" t="str">
        <f t="shared" si="16"/>
        <v>Support</v>
      </c>
      <c r="AT39" s="32">
        <f t="shared" si="17"/>
        <v>0</v>
      </c>
      <c r="AU39">
        <f>step3_validation[[#This Row],[AI_TRU3]]</f>
        <v>9</v>
      </c>
      <c r="AV39" t="str">
        <f t="shared" si="18"/>
        <v>Support</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1</v>
      </c>
      <c r="AZ39">
        <f>step3_validation[[#This Row],[AI_TRU4]]</f>
        <v>8</v>
      </c>
      <c r="BA39" t="str">
        <f t="shared" si="21"/>
        <v>Support</v>
      </c>
      <c r="BB39">
        <f>survey_responses[[#This Row],[Tôi thấy Nhà nước đã giải thích rõ ràng, minh bạch về lý do và mục tiêu của việc sửa đổi thuế lần này. - HUMAN-TRU4]]</f>
        <v>8</v>
      </c>
      <c r="BC39" t="str">
        <f t="shared" si="22"/>
        <v>Support</v>
      </c>
      <c r="BD39" s="32">
        <f t="shared" si="23"/>
        <v>0</v>
      </c>
      <c r="BE39">
        <f>step3_validation[[#This Row],[AI_OUT1]]</f>
        <v>9</v>
      </c>
      <c r="BF39" t="str">
        <f t="shared" si="24"/>
        <v>Support</v>
      </c>
      <c r="BG39">
        <f>survey_responses[[#This Row],[Sau khi xem xét các quyền lợi và nghĩa vụ, bạn có ủng hộ và tuân thủ chính sách mới hiện nay? - HUMAN-OUT1]]</f>
        <v>8</v>
      </c>
      <c r="BH39" t="str">
        <f t="shared" si="25"/>
        <v>Support</v>
      </c>
      <c r="BI39" s="32">
        <f t="shared" si="26"/>
        <v>1</v>
      </c>
    </row>
    <row r="40" spans="1:61" x14ac:dyDescent="0.45">
      <c r="A40" s="30">
        <f>step3_validation[[#This Row],[Persona_ID]]</f>
        <v>39</v>
      </c>
      <c r="B40" s="31">
        <f>step3_validation[[#This Row],[Used_Seed]]</f>
        <v>80</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13.578579268931882</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7</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3</v>
      </c>
      <c r="V40">
        <f>step3_validation[[#This Row],[AI_ENF2]]</f>
        <v>6</v>
      </c>
      <c r="W40" t="str">
        <f t="shared" si="3"/>
        <v>Neutral</v>
      </c>
      <c r="X40">
        <f>survey_responses[[#This Row],[Tôi tin rằng Nhà nước, cơ quan thuế có đủ khả năng và công nghệ để phát hiện, xử lý nghiêm các hành vi trốn thuế. - HUMAN-ENF2]]</f>
        <v>10</v>
      </c>
      <c r="Y40" t="str">
        <f t="shared" si="4"/>
        <v>Support</v>
      </c>
      <c r="Z40" s="32">
        <f t="shared" si="5"/>
        <v>4</v>
      </c>
      <c r="AA40">
        <f>step3_validation[[#This Row],[AI_FAC1]]</f>
        <v>9</v>
      </c>
      <c r="AB40" t="str">
        <f t="shared" si="6"/>
        <v>Support</v>
      </c>
      <c r="AC40">
        <f>survey_responses[[#This Row],[Các thủ tục khai báo thuế VÀ/HOẶC quy trình làm việc với cơ quan thuế đơn giản, tiện lợi, nhanh chóng hơn so với trước đây. - HUMAN-FAC1]]</f>
        <v>10</v>
      </c>
      <c r="AD40" t="str">
        <f t="shared" si="7"/>
        <v>Support</v>
      </c>
      <c r="AE40" s="32">
        <f t="shared" si="8"/>
        <v>1</v>
      </c>
      <c r="AF40">
        <f>step3_validation[[#This Row],[AI_FAC2]]</f>
        <v>9</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1</v>
      </c>
      <c r="AK40">
        <f>step3_validation[[#This Row],[AI_TRU1]]</f>
        <v>7</v>
      </c>
      <c r="AL40" t="str">
        <f t="shared" si="12"/>
        <v>Neutral</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3</v>
      </c>
      <c r="AP40">
        <f>step3_validation[[#This Row],[AI_TRU2]]</f>
        <v>8</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2</v>
      </c>
      <c r="AU40">
        <f>step3_validation[[#This Row],[AI_TRU3]]</f>
        <v>7</v>
      </c>
      <c r="AV40" t="str">
        <f t="shared" si="18"/>
        <v>Neutral</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3</v>
      </c>
      <c r="AZ40">
        <f>step3_validation[[#This Row],[AI_TRU4]]</f>
        <v>6</v>
      </c>
      <c r="BA40" t="str">
        <f t="shared" si="21"/>
        <v>Neutral</v>
      </c>
      <c r="BB40">
        <f>survey_responses[[#This Row],[Tôi thấy Nhà nước đã giải thích rõ ràng, minh bạch về lý do và mục tiêu của việc sửa đổi thuế lần này. - HUMAN-TRU4]]</f>
        <v>10</v>
      </c>
      <c r="BC40" t="str">
        <f t="shared" si="22"/>
        <v>Support</v>
      </c>
      <c r="BD40" s="32">
        <f t="shared" si="23"/>
        <v>4</v>
      </c>
      <c r="BE40">
        <f>step3_validation[[#This Row],[AI_OUT1]]</f>
        <v>8</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2</v>
      </c>
    </row>
    <row r="41" spans="1:61" x14ac:dyDescent="0.45">
      <c r="A41" s="30">
        <f>step3_validation[[#This Row],[Persona_ID]]</f>
        <v>40</v>
      </c>
      <c r="B41" s="31">
        <f>step3_validation[[#This Row],[Used_Seed]]</f>
        <v>81</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117.43321268791007</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8</v>
      </c>
      <c r="R41" t="str">
        <f t="shared" si="0"/>
        <v>Support</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0</v>
      </c>
      <c r="V41">
        <f>step3_validation[[#This Row],[AI_ENF2]]</f>
        <v>9</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2">
        <f t="shared" si="5"/>
        <v>1</v>
      </c>
      <c r="AA41">
        <f>step3_validation[[#This Row],[AI_FAC1]]</f>
        <v>7</v>
      </c>
      <c r="AB41" t="str">
        <f t="shared" si="6"/>
        <v>Neutral</v>
      </c>
      <c r="AC41">
        <f>survey_responses[[#This Row],[Các thủ tục khai báo thuế VÀ/HOẶC quy trình làm việc với cơ quan thuế đơn giản, tiện lợi, nhanh chóng hơn so với trước đây. - HUMAN-FAC1]]</f>
        <v>6</v>
      </c>
      <c r="AD41" t="str">
        <f t="shared" si="7"/>
        <v>Neutral</v>
      </c>
      <c r="AE41" s="32">
        <f t="shared" si="8"/>
        <v>1</v>
      </c>
      <c r="AF41">
        <f>step3_validation[[#This Row],[AI_FAC2]]</f>
        <v>9</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1</v>
      </c>
      <c r="AK41">
        <f>step3_validation[[#This Row],[AI_TRU1]]</f>
        <v>8</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1</v>
      </c>
      <c r="AP41">
        <f>step3_validation[[#This Row],[AI_TRU2]]</f>
        <v>9</v>
      </c>
      <c r="AQ41" t="str">
        <f t="shared" si="15"/>
        <v>Support</v>
      </c>
      <c r="AR41">
        <f>survey_responses[[#This Row],[Tôi thấy mức thuế tôi phải đóng theo phương án mới là công bằng (người thu nhập như tôi đóng mức này là hợp lý). - HUMAN-TRU2]]</f>
        <v>8</v>
      </c>
      <c r="AS41" t="str">
        <f t="shared" si="16"/>
        <v>Support</v>
      </c>
      <c r="AT41" s="32">
        <f t="shared" si="17"/>
        <v>1</v>
      </c>
      <c r="AU41">
        <f>step3_validation[[#This Row],[AI_TRU3]]</f>
        <v>8</v>
      </c>
      <c r="AV41" t="str">
        <f t="shared" si="18"/>
        <v>Support</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3</v>
      </c>
      <c r="AZ41">
        <f>step3_validation[[#This Row],[AI_TRU4]]</f>
        <v>9</v>
      </c>
      <c r="BA41" t="str">
        <f t="shared" si="21"/>
        <v>Support</v>
      </c>
      <c r="BB41">
        <f>survey_responses[[#This Row],[Tôi thấy Nhà nước đã giải thích rõ ràng, minh bạch về lý do và mục tiêu của việc sửa đổi thuế lần này. - HUMAN-TRU4]]</f>
        <v>6</v>
      </c>
      <c r="BC41" t="str">
        <f t="shared" si="22"/>
        <v>Neutral</v>
      </c>
      <c r="BD41" s="32">
        <f t="shared" si="23"/>
        <v>3</v>
      </c>
      <c r="BE41">
        <f>step3_validation[[#This Row],[AI_OUT1]]</f>
        <v>8</v>
      </c>
      <c r="BF41" t="str">
        <f t="shared" si="24"/>
        <v>Support</v>
      </c>
      <c r="BG41">
        <f>survey_responses[[#This Row],[Sau khi xem xét các quyền lợi và nghĩa vụ, bạn có ủng hộ và tuân thủ chính sách mới hiện nay? - HUMAN-OUT1]]</f>
        <v>7</v>
      </c>
      <c r="BH41" t="str">
        <f t="shared" si="25"/>
        <v>Neutral</v>
      </c>
      <c r="BI41" s="32">
        <f t="shared" si="26"/>
        <v>1</v>
      </c>
    </row>
    <row r="42" spans="1:61" x14ac:dyDescent="0.45">
      <c r="A42" s="30">
        <f>step3_validation[[#This Row],[Persona_ID]]</f>
        <v>41</v>
      </c>
      <c r="B42" s="31">
        <f>step3_validation[[#This Row],[Used_Seed]]</f>
        <v>82</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72.03948453983898</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t="str">
        <f t="shared" si="0"/>
        <v>Neutral</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2</v>
      </c>
      <c r="V42">
        <f>step3_validation[[#This Row],[AI_ENF2]]</f>
        <v>8</v>
      </c>
      <c r="W42" t="str">
        <f t="shared" si="3"/>
        <v>Support</v>
      </c>
      <c r="X42">
        <f>survey_responses[[#This Row],[Tôi tin rằng Nhà nước, cơ quan thuế có đủ khả năng và công nghệ để phát hiện, xử lý nghiêm các hành vi trốn thuế. - HUMAN-ENF2]]</f>
        <v>8</v>
      </c>
      <c r="Y42" t="str">
        <f t="shared" si="4"/>
        <v>Support</v>
      </c>
      <c r="Z42" s="32">
        <f t="shared" si="5"/>
        <v>0</v>
      </c>
      <c r="AA42">
        <f>step3_validation[[#This Row],[AI_FAC1]]</f>
        <v>6</v>
      </c>
      <c r="AB42" t="str">
        <f t="shared" si="6"/>
        <v>Neutral</v>
      </c>
      <c r="AC42">
        <f>survey_responses[[#This Row],[Các thủ tục khai báo thuế VÀ/HOẶC quy trình làm việc với cơ quan thuế đơn giản, tiện lợi, nhanh chóng hơn so với trước đây. - HUMAN-FAC1]]</f>
        <v>7</v>
      </c>
      <c r="AD42" t="str">
        <f t="shared" si="7"/>
        <v>Neutral</v>
      </c>
      <c r="AE42" s="32">
        <f t="shared" si="8"/>
        <v>1</v>
      </c>
      <c r="AF42">
        <f>step3_validation[[#This Row],[AI_FAC2]]</f>
        <v>9</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1</v>
      </c>
      <c r="AK42">
        <f>step3_validation[[#This Row],[AI_TRU1]]</f>
        <v>7</v>
      </c>
      <c r="AL42" t="str">
        <f t="shared" si="12"/>
        <v>Neutral</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0</v>
      </c>
      <c r="AP42">
        <f>step3_validation[[#This Row],[AI_TRU2]]</f>
        <v>8</v>
      </c>
      <c r="AQ42" t="str">
        <f t="shared" si="15"/>
        <v>Support</v>
      </c>
      <c r="AR42">
        <f>survey_responses[[#This Row],[Tôi thấy mức thuế tôi phải đóng theo phương án mới là công bằng (người thu nhập như tôi đóng mức này là hợp lý). - HUMAN-TRU2]]</f>
        <v>4</v>
      </c>
      <c r="AS42" t="str">
        <f t="shared" si="16"/>
        <v>Oppose</v>
      </c>
      <c r="AT42" s="32">
        <f t="shared" si="17"/>
        <v>4</v>
      </c>
      <c r="AU42">
        <f>step3_validation[[#This Row],[AI_TRU3]]</f>
        <v>7</v>
      </c>
      <c r="AV42" t="str">
        <f t="shared" si="18"/>
        <v>Neutral</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5</v>
      </c>
      <c r="AZ42">
        <f>step3_validation[[#This Row],[AI_TRU4]]</f>
        <v>6</v>
      </c>
      <c r="BA42" t="str">
        <f t="shared" si="21"/>
        <v>Neutral</v>
      </c>
      <c r="BB42">
        <f>survey_responses[[#This Row],[Tôi thấy Nhà nước đã giải thích rõ ràng, minh bạch về lý do và mục tiêu của việc sửa đổi thuế lần này. - HUMAN-TRU4]]</f>
        <v>8</v>
      </c>
      <c r="BC42" t="str">
        <f t="shared" si="22"/>
        <v>Support</v>
      </c>
      <c r="BD42" s="32">
        <f t="shared" si="23"/>
        <v>2</v>
      </c>
      <c r="BE42">
        <f>step3_validation[[#This Row],[AI_OUT1]]</f>
        <v>8</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0</v>
      </c>
    </row>
    <row r="43" spans="1:61" x14ac:dyDescent="0.45">
      <c r="A43" s="30">
        <f>step3_validation[[#This Row],[Persona_ID]]</f>
        <v>42</v>
      </c>
      <c r="B43" s="31">
        <f>step3_validation[[#This Row],[Used_Seed]]</f>
        <v>83</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34.967759824181542</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8</v>
      </c>
      <c r="R43" t="str">
        <f t="shared" si="0"/>
        <v>Support</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2</v>
      </c>
      <c r="V43">
        <f>step3_validation[[#This Row],[AI_ENF2]]</f>
        <v>7</v>
      </c>
      <c r="W43" t="str">
        <f t="shared" si="3"/>
        <v>Neutral</v>
      </c>
      <c r="X43">
        <f>survey_responses[[#This Row],[Tôi tin rằng Nhà nước, cơ quan thuế có đủ khả năng và công nghệ để phát hiện, xử lý nghiêm các hành vi trốn thuế. - HUMAN-ENF2]]</f>
        <v>10</v>
      </c>
      <c r="Y43" t="str">
        <f t="shared" si="4"/>
        <v>Support</v>
      </c>
      <c r="Z43" s="32">
        <f t="shared" si="5"/>
        <v>3</v>
      </c>
      <c r="AA43">
        <f>step3_validation[[#This Row],[AI_FAC1]]</f>
        <v>7</v>
      </c>
      <c r="AB43" t="str">
        <f t="shared" si="6"/>
        <v>Neutral</v>
      </c>
      <c r="AC43">
        <f>survey_responses[[#This Row],[Các thủ tục khai báo thuế VÀ/HOẶC quy trình làm việc với cơ quan thuế đơn giản, tiện lợi, nhanh chóng hơn so với trước đây. - HUMAN-FAC1]]</f>
        <v>9</v>
      </c>
      <c r="AD43" t="str">
        <f t="shared" si="7"/>
        <v>Support</v>
      </c>
      <c r="AE43" s="32">
        <f t="shared" si="8"/>
        <v>2</v>
      </c>
      <c r="AF43">
        <f>step3_validation[[#This Row],[AI_FAC2]]</f>
        <v>9</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1</v>
      </c>
      <c r="AK43">
        <f>step3_validation[[#This Row],[AI_TRU1]]</f>
        <v>6</v>
      </c>
      <c r="AL43" t="str">
        <f t="shared" si="12"/>
        <v>Neutral</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1</v>
      </c>
      <c r="AP43">
        <f>step3_validation[[#This Row],[AI_TRU2]]</f>
        <v>9</v>
      </c>
      <c r="AQ43" t="str">
        <f t="shared" si="15"/>
        <v>Support</v>
      </c>
      <c r="AR43">
        <f>survey_responses[[#This Row],[Tôi thấy mức thuế tôi phải đóng theo phương án mới là công bằng (người thu nhập như tôi đóng mức này là hợp lý). - HUMAN-TRU2]]</f>
        <v>9</v>
      </c>
      <c r="AS43" t="str">
        <f t="shared" si="16"/>
        <v>Support</v>
      </c>
      <c r="AT43" s="32">
        <f t="shared" si="17"/>
        <v>0</v>
      </c>
      <c r="AU43">
        <f>step3_validation[[#This Row],[AI_TRU3]]</f>
        <v>6</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3</v>
      </c>
      <c r="AZ43">
        <f>step3_validation[[#This Row],[AI_TRU4]]</f>
        <v>7</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1</v>
      </c>
      <c r="BE43">
        <f>step3_validation[[#This Row],[AI_OUT1]]</f>
        <v>8</v>
      </c>
      <c r="BF43" t="str">
        <f t="shared" si="24"/>
        <v>Support</v>
      </c>
      <c r="BG43">
        <f>survey_responses[[#This Row],[Sau khi xem xét các quyền lợi và nghĩa vụ, bạn có ủng hộ và tuân thủ chính sách mới hiện nay? - HUMAN-OUT1]]</f>
        <v>8</v>
      </c>
      <c r="BH43" t="str">
        <f t="shared" si="25"/>
        <v>Support</v>
      </c>
      <c r="BI43" s="32">
        <f t="shared" si="26"/>
        <v>0</v>
      </c>
    </row>
    <row r="44" spans="1:61" x14ac:dyDescent="0.45">
      <c r="A44" s="30">
        <f>step3_validation[[#This Row],[Persona_ID]]</f>
        <v>43</v>
      </c>
      <c r="B44" s="31">
        <f>step3_validation[[#This Row],[Used_Seed]]</f>
        <v>84</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228.53863771881382</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7</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1</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1</v>
      </c>
      <c r="AA44">
        <f>step3_validation[[#This Row],[AI_FAC1]]</f>
        <v>8</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0</v>
      </c>
      <c r="AF44">
        <f>step3_validation[[#This Row],[AI_FAC2]]</f>
        <v>9</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2">
        <f t="shared" si="11"/>
        <v>1</v>
      </c>
      <c r="AK44">
        <f>step3_validation[[#This Row],[AI_TRU1]]</f>
        <v>8</v>
      </c>
      <c r="AL44" t="str">
        <f t="shared" si="12"/>
        <v>Support</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1</v>
      </c>
      <c r="AP44">
        <f>step3_validation[[#This Row],[AI_TRU2]]</f>
        <v>9</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8</v>
      </c>
      <c r="AU44">
        <f>step3_validation[[#This Row],[AI_TRU3]]</f>
        <v>7</v>
      </c>
      <c r="AV44" t="str">
        <f t="shared" si="18"/>
        <v>Neutral</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0</v>
      </c>
      <c r="AZ44">
        <f>step3_validation[[#This Row],[AI_TRU4]]</f>
        <v>6</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2">
        <f t="shared" si="23"/>
        <v>1</v>
      </c>
      <c r="BE44">
        <f>step3_validation[[#This Row],[AI_OUT1]]</f>
        <v>9</v>
      </c>
      <c r="BF44" t="str">
        <f t="shared" si="24"/>
        <v>Support</v>
      </c>
      <c r="BG44">
        <f>survey_responses[[#This Row],[Sau khi xem xét các quyền lợi và nghĩa vụ, bạn có ủng hộ và tuân thủ chính sách mới hiện nay? - HUMAN-OUT1]]</f>
        <v>8</v>
      </c>
      <c r="BH44" t="str">
        <f t="shared" si="25"/>
        <v>Support</v>
      </c>
      <c r="BI44" s="32">
        <f t="shared" si="26"/>
        <v>1</v>
      </c>
    </row>
    <row r="45" spans="1:61" x14ac:dyDescent="0.45">
      <c r="A45" s="30">
        <f>step3_validation[[#This Row],[Persona_ID]]</f>
        <v>44</v>
      </c>
      <c r="B45" s="31">
        <f>step3_validation[[#This Row],[Used_Seed]]</f>
        <v>85</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28.865878073135946</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8</v>
      </c>
      <c r="R45" t="str">
        <f t="shared" si="0"/>
        <v>Support</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0</v>
      </c>
      <c r="V45">
        <f>step3_validation[[#This Row],[AI_ENF2]]</f>
        <v>8</v>
      </c>
      <c r="W45" t="str">
        <f t="shared" si="3"/>
        <v>Support</v>
      </c>
      <c r="X45">
        <f>survey_responses[[#This Row],[Tôi tin rằng Nhà nước, cơ quan thuế có đủ khả năng và công nghệ để phát hiện, xử lý nghiêm các hành vi trốn thuế. - HUMAN-ENF2]]</f>
        <v>8</v>
      </c>
      <c r="Y45" t="str">
        <f t="shared" si="4"/>
        <v>Support</v>
      </c>
      <c r="Z45" s="32">
        <f t="shared" si="5"/>
        <v>0</v>
      </c>
      <c r="AA45">
        <f>step3_validation[[#This Row],[AI_FAC1]]</f>
        <v>9</v>
      </c>
      <c r="AB45" t="str">
        <f t="shared" si="6"/>
        <v>Support</v>
      </c>
      <c r="AC45">
        <f>survey_responses[[#This Row],[Các thủ tục khai báo thuế VÀ/HOẶC quy trình làm việc với cơ quan thuế đơn giản, tiện lợi, nhanh chóng hơn so với trước đây. - HUMAN-FAC1]]</f>
        <v>8</v>
      </c>
      <c r="AD45" t="str">
        <f t="shared" si="7"/>
        <v>Support</v>
      </c>
      <c r="AE45" s="32">
        <f t="shared" si="8"/>
        <v>1</v>
      </c>
      <c r="AF45">
        <f>step3_validation[[#This Row],[AI_FAC2]]</f>
        <v>9</v>
      </c>
      <c r="AG45" t="str">
        <f t="shared" si="9"/>
        <v>Support</v>
      </c>
      <c r="AH45">
        <f>survey_responses[[#This Row],[So với trước đây, tôi thấy cách tính thuế và các bậc thuế trong phương án mới đơn giản, dễ hiểu và dễ thực hiện hơn. - HUMAN-FAC2]]</f>
        <v>8</v>
      </c>
      <c r="AI45" t="str">
        <f t="shared" si="10"/>
        <v>Support</v>
      </c>
      <c r="AJ45" s="32">
        <f t="shared" si="11"/>
        <v>1</v>
      </c>
      <c r="AK45">
        <f>step3_validation[[#This Row],[AI_TRU1]]</f>
        <v>7</v>
      </c>
      <c r="AL45" t="str">
        <f t="shared" si="12"/>
        <v>Neutral</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1</v>
      </c>
      <c r="AP45">
        <f>step3_validation[[#This Row],[AI_TRU2]]</f>
        <v>9</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1</v>
      </c>
      <c r="AU45">
        <f>step3_validation[[#This Row],[AI_TRU3]]</f>
        <v>8</v>
      </c>
      <c r="AV45" t="str">
        <f t="shared" si="18"/>
        <v>Support</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1</v>
      </c>
      <c r="AZ45">
        <f>step3_validation[[#This Row],[AI_TRU4]]</f>
        <v>7</v>
      </c>
      <c r="BA45" t="str">
        <f t="shared" si="21"/>
        <v>Neutral</v>
      </c>
      <c r="BB45">
        <f>survey_responses[[#This Row],[Tôi thấy Nhà nước đã giải thích rõ ràng, minh bạch về lý do và mục tiêu của việc sửa đổi thuế lần này. - HUMAN-TRU4]]</f>
        <v>5</v>
      </c>
      <c r="BC45" t="str">
        <f t="shared" si="22"/>
        <v>Neutral</v>
      </c>
      <c r="BD45" s="32">
        <f t="shared" si="23"/>
        <v>2</v>
      </c>
      <c r="BE45">
        <f>step3_validation[[#This Row],[AI_OUT1]]</f>
        <v>9</v>
      </c>
      <c r="BF45" t="str">
        <f t="shared" si="24"/>
        <v>Support</v>
      </c>
      <c r="BG45">
        <f>survey_responses[[#This Row],[Sau khi xem xét các quyền lợi và nghĩa vụ, bạn có ủng hộ và tuân thủ chính sách mới hiện nay? - HUMAN-OUT1]]</f>
        <v>9</v>
      </c>
      <c r="BH45" t="str">
        <f t="shared" si="25"/>
        <v>Support</v>
      </c>
      <c r="BI45" s="32">
        <f t="shared" si="26"/>
        <v>0</v>
      </c>
    </row>
    <row r="46" spans="1:61" x14ac:dyDescent="0.45">
      <c r="A46" s="30">
        <f>step3_validation[[#This Row],[Persona_ID]]</f>
        <v>45</v>
      </c>
      <c r="B46" s="31">
        <f>step3_validation[[#This Row],[Used_Seed]]</f>
        <v>86</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26.74468054587323</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5</v>
      </c>
      <c r="R46" t="str">
        <f t="shared" si="0"/>
        <v>Neutral</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5</v>
      </c>
      <c r="V46">
        <f>step3_validation[[#This Row],[AI_ENF2]]</f>
        <v>6</v>
      </c>
      <c r="W46" t="str">
        <f t="shared" si="3"/>
        <v>Neutral</v>
      </c>
      <c r="X46">
        <f>survey_responses[[#This Row],[Tôi tin rằng Nhà nước, cơ quan thuế có đủ khả năng và công nghệ để phát hiện, xử lý nghiêm các hành vi trốn thuế. - HUMAN-ENF2]]</f>
        <v>10</v>
      </c>
      <c r="Y46" t="str">
        <f t="shared" si="4"/>
        <v>Support</v>
      </c>
      <c r="Z46" s="32">
        <f t="shared" si="5"/>
        <v>4</v>
      </c>
      <c r="AA46">
        <f>step3_validation[[#This Row],[AI_FAC1]]</f>
        <v>8</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2">
        <f t="shared" si="8"/>
        <v>2</v>
      </c>
      <c r="AF46">
        <f>step3_validation[[#This Row],[AI_FAC2]]</f>
        <v>9</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0</v>
      </c>
      <c r="AK46">
        <f>step3_validation[[#This Row],[AI_TRU1]]</f>
        <v>7</v>
      </c>
      <c r="AL46" t="str">
        <f t="shared" si="12"/>
        <v>Neutral</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3</v>
      </c>
      <c r="AP46">
        <f>step3_validation[[#This Row],[AI_TRU2]]</f>
        <v>9</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2">
        <f t="shared" si="17"/>
        <v>1</v>
      </c>
      <c r="AU46">
        <f>step3_validation[[#This Row],[AI_TRU3]]</f>
        <v>7</v>
      </c>
      <c r="AV46" t="str">
        <f t="shared" si="18"/>
        <v>Neutral</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3</v>
      </c>
      <c r="AZ46">
        <f>step3_validation[[#This Row],[AI_TRU4]]</f>
        <v>6</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4</v>
      </c>
      <c r="BE46">
        <f>step3_validation[[#This Row],[AI_OUT1]]</f>
        <v>9</v>
      </c>
      <c r="BF46" t="str">
        <f t="shared" si="24"/>
        <v>Support</v>
      </c>
      <c r="BG46">
        <f>survey_responses[[#This Row],[Sau khi xem xét các quyền lợi và nghĩa vụ, bạn có ủng hộ và tuân thủ chính sách mới hiện nay? - HUMAN-OUT1]]</f>
        <v>10</v>
      </c>
      <c r="BH46" t="str">
        <f t="shared" si="25"/>
        <v>Support</v>
      </c>
      <c r="BI46" s="32">
        <f t="shared" si="26"/>
        <v>1</v>
      </c>
    </row>
    <row r="47" spans="1:61" x14ac:dyDescent="0.45">
      <c r="A47" s="30">
        <f>step3_validation[[#This Row],[Persona_ID]]</f>
        <v>46</v>
      </c>
      <c r="B47" s="31">
        <f>step3_validation[[#This Row],[Used_Seed]]</f>
        <v>87</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6</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5</v>
      </c>
      <c r="V47">
        <f>step3_validation[[#This Row],[AI_ENF2]]</f>
        <v>6</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5</v>
      </c>
      <c r="AA47">
        <f>step3_validation[[#This Row],[AI_FAC1]]</f>
        <v>7</v>
      </c>
      <c r="AB47" t="str">
        <f t="shared" si="6"/>
        <v>Neutral</v>
      </c>
      <c r="AC47">
        <f>survey_responses[[#This Row],[Các thủ tục khai báo thuế VÀ/HOẶC quy trình làm việc với cơ quan thuế đơn giản, tiện lợi, nhanh chóng hơn so với trước đây. - HUMAN-FAC1]]</f>
        <v>2</v>
      </c>
      <c r="AD47" t="str">
        <f t="shared" si="7"/>
        <v>Oppose</v>
      </c>
      <c r="AE47" s="32">
        <f t="shared" si="8"/>
        <v>5</v>
      </c>
      <c r="AF47">
        <f>step3_validation[[#This Row],[AI_FAC2]]</f>
        <v>9</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8</v>
      </c>
      <c r="AK47">
        <f>step3_validation[[#This Row],[AI_TRU1]]</f>
        <v>8</v>
      </c>
      <c r="AL47" t="str">
        <f t="shared" si="12"/>
        <v>Support</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7</v>
      </c>
      <c r="AP47">
        <f>step3_validation[[#This Row],[AI_TRU2]]</f>
        <v>9</v>
      </c>
      <c r="AQ47" t="str">
        <f t="shared" si="15"/>
        <v>Support</v>
      </c>
      <c r="AR47">
        <f>survey_responses[[#This Row],[Tôi thấy mức thuế tôi phải đóng theo phương án mới là công bằng (người thu nhập như tôi đóng mức này là hợp lý). - HUMAN-TRU2]]</f>
        <v>1</v>
      </c>
      <c r="AS47" t="str">
        <f t="shared" si="16"/>
        <v>Oppose</v>
      </c>
      <c r="AT47" s="32">
        <f t="shared" si="17"/>
        <v>8</v>
      </c>
      <c r="AU47">
        <f>step3_validation[[#This Row],[AI_TRU3]]</f>
        <v>8</v>
      </c>
      <c r="AV47" t="str">
        <f t="shared" si="18"/>
        <v>Support</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7</v>
      </c>
      <c r="AZ47">
        <f>step3_validation[[#This Row],[AI_TRU4]]</f>
        <v>7</v>
      </c>
      <c r="BA47" t="str">
        <f t="shared" si="21"/>
        <v>Neutral</v>
      </c>
      <c r="BB47">
        <f>survey_responses[[#This Row],[Tôi thấy Nhà nước đã giải thích rõ ràng, minh bạch về lý do và mục tiêu của việc sửa đổi thuế lần này. - HUMAN-TRU4]]</f>
        <v>1</v>
      </c>
      <c r="BC47" t="str">
        <f t="shared" si="22"/>
        <v>Oppose</v>
      </c>
      <c r="BD47" s="32">
        <f t="shared" si="23"/>
        <v>6</v>
      </c>
      <c r="BE47">
        <f>step3_validation[[#This Row],[AI_OUT1]]</f>
        <v>9</v>
      </c>
      <c r="BF47" t="str">
        <f t="shared" si="24"/>
        <v>Support</v>
      </c>
      <c r="BG47">
        <f>survey_responses[[#This Row],[Sau khi xem xét các quyền lợi và nghĩa vụ, bạn có ủng hộ và tuân thủ chính sách mới hiện nay? - HUMAN-OUT1]]</f>
        <v>1</v>
      </c>
      <c r="BH47" t="str">
        <f t="shared" si="25"/>
        <v>Oppose</v>
      </c>
      <c r="BI47" s="32">
        <f t="shared" si="26"/>
        <v>8</v>
      </c>
    </row>
    <row r="48" spans="1:61" x14ac:dyDescent="0.45">
      <c r="A48" s="30">
        <f>step3_validation[[#This Row],[Persona_ID]]</f>
        <v>47</v>
      </c>
      <c r="B48" s="31">
        <f>step3_validation[[#This Row],[Used_Seed]]</f>
        <v>88</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8</v>
      </c>
      <c r="R48" t="str">
        <f t="shared" si="0"/>
        <v>Support</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0</v>
      </c>
      <c r="V48">
        <f>step3_validation[[#This Row],[AI_ENF2]]</f>
        <v>7</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2">
        <f t="shared" si="5"/>
        <v>1</v>
      </c>
      <c r="AA48">
        <f>step3_validation[[#This Row],[AI_FAC1]]</f>
        <v>6</v>
      </c>
      <c r="AB48" t="str">
        <f t="shared" si="6"/>
        <v>Neutral</v>
      </c>
      <c r="AC48">
        <f>survey_responses[[#This Row],[Các thủ tục khai báo thuế VÀ/HOẶC quy trình làm việc với cơ quan thuế đơn giản, tiện lợi, nhanh chóng hơn so với trước đây. - HUMAN-FAC1]]</f>
        <v>8</v>
      </c>
      <c r="AD48" t="str">
        <f t="shared" si="7"/>
        <v>Support</v>
      </c>
      <c r="AE48" s="32">
        <f t="shared" si="8"/>
        <v>2</v>
      </c>
      <c r="AF48">
        <f>step3_validation[[#This Row],[AI_FAC2]]</f>
        <v>9</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2</v>
      </c>
      <c r="AK48">
        <f>step3_validation[[#This Row],[AI_TRU1]]</f>
        <v>8</v>
      </c>
      <c r="AL48" t="str">
        <f t="shared" si="12"/>
        <v>Support</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2</v>
      </c>
      <c r="AP48">
        <f>step3_validation[[#This Row],[AI_TRU2]]</f>
        <v>9</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2">
        <f t="shared" si="17"/>
        <v>1</v>
      </c>
      <c r="AU48">
        <f>step3_validation[[#This Row],[AI_TRU3]]</f>
        <v>8</v>
      </c>
      <c r="AV48" t="str">
        <f t="shared" si="18"/>
        <v>Support</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0</v>
      </c>
      <c r="AZ48">
        <f>step3_validation[[#This Row],[AI_TRU4]]</f>
        <v>7</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2</v>
      </c>
      <c r="BE48">
        <f>step3_validation[[#This Row],[AI_OUT1]]</f>
        <v>9</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1</v>
      </c>
    </row>
    <row r="49" spans="1:61" x14ac:dyDescent="0.45">
      <c r="A49" s="30">
        <f>step3_validation[[#This Row],[Persona_ID]]</f>
        <v>48</v>
      </c>
      <c r="B49" s="31">
        <f>step3_validation[[#This Row],[Used_Seed]]</f>
        <v>89</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35.26686950546128</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8</v>
      </c>
      <c r="R49" t="str">
        <f t="shared" si="0"/>
        <v>Support</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2</v>
      </c>
      <c r="V49">
        <f>step3_validation[[#This Row],[AI_ENF2]]</f>
        <v>8</v>
      </c>
      <c r="W49" t="str">
        <f t="shared" si="3"/>
        <v>Support</v>
      </c>
      <c r="X49">
        <f>survey_responses[[#This Row],[Tôi tin rằng Nhà nước, cơ quan thuế có đủ khả năng và công nghệ để phát hiện, xử lý nghiêm các hành vi trốn thuế. - HUMAN-ENF2]]</f>
        <v>10</v>
      </c>
      <c r="Y49" t="str">
        <f t="shared" si="4"/>
        <v>Support</v>
      </c>
      <c r="Z49" s="32">
        <f t="shared" si="5"/>
        <v>2</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1</v>
      </c>
      <c r="AF49">
        <f>step3_validation[[#This Row],[AI_FAC2]]</f>
        <v>10</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0</v>
      </c>
      <c r="AK49">
        <f>step3_validation[[#This Row],[AI_TRU1]]</f>
        <v>7</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3</v>
      </c>
      <c r="AP49">
        <f>step3_validation[[#This Row],[AI_TRU2]]</f>
        <v>9</v>
      </c>
      <c r="AQ49" t="str">
        <f t="shared" si="15"/>
        <v>Support</v>
      </c>
      <c r="AR49">
        <f>survey_responses[[#This Row],[Tôi thấy mức thuế tôi phải đóng theo phương án mới là công bằng (người thu nhập như tôi đóng mức này là hợp lý). - HUMAN-TRU2]]</f>
        <v>10</v>
      </c>
      <c r="AS49" t="str">
        <f t="shared" si="16"/>
        <v>Support</v>
      </c>
      <c r="AT49" s="32">
        <f t="shared" si="17"/>
        <v>1</v>
      </c>
      <c r="AU49">
        <f>step3_validation[[#This Row],[AI_TRU3]]</f>
        <v>8</v>
      </c>
      <c r="AV49" t="str">
        <f t="shared" si="18"/>
        <v>Support</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2</v>
      </c>
      <c r="AZ49">
        <f>step3_validation[[#This Row],[AI_TRU4]]</f>
        <v>7</v>
      </c>
      <c r="BA49" t="str">
        <f t="shared" si="21"/>
        <v>Neutral</v>
      </c>
      <c r="BB49">
        <f>survey_responses[[#This Row],[Tôi thấy Nhà nước đã giải thích rõ ràng, minh bạch về lý do và mục tiêu của việc sửa đổi thuế lần này. - HUMAN-TRU4]]</f>
        <v>10</v>
      </c>
      <c r="BC49" t="str">
        <f t="shared" si="22"/>
        <v>Support</v>
      </c>
      <c r="BD49" s="32">
        <f t="shared" si="23"/>
        <v>3</v>
      </c>
      <c r="BE49">
        <f>step3_validation[[#This Row],[AI_OUT1]]</f>
        <v>9</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1</v>
      </c>
    </row>
    <row r="50" spans="1:61" x14ac:dyDescent="0.45">
      <c r="A50" s="30">
        <f>step3_validation[[#This Row],[Persona_ID]]</f>
        <v>49</v>
      </c>
      <c r="B50" s="31">
        <f>step3_validation[[#This Row],[Used_Seed]]</f>
        <v>90</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191.7935084949938</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6</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2</v>
      </c>
      <c r="V50">
        <f>step3_validation[[#This Row],[AI_ENF2]]</f>
        <v>6</v>
      </c>
      <c r="W50" t="str">
        <f t="shared" si="3"/>
        <v>Neutral</v>
      </c>
      <c r="X50">
        <f>survey_responses[[#This Row],[Tôi tin rằng Nhà nước, cơ quan thuế có đủ khả năng và công nghệ để phát hiện, xử lý nghiêm các hành vi trốn thuế. - HUMAN-ENF2]]</f>
        <v>8</v>
      </c>
      <c r="Y50" t="str">
        <f t="shared" si="4"/>
        <v>Support</v>
      </c>
      <c r="Z50" s="32">
        <f t="shared" si="5"/>
        <v>2</v>
      </c>
      <c r="AA50">
        <f>step3_validation[[#This Row],[AI_FAC1]]</f>
        <v>8</v>
      </c>
      <c r="AB50" t="str">
        <f t="shared" si="6"/>
        <v>Support</v>
      </c>
      <c r="AC50">
        <f>survey_responses[[#This Row],[Các thủ tục khai báo thuế VÀ/HOẶC quy trình làm việc với cơ quan thuế đơn giản, tiện lợi, nhanh chóng hơn so với trước đây. - HUMAN-FAC1]]</f>
        <v>7</v>
      </c>
      <c r="AD50" t="str">
        <f t="shared" si="7"/>
        <v>Neutral</v>
      </c>
      <c r="AE50" s="32">
        <f t="shared" si="8"/>
        <v>1</v>
      </c>
      <c r="AF50">
        <f>step3_validation[[#This Row],[AI_FAC2]]</f>
        <v>7</v>
      </c>
      <c r="AG50" t="str">
        <f t="shared" si="9"/>
        <v>Neutral</v>
      </c>
      <c r="AH50">
        <f>survey_responses[[#This Row],[So với trước đây, tôi thấy cách tính thuế và các bậc thuế trong phương án mới đơn giản, dễ hiểu và dễ thực hiện hơn. - HUMAN-FAC2]]</f>
        <v>8</v>
      </c>
      <c r="AI50" t="str">
        <f t="shared" si="10"/>
        <v>Support</v>
      </c>
      <c r="AJ50" s="32">
        <f t="shared" si="11"/>
        <v>1</v>
      </c>
      <c r="AK50">
        <f>step3_validation[[#This Row],[AI_TRU1]]</f>
        <v>7</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1</v>
      </c>
      <c r="AP50">
        <f>step3_validation[[#This Row],[AI_TRU2]]</f>
        <v>8</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0</v>
      </c>
      <c r="AU50">
        <f>step3_validation[[#This Row],[AI_TRU3]]</f>
        <v>7</v>
      </c>
      <c r="AV50" t="str">
        <f t="shared" si="18"/>
        <v>Neutral</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1</v>
      </c>
      <c r="AZ50">
        <f>step3_validation[[#This Row],[AI_TRU4]]</f>
        <v>6</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1</v>
      </c>
      <c r="BE50">
        <f>step3_validation[[#This Row],[AI_OUT1]]</f>
        <v>9</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1</v>
      </c>
    </row>
    <row r="51" spans="1:61" x14ac:dyDescent="0.45">
      <c r="A51" s="30">
        <f>step3_validation[[#This Row],[Persona_ID]]</f>
        <v>50</v>
      </c>
      <c r="B51" s="31">
        <f>step3_validation[[#This Row],[Used_Seed]]</f>
        <v>91</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20.052287499736849</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3</v>
      </c>
      <c r="V51">
        <f>step3_validation[[#This Row],[AI_ENF2]]</f>
        <v>7</v>
      </c>
      <c r="W51" t="str">
        <f t="shared" si="3"/>
        <v>Neutral</v>
      </c>
      <c r="X51">
        <f>survey_responses[[#This Row],[Tôi tin rằng Nhà nước, cơ quan thuế có đủ khả năng và công nghệ để phát hiện, xử lý nghiêm các hành vi trốn thuế. - HUMAN-ENF2]]</f>
        <v>10</v>
      </c>
      <c r="Y51" t="str">
        <f t="shared" si="4"/>
        <v>Support</v>
      </c>
      <c r="Z51" s="32">
        <f t="shared" si="5"/>
        <v>3</v>
      </c>
      <c r="AA51">
        <f>step3_validation[[#This Row],[AI_FAC1]]</f>
        <v>6</v>
      </c>
      <c r="AB51" t="str">
        <f t="shared" si="6"/>
        <v>Neutral</v>
      </c>
      <c r="AC51">
        <f>survey_responses[[#This Row],[Các thủ tục khai báo thuế VÀ/HOẶC quy trình làm việc với cơ quan thuế đơn giản, tiện lợi, nhanh chóng hơn so với trước đây. - HUMAN-FAC1]]</f>
        <v>10</v>
      </c>
      <c r="AD51" t="str">
        <f t="shared" si="7"/>
        <v>Support</v>
      </c>
      <c r="AE51" s="32">
        <f t="shared" si="8"/>
        <v>4</v>
      </c>
      <c r="AF51">
        <f>step3_validation[[#This Row],[AI_FAC2]]</f>
        <v>8</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0</v>
      </c>
      <c r="AK51">
        <f>step3_validation[[#This Row],[AI_TRU1]]</f>
        <v>7</v>
      </c>
      <c r="AL51" t="str">
        <f t="shared" si="12"/>
        <v>Neutral</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1</v>
      </c>
      <c r="AP51">
        <f>step3_validation[[#This Row],[AI_TRU2]]</f>
        <v>8</v>
      </c>
      <c r="AQ51" t="str">
        <f t="shared" si="15"/>
        <v>Support</v>
      </c>
      <c r="AR51">
        <f>survey_responses[[#This Row],[Tôi thấy mức thuế tôi phải đóng theo phương án mới là công bằng (người thu nhập như tôi đóng mức này là hợp lý). - HUMAN-TRU2]]</f>
        <v>8</v>
      </c>
      <c r="AS51" t="str">
        <f t="shared" si="16"/>
        <v>Support</v>
      </c>
      <c r="AT51" s="32">
        <f t="shared" si="17"/>
        <v>0</v>
      </c>
      <c r="AU51">
        <f>step3_validation[[#This Row],[AI_TRU3]]</f>
        <v>7</v>
      </c>
      <c r="AV51" t="str">
        <f t="shared" si="18"/>
        <v>Neutral</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1</v>
      </c>
      <c r="AZ51">
        <f>step3_validation[[#This Row],[AI_TRU4]]</f>
        <v>6</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2">
        <f t="shared" si="23"/>
        <v>2</v>
      </c>
      <c r="BE51">
        <f>step3_validation[[#This Row],[AI_OUT1]]</f>
        <v>8</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0</v>
      </c>
    </row>
    <row r="52" spans="1:61" x14ac:dyDescent="0.45">
      <c r="A52" s="30">
        <f>step3_validation[[#This Row],[Persona_ID]]</f>
        <v>51</v>
      </c>
      <c r="B52" s="31">
        <f>step3_validation[[#This Row],[Used_Seed]]</f>
        <v>92</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13.569827545687007</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6</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4</v>
      </c>
      <c r="V52">
        <f>step3_validation[[#This Row],[AI_ENF2]]</f>
        <v>7</v>
      </c>
      <c r="W52" t="str">
        <f t="shared" si="3"/>
        <v>Neutral</v>
      </c>
      <c r="X52">
        <f>survey_responses[[#This Row],[Tôi tin rằng Nhà nước, cơ quan thuế có đủ khả năng và công nghệ để phát hiện, xử lý nghiêm các hành vi trốn thuế. - HUMAN-ENF2]]</f>
        <v>10</v>
      </c>
      <c r="Y52" t="str">
        <f t="shared" si="4"/>
        <v>Support</v>
      </c>
      <c r="Z52" s="32">
        <f t="shared" si="5"/>
        <v>3</v>
      </c>
      <c r="AA52">
        <f>step3_validation[[#This Row],[AI_FAC1]]</f>
        <v>9</v>
      </c>
      <c r="AB52" t="str">
        <f t="shared" si="6"/>
        <v>Support</v>
      </c>
      <c r="AC52">
        <f>survey_responses[[#This Row],[Các thủ tục khai báo thuế VÀ/HOẶC quy trình làm việc với cơ quan thuế đơn giản, tiện lợi, nhanh chóng hơn so với trước đây. - HUMAN-FAC1]]</f>
        <v>10</v>
      </c>
      <c r="AD52" t="str">
        <f t="shared" si="7"/>
        <v>Support</v>
      </c>
      <c r="AE52" s="32">
        <f t="shared" si="8"/>
        <v>1</v>
      </c>
      <c r="AF52">
        <f>step3_validation[[#This Row],[AI_FAC2]]</f>
        <v>9</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1</v>
      </c>
      <c r="AK52">
        <f>step3_validation[[#This Row],[AI_TRU1]]</f>
        <v>8</v>
      </c>
      <c r="AL52" t="str">
        <f t="shared" si="12"/>
        <v>Support</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2</v>
      </c>
      <c r="AP52">
        <f>step3_validation[[#This Row],[AI_TRU2]]</f>
        <v>8</v>
      </c>
      <c r="AQ52" t="str">
        <f t="shared" si="15"/>
        <v>Support</v>
      </c>
      <c r="AR52">
        <f>survey_responses[[#This Row],[Tôi thấy mức thuế tôi phải đóng theo phương án mới là công bằng (người thu nhập như tôi đóng mức này là hợp lý). - HUMAN-TRU2]]</f>
        <v>10</v>
      </c>
      <c r="AS52" t="str">
        <f t="shared" si="16"/>
        <v>Support</v>
      </c>
      <c r="AT52" s="32">
        <f t="shared" si="17"/>
        <v>2</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8</v>
      </c>
      <c r="BA52" t="str">
        <f t="shared" si="21"/>
        <v>Support</v>
      </c>
      <c r="BB52">
        <f>survey_responses[[#This Row],[Tôi thấy Nhà nước đã giải thích rõ ràng, minh bạch về lý do và mục tiêu của việc sửa đổi thuế lần này. - HUMAN-TRU4]]</f>
        <v>10</v>
      </c>
      <c r="BC52" t="str">
        <f t="shared" si="22"/>
        <v>Support</v>
      </c>
      <c r="BD52" s="32">
        <f t="shared" si="23"/>
        <v>2</v>
      </c>
      <c r="BE52">
        <f>step3_validation[[#This Row],[AI_OUT1]]</f>
        <v>9</v>
      </c>
      <c r="BF52" t="str">
        <f t="shared" si="24"/>
        <v>Support</v>
      </c>
      <c r="BG52">
        <f>survey_responses[[#This Row],[Sau khi xem xét các quyền lợi và nghĩa vụ, bạn có ủng hộ và tuân thủ chính sách mới hiện nay? - HUMAN-OUT1]]</f>
        <v>10</v>
      </c>
      <c r="BH52" t="str">
        <f t="shared" si="25"/>
        <v>Support</v>
      </c>
      <c r="BI52" s="32">
        <f t="shared" si="26"/>
        <v>1</v>
      </c>
    </row>
    <row r="53" spans="1:61" x14ac:dyDescent="0.45">
      <c r="A53" s="30">
        <f>step3_validation[[#This Row],[Persona_ID]]</f>
        <v>52</v>
      </c>
      <c r="B53" s="31">
        <f>step3_validation[[#This Row],[Used_Seed]]</f>
        <v>93</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20.75462224322278</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3</v>
      </c>
      <c r="V53">
        <f>step3_validation[[#This Row],[AI_ENF2]]</f>
        <v>8</v>
      </c>
      <c r="W53" t="str">
        <f t="shared" si="3"/>
        <v>Support</v>
      </c>
      <c r="X53">
        <f>survey_responses[[#This Row],[Tôi tin rằng Nhà nước, cơ quan thuế có đủ khả năng và công nghệ để phát hiện, xử lý nghiêm các hành vi trốn thuế. - HUMAN-ENF2]]</f>
        <v>10</v>
      </c>
      <c r="Y53" t="str">
        <f t="shared" si="4"/>
        <v>Support</v>
      </c>
      <c r="Z53" s="32">
        <f t="shared" si="5"/>
        <v>2</v>
      </c>
      <c r="AA53">
        <f>step3_validation[[#This Row],[AI_FAC1]]</f>
        <v>9</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1</v>
      </c>
      <c r="AF53">
        <f>step3_validation[[#This Row],[AI_FAC2]]</f>
        <v>10</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2">
        <f t="shared" si="11"/>
        <v>0</v>
      </c>
      <c r="AK53">
        <f>step3_validation[[#This Row],[AI_TRU1]]</f>
        <v>9</v>
      </c>
      <c r="AL53" t="str">
        <f t="shared" si="12"/>
        <v>Support</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1</v>
      </c>
      <c r="AP53">
        <f>step3_validation[[#This Row],[AI_TRU2]]</f>
        <v>8</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2</v>
      </c>
      <c r="AU53">
        <f>step3_validation[[#This Row],[AI_TRU3]]</f>
        <v>9</v>
      </c>
      <c r="AV53" t="str">
        <f t="shared" si="18"/>
        <v>Support</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1</v>
      </c>
      <c r="AZ53">
        <f>step3_validation[[#This Row],[AI_TRU4]]</f>
        <v>8</v>
      </c>
      <c r="BA53" t="str">
        <f t="shared" si="21"/>
        <v>Support</v>
      </c>
      <c r="BB53">
        <f>survey_responses[[#This Row],[Tôi thấy Nhà nước đã giải thích rõ ràng, minh bạch về lý do và mục tiêu của việc sửa đổi thuế lần này. - HUMAN-TRU4]]</f>
        <v>10</v>
      </c>
      <c r="BC53" t="str">
        <f t="shared" si="22"/>
        <v>Support</v>
      </c>
      <c r="BD53" s="32">
        <f t="shared" si="23"/>
        <v>2</v>
      </c>
      <c r="BE53">
        <f>step3_validation[[#This Row],[AI_OUT1]]</f>
        <v>9</v>
      </c>
      <c r="BF53" t="str">
        <f t="shared" si="24"/>
        <v>Support</v>
      </c>
      <c r="BG53">
        <f>survey_responses[[#This Row],[Sau khi xem xét các quyền lợi và nghĩa vụ, bạn có ủng hộ và tuân thủ chính sách mới hiện nay? - HUMAN-OUT1]]</f>
        <v>8</v>
      </c>
      <c r="BH53" t="str">
        <f t="shared" si="25"/>
        <v>Support</v>
      </c>
      <c r="BI53" s="32">
        <f t="shared" si="26"/>
        <v>1</v>
      </c>
    </row>
    <row r="54" spans="1:61" x14ac:dyDescent="0.45">
      <c r="A54" s="30">
        <f>step3_validation[[#This Row],[Persona_ID]]</f>
        <v>53</v>
      </c>
      <c r="B54" s="31">
        <f>step3_validation[[#This Row],[Used_Seed]]</f>
        <v>94</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12.983243945131914</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8</v>
      </c>
      <c r="R54" t="str">
        <f t="shared" si="0"/>
        <v>Support</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2</v>
      </c>
      <c r="V54">
        <f>step3_validation[[#This Row],[AI_ENF2]]</f>
        <v>9</v>
      </c>
      <c r="W54" t="str">
        <f t="shared" si="3"/>
        <v>Support</v>
      </c>
      <c r="X54">
        <f>survey_responses[[#This Row],[Tôi tin rằng Nhà nước, cơ quan thuế có đủ khả năng và công nghệ để phát hiện, xử lý nghiêm các hành vi trốn thuế. - HUMAN-ENF2]]</f>
        <v>10</v>
      </c>
      <c r="Y54" t="str">
        <f t="shared" si="4"/>
        <v>Support</v>
      </c>
      <c r="Z54" s="32">
        <f t="shared" si="5"/>
        <v>1</v>
      </c>
      <c r="AA54">
        <f>step3_validation[[#This Row],[AI_FAC1]]</f>
        <v>8</v>
      </c>
      <c r="AB54" t="str">
        <f t="shared" si="6"/>
        <v>Support</v>
      </c>
      <c r="AC54">
        <f>survey_responses[[#This Row],[Các thủ tục khai báo thuế VÀ/HOẶC quy trình làm việc với cơ quan thuế đơn giản, tiện lợi, nhanh chóng hơn so với trước đây. - HUMAN-FAC1]]</f>
        <v>10</v>
      </c>
      <c r="AD54" t="str">
        <f t="shared" si="7"/>
        <v>Support</v>
      </c>
      <c r="AE54" s="32">
        <f t="shared" si="8"/>
        <v>2</v>
      </c>
      <c r="AF54">
        <f>step3_validation[[#This Row],[AI_FAC2]]</f>
        <v>9</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2">
        <f t="shared" si="11"/>
        <v>1</v>
      </c>
      <c r="AK54">
        <f>step3_validation[[#This Row],[AI_TRU1]]</f>
        <v>8</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2</v>
      </c>
      <c r="AP54">
        <f>step3_validation[[#This Row],[AI_TRU2]]</f>
        <v>9</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2">
        <f t="shared" si="17"/>
        <v>1</v>
      </c>
      <c r="AU54">
        <f>step3_validation[[#This Row],[AI_TRU3]]</f>
        <v>8</v>
      </c>
      <c r="AV54" t="str">
        <f t="shared" si="18"/>
        <v>Support</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2</v>
      </c>
      <c r="AZ54">
        <f>step3_validation[[#This Row],[AI_TRU4]]</f>
        <v>9</v>
      </c>
      <c r="BA54" t="str">
        <f t="shared" si="21"/>
        <v>Support</v>
      </c>
      <c r="BB54">
        <f>survey_responses[[#This Row],[Tôi thấy Nhà nước đã giải thích rõ ràng, minh bạch về lý do và mục tiêu của việc sửa đổi thuế lần này. - HUMAN-TRU4]]</f>
        <v>10</v>
      </c>
      <c r="BC54" t="str">
        <f t="shared" si="22"/>
        <v>Support</v>
      </c>
      <c r="BD54" s="32">
        <f t="shared" si="23"/>
        <v>1</v>
      </c>
      <c r="BE54">
        <f>step3_validation[[#This Row],[AI_OUT1]]</f>
        <v>10</v>
      </c>
      <c r="BF54" t="str">
        <f t="shared" si="24"/>
        <v>Support</v>
      </c>
      <c r="BG54">
        <f>survey_responses[[#This Row],[Sau khi xem xét các quyền lợi và nghĩa vụ, bạn có ủng hộ và tuân thủ chính sách mới hiện nay? - HUMAN-OUT1]]</f>
        <v>10</v>
      </c>
      <c r="BH54" t="str">
        <f t="shared" si="25"/>
        <v>Support</v>
      </c>
      <c r="BI54" s="32">
        <f t="shared" si="26"/>
        <v>0</v>
      </c>
    </row>
    <row r="55" spans="1:61" x14ac:dyDescent="0.45">
      <c r="A55" s="30">
        <f>step3_validation[[#This Row],[Persona_ID]]</f>
        <v>54</v>
      </c>
      <c r="B55" s="31">
        <f>step3_validation[[#This Row],[Used_Seed]]</f>
        <v>95</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35.681028915547671</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6</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2</v>
      </c>
      <c r="V55">
        <f>step3_validation[[#This Row],[AI_ENF2]]</f>
        <v>7</v>
      </c>
      <c r="W55" t="str">
        <f t="shared" si="3"/>
        <v>Neutral</v>
      </c>
      <c r="X55">
        <f>survey_responses[[#This Row],[Tôi tin rằng Nhà nước, cơ quan thuế có đủ khả năng và công nghệ để phát hiện, xử lý nghiêm các hành vi trốn thuế. - HUMAN-ENF2]]</f>
        <v>7</v>
      </c>
      <c r="Y55" t="str">
        <f t="shared" si="4"/>
        <v>Neutral</v>
      </c>
      <c r="Z55" s="32">
        <f t="shared" si="5"/>
        <v>0</v>
      </c>
      <c r="AA55">
        <f>step3_validation[[#This Row],[AI_FAC1]]</f>
        <v>8</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2">
        <f t="shared" si="8"/>
        <v>1</v>
      </c>
      <c r="AF55">
        <f>step3_validation[[#This Row],[AI_FAC2]]</f>
        <v>9</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1</v>
      </c>
      <c r="AK55">
        <f>step3_validation[[#This Row],[AI_TRU1]]</f>
        <v>7</v>
      </c>
      <c r="AL55" t="str">
        <f t="shared" si="12"/>
        <v>Neutral</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0</v>
      </c>
      <c r="AP55">
        <f>step3_validation[[#This Row],[AI_TRU2]]</f>
        <v>8</v>
      </c>
      <c r="AQ55" t="str">
        <f t="shared" si="15"/>
        <v>Support</v>
      </c>
      <c r="AR55">
        <f>survey_responses[[#This Row],[Tôi thấy mức thuế tôi phải đóng theo phương án mới là công bằng (người thu nhập như tôi đóng mức này là hợp lý). - HUMAN-TRU2]]</f>
        <v>8</v>
      </c>
      <c r="AS55" t="str">
        <f t="shared" si="16"/>
        <v>Support</v>
      </c>
      <c r="AT55" s="32">
        <f t="shared" si="17"/>
        <v>0</v>
      </c>
      <c r="AU55">
        <f>step3_validation[[#This Row],[AI_TRU3]]</f>
        <v>7</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0</v>
      </c>
      <c r="AZ55">
        <f>step3_validation[[#This Row],[AI_TRU4]]</f>
        <v>8</v>
      </c>
      <c r="BA55" t="str">
        <f t="shared" si="21"/>
        <v>Support</v>
      </c>
      <c r="BB55">
        <f>survey_responses[[#This Row],[Tôi thấy Nhà nước đã giải thích rõ ràng, minh bạch về lý do và mục tiêu của việc sửa đổi thuế lần này. - HUMAN-TRU4]]</f>
        <v>7</v>
      </c>
      <c r="BC55" t="str">
        <f t="shared" si="22"/>
        <v>Neutral</v>
      </c>
      <c r="BD55" s="32">
        <f t="shared" si="23"/>
        <v>1</v>
      </c>
      <c r="BE55">
        <f>step3_validation[[#This Row],[AI_OUT1]]</f>
        <v>9</v>
      </c>
      <c r="BF55" t="str">
        <f t="shared" si="24"/>
        <v>Support</v>
      </c>
      <c r="BG55">
        <f>survey_responses[[#This Row],[Sau khi xem xét các quyền lợi và nghĩa vụ, bạn có ủng hộ và tuân thủ chính sách mới hiện nay? - HUMAN-OUT1]]</f>
        <v>8</v>
      </c>
      <c r="BH55" t="str">
        <f t="shared" si="25"/>
        <v>Support</v>
      </c>
      <c r="BI55" s="32">
        <f t="shared" si="26"/>
        <v>1</v>
      </c>
    </row>
    <row r="56" spans="1:61" x14ac:dyDescent="0.45">
      <c r="A56" s="30">
        <f>step3_validation[[#This Row],[Persona_ID]]</f>
        <v>55</v>
      </c>
      <c r="B56" s="31">
        <f>step3_validation[[#This Row],[Used_Seed]]</f>
        <v>96</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37.498117157864044</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7</v>
      </c>
      <c r="R56" t="str">
        <f t="shared" si="0"/>
        <v>Neutral</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3</v>
      </c>
      <c r="V56">
        <f>step3_validation[[#This Row],[AI_ENF2]]</f>
        <v>6</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2">
        <f t="shared" si="5"/>
        <v>3</v>
      </c>
      <c r="AA56">
        <f>step3_validation[[#This Row],[AI_FAC1]]</f>
        <v>8</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5</v>
      </c>
      <c r="AF56">
        <f>step3_validation[[#This Row],[AI_FAC2]]</f>
        <v>9</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5</v>
      </c>
      <c r="AK56">
        <f>step3_validation[[#This Row],[AI_TRU1]]</f>
        <v>5</v>
      </c>
      <c r="AL56" t="str">
        <f t="shared" si="12"/>
        <v>Neutral</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2</v>
      </c>
      <c r="AP56">
        <f>step3_validation[[#This Row],[AI_TRU2]]</f>
        <v>7</v>
      </c>
      <c r="AQ56" t="str">
        <f t="shared" si="15"/>
        <v>Neutral</v>
      </c>
      <c r="AR56">
        <f>survey_responses[[#This Row],[Tôi thấy mức thuế tôi phải đóng theo phương án mới là công bằng (người thu nhập như tôi đóng mức này là hợp lý). - HUMAN-TRU2]]</f>
        <v>3</v>
      </c>
      <c r="AS56" t="str">
        <f t="shared" si="16"/>
        <v>Oppose</v>
      </c>
      <c r="AT56" s="32">
        <f t="shared" si="17"/>
        <v>4</v>
      </c>
      <c r="AU56">
        <f>step3_validation[[#This Row],[AI_TRU3]]</f>
        <v>6</v>
      </c>
      <c r="AV56" t="str">
        <f t="shared" si="18"/>
        <v>Neutral</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5</v>
      </c>
      <c r="AZ56">
        <f>step3_validation[[#This Row],[AI_TRU4]]</f>
        <v>5</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4</v>
      </c>
      <c r="BE56">
        <f>step3_validation[[#This Row],[AI_OUT1]]</f>
        <v>8</v>
      </c>
      <c r="BF56" t="str">
        <f t="shared" si="24"/>
        <v>Support</v>
      </c>
      <c r="BG56">
        <f>survey_responses[[#This Row],[Sau khi xem xét các quyền lợi và nghĩa vụ, bạn có ủng hộ và tuân thủ chính sách mới hiện nay? - HUMAN-OUT1]]</f>
        <v>3</v>
      </c>
      <c r="BH56" t="str">
        <f t="shared" si="25"/>
        <v>Oppose</v>
      </c>
      <c r="BI56" s="32">
        <f t="shared" si="26"/>
        <v>5</v>
      </c>
    </row>
    <row r="57" spans="1:61" x14ac:dyDescent="0.45">
      <c r="A57" s="30">
        <f>step3_validation[[#This Row],[Persona_ID]]</f>
        <v>56</v>
      </c>
      <c r="B57" s="31">
        <f>step3_validation[[#This Row],[Used_Seed]]</f>
        <v>97</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8</v>
      </c>
      <c r="W57" t="str">
        <f t="shared" si="3"/>
        <v>Support</v>
      </c>
      <c r="X57">
        <f>survey_responses[[#This Row],[Tôi tin rằng Nhà nước, cơ quan thuế có đủ khả năng và công nghệ để phát hiện, xử lý nghiêm các hành vi trốn thuế. - HUMAN-ENF2]]</f>
        <v>10</v>
      </c>
      <c r="Y57" t="str">
        <f t="shared" si="4"/>
        <v>Support</v>
      </c>
      <c r="Z57" s="32">
        <f t="shared" si="5"/>
        <v>2</v>
      </c>
      <c r="AA57">
        <f>step3_validation[[#This Row],[AI_FAC1]]</f>
        <v>7</v>
      </c>
      <c r="AB57" t="str">
        <f t="shared" si="6"/>
        <v>Neutral</v>
      </c>
      <c r="AC57">
        <f>survey_responses[[#This Row],[Các thủ tục khai báo thuế VÀ/HOẶC quy trình làm việc với cơ quan thuế đơn giản, tiện lợi, nhanh chóng hơn so với trước đây. - HUMAN-FAC1]]</f>
        <v>9</v>
      </c>
      <c r="AD57" t="str">
        <f t="shared" si="7"/>
        <v>Support</v>
      </c>
      <c r="AE57" s="32">
        <f t="shared" si="8"/>
        <v>2</v>
      </c>
      <c r="AF57">
        <f>step3_validation[[#This Row],[AI_FAC2]]</f>
        <v>9</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1</v>
      </c>
      <c r="AK57">
        <f>step3_validation[[#This Row],[AI_TRU1]]</f>
        <v>7</v>
      </c>
      <c r="AL57" t="str">
        <f t="shared" si="12"/>
        <v>Neutral</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2</v>
      </c>
      <c r="AP57">
        <f>step3_validation[[#This Row],[AI_TRU2]]</f>
        <v>8</v>
      </c>
      <c r="AQ57" t="str">
        <f t="shared" si="15"/>
        <v>Support</v>
      </c>
      <c r="AR57">
        <f>survey_responses[[#This Row],[Tôi thấy mức thuế tôi phải đóng theo phương án mới là công bằng (người thu nhập như tôi đóng mức này là hợp lý). - HUMAN-TRU2]]</f>
        <v>10</v>
      </c>
      <c r="AS57" t="str">
        <f t="shared" si="16"/>
        <v>Support</v>
      </c>
      <c r="AT57" s="32">
        <f t="shared" si="17"/>
        <v>2</v>
      </c>
      <c r="AU57">
        <f>step3_validation[[#This Row],[AI_TRU3]]</f>
        <v>7</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2</v>
      </c>
      <c r="AZ57">
        <f>step3_validation[[#This Row],[AI_TRU4]]</f>
        <v>8</v>
      </c>
      <c r="BA57" t="str">
        <f t="shared" si="21"/>
        <v>Support</v>
      </c>
      <c r="BB57">
        <f>survey_responses[[#This Row],[Tôi thấy Nhà nước đã giải thích rõ ràng, minh bạch về lý do và mục tiêu của việc sửa đổi thuế lần này. - HUMAN-TRU4]]</f>
        <v>10</v>
      </c>
      <c r="BC57" t="str">
        <f t="shared" si="22"/>
        <v>Support</v>
      </c>
      <c r="BD57" s="32">
        <f t="shared" si="23"/>
        <v>2</v>
      </c>
      <c r="BE57">
        <f>step3_validation[[#This Row],[AI_OUT1]]</f>
        <v>9</v>
      </c>
      <c r="BF57" t="str">
        <f t="shared" si="24"/>
        <v>Support</v>
      </c>
      <c r="BG57">
        <f>survey_responses[[#This Row],[Sau khi xem xét các quyền lợi và nghĩa vụ, bạn có ủng hộ và tuân thủ chính sách mới hiện nay? - HUMAN-OUT1]]</f>
        <v>9</v>
      </c>
      <c r="BH57" t="str">
        <f t="shared" si="25"/>
        <v>Support</v>
      </c>
      <c r="BI57" s="32">
        <f t="shared" si="26"/>
        <v>0</v>
      </c>
    </row>
    <row r="58" spans="1:61" x14ac:dyDescent="0.45">
      <c r="A58" s="30">
        <f>step3_validation[[#This Row],[Persona_ID]]</f>
        <v>57</v>
      </c>
      <c r="B58" s="31">
        <f>step3_validation[[#This Row],[Used_Seed]]</f>
        <v>98</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12.203375060822989</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6</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4</v>
      </c>
      <c r="V58">
        <f>step3_validation[[#This Row],[AI_ENF2]]</f>
        <v>5</v>
      </c>
      <c r="W58" t="str">
        <f t="shared" si="3"/>
        <v>Neutral</v>
      </c>
      <c r="X58">
        <f>survey_responses[[#This Row],[Tôi tin rằng Nhà nước, cơ quan thuế có đủ khả năng và công nghệ để phát hiện, xử lý nghiêm các hành vi trốn thuế. - HUMAN-ENF2]]</f>
        <v>10</v>
      </c>
      <c r="Y58" t="str">
        <f t="shared" si="4"/>
        <v>Support</v>
      </c>
      <c r="Z58" s="32">
        <f t="shared" si="5"/>
        <v>5</v>
      </c>
      <c r="AA58">
        <f>step3_validation[[#This Row],[AI_FAC1]]</f>
        <v>7</v>
      </c>
      <c r="AB58" t="str">
        <f t="shared" si="6"/>
        <v>Neutral</v>
      </c>
      <c r="AC58">
        <f>survey_responses[[#This Row],[Các thủ tục khai báo thuế VÀ/HOẶC quy trình làm việc với cơ quan thuế đơn giản, tiện lợi, nhanh chóng hơn so với trước đây. - HUMAN-FAC1]]</f>
        <v>1</v>
      </c>
      <c r="AD58" t="str">
        <f t="shared" si="7"/>
        <v>Oppose</v>
      </c>
      <c r="AE58" s="32">
        <f t="shared" si="8"/>
        <v>6</v>
      </c>
      <c r="AF58">
        <f>step3_validation[[#This Row],[AI_FAC2]]</f>
        <v>8</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3</v>
      </c>
      <c r="AK58">
        <f>step3_validation[[#This Row],[AI_TRU1]]</f>
        <v>7</v>
      </c>
      <c r="AL58" t="str">
        <f t="shared" si="12"/>
        <v>Neutral</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0</v>
      </c>
      <c r="AP58">
        <f>step3_validation[[#This Row],[AI_TRU2]]</f>
        <v>8</v>
      </c>
      <c r="AQ58" t="str">
        <f t="shared" si="15"/>
        <v>Support</v>
      </c>
      <c r="AR58">
        <f>survey_responses[[#This Row],[Tôi thấy mức thuế tôi phải đóng theo phương án mới là công bằng (người thu nhập như tôi đóng mức này là hợp lý). - HUMAN-TRU2]]</f>
        <v>10</v>
      </c>
      <c r="AS58" t="str">
        <f t="shared" si="16"/>
        <v>Support</v>
      </c>
      <c r="AT58" s="32">
        <f t="shared" si="17"/>
        <v>2</v>
      </c>
      <c r="AU58">
        <f>step3_validation[[#This Row],[AI_TRU3]]</f>
        <v>7</v>
      </c>
      <c r="AV58" t="str">
        <f t="shared" si="18"/>
        <v>Neutral</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2</v>
      </c>
      <c r="AZ58">
        <f>step3_validation[[#This Row],[AI_TRU4]]</f>
        <v>6</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3</v>
      </c>
      <c r="BE58">
        <f>step3_validation[[#This Row],[AI_OUT1]]</f>
        <v>8</v>
      </c>
      <c r="BF58" t="str">
        <f t="shared" si="24"/>
        <v>Support</v>
      </c>
      <c r="BG58">
        <f>survey_responses[[#This Row],[Sau khi xem xét các quyền lợi và nghĩa vụ, bạn có ủng hộ và tuân thủ chính sách mới hiện nay? - HUMAN-OUT1]]</f>
        <v>10</v>
      </c>
      <c r="BH58" t="str">
        <f t="shared" si="25"/>
        <v>Support</v>
      </c>
      <c r="BI58" s="32">
        <f t="shared" si="26"/>
        <v>2</v>
      </c>
    </row>
    <row r="59" spans="1:61" x14ac:dyDescent="0.45">
      <c r="A59" s="30">
        <f>step3_validation[[#This Row],[Persona_ID]]</f>
        <v>58</v>
      </c>
      <c r="B59" s="31">
        <f>step3_validation[[#This Row],[Used_Seed]]</f>
        <v>99</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28.093581811068354</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2</v>
      </c>
      <c r="V59">
        <f>step3_validation[[#This Row],[AI_ENF2]]</f>
        <v>6</v>
      </c>
      <c r="W59" t="str">
        <f t="shared" si="3"/>
        <v>Neutral</v>
      </c>
      <c r="X59">
        <f>survey_responses[[#This Row],[Tôi tin rằng Nhà nước, cơ quan thuế có đủ khả năng và công nghệ để phát hiện, xử lý nghiêm các hành vi trốn thuế. - HUMAN-ENF2]]</f>
        <v>5</v>
      </c>
      <c r="Y59" t="str">
        <f t="shared" si="4"/>
        <v>Neutral</v>
      </c>
      <c r="Z59" s="32">
        <f t="shared" si="5"/>
        <v>1</v>
      </c>
      <c r="AA59">
        <f>step3_validation[[#This Row],[AI_FAC1]]</f>
        <v>8</v>
      </c>
      <c r="AB59" t="str">
        <f t="shared" si="6"/>
        <v>Support</v>
      </c>
      <c r="AC59">
        <f>survey_responses[[#This Row],[Các thủ tục khai báo thuế VÀ/HOẶC quy trình làm việc với cơ quan thuế đơn giản, tiện lợi, nhanh chóng hơn so với trước đây. - HUMAN-FAC1]]</f>
        <v>4</v>
      </c>
      <c r="AD59" t="str">
        <f t="shared" si="7"/>
        <v>Oppose</v>
      </c>
      <c r="AE59" s="32">
        <f t="shared" si="8"/>
        <v>4</v>
      </c>
      <c r="AF59">
        <f>step3_validation[[#This Row],[AI_FAC2]]</f>
        <v>9</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2">
        <f t="shared" si="11"/>
        <v>1</v>
      </c>
      <c r="AK59">
        <f>step3_validation[[#This Row],[AI_TRU1]]</f>
        <v>8</v>
      </c>
      <c r="AL59" t="str">
        <f t="shared" si="12"/>
        <v>Support</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3</v>
      </c>
      <c r="AP59">
        <f>step3_validation[[#This Row],[AI_TRU2]]</f>
        <v>9</v>
      </c>
      <c r="AQ59" t="str">
        <f t="shared" si="15"/>
        <v>Support</v>
      </c>
      <c r="AR59">
        <f>survey_responses[[#This Row],[Tôi thấy mức thuế tôi phải đóng theo phương án mới là công bằng (người thu nhập như tôi đóng mức này là hợp lý). - HUMAN-TRU2]]</f>
        <v>7</v>
      </c>
      <c r="AS59" t="str">
        <f t="shared" si="16"/>
        <v>Neutral</v>
      </c>
      <c r="AT59" s="32">
        <f t="shared" si="17"/>
        <v>2</v>
      </c>
      <c r="AU59">
        <f>step3_validation[[#This Row],[AI_TRU3]]</f>
        <v>8</v>
      </c>
      <c r="AV59" t="str">
        <f t="shared" si="18"/>
        <v>Support</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1</v>
      </c>
      <c r="AZ59">
        <f>step3_validation[[#This Row],[AI_TRU4]]</f>
        <v>7</v>
      </c>
      <c r="BA59" t="str">
        <f t="shared" si="21"/>
        <v>Neutral</v>
      </c>
      <c r="BB59">
        <f>survey_responses[[#This Row],[Tôi thấy Nhà nước đã giải thích rõ ràng, minh bạch về lý do và mục tiêu của việc sửa đổi thuế lần này. - HUMAN-TRU4]]</f>
        <v>7</v>
      </c>
      <c r="BC59" t="str">
        <f t="shared" si="22"/>
        <v>Neutral</v>
      </c>
      <c r="BD59" s="32">
        <f t="shared" si="23"/>
        <v>0</v>
      </c>
      <c r="BE59">
        <f>step3_validation[[#This Row],[AI_OUT1]]</f>
        <v>9</v>
      </c>
      <c r="BF59" t="str">
        <f t="shared" si="24"/>
        <v>Support</v>
      </c>
      <c r="BG59">
        <f>survey_responses[[#This Row],[Sau khi xem xét các quyền lợi và nghĩa vụ, bạn có ủng hộ và tuân thủ chính sách mới hiện nay? - HUMAN-OUT1]]</f>
        <v>7</v>
      </c>
      <c r="BH59" t="str">
        <f t="shared" si="25"/>
        <v>Neutral</v>
      </c>
      <c r="BI59" s="32">
        <f t="shared" si="26"/>
        <v>2</v>
      </c>
    </row>
    <row r="60" spans="1:61" x14ac:dyDescent="0.45">
      <c r="A60" s="30">
        <f>step3_validation[[#This Row],[Persona_ID]]</f>
        <v>59</v>
      </c>
      <c r="B60" s="31">
        <f>step3_validation[[#This Row],[Used_Seed]]</f>
        <v>100</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7</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2</v>
      </c>
      <c r="V60">
        <f>step3_validation[[#This Row],[AI_ENF2]]</f>
        <v>6</v>
      </c>
      <c r="W60" t="str">
        <f t="shared" si="3"/>
        <v>Neutral</v>
      </c>
      <c r="X60">
        <f>survey_responses[[#This Row],[Tôi tin rằng Nhà nước, cơ quan thuế có đủ khả năng và công nghệ để phát hiện, xử lý nghiêm các hành vi trốn thuế. - HUMAN-ENF2]]</f>
        <v>9</v>
      </c>
      <c r="Y60" t="str">
        <f t="shared" si="4"/>
        <v>Support</v>
      </c>
      <c r="Z60" s="32">
        <f t="shared" si="5"/>
        <v>3</v>
      </c>
      <c r="AA60">
        <f>step3_validation[[#This Row],[AI_FAC1]]</f>
        <v>9</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0</v>
      </c>
      <c r="AF60">
        <f>step3_validation[[#This Row],[AI_FAC2]]</f>
        <v>8</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1</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0</v>
      </c>
      <c r="AP60">
        <f>step3_validation[[#This Row],[AI_TRU2]]</f>
        <v>8</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2">
        <f t="shared" si="17"/>
        <v>0</v>
      </c>
      <c r="AU60">
        <f>step3_validation[[#This Row],[AI_TRU3]]</f>
        <v>7</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1</v>
      </c>
      <c r="AZ60">
        <f>step3_validation[[#This Row],[AI_TRU4]]</f>
        <v>8</v>
      </c>
      <c r="BA60" t="str">
        <f t="shared" si="21"/>
        <v>Support</v>
      </c>
      <c r="BB60">
        <f>survey_responses[[#This Row],[Tôi thấy Nhà nước đã giải thích rõ ràng, minh bạch về lý do và mục tiêu của việc sửa đổi thuế lần này. - HUMAN-TRU4]]</f>
        <v>6</v>
      </c>
      <c r="BC60" t="str">
        <f t="shared" si="22"/>
        <v>Neutral</v>
      </c>
      <c r="BD60" s="32">
        <f t="shared" si="23"/>
        <v>2</v>
      </c>
      <c r="BE60">
        <f>step3_validation[[#This Row],[AI_OUT1]]</f>
        <v>9</v>
      </c>
      <c r="BF60" t="str">
        <f t="shared" si="24"/>
        <v>Support</v>
      </c>
      <c r="BG60">
        <f>survey_responses[[#This Row],[Sau khi xem xét các quyền lợi và nghĩa vụ, bạn có ủng hộ và tuân thủ chính sách mới hiện nay? - HUMAN-OUT1]]</f>
        <v>5</v>
      </c>
      <c r="BH60" t="str">
        <f t="shared" si="25"/>
        <v>Neutral</v>
      </c>
      <c r="BI60" s="32">
        <f t="shared" si="26"/>
        <v>4</v>
      </c>
    </row>
    <row r="61" spans="1:61" x14ac:dyDescent="0.45">
      <c r="A61" s="30">
        <f>step3_validation[[#This Row],[Persona_ID]]</f>
        <v>60</v>
      </c>
      <c r="B61" s="31">
        <f>step3_validation[[#This Row],[Used_Seed]]</f>
        <v>101</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15.883714148666074</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2</v>
      </c>
      <c r="V61">
        <f>step3_validation[[#This Row],[AI_ENF2]]</f>
        <v>9</v>
      </c>
      <c r="W61" t="str">
        <f t="shared" si="3"/>
        <v>Support</v>
      </c>
      <c r="X61">
        <f>survey_responses[[#This Row],[Tôi tin rằng Nhà nước, cơ quan thuế có đủ khả năng và công nghệ để phát hiện, xử lý nghiêm các hành vi trốn thuế. - HUMAN-ENF2]]</f>
        <v>5</v>
      </c>
      <c r="Y61" t="str">
        <f t="shared" si="4"/>
        <v>Neutral</v>
      </c>
      <c r="Z61" s="32">
        <f t="shared" si="5"/>
        <v>4</v>
      </c>
      <c r="AA61">
        <f>step3_validation[[#This Row],[AI_FAC1]]</f>
        <v>8</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3</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4</v>
      </c>
      <c r="AK61">
        <f>step3_validation[[#This Row],[AI_TRU1]]</f>
        <v>7</v>
      </c>
      <c r="AL61" t="str">
        <f t="shared" si="12"/>
        <v>Neutral</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2</v>
      </c>
      <c r="AP61">
        <f>step3_validation[[#This Row],[AI_TRU2]]</f>
        <v>9</v>
      </c>
      <c r="AQ61" t="str">
        <f t="shared" si="15"/>
        <v>Support</v>
      </c>
      <c r="AR61">
        <f>survey_responses[[#This Row],[Tôi thấy mức thuế tôi phải đóng theo phương án mới là công bằng (người thu nhập như tôi đóng mức này là hợp lý). - HUMAN-TRU2]]</f>
        <v>8</v>
      </c>
      <c r="AS61" t="str">
        <f t="shared" si="16"/>
        <v>Support</v>
      </c>
      <c r="AT61" s="32">
        <f t="shared" si="17"/>
        <v>1</v>
      </c>
      <c r="AU61">
        <f>step3_validation[[#This Row],[AI_TRU3]]</f>
        <v>7</v>
      </c>
      <c r="AV61" t="str">
        <f t="shared" si="18"/>
        <v>Neutral</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3</v>
      </c>
      <c r="AZ61">
        <f>step3_validation[[#This Row],[AI_TRU4]]</f>
        <v>8</v>
      </c>
      <c r="BA61" t="str">
        <f t="shared" si="21"/>
        <v>Support</v>
      </c>
      <c r="BB61">
        <f>survey_responses[[#This Row],[Tôi thấy Nhà nước đã giải thích rõ ràng, minh bạch về lý do và mục tiêu của việc sửa đổi thuế lần này. - HUMAN-TRU4]]</f>
        <v>5</v>
      </c>
      <c r="BC61" t="str">
        <f t="shared" si="22"/>
        <v>Neutral</v>
      </c>
      <c r="BD61" s="32">
        <f t="shared" si="23"/>
        <v>3</v>
      </c>
      <c r="BE61">
        <f>step3_validation[[#This Row],[AI_OUT1]]</f>
        <v>9</v>
      </c>
      <c r="BF61" t="str">
        <f t="shared" si="24"/>
        <v>Support</v>
      </c>
      <c r="BG61">
        <f>survey_responses[[#This Row],[Sau khi xem xét các quyền lợi và nghĩa vụ, bạn có ủng hộ và tuân thủ chính sách mới hiện nay? - HUMAN-OUT1]]</f>
        <v>5</v>
      </c>
      <c r="BH61" t="str">
        <f t="shared" si="25"/>
        <v>Neutral</v>
      </c>
      <c r="BI61" s="32">
        <f t="shared" si="26"/>
        <v>4</v>
      </c>
    </row>
    <row r="62" spans="1:61" x14ac:dyDescent="0.45">
      <c r="A62" s="30">
        <f>step3_validation[[#This Row],[Persona_ID]]</f>
        <v>61</v>
      </c>
      <c r="B62" s="31">
        <f>step3_validation[[#This Row],[Used_Seed]]</f>
        <v>102</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20.116602641598408</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t="str">
        <f t="shared" si="0"/>
        <v>Neutral</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1</v>
      </c>
      <c r="V62">
        <f>step3_validation[[#This Row],[AI_ENF2]]</f>
        <v>8</v>
      </c>
      <c r="W62" t="str">
        <f t="shared" si="3"/>
        <v>Support</v>
      </c>
      <c r="X62">
        <f>survey_responses[[#This Row],[Tôi tin rằng Nhà nước, cơ quan thuế có đủ khả năng và công nghệ để phát hiện, xử lý nghiêm các hành vi trốn thuế. - HUMAN-ENF2]]</f>
        <v>9</v>
      </c>
      <c r="Y62" t="str">
        <f t="shared" si="4"/>
        <v>Support</v>
      </c>
      <c r="Z62" s="32">
        <f t="shared" si="5"/>
        <v>1</v>
      </c>
      <c r="AA62">
        <f>step3_validation[[#This Row],[AI_FAC1]]</f>
        <v>9</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2">
        <f t="shared" si="8"/>
        <v>0</v>
      </c>
      <c r="AF62">
        <f>step3_validation[[#This Row],[AI_FAC2]]</f>
        <v>10</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1</v>
      </c>
      <c r="AK62">
        <f>step3_validation[[#This Row],[AI_TRU1]]</f>
        <v>9</v>
      </c>
      <c r="AL62" t="str">
        <f t="shared" si="12"/>
        <v>Support</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0</v>
      </c>
      <c r="AP62">
        <f>step3_validation[[#This Row],[AI_TRU2]]</f>
        <v>8</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0</v>
      </c>
      <c r="AU62">
        <f>step3_validation[[#This Row],[AI_TRU3]]</f>
        <v>9</v>
      </c>
      <c r="AV62" t="str">
        <f t="shared" si="18"/>
        <v>Support</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1</v>
      </c>
      <c r="AZ62">
        <f>step3_validation[[#This Row],[AI_TRU4]]</f>
        <v>7</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1</v>
      </c>
      <c r="BE62">
        <f>step3_validation[[#This Row],[AI_OUT1]]</f>
        <v>9</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0</v>
      </c>
    </row>
    <row r="63" spans="1:61" x14ac:dyDescent="0.45">
      <c r="A63" s="30">
        <f>step3_validation[[#This Row],[Persona_ID]]</f>
        <v>62</v>
      </c>
      <c r="B63" s="31">
        <f>step3_validation[[#This Row],[Used_Seed]]</f>
        <v>103</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29.967774228943657</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2</v>
      </c>
      <c r="V63">
        <f>step3_validation[[#This Row],[AI_ENF2]]</f>
        <v>8</v>
      </c>
      <c r="W63" t="str">
        <f t="shared" si="3"/>
        <v>Support</v>
      </c>
      <c r="X63">
        <f>survey_responses[[#This Row],[Tôi tin rằng Nhà nước, cơ quan thuế có đủ khả năng và công nghệ để phát hiện, xử lý nghiêm các hành vi trốn thuế. - HUMAN-ENF2]]</f>
        <v>9</v>
      </c>
      <c r="Y63" t="str">
        <f t="shared" si="4"/>
        <v>Support</v>
      </c>
      <c r="Z63" s="32">
        <f t="shared" si="5"/>
        <v>1</v>
      </c>
      <c r="AA63">
        <f>step3_validation[[#This Row],[AI_FAC1]]</f>
        <v>9</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2">
        <f t="shared" si="8"/>
        <v>2</v>
      </c>
      <c r="AF63">
        <f>step3_validation[[#This Row],[AI_FAC2]]</f>
        <v>10</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4</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9</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4</v>
      </c>
      <c r="AU63">
        <f>step3_validation[[#This Row],[AI_TRU3]]</f>
        <v>6</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0</v>
      </c>
      <c r="AZ63">
        <f>step3_validation[[#This Row],[AI_TRU4]]</f>
        <v>8</v>
      </c>
      <c r="BA63" t="str">
        <f t="shared" si="21"/>
        <v>Support</v>
      </c>
      <c r="BB63">
        <f>survey_responses[[#This Row],[Tôi thấy Nhà nước đã giải thích rõ ràng, minh bạch về lý do và mục tiêu của việc sửa đổi thuế lần này. - HUMAN-TRU4]]</f>
        <v>8</v>
      </c>
      <c r="BC63" t="str">
        <f t="shared" si="22"/>
        <v>Support</v>
      </c>
      <c r="BD63" s="32">
        <f t="shared" si="23"/>
        <v>0</v>
      </c>
      <c r="BE63">
        <f>step3_validation[[#This Row],[AI_OUT1]]</f>
        <v>9</v>
      </c>
      <c r="BF63" t="str">
        <f t="shared" si="24"/>
        <v>Support</v>
      </c>
      <c r="BG63">
        <f>survey_responses[[#This Row],[Sau khi xem xét các quyền lợi và nghĩa vụ, bạn có ủng hộ và tuân thủ chính sách mới hiện nay? - HUMAN-OUT1]]</f>
        <v>5</v>
      </c>
      <c r="BH63" t="str">
        <f t="shared" si="25"/>
        <v>Neutral</v>
      </c>
      <c r="BI63" s="32">
        <f t="shared" si="26"/>
        <v>4</v>
      </c>
    </row>
    <row r="64" spans="1:61" x14ac:dyDescent="0.45">
      <c r="A64" s="30">
        <f>step3_validation[[#This Row],[Persona_ID]]</f>
        <v>63</v>
      </c>
      <c r="B64" s="31">
        <f>step3_validation[[#This Row],[Used_Seed]]</f>
        <v>104</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21.039509606197019</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8</v>
      </c>
      <c r="R64" t="str">
        <f t="shared" si="0"/>
        <v>Support</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1</v>
      </c>
      <c r="V64">
        <f>step3_validation[[#This Row],[AI_ENF2]]</f>
        <v>7</v>
      </c>
      <c r="W64" t="str">
        <f t="shared" si="3"/>
        <v>Neutral</v>
      </c>
      <c r="X64">
        <f>survey_responses[[#This Row],[Tôi tin rằng Nhà nước, cơ quan thuế có đủ khả năng và công nghệ để phát hiện, xử lý nghiêm các hành vi trốn thuế. - HUMAN-ENF2]]</f>
        <v>9</v>
      </c>
      <c r="Y64" t="str">
        <f t="shared" si="4"/>
        <v>Support</v>
      </c>
      <c r="Z64" s="32">
        <f t="shared" si="5"/>
        <v>2</v>
      </c>
      <c r="AA64">
        <f>step3_validation[[#This Row],[AI_FAC1]]</f>
        <v>9</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2">
        <f t="shared" si="8"/>
        <v>0</v>
      </c>
      <c r="AF64">
        <f>step3_validation[[#This Row],[AI_FAC2]]</f>
        <v>9</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0</v>
      </c>
      <c r="AK64">
        <f>step3_validation[[#This Row],[AI_TRU1]]</f>
        <v>8</v>
      </c>
      <c r="AL64" t="str">
        <f t="shared" si="12"/>
        <v>Support</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0</v>
      </c>
      <c r="AP64">
        <f>step3_validation[[#This Row],[AI_TRU2]]</f>
        <v>9</v>
      </c>
      <c r="AQ64" t="str">
        <f t="shared" si="15"/>
        <v>Support</v>
      </c>
      <c r="AR64">
        <f>survey_responses[[#This Row],[Tôi thấy mức thuế tôi phải đóng theo phương án mới là công bằng (người thu nhập như tôi đóng mức này là hợp lý). - HUMAN-TRU2]]</f>
        <v>9</v>
      </c>
      <c r="AS64" t="str">
        <f t="shared" si="16"/>
        <v>Support</v>
      </c>
      <c r="AT64" s="32">
        <f t="shared" si="17"/>
        <v>0</v>
      </c>
      <c r="AU64">
        <f>step3_validation[[#This Row],[AI_TRU3]]</f>
        <v>8</v>
      </c>
      <c r="AV64" t="str">
        <f t="shared" si="18"/>
        <v>Support</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1</v>
      </c>
      <c r="AZ64">
        <f>step3_validation[[#This Row],[AI_TRU4]]</f>
        <v>7</v>
      </c>
      <c r="BA64" t="str">
        <f t="shared" si="21"/>
        <v>Neutral</v>
      </c>
      <c r="BB64">
        <f>survey_responses[[#This Row],[Tôi thấy Nhà nước đã giải thích rõ ràng, minh bạch về lý do và mục tiêu của việc sửa đổi thuế lần này. - HUMAN-TRU4]]</f>
        <v>8</v>
      </c>
      <c r="BC64" t="str">
        <f t="shared" si="22"/>
        <v>Support</v>
      </c>
      <c r="BD64" s="32">
        <f t="shared" si="23"/>
        <v>1</v>
      </c>
      <c r="BE64">
        <f>step3_validation[[#This Row],[AI_OUT1]]</f>
        <v>9</v>
      </c>
      <c r="BF64" t="str">
        <f t="shared" si="24"/>
        <v>Support</v>
      </c>
      <c r="BG64">
        <f>survey_responses[[#This Row],[Sau khi xem xét các quyền lợi và nghĩa vụ, bạn có ủng hộ và tuân thủ chính sách mới hiện nay? - HUMAN-OUT1]]</f>
        <v>7</v>
      </c>
      <c r="BH64" t="str">
        <f t="shared" si="25"/>
        <v>Neutral</v>
      </c>
      <c r="BI64" s="32">
        <f t="shared" si="26"/>
        <v>2</v>
      </c>
    </row>
    <row r="65" spans="1:61" x14ac:dyDescent="0.45">
      <c r="A65" s="30">
        <f>step3_validation[[#This Row],[Persona_ID]]</f>
        <v>64</v>
      </c>
      <c r="B65" s="31">
        <f>step3_validation[[#This Row],[Used_Seed]]</f>
        <v>105</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120.54074400286268</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7</v>
      </c>
      <c r="R65" t="str">
        <f t="shared" si="0"/>
        <v>Neutral</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2</v>
      </c>
      <c r="V65">
        <f>step3_validation[[#This Row],[AI_ENF2]]</f>
        <v>7</v>
      </c>
      <c r="W65" t="str">
        <f t="shared" si="3"/>
        <v>Neutral</v>
      </c>
      <c r="X65">
        <f>survey_responses[[#This Row],[Tôi tin rằng Nhà nước, cơ quan thuế có đủ khả năng và công nghệ để phát hiện, xử lý nghiêm các hành vi trốn thuế. - HUMAN-ENF2]]</f>
        <v>10</v>
      </c>
      <c r="Y65" t="str">
        <f t="shared" si="4"/>
        <v>Support</v>
      </c>
      <c r="Z65" s="32">
        <f t="shared" si="5"/>
        <v>3</v>
      </c>
      <c r="AA65">
        <f>step3_validation[[#This Row],[AI_FAC1]]</f>
        <v>9</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0</v>
      </c>
      <c r="AF65">
        <f>step3_validation[[#This Row],[AI_FAC2]]</f>
        <v>8</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2</v>
      </c>
      <c r="AK65">
        <f>step3_validation[[#This Row],[AI_TRU1]]</f>
        <v>7</v>
      </c>
      <c r="AL65" t="str">
        <f t="shared" si="12"/>
        <v>Neutral</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3</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2">
        <f t="shared" si="17"/>
        <v>3</v>
      </c>
      <c r="AU65">
        <f>step3_validation[[#This Row],[AI_TRU3]]</f>
        <v>7</v>
      </c>
      <c r="AV65" t="str">
        <f t="shared" si="18"/>
        <v>Neutral</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3</v>
      </c>
      <c r="AZ65">
        <f>step3_validation[[#This Row],[AI_TRU4]]</f>
        <v>6</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2">
        <f t="shared" si="23"/>
        <v>1</v>
      </c>
      <c r="BE65">
        <f>step3_validation[[#This Row],[AI_OUT1]]</f>
        <v>8</v>
      </c>
      <c r="BF65" t="str">
        <f t="shared" si="24"/>
        <v>Support</v>
      </c>
      <c r="BG65">
        <f>survey_responses[[#This Row],[Sau khi xem xét các quyền lợi và nghĩa vụ, bạn có ủng hộ và tuân thủ chính sách mới hiện nay? - HUMAN-OUT1]]</f>
        <v>9</v>
      </c>
      <c r="BH65" t="str">
        <f t="shared" si="25"/>
        <v>Support</v>
      </c>
      <c r="BI65" s="32">
        <f t="shared" si="26"/>
        <v>1</v>
      </c>
    </row>
    <row r="66" spans="1:61" x14ac:dyDescent="0.45">
      <c r="A66" s="30">
        <f>step3_validation[[#This Row],[Persona_ID]]</f>
        <v>65</v>
      </c>
      <c r="B66" s="31">
        <f>step3_validation[[#This Row],[Used_Seed]]</f>
        <v>106</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3</v>
      </c>
      <c r="V66">
        <f>step3_validation[[#This Row],[AI_ENF2]]</f>
        <v>8</v>
      </c>
      <c r="W66" t="str">
        <f t="shared" si="3"/>
        <v>Support</v>
      </c>
      <c r="X66">
        <f>survey_responses[[#This Row],[Tôi tin rằng Nhà nước, cơ quan thuế có đủ khả năng và công nghệ để phát hiện, xử lý nghiêm các hành vi trốn thuế. - HUMAN-ENF2]]</f>
        <v>10</v>
      </c>
      <c r="Y66" t="str">
        <f t="shared" si="4"/>
        <v>Support</v>
      </c>
      <c r="Z66" s="32">
        <f t="shared" si="5"/>
        <v>2</v>
      </c>
      <c r="AA66">
        <f>step3_validation[[#This Row],[AI_FAC1]]</f>
        <v>9</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1</v>
      </c>
      <c r="AF66">
        <f>step3_validation[[#This Row],[AI_FAC2]]</f>
        <v>9</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1</v>
      </c>
      <c r="AK66">
        <f>step3_validation[[#This Row],[AI_TRU1]]</f>
        <v>8</v>
      </c>
      <c r="AL66" t="str">
        <f t="shared" si="12"/>
        <v>Support</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2</v>
      </c>
      <c r="AP66">
        <f>step3_validation[[#This Row],[AI_TRU2]]</f>
        <v>9</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2">
        <f t="shared" si="17"/>
        <v>1</v>
      </c>
      <c r="AU66">
        <f>step3_validation[[#This Row],[AI_TRU3]]</f>
        <v>8</v>
      </c>
      <c r="AV66" t="str">
        <f t="shared" si="18"/>
        <v>Support</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2</v>
      </c>
      <c r="AZ66">
        <f>step3_validation[[#This Row],[AI_TRU4]]</f>
        <v>8</v>
      </c>
      <c r="BA66" t="str">
        <f t="shared" si="21"/>
        <v>Support</v>
      </c>
      <c r="BB66">
        <f>survey_responses[[#This Row],[Tôi thấy Nhà nước đã giải thích rõ ràng, minh bạch về lý do và mục tiêu của việc sửa đổi thuế lần này. - HUMAN-TRU4]]</f>
        <v>10</v>
      </c>
      <c r="BC66" t="str">
        <f t="shared" si="22"/>
        <v>Support</v>
      </c>
      <c r="BD66" s="32">
        <f t="shared" si="23"/>
        <v>2</v>
      </c>
      <c r="BE66">
        <f>step3_validation[[#This Row],[AI_OUT1]]</f>
        <v>9</v>
      </c>
      <c r="BF66" t="str">
        <f t="shared" si="24"/>
        <v>Support</v>
      </c>
      <c r="BG66">
        <f>survey_responses[[#This Row],[Sau khi xem xét các quyền lợi và nghĩa vụ, bạn có ủng hộ và tuân thủ chính sách mới hiện nay? - HUMAN-OUT1]]</f>
        <v>10</v>
      </c>
      <c r="BH66" t="str">
        <f t="shared" si="25"/>
        <v>Support</v>
      </c>
      <c r="BI66" s="32">
        <f t="shared" si="26"/>
        <v>1</v>
      </c>
    </row>
    <row r="67" spans="1:61" x14ac:dyDescent="0.45">
      <c r="A67" s="30">
        <f>step3_validation[[#This Row],[Persona_ID]]</f>
        <v>66</v>
      </c>
      <c r="B67" s="31">
        <f>step3_validation[[#This Row],[Used_Seed]]</f>
        <v>107</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13.951740814793576</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4</v>
      </c>
      <c r="R67" t="str">
        <f t="shared" ref="R67:R130" si="27">IF(AND(Q67&gt;=1,Q67&lt;5),"Oppose",IF(AND(Q67&gt;=5,Q67&lt;8),"Neutral",IF(AND(Q67&gt;=8,Q67&lt;=10),"Support","")))</f>
        <v>Oppose</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3</v>
      </c>
      <c r="V67">
        <f>step3_validation[[#This Row],[AI_ENF2]]</f>
        <v>5</v>
      </c>
      <c r="W67" t="str">
        <f t="shared" ref="W67:W130" si="30">IF(AND(V67&gt;=1,V67&lt;5),"Oppose",IF(AND(V67&gt;=5,V67&lt;8),"Neutral",IF(AND(V67&gt;=8,V67&lt;=10),"Support","")))</f>
        <v>Neutral</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0</v>
      </c>
      <c r="AA67">
        <f>step3_validation[[#This Row],[AI_FAC1]]</f>
        <v>9</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6</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3</v>
      </c>
      <c r="AK67">
        <f>step3_validation[[#This Row],[AI_TRU1]]</f>
        <v>6</v>
      </c>
      <c r="AL67" t="str">
        <f t="shared" ref="AL67:AL130" si="39">IF(AND(AK67&gt;=1,AK67&lt;5),"Oppose",IF(AND(AK67&gt;=5,AK67&lt;8),"Neutral",IF(AND(AK67&gt;=8,AK67&lt;=10),"Support","")))</f>
        <v>Neutral</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2</v>
      </c>
      <c r="AP67">
        <f>step3_validation[[#This Row],[AI_TRU2]]</f>
        <v>8</v>
      </c>
      <c r="AQ67" t="str">
        <f t="shared" ref="AQ67:AQ130" si="42">IF(AND(AP67&gt;=1,AP67&lt;5),"Oppose",IF(AND(AP67&gt;=5,AP67&lt;8),"Neutral",IF(AND(AP67&gt;=8,AP67&lt;=10),"Support","")))</f>
        <v>Support</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5</v>
      </c>
      <c r="AU67">
        <f>step3_validation[[#This Row],[AI_TRU3]]</f>
        <v>7</v>
      </c>
      <c r="AV67" t="str">
        <f t="shared" ref="AV67:AV130" si="45">IF(AND(AU67&gt;=1,AU67&lt;5),"Oppose",IF(AND(AU67&gt;=5,AU67&lt;8),"Neutral",IF(AND(AU67&gt;=8,AU67&lt;=10),"Support","")))</f>
        <v>Neutral</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2</v>
      </c>
      <c r="AZ67">
        <f>step3_validation[[#This Row],[AI_TRU4]]</f>
        <v>8</v>
      </c>
      <c r="BA67" t="str">
        <f t="shared" ref="BA67:BA130" si="48">IF(AND(AZ67&gt;=1,AZ67&lt;5),"Oppose",IF(AND(AZ67&gt;=5,AZ67&lt;8),"Neutral",IF(AND(AZ67&gt;=8,AZ67&lt;=10),"Support","")))</f>
        <v>Support</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2</v>
      </c>
      <c r="BE67">
        <f>step3_validation[[#This Row],[AI_OUT1]]</f>
        <v>9</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3</v>
      </c>
    </row>
    <row r="68" spans="1:61" x14ac:dyDescent="0.45">
      <c r="A68" s="30">
        <f>step3_validation[[#This Row],[Persona_ID]]</f>
        <v>67</v>
      </c>
      <c r="B68" s="31">
        <f>step3_validation[[#This Row],[Used_Seed]]</f>
        <v>108</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100.04365703588709</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2</v>
      </c>
      <c r="V68">
        <f>step3_validation[[#This Row],[AI_ENF2]]</f>
        <v>8</v>
      </c>
      <c r="W68" t="str">
        <f t="shared" si="30"/>
        <v>Support</v>
      </c>
      <c r="X68">
        <f>survey_responses[[#This Row],[Tôi tin rằng Nhà nước, cơ quan thuế có đủ khả năng và công nghệ để phát hiện, xử lý nghiêm các hành vi trốn thuế. - HUMAN-ENF2]]</f>
        <v>5</v>
      </c>
      <c r="Y68" t="str">
        <f t="shared" si="31"/>
        <v>Neutral</v>
      </c>
      <c r="Z68" s="32">
        <f t="shared" si="32"/>
        <v>3</v>
      </c>
      <c r="AA68">
        <f>step3_validation[[#This Row],[AI_FAC1]]</f>
        <v>6</v>
      </c>
      <c r="AB68" t="str">
        <f t="shared" si="33"/>
        <v>Neutral</v>
      </c>
      <c r="AC68">
        <f>survey_responses[[#This Row],[Các thủ tục khai báo thuế VÀ/HOẶC quy trình làm việc với cơ quan thuế đơn giản, tiện lợi, nhanh chóng hơn so với trước đây. - HUMAN-FAC1]]</f>
        <v>4</v>
      </c>
      <c r="AD68" t="str">
        <f t="shared" si="34"/>
        <v>Oppose</v>
      </c>
      <c r="AE68" s="32">
        <f t="shared" si="35"/>
        <v>2</v>
      </c>
      <c r="AF68">
        <f>step3_validation[[#This Row],[AI_FAC2]]</f>
        <v>9</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5</v>
      </c>
      <c r="AK68">
        <f>step3_validation[[#This Row],[AI_TRU1]]</f>
        <v>8</v>
      </c>
      <c r="AL68" t="str">
        <f t="shared" si="39"/>
        <v>Support</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6</v>
      </c>
      <c r="AP68">
        <f>step3_validation[[#This Row],[AI_TRU2]]</f>
        <v>9</v>
      </c>
      <c r="AQ68" t="str">
        <f t="shared" si="42"/>
        <v>Support</v>
      </c>
      <c r="AR68">
        <f>survey_responses[[#This Row],[Tôi thấy mức thuế tôi phải đóng theo phương án mới là công bằng (người thu nhập như tôi đóng mức này là hợp lý). - HUMAN-TRU2]]</f>
        <v>3</v>
      </c>
      <c r="AS68" t="str">
        <f t="shared" si="43"/>
        <v>Oppose</v>
      </c>
      <c r="AT68" s="32">
        <f t="shared" si="44"/>
        <v>6</v>
      </c>
      <c r="AU68">
        <f>step3_validation[[#This Row],[AI_TRU3]]</f>
        <v>8</v>
      </c>
      <c r="AV68" t="str">
        <f t="shared" si="45"/>
        <v>Support</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6</v>
      </c>
      <c r="AZ68">
        <f>step3_validation[[#This Row],[AI_TRU4]]</f>
        <v>7</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4</v>
      </c>
      <c r="BE68">
        <f>step3_validation[[#This Row],[AI_OUT1]]</f>
        <v>9</v>
      </c>
      <c r="BF68" t="str">
        <f t="shared" si="51"/>
        <v>Support</v>
      </c>
      <c r="BG68">
        <f>survey_responses[[#This Row],[Sau khi xem xét các quyền lợi và nghĩa vụ, bạn có ủng hộ và tuân thủ chính sách mới hiện nay? - HUMAN-OUT1]]</f>
        <v>3</v>
      </c>
      <c r="BH68" t="str">
        <f t="shared" si="52"/>
        <v>Oppose</v>
      </c>
      <c r="BI68" s="32">
        <f t="shared" si="53"/>
        <v>6</v>
      </c>
    </row>
    <row r="69" spans="1:61" x14ac:dyDescent="0.45">
      <c r="A69" s="30">
        <f>step3_validation[[#This Row],[Persona_ID]]</f>
        <v>68</v>
      </c>
      <c r="B69" s="31">
        <f>step3_validation[[#This Row],[Used_Seed]]</f>
        <v>109</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48.458024069304336</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t="str">
        <f t="shared" si="27"/>
        <v>Neutral</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3</v>
      </c>
      <c r="V69">
        <f>step3_validation[[#This Row],[AI_ENF2]]</f>
        <v>6</v>
      </c>
      <c r="W69" t="str">
        <f t="shared" si="30"/>
        <v>Neutral</v>
      </c>
      <c r="X69">
        <f>survey_responses[[#This Row],[Tôi tin rằng Nhà nước, cơ quan thuế có đủ khả năng và công nghệ để phát hiện, xử lý nghiêm các hành vi trốn thuế. - HUMAN-ENF2]]</f>
        <v>3</v>
      </c>
      <c r="Y69" t="str">
        <f t="shared" si="31"/>
        <v>Oppose</v>
      </c>
      <c r="Z69" s="32">
        <f t="shared" si="32"/>
        <v>3</v>
      </c>
      <c r="AA69">
        <f>step3_validation[[#This Row],[AI_FAC1]]</f>
        <v>4</v>
      </c>
      <c r="AB69" t="str">
        <f t="shared" si="33"/>
        <v>Oppose</v>
      </c>
      <c r="AC69">
        <f>survey_responses[[#This Row],[Các thủ tục khai báo thuế VÀ/HOẶC quy trình làm việc với cơ quan thuế đơn giản, tiện lợi, nhanh chóng hơn so với trước đây. - HUMAN-FAC1]]</f>
        <v>1</v>
      </c>
      <c r="AD69" t="str">
        <f t="shared" si="34"/>
        <v>Oppose</v>
      </c>
      <c r="AE69" s="32">
        <f t="shared" si="35"/>
        <v>3</v>
      </c>
      <c r="AF69">
        <f>step3_validation[[#This Row],[AI_FAC2]]</f>
        <v>5</v>
      </c>
      <c r="AG69" t="str">
        <f t="shared" si="36"/>
        <v>Neutral</v>
      </c>
      <c r="AH69">
        <f>survey_responses[[#This Row],[So với trước đây, tôi thấy cách tính thuế và các bậc thuế trong phương án mới đơn giản, dễ hiểu và dễ thực hiện hơn. - HUMAN-FAC2]]</f>
        <v>5</v>
      </c>
      <c r="AI69" t="str">
        <f t="shared" si="37"/>
        <v>Neutral</v>
      </c>
      <c r="AJ69" s="32">
        <f t="shared" si="38"/>
        <v>0</v>
      </c>
      <c r="AK69">
        <f>step3_validation[[#This Row],[AI_TRU1]]</f>
        <v>7</v>
      </c>
      <c r="AL69" t="str">
        <f t="shared" si="39"/>
        <v>Neutral</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3</v>
      </c>
      <c r="AP69">
        <f>step3_validation[[#This Row],[AI_TRU2]]</f>
        <v>8</v>
      </c>
      <c r="AQ69" t="str">
        <f t="shared" si="42"/>
        <v>Support</v>
      </c>
      <c r="AR69">
        <f>survey_responses[[#This Row],[Tôi thấy mức thuế tôi phải đóng theo phương án mới là công bằng (người thu nhập như tôi đóng mức này là hợp lý). - HUMAN-TRU2]]</f>
        <v>3</v>
      </c>
      <c r="AS69" t="str">
        <f t="shared" si="43"/>
        <v>Oppose</v>
      </c>
      <c r="AT69" s="32">
        <f t="shared" si="44"/>
        <v>5</v>
      </c>
      <c r="AU69">
        <f>step3_validation[[#This Row],[AI_TRU3]]</f>
        <v>6</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5</v>
      </c>
      <c r="AZ69">
        <f>step3_validation[[#This Row],[AI_TRU4]]</f>
        <v>7</v>
      </c>
      <c r="BA69" t="str">
        <f t="shared" si="48"/>
        <v>Neutral</v>
      </c>
      <c r="BB69">
        <f>survey_responses[[#This Row],[Tôi thấy Nhà nước đã giải thích rõ ràng, minh bạch về lý do và mục tiêu của việc sửa đổi thuế lần này. - HUMAN-TRU4]]</f>
        <v>3</v>
      </c>
      <c r="BC69" t="str">
        <f t="shared" si="49"/>
        <v>Oppose</v>
      </c>
      <c r="BD69" s="32">
        <f t="shared" si="50"/>
        <v>4</v>
      </c>
      <c r="BE69">
        <f>step3_validation[[#This Row],[AI_OUT1]]</f>
        <v>8</v>
      </c>
      <c r="BF69" t="str">
        <f t="shared" si="51"/>
        <v>Support</v>
      </c>
      <c r="BG69">
        <f>survey_responses[[#This Row],[Sau khi xem xét các quyền lợi và nghĩa vụ, bạn có ủng hộ và tuân thủ chính sách mới hiện nay? - HUMAN-OUT1]]</f>
        <v>5</v>
      </c>
      <c r="BH69" t="str">
        <f t="shared" si="52"/>
        <v>Neutral</v>
      </c>
      <c r="BI69" s="32">
        <f t="shared" si="53"/>
        <v>3</v>
      </c>
    </row>
    <row r="70" spans="1:61" x14ac:dyDescent="0.45">
      <c r="A70" s="30">
        <f>step3_validation[[#This Row],[Persona_ID]]</f>
        <v>69</v>
      </c>
      <c r="B70" s="31">
        <f>step3_validation[[#This Row],[Used_Seed]]</f>
        <v>110</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20.739767149768142</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t="str">
        <f t="shared" si="27"/>
        <v>Neutral</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0</v>
      </c>
      <c r="V70">
        <f>step3_validation[[#This Row],[AI_ENF2]]</f>
        <v>6</v>
      </c>
      <c r="W70" t="str">
        <f t="shared" si="30"/>
        <v>Neutral</v>
      </c>
      <c r="X70">
        <f>survey_responses[[#This Row],[Tôi tin rằng Nhà nước, cơ quan thuế có đủ khả năng và công nghệ để phát hiện, xử lý nghiêm các hành vi trốn thuế. - HUMAN-ENF2]]</f>
        <v>7</v>
      </c>
      <c r="Y70" t="str">
        <f t="shared" si="31"/>
        <v>Neutral</v>
      </c>
      <c r="Z70" s="32">
        <f t="shared" si="32"/>
        <v>1</v>
      </c>
      <c r="AA70">
        <f>step3_validation[[#This Row],[AI_FAC1]]</f>
        <v>9</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1</v>
      </c>
      <c r="AF70">
        <f>step3_validation[[#This Row],[AI_FAC2]]</f>
        <v>8</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1</v>
      </c>
      <c r="AK70">
        <f>step3_validation[[#This Row],[AI_TRU1]]</f>
        <v>7</v>
      </c>
      <c r="AL70" t="str">
        <f t="shared" si="39"/>
        <v>Neutral</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1</v>
      </c>
      <c r="AP70">
        <f>step3_validation[[#This Row],[AI_TRU2]]</f>
        <v>9</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2">
        <f t="shared" si="44"/>
        <v>1</v>
      </c>
      <c r="AU70">
        <f>step3_validation[[#This Row],[AI_TRU3]]</f>
        <v>8</v>
      </c>
      <c r="AV70" t="str">
        <f t="shared" si="45"/>
        <v>Support</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1</v>
      </c>
      <c r="AZ70">
        <f>step3_validation[[#This Row],[AI_TRU4]]</f>
        <v>7</v>
      </c>
      <c r="BA70" t="str">
        <f t="shared" si="48"/>
        <v>Neutral</v>
      </c>
      <c r="BB70">
        <f>survey_responses[[#This Row],[Tôi thấy Nhà nước đã giải thích rõ ràng, minh bạch về lý do và mục tiêu của việc sửa đổi thuế lần này. - HUMAN-TRU4]]</f>
        <v>9</v>
      </c>
      <c r="BC70" t="str">
        <f t="shared" si="49"/>
        <v>Support</v>
      </c>
      <c r="BD70" s="32">
        <f t="shared" si="50"/>
        <v>2</v>
      </c>
      <c r="BE70">
        <f>step3_validation[[#This Row],[AI_OUT1]]</f>
        <v>9</v>
      </c>
      <c r="BF70" t="str">
        <f t="shared" si="51"/>
        <v>Support</v>
      </c>
      <c r="BG70">
        <f>survey_responses[[#This Row],[Sau khi xem xét các quyền lợi và nghĩa vụ, bạn có ủng hộ và tuân thủ chính sách mới hiện nay? - HUMAN-OUT1]]</f>
        <v>9</v>
      </c>
      <c r="BH70" t="str">
        <f t="shared" si="52"/>
        <v>Support</v>
      </c>
      <c r="BI70" s="32">
        <f t="shared" si="53"/>
        <v>0</v>
      </c>
    </row>
    <row r="71" spans="1:61" x14ac:dyDescent="0.45">
      <c r="A71" s="30">
        <f>step3_validation[[#This Row],[Persona_ID]]</f>
        <v>70</v>
      </c>
      <c r="B71" s="31">
        <f>step3_validation[[#This Row],[Used_Seed]]</f>
        <v>111</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127.0025185510636</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1</v>
      </c>
      <c r="V71">
        <f>step3_validation[[#This Row],[AI_ENF2]]</f>
        <v>6</v>
      </c>
      <c r="W71" t="str">
        <f t="shared" si="30"/>
        <v>Neutral</v>
      </c>
      <c r="X71">
        <f>survey_responses[[#This Row],[Tôi tin rằng Nhà nước, cơ quan thuế có đủ khả năng và công nghệ để phát hiện, xử lý nghiêm các hành vi trốn thuế. - HUMAN-ENF2]]</f>
        <v>6</v>
      </c>
      <c r="Y71" t="str">
        <f t="shared" si="31"/>
        <v>Neutral</v>
      </c>
      <c r="Z71" s="32">
        <f t="shared" si="32"/>
        <v>0</v>
      </c>
      <c r="AA71">
        <f>step3_validation[[#This Row],[AI_FAC1]]</f>
        <v>8</v>
      </c>
      <c r="AB71" t="str">
        <f t="shared" si="33"/>
        <v>Support</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3</v>
      </c>
      <c r="AF71">
        <f>step3_validation[[#This Row],[AI_FAC2]]</f>
        <v>9</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4</v>
      </c>
      <c r="AK71">
        <f>step3_validation[[#This Row],[AI_TRU1]]</f>
        <v>7</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2</v>
      </c>
      <c r="AP71">
        <f>step3_validation[[#This Row],[AI_TRU2]]</f>
        <v>8</v>
      </c>
      <c r="AQ71" t="str">
        <f t="shared" si="42"/>
        <v>Support</v>
      </c>
      <c r="AR71">
        <f>survey_responses[[#This Row],[Tôi thấy mức thuế tôi phải đóng theo phương án mới là công bằng (người thu nhập như tôi đóng mức này là hợp lý). - HUMAN-TRU2]]</f>
        <v>1</v>
      </c>
      <c r="AS71" t="str">
        <f t="shared" si="43"/>
        <v>Oppose</v>
      </c>
      <c r="AT71" s="32">
        <f t="shared" si="44"/>
        <v>7</v>
      </c>
      <c r="AU71">
        <f>step3_validation[[#This Row],[AI_TRU3]]</f>
        <v>7</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2</v>
      </c>
      <c r="AZ71">
        <f>step3_validation[[#This Row],[AI_TRU4]]</f>
        <v>9</v>
      </c>
      <c r="BA71" t="str">
        <f t="shared" si="48"/>
        <v>Support</v>
      </c>
      <c r="BB71">
        <f>survey_responses[[#This Row],[Tôi thấy Nhà nước đã giải thích rõ ràng, minh bạch về lý do và mục tiêu của việc sửa đổi thuế lần này. - HUMAN-TRU4]]</f>
        <v>5</v>
      </c>
      <c r="BC71" t="str">
        <f t="shared" si="49"/>
        <v>Neutral</v>
      </c>
      <c r="BD71" s="32">
        <f t="shared" si="50"/>
        <v>4</v>
      </c>
      <c r="BE71">
        <f>step3_validation[[#This Row],[AI_OUT1]]</f>
        <v>8</v>
      </c>
      <c r="BF71" t="str">
        <f t="shared" si="51"/>
        <v>Support</v>
      </c>
      <c r="BG71">
        <f>survey_responses[[#This Row],[Sau khi xem xét các quyền lợi và nghĩa vụ, bạn có ủng hộ và tuân thủ chính sách mới hiện nay? - HUMAN-OUT1]]</f>
        <v>5</v>
      </c>
      <c r="BH71" t="str">
        <f t="shared" si="52"/>
        <v>Neutral</v>
      </c>
      <c r="BI71" s="32">
        <f t="shared" si="53"/>
        <v>3</v>
      </c>
    </row>
    <row r="72" spans="1:61" x14ac:dyDescent="0.45">
      <c r="A72" s="30">
        <f>step3_validation[[#This Row],[Persona_ID]]</f>
        <v>71</v>
      </c>
      <c r="B72" s="31">
        <f>step3_validation[[#This Row],[Used_Seed]]</f>
        <v>112</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26.700942765498688</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t="str">
        <f t="shared" si="27"/>
        <v>Neutral</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4</v>
      </c>
      <c r="V72">
        <f>step3_validation[[#This Row],[AI_ENF2]]</f>
        <v>8</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2">
        <f t="shared" si="32"/>
        <v>5</v>
      </c>
      <c r="AA72">
        <f>step3_validation[[#This Row],[AI_FAC1]]</f>
        <v>9</v>
      </c>
      <c r="AB72" t="str">
        <f t="shared" si="33"/>
        <v>Support</v>
      </c>
      <c r="AC72">
        <f>survey_responses[[#This Row],[Các thủ tục khai báo thuế VÀ/HOẶC quy trình làm việc với cơ quan thuế đơn giản, tiện lợi, nhanh chóng hơn so với trước đây. - HUMAN-FAC1]]</f>
        <v>3</v>
      </c>
      <c r="AD72" t="str">
        <f t="shared" si="34"/>
        <v>Oppose</v>
      </c>
      <c r="AE72" s="32">
        <f t="shared" si="35"/>
        <v>6</v>
      </c>
      <c r="AF72">
        <f>step3_validation[[#This Row],[AI_FAC2]]</f>
        <v>10</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2">
        <f t="shared" si="38"/>
        <v>5</v>
      </c>
      <c r="AK72">
        <f>step3_validation[[#This Row],[AI_TRU1]]</f>
        <v>7</v>
      </c>
      <c r="AL72" t="str">
        <f t="shared" si="39"/>
        <v>Neutral</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4</v>
      </c>
      <c r="AP72">
        <f>step3_validation[[#This Row],[AI_TRU2]]</f>
        <v>8</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5</v>
      </c>
      <c r="AU72">
        <f>step3_validation[[#This Row],[AI_TRU3]]</f>
        <v>9</v>
      </c>
      <c r="AV72" t="str">
        <f t="shared" si="45"/>
        <v>Support</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6</v>
      </c>
      <c r="AZ72">
        <f>step3_validation[[#This Row],[AI_TRU4]]</f>
        <v>7</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4</v>
      </c>
      <c r="BE72">
        <f>step3_validation[[#This Row],[AI_OUT1]]</f>
        <v>9</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5</v>
      </c>
    </row>
    <row r="73" spans="1:61" x14ac:dyDescent="0.45">
      <c r="A73" s="30">
        <f>step3_validation[[#This Row],[Persona_ID]]</f>
        <v>72</v>
      </c>
      <c r="B73" s="31">
        <f>step3_validation[[#This Row],[Used_Seed]]</f>
        <v>113</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21.592121815950726</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1</v>
      </c>
      <c r="V73">
        <f>step3_validation[[#This Row],[AI_ENF2]]</f>
        <v>6</v>
      </c>
      <c r="W73" t="str">
        <f t="shared" si="30"/>
        <v>Neutral</v>
      </c>
      <c r="X73">
        <f>survey_responses[[#This Row],[Tôi tin rằng Nhà nước, cơ quan thuế có đủ khả năng và công nghệ để phát hiện, xử lý nghiêm các hành vi trốn thuế. - HUMAN-ENF2]]</f>
        <v>8</v>
      </c>
      <c r="Y73" t="str">
        <f t="shared" si="31"/>
        <v>Support</v>
      </c>
      <c r="Z73" s="32">
        <f t="shared" si="32"/>
        <v>2</v>
      </c>
      <c r="AA73">
        <f>step3_validation[[#This Row],[AI_FAC1]]</f>
        <v>8</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2">
        <f t="shared" si="35"/>
        <v>4</v>
      </c>
      <c r="AF73">
        <f>step3_validation[[#This Row],[AI_FAC2]]</f>
        <v>7</v>
      </c>
      <c r="AG73" t="str">
        <f t="shared" si="36"/>
        <v>Neutral</v>
      </c>
      <c r="AH73">
        <f>survey_responses[[#This Row],[So với trước đây, tôi thấy cách tính thuế và các bậc thuế trong phương án mới đơn giản, dễ hiểu và dễ thực hiện hơn. - HUMAN-FAC2]]</f>
        <v>2</v>
      </c>
      <c r="AI73" t="str">
        <f t="shared" si="37"/>
        <v>Oppose</v>
      </c>
      <c r="AJ73" s="32">
        <f t="shared" si="38"/>
        <v>5</v>
      </c>
      <c r="AK73">
        <f>step3_validation[[#This Row],[AI_TRU1]]</f>
        <v>9</v>
      </c>
      <c r="AL73" t="str">
        <f t="shared" si="39"/>
        <v>Support</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3</v>
      </c>
      <c r="AP73">
        <f>step3_validation[[#This Row],[AI_TRU2]]</f>
        <v>8</v>
      </c>
      <c r="AQ73" t="str">
        <f t="shared" si="42"/>
        <v>Support</v>
      </c>
      <c r="AR73">
        <f>survey_responses[[#This Row],[Tôi thấy mức thuế tôi phải đóng theo phương án mới là công bằng (người thu nhập như tôi đóng mức này là hợp lý). - HUMAN-TRU2]]</f>
        <v>3</v>
      </c>
      <c r="AS73" t="str">
        <f t="shared" si="43"/>
        <v>Oppose</v>
      </c>
      <c r="AT73" s="32">
        <f t="shared" si="44"/>
        <v>5</v>
      </c>
      <c r="AU73">
        <f>step3_validation[[#This Row],[AI_TRU3]]</f>
        <v>7</v>
      </c>
      <c r="AV73" t="str">
        <f t="shared" si="45"/>
        <v>Neutral</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1</v>
      </c>
      <c r="AZ73">
        <f>step3_validation[[#This Row],[AI_TRU4]]</f>
        <v>8</v>
      </c>
      <c r="BA73" t="str">
        <f t="shared" si="48"/>
        <v>Support</v>
      </c>
      <c r="BB73">
        <f>survey_responses[[#This Row],[Tôi thấy Nhà nước đã giải thích rõ ràng, minh bạch về lý do và mục tiêu của việc sửa đổi thuế lần này. - HUMAN-TRU4]]</f>
        <v>4</v>
      </c>
      <c r="BC73" t="str">
        <f t="shared" si="49"/>
        <v>Oppose</v>
      </c>
      <c r="BD73" s="32">
        <f t="shared" si="50"/>
        <v>4</v>
      </c>
      <c r="BE73">
        <f>step3_validation[[#This Row],[AI_OUT1]]</f>
        <v>9</v>
      </c>
      <c r="BF73" t="str">
        <f t="shared" si="51"/>
        <v>Support</v>
      </c>
      <c r="BG73">
        <f>survey_responses[[#This Row],[Sau khi xem xét các quyền lợi và nghĩa vụ, bạn có ủng hộ và tuân thủ chính sách mới hiện nay? - HUMAN-OUT1]]</f>
        <v>8</v>
      </c>
      <c r="BH73" t="str">
        <f t="shared" si="52"/>
        <v>Support</v>
      </c>
      <c r="BI73" s="32">
        <f t="shared" si="53"/>
        <v>1</v>
      </c>
    </row>
    <row r="74" spans="1:61" x14ac:dyDescent="0.45">
      <c r="A74" s="30">
        <f>step3_validation[[#This Row],[Persona_ID]]</f>
        <v>73</v>
      </c>
      <c r="B74" s="31">
        <f>step3_validation[[#This Row],[Used_Seed]]</f>
        <v>114</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13.006734459565548</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6</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1</v>
      </c>
      <c r="V74">
        <f>step3_validation[[#This Row],[AI_ENF2]]</f>
        <v>6</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2">
        <f t="shared" si="32"/>
        <v>1</v>
      </c>
      <c r="AA74">
        <f>step3_validation[[#This Row],[AI_FAC1]]</f>
        <v>8</v>
      </c>
      <c r="AB74" t="str">
        <f t="shared" si="33"/>
        <v>Support</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3</v>
      </c>
      <c r="AF74">
        <f>step3_validation[[#This Row],[AI_FAC2]]</f>
        <v>7</v>
      </c>
      <c r="AG74" t="str">
        <f t="shared" si="36"/>
        <v>Neutral</v>
      </c>
      <c r="AH74">
        <f>survey_responses[[#This Row],[So với trước đây, tôi thấy cách tính thuế và các bậc thuế trong phương án mới đơn giản, dễ hiểu và dễ thực hiện hơn. - HUMAN-FAC2]]</f>
        <v>5</v>
      </c>
      <c r="AI74" t="str">
        <f t="shared" si="37"/>
        <v>Neutral</v>
      </c>
      <c r="AJ74" s="32">
        <f t="shared" si="38"/>
        <v>2</v>
      </c>
      <c r="AK74">
        <f>step3_validation[[#This Row],[AI_TRU1]]</f>
        <v>6</v>
      </c>
      <c r="AL74" t="str">
        <f t="shared" si="39"/>
        <v>Neutral</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1</v>
      </c>
      <c r="AP74">
        <f>step3_validation[[#This Row],[AI_TRU2]]</f>
        <v>8</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2</v>
      </c>
      <c r="AU74">
        <f>step3_validation[[#This Row],[AI_TRU3]]</f>
        <v>7</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2</v>
      </c>
      <c r="AZ74">
        <f>step3_validation[[#This Row],[AI_TRU4]]</f>
        <v>6</v>
      </c>
      <c r="BA74" t="str">
        <f t="shared" si="48"/>
        <v>Neutral</v>
      </c>
      <c r="BB74">
        <f>survey_responses[[#This Row],[Tôi thấy Nhà nước đã giải thích rõ ràng, minh bạch về lý do và mục tiêu của việc sửa đổi thuế lần này. - HUMAN-TRU4]]</f>
        <v>5</v>
      </c>
      <c r="BC74" t="str">
        <f t="shared" si="49"/>
        <v>Neutral</v>
      </c>
      <c r="BD74" s="32">
        <f t="shared" si="50"/>
        <v>1</v>
      </c>
      <c r="BE74">
        <f>step3_validation[[#This Row],[AI_OUT1]]</f>
        <v>9</v>
      </c>
      <c r="BF74" t="str">
        <f t="shared" si="51"/>
        <v>Support</v>
      </c>
      <c r="BG74">
        <f>survey_responses[[#This Row],[Sau khi xem xét các quyền lợi và nghĩa vụ, bạn có ủng hộ và tuân thủ chính sách mới hiện nay? - HUMAN-OUT1]]</f>
        <v>10</v>
      </c>
      <c r="BH74" t="str">
        <f t="shared" si="52"/>
        <v>Support</v>
      </c>
      <c r="BI74" s="32">
        <f t="shared" si="53"/>
        <v>1</v>
      </c>
    </row>
    <row r="75" spans="1:61" x14ac:dyDescent="0.45">
      <c r="A75" s="30">
        <f>step3_validation[[#This Row],[Persona_ID]]</f>
        <v>74</v>
      </c>
      <c r="B75" s="31">
        <f>step3_validation[[#This Row],[Used_Seed]]</f>
        <v>115</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18.158116984131347</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8</v>
      </c>
      <c r="R75" t="str">
        <f t="shared" si="27"/>
        <v>Support</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3</v>
      </c>
      <c r="V75">
        <f>step3_validation[[#This Row],[AI_ENF2]]</f>
        <v>7</v>
      </c>
      <c r="W75" t="str">
        <f t="shared" si="30"/>
        <v>Neutral</v>
      </c>
      <c r="X75">
        <f>survey_responses[[#This Row],[Tôi tin rằng Nhà nước, cơ quan thuế có đủ khả năng và công nghệ để phát hiện, xử lý nghiêm các hành vi trốn thuế. - HUMAN-ENF2]]</f>
        <v>10</v>
      </c>
      <c r="Y75" t="str">
        <f t="shared" si="31"/>
        <v>Support</v>
      </c>
      <c r="Z75" s="32">
        <f t="shared" si="32"/>
        <v>3</v>
      </c>
      <c r="AA75">
        <f>step3_validation[[#This Row],[AI_FAC1]]</f>
        <v>6</v>
      </c>
      <c r="AB75" t="str">
        <f t="shared" si="33"/>
        <v>Neutral</v>
      </c>
      <c r="AC75">
        <f>survey_responses[[#This Row],[Các thủ tục khai báo thuế VÀ/HOẶC quy trình làm việc với cơ quan thuế đơn giản, tiện lợi, nhanh chóng hơn so với trước đây. - HUMAN-FAC1]]</f>
        <v>2</v>
      </c>
      <c r="AD75" t="str">
        <f t="shared" si="34"/>
        <v>Oppose</v>
      </c>
      <c r="AE75" s="32">
        <f t="shared" si="35"/>
        <v>4</v>
      </c>
      <c r="AF75">
        <f>step3_validation[[#This Row],[AI_FAC2]]</f>
        <v>9</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2">
        <f t="shared" si="38"/>
        <v>1</v>
      </c>
      <c r="AK75">
        <f>step3_validation[[#This Row],[AI_TRU1]]</f>
        <v>7</v>
      </c>
      <c r="AL75" t="str">
        <f t="shared" si="39"/>
        <v>Neutral</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2</v>
      </c>
      <c r="AP75">
        <f>step3_validation[[#This Row],[AI_TRU2]]</f>
        <v>9</v>
      </c>
      <c r="AQ75" t="str">
        <f t="shared" si="42"/>
        <v>Support</v>
      </c>
      <c r="AR75">
        <f>survey_responses[[#This Row],[Tôi thấy mức thuế tôi phải đóng theo phương án mới là công bằng (người thu nhập như tôi đóng mức này là hợp lý). - HUMAN-TRU2]]</f>
        <v>5</v>
      </c>
      <c r="AS75" t="str">
        <f t="shared" si="43"/>
        <v>Neutral</v>
      </c>
      <c r="AT75" s="32">
        <f t="shared" si="44"/>
        <v>4</v>
      </c>
      <c r="AU75">
        <f>step3_validation[[#This Row],[AI_TRU3]]</f>
        <v>7</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6</v>
      </c>
      <c r="AZ75">
        <f>step3_validation[[#This Row],[AI_TRU4]]</f>
        <v>8</v>
      </c>
      <c r="BA75" t="str">
        <f t="shared" si="48"/>
        <v>Support</v>
      </c>
      <c r="BB75">
        <f>survey_responses[[#This Row],[Tôi thấy Nhà nước đã giải thích rõ ràng, minh bạch về lý do và mục tiêu của việc sửa đổi thuế lần này. - HUMAN-TRU4]]</f>
        <v>4</v>
      </c>
      <c r="BC75" t="str">
        <f t="shared" si="49"/>
        <v>Oppose</v>
      </c>
      <c r="BD75" s="32">
        <f t="shared" si="50"/>
        <v>4</v>
      </c>
      <c r="BE75">
        <f>step3_validation[[#This Row],[AI_OUT1]]</f>
        <v>9</v>
      </c>
      <c r="BF75" t="str">
        <f t="shared" si="51"/>
        <v>Support</v>
      </c>
      <c r="BG75">
        <f>survey_responses[[#This Row],[Sau khi xem xét các quyền lợi và nghĩa vụ, bạn có ủng hộ và tuân thủ chính sách mới hiện nay? - HUMAN-OUT1]]</f>
        <v>5</v>
      </c>
      <c r="BH75" t="str">
        <f t="shared" si="52"/>
        <v>Neutral</v>
      </c>
      <c r="BI75" s="32">
        <f t="shared" si="53"/>
        <v>4</v>
      </c>
    </row>
    <row r="76" spans="1:61" x14ac:dyDescent="0.45">
      <c r="A76" s="30">
        <f>step3_validation[[#This Row],[Persona_ID]]</f>
        <v>75</v>
      </c>
      <c r="B76" s="31">
        <f>step3_validation[[#This Row],[Used_Seed]]</f>
        <v>116</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48.44680745709752</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8</v>
      </c>
      <c r="R76" t="str">
        <f t="shared" si="27"/>
        <v>Support</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0</v>
      </c>
      <c r="V76">
        <f>step3_validation[[#This Row],[AI_ENF2]]</f>
        <v>9</v>
      </c>
      <c r="W76" t="str">
        <f t="shared" si="30"/>
        <v>Support</v>
      </c>
      <c r="X76">
        <f>survey_responses[[#This Row],[Tôi tin rằng Nhà nước, cơ quan thuế có đủ khả năng và công nghệ để phát hiện, xử lý nghiêm các hành vi trốn thuế. - HUMAN-ENF2]]</f>
        <v>9</v>
      </c>
      <c r="Y76" t="str">
        <f t="shared" si="31"/>
        <v>Support</v>
      </c>
      <c r="Z76" s="32">
        <f t="shared" si="32"/>
        <v>0</v>
      </c>
      <c r="AA76">
        <f>step3_validation[[#This Row],[AI_FAC1]]</f>
        <v>9</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0</v>
      </c>
      <c r="AF76">
        <f>step3_validation[[#This Row],[AI_FAC2]]</f>
        <v>10</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1</v>
      </c>
      <c r="AK76">
        <f>step3_validation[[#This Row],[AI_TRU1]]</f>
        <v>9</v>
      </c>
      <c r="AL76" t="str">
        <f t="shared" si="39"/>
        <v>Support</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6</v>
      </c>
      <c r="AP76">
        <f>step3_validation[[#This Row],[AI_TRU2]]</f>
        <v>8</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2">
        <f t="shared" si="44"/>
        <v>5</v>
      </c>
      <c r="AU76">
        <f>step3_validation[[#This Row],[AI_TRU3]]</f>
        <v>9</v>
      </c>
      <c r="AV76" t="str">
        <f t="shared" si="45"/>
        <v>Support</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7</v>
      </c>
      <c r="AZ76">
        <f>step3_validation[[#This Row],[AI_TRU4]]</f>
        <v>7</v>
      </c>
      <c r="BA76" t="str">
        <f t="shared" si="48"/>
        <v>Neutral</v>
      </c>
      <c r="BB76">
        <f>survey_responses[[#This Row],[Tôi thấy Nhà nước đã giải thích rõ ràng, minh bạch về lý do và mục tiêu của việc sửa đổi thuế lần này. - HUMAN-TRU4]]</f>
        <v>2</v>
      </c>
      <c r="BC76" t="str">
        <f t="shared" si="49"/>
        <v>Oppose</v>
      </c>
      <c r="BD76" s="32">
        <f t="shared" si="50"/>
        <v>5</v>
      </c>
      <c r="BE76">
        <f>step3_validation[[#This Row],[AI_OUT1]]</f>
        <v>9</v>
      </c>
      <c r="BF76" t="str">
        <f t="shared" si="51"/>
        <v>Support</v>
      </c>
      <c r="BG76">
        <f>survey_responses[[#This Row],[Sau khi xem xét các quyền lợi và nghĩa vụ, bạn có ủng hộ và tuân thủ chính sách mới hiện nay? - HUMAN-OUT1]]</f>
        <v>6</v>
      </c>
      <c r="BH76" t="str">
        <f t="shared" si="52"/>
        <v>Neutral</v>
      </c>
      <c r="BI76" s="32">
        <f t="shared" si="53"/>
        <v>3</v>
      </c>
    </row>
    <row r="77" spans="1:61" x14ac:dyDescent="0.45">
      <c r="A77" s="30">
        <f>step3_validation[[#This Row],[Persona_ID]]</f>
        <v>76</v>
      </c>
      <c r="B77" s="31">
        <f>step3_validation[[#This Row],[Used_Seed]]</f>
        <v>117</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13.081151330237292</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7</v>
      </c>
      <c r="R77" t="str">
        <f t="shared" si="27"/>
        <v>Neutral</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2</v>
      </c>
      <c r="V77">
        <f>step3_validation[[#This Row],[AI_ENF2]]</f>
        <v>6</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2">
        <f t="shared" si="32"/>
        <v>1</v>
      </c>
      <c r="AA77">
        <f>step3_validation[[#This Row],[AI_FAC1]]</f>
        <v>8</v>
      </c>
      <c r="AB77" t="str">
        <f t="shared" si="33"/>
        <v>Support</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3</v>
      </c>
      <c r="AF77">
        <f>step3_validation[[#This Row],[AI_FAC2]]</f>
        <v>9</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4</v>
      </c>
      <c r="AK77">
        <f>step3_validation[[#This Row],[AI_TRU1]]</f>
        <v>8</v>
      </c>
      <c r="AL77" t="str">
        <f t="shared" si="39"/>
        <v>Support</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3</v>
      </c>
      <c r="AP77">
        <f>step3_validation[[#This Row],[AI_TRU2]]</f>
        <v>9</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4</v>
      </c>
      <c r="AU77">
        <f>step3_validation[[#This Row],[AI_TRU3]]</f>
        <v>8</v>
      </c>
      <c r="AV77" t="str">
        <f t="shared" si="45"/>
        <v>Support</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3</v>
      </c>
      <c r="AZ77">
        <f>step3_validation[[#This Row],[AI_TRU4]]</f>
        <v>7</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2</v>
      </c>
      <c r="BE77">
        <f>step3_validation[[#This Row],[AI_OUT1]]</f>
        <v>9</v>
      </c>
      <c r="BF77" t="str">
        <f t="shared" si="51"/>
        <v>Support</v>
      </c>
      <c r="BG77">
        <f>survey_responses[[#This Row],[Sau khi xem xét các quyền lợi và nghĩa vụ, bạn có ủng hộ và tuân thủ chính sách mới hiện nay? - HUMAN-OUT1]]</f>
        <v>5</v>
      </c>
      <c r="BH77" t="str">
        <f t="shared" si="52"/>
        <v>Neutral</v>
      </c>
      <c r="BI77" s="32">
        <f t="shared" si="53"/>
        <v>4</v>
      </c>
    </row>
    <row r="78" spans="1:61" x14ac:dyDescent="0.45">
      <c r="A78" s="30">
        <f>step3_validation[[#This Row],[Persona_ID]]</f>
        <v>77</v>
      </c>
      <c r="B78" s="31">
        <f>step3_validation[[#This Row],[Used_Seed]]</f>
        <v>118</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15.499971180734541</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6</v>
      </c>
      <c r="R78" t="str">
        <f t="shared" si="27"/>
        <v>Neutral</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2</v>
      </c>
      <c r="V78">
        <f>step3_validation[[#This Row],[AI_ENF2]]</f>
        <v>7</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2">
        <f t="shared" si="32"/>
        <v>1</v>
      </c>
      <c r="AA78">
        <f>step3_validation[[#This Row],[AI_FAC1]]</f>
        <v>8</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0</v>
      </c>
      <c r="AF78">
        <f>step3_validation[[#This Row],[AI_FAC2]]</f>
        <v>9</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1</v>
      </c>
      <c r="AK78">
        <f>step3_validation[[#This Row],[AI_TRU1]]</f>
        <v>8</v>
      </c>
      <c r="AL78" t="str">
        <f t="shared" si="39"/>
        <v>Support</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1</v>
      </c>
      <c r="AP78">
        <f>step3_validation[[#This Row],[AI_TRU2]]</f>
        <v>9</v>
      </c>
      <c r="AQ78" t="str">
        <f t="shared" si="42"/>
        <v>Support</v>
      </c>
      <c r="AR78">
        <f>survey_responses[[#This Row],[Tôi thấy mức thuế tôi phải đóng theo phương án mới là công bằng (người thu nhập như tôi đóng mức này là hợp lý). - HUMAN-TRU2]]</f>
        <v>7</v>
      </c>
      <c r="AS78" t="str">
        <f t="shared" si="43"/>
        <v>Neutral</v>
      </c>
      <c r="AT78" s="32">
        <f t="shared" si="44"/>
        <v>2</v>
      </c>
      <c r="AU78">
        <f>step3_validation[[#This Row],[AI_TRU3]]</f>
        <v>8</v>
      </c>
      <c r="AV78" t="str">
        <f t="shared" si="45"/>
        <v>Support</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1</v>
      </c>
      <c r="AZ78">
        <f>step3_validation[[#This Row],[AI_TRU4]]</f>
        <v>7</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3</v>
      </c>
      <c r="BE78">
        <f>step3_validation[[#This Row],[AI_OUT1]]</f>
        <v>8</v>
      </c>
      <c r="BF78" t="str">
        <f t="shared" si="51"/>
        <v>Support</v>
      </c>
      <c r="BG78">
        <f>survey_responses[[#This Row],[Sau khi xem xét các quyền lợi và nghĩa vụ, bạn có ủng hộ và tuân thủ chính sách mới hiện nay? - HUMAN-OUT1]]</f>
        <v>8</v>
      </c>
      <c r="BH78" t="str">
        <f t="shared" si="52"/>
        <v>Support</v>
      </c>
      <c r="BI78" s="32">
        <f t="shared" si="53"/>
        <v>0</v>
      </c>
    </row>
    <row r="79" spans="1:61" x14ac:dyDescent="0.45">
      <c r="A79" s="30">
        <f>step3_validation[[#This Row],[Persona_ID]]</f>
        <v>78</v>
      </c>
      <c r="B79" s="31">
        <f>step3_validation[[#This Row],[Used_Seed]]</f>
        <v>119</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38.966832571288911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9</v>
      </c>
      <c r="R79" t="str">
        <f t="shared" si="27"/>
        <v>Support</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1</v>
      </c>
      <c r="V79">
        <f>step3_validation[[#This Row],[AI_ENF2]]</f>
        <v>8</v>
      </c>
      <c r="W79" t="str">
        <f t="shared" si="30"/>
        <v>Support</v>
      </c>
      <c r="X79">
        <f>survey_responses[[#This Row],[Tôi tin rằng Nhà nước, cơ quan thuế có đủ khả năng và công nghệ để phát hiện, xử lý nghiêm các hành vi trốn thuế. - HUMAN-ENF2]]</f>
        <v>7</v>
      </c>
      <c r="Y79" t="str">
        <f t="shared" si="31"/>
        <v>Neutral</v>
      </c>
      <c r="Z79" s="32">
        <f t="shared" si="32"/>
        <v>1</v>
      </c>
      <c r="AA79">
        <f>step3_validation[[#This Row],[AI_FAC1]]</f>
        <v>9</v>
      </c>
      <c r="AB79" t="str">
        <f t="shared" si="33"/>
        <v>Support</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0</v>
      </c>
      <c r="AF79">
        <f>step3_validation[[#This Row],[AI_FAC2]]</f>
        <v>8</v>
      </c>
      <c r="AG79" t="str">
        <f t="shared" si="36"/>
        <v>Support</v>
      </c>
      <c r="AH79">
        <f>survey_responses[[#This Row],[So với trước đây, tôi thấy cách tính thuế và các bậc thuế trong phương án mới đơn giản, dễ hiểu và dễ thực hiện hơn. - HUMAN-FAC2]]</f>
        <v>8</v>
      </c>
      <c r="AI79" t="str">
        <f t="shared" si="37"/>
        <v>Support</v>
      </c>
      <c r="AJ79" s="32">
        <f t="shared" si="38"/>
        <v>0</v>
      </c>
      <c r="AK79">
        <f>step3_validation[[#This Row],[AI_TRU1]]</f>
        <v>9</v>
      </c>
      <c r="AL79" t="str">
        <f t="shared" si="39"/>
        <v>Support</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1</v>
      </c>
      <c r="AP79">
        <f>step3_validation[[#This Row],[AI_TRU2]]</f>
        <v>8</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2">
        <f t="shared" si="44"/>
        <v>0</v>
      </c>
      <c r="AU79">
        <f>step3_validation[[#This Row],[AI_TRU3]]</f>
        <v>9</v>
      </c>
      <c r="AV79" t="str">
        <f t="shared" si="45"/>
        <v>Support</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3</v>
      </c>
      <c r="AZ79">
        <f>step3_validation[[#This Row],[AI_TRU4]]</f>
        <v>8</v>
      </c>
      <c r="BA79" t="str">
        <f t="shared" si="48"/>
        <v>Support</v>
      </c>
      <c r="BB79">
        <f>survey_responses[[#This Row],[Tôi thấy Nhà nước đã giải thích rõ ràng, minh bạch về lý do và mục tiêu của việc sửa đổi thuế lần này. - HUMAN-TRU4]]</f>
        <v>6</v>
      </c>
      <c r="BC79" t="str">
        <f t="shared" si="49"/>
        <v>Neutral</v>
      </c>
      <c r="BD79" s="32">
        <f t="shared" si="50"/>
        <v>2</v>
      </c>
      <c r="BE79">
        <f>step3_validation[[#This Row],[AI_OUT1]]</f>
        <v>9</v>
      </c>
      <c r="BF79" t="str">
        <f t="shared" si="51"/>
        <v>Support</v>
      </c>
      <c r="BG79">
        <f>survey_responses[[#This Row],[Sau khi xem xét các quyền lợi và nghĩa vụ, bạn có ủng hộ và tuân thủ chính sách mới hiện nay? - HUMAN-OUT1]]</f>
        <v>7</v>
      </c>
      <c r="BH79" t="str">
        <f t="shared" si="52"/>
        <v>Neutral</v>
      </c>
      <c r="BI79" s="32">
        <f t="shared" si="53"/>
        <v>2</v>
      </c>
    </row>
    <row r="80" spans="1:61" x14ac:dyDescent="0.45">
      <c r="A80" s="30">
        <f>step3_validation[[#This Row],[Persona_ID]]</f>
        <v>79</v>
      </c>
      <c r="B80" s="31">
        <f>step3_validation[[#This Row],[Used_Seed]]</f>
        <v>120</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15.412236690545896</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6</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0</v>
      </c>
      <c r="V80">
        <f>step3_validation[[#This Row],[AI_ENF2]]</f>
        <v>6</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4</v>
      </c>
      <c r="AA80">
        <f>step3_validation[[#This Row],[AI_FAC1]]</f>
        <v>9</v>
      </c>
      <c r="AB80" t="str">
        <f t="shared" si="33"/>
        <v>Support</v>
      </c>
      <c r="AC80">
        <f>survey_responses[[#This Row],[Các thủ tục khai báo thuế VÀ/HOẶC quy trình làm việc với cơ quan thuế đơn giản, tiện lợi, nhanh chóng hơn so với trước đây. - HUMAN-FAC1]]</f>
        <v>3</v>
      </c>
      <c r="AD80" t="str">
        <f t="shared" si="34"/>
        <v>Oppose</v>
      </c>
      <c r="AE80" s="32">
        <f t="shared" si="35"/>
        <v>6</v>
      </c>
      <c r="AF80">
        <f>step3_validation[[#This Row],[AI_FAC2]]</f>
        <v>8</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2">
        <f t="shared" si="38"/>
        <v>6</v>
      </c>
      <c r="AK80">
        <f>step3_validation[[#This Row],[AI_TRU1]]</f>
        <v>7</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4</v>
      </c>
      <c r="AP80">
        <f>step3_validation[[#This Row],[AI_TRU2]]</f>
        <v>9</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2">
        <f t="shared" si="44"/>
        <v>2</v>
      </c>
      <c r="AU80">
        <f>step3_validation[[#This Row],[AI_TRU3]]</f>
        <v>7</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2</v>
      </c>
      <c r="AZ80">
        <f>step3_validation[[#This Row],[AI_TRU4]]</f>
        <v>8</v>
      </c>
      <c r="BA80" t="str">
        <f t="shared" si="48"/>
        <v>Support</v>
      </c>
      <c r="BB80">
        <f>survey_responses[[#This Row],[Tôi thấy Nhà nước đã giải thích rõ ràng, minh bạch về lý do và mục tiêu của việc sửa đổi thuế lần này. - HUMAN-TRU4]]</f>
        <v>5</v>
      </c>
      <c r="BC80" t="str">
        <f t="shared" si="49"/>
        <v>Neutral</v>
      </c>
      <c r="BD80" s="32">
        <f t="shared" si="50"/>
        <v>3</v>
      </c>
      <c r="BE80">
        <f>step3_validation[[#This Row],[AI_OUT1]]</f>
        <v>8</v>
      </c>
      <c r="BF80" t="str">
        <f t="shared" si="51"/>
        <v>Support</v>
      </c>
      <c r="BG80">
        <f>survey_responses[[#This Row],[Sau khi xem xét các quyền lợi và nghĩa vụ, bạn có ủng hộ và tuân thủ chính sách mới hiện nay? - HUMAN-OUT1]]</f>
        <v>7</v>
      </c>
      <c r="BH80" t="str">
        <f t="shared" si="52"/>
        <v>Neutral</v>
      </c>
      <c r="BI80" s="32">
        <f t="shared" si="53"/>
        <v>1</v>
      </c>
    </row>
    <row r="81" spans="1:61" x14ac:dyDescent="0.45">
      <c r="A81" s="30">
        <f>step3_validation[[#This Row],[Persona_ID]]</f>
        <v>80</v>
      </c>
      <c r="B81" s="31">
        <f>step3_validation[[#This Row],[Used_Seed]]</f>
        <v>121</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12.504096682004523</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8</v>
      </c>
      <c r="R81" t="str">
        <f t="shared" si="27"/>
        <v>Support</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0</v>
      </c>
      <c r="V81">
        <f>step3_validation[[#This Row],[AI_ENF2]]</f>
        <v>7</v>
      </c>
      <c r="W81" t="str">
        <f t="shared" si="30"/>
        <v>Neutral</v>
      </c>
      <c r="X81">
        <f>survey_responses[[#This Row],[Tôi tin rằng Nhà nước, cơ quan thuế có đủ khả năng và công nghệ để phát hiện, xử lý nghiêm các hành vi trốn thuế. - HUMAN-ENF2]]</f>
        <v>8</v>
      </c>
      <c r="Y81" t="str">
        <f t="shared" si="31"/>
        <v>Support</v>
      </c>
      <c r="Z81" s="32">
        <f t="shared" si="32"/>
        <v>1</v>
      </c>
      <c r="AA81">
        <f>step3_validation[[#This Row],[AI_FAC1]]</f>
        <v>9</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1</v>
      </c>
      <c r="AF81">
        <f>step3_validation[[#This Row],[AI_FAC2]]</f>
        <v>10</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2</v>
      </c>
      <c r="AK81">
        <f>step3_validation[[#This Row],[AI_TRU1]]</f>
        <v>9</v>
      </c>
      <c r="AL81" t="str">
        <f t="shared" si="39"/>
        <v>Support</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10</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2">
        <f t="shared" si="44"/>
        <v>2</v>
      </c>
      <c r="AU81">
        <f>step3_validation[[#This Row],[AI_TRU3]]</f>
        <v>9</v>
      </c>
      <c r="AV81" t="str">
        <f t="shared" si="45"/>
        <v>Support</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1</v>
      </c>
      <c r="AZ81">
        <f>step3_validation[[#This Row],[AI_TRU4]]</f>
        <v>7</v>
      </c>
      <c r="BA81" t="str">
        <f t="shared" si="48"/>
        <v>Neutral</v>
      </c>
      <c r="BB81">
        <f>survey_responses[[#This Row],[Tôi thấy Nhà nước đã giải thích rõ ràng, minh bạch về lý do và mục tiêu của việc sửa đổi thuế lần này. - HUMAN-TRU4]]</f>
        <v>8</v>
      </c>
      <c r="BC81" t="str">
        <f t="shared" si="49"/>
        <v>Support</v>
      </c>
      <c r="BD81" s="32">
        <f t="shared" si="50"/>
        <v>1</v>
      </c>
      <c r="BE81">
        <f>step3_validation[[#This Row],[AI_OUT1]]</f>
        <v>9</v>
      </c>
      <c r="BF81" t="str">
        <f t="shared" si="51"/>
        <v>Support</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122</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7</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0</v>
      </c>
      <c r="V82">
        <f>step3_validation[[#This Row],[AI_ENF2]]</f>
        <v>8</v>
      </c>
      <c r="W82" t="str">
        <f t="shared" si="30"/>
        <v>Support</v>
      </c>
      <c r="X82">
        <f>survey_responses[[#This Row],[Tôi tin rằng Nhà nước, cơ quan thuế có đủ khả năng và công nghệ để phát hiện, xử lý nghiêm các hành vi trốn thuế. - HUMAN-ENF2]]</f>
        <v>7</v>
      </c>
      <c r="Y82" t="str">
        <f t="shared" si="31"/>
        <v>Neutral</v>
      </c>
      <c r="Z82" s="32">
        <f t="shared" si="32"/>
        <v>1</v>
      </c>
      <c r="AA82">
        <f>step3_validation[[#This Row],[AI_FAC1]]</f>
        <v>6</v>
      </c>
      <c r="AB82" t="str">
        <f t="shared" si="33"/>
        <v>Neutral</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1</v>
      </c>
      <c r="AF82">
        <f>step3_validation[[#This Row],[AI_FAC2]]</f>
        <v>9</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4</v>
      </c>
      <c r="AK82">
        <f>step3_validation[[#This Row],[AI_TRU1]]</f>
        <v>7</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1</v>
      </c>
      <c r="AP82">
        <f>step3_validation[[#This Row],[AI_TRU2]]</f>
        <v>9</v>
      </c>
      <c r="AQ82" t="str">
        <f t="shared" si="42"/>
        <v>Support</v>
      </c>
      <c r="AR82">
        <f>survey_responses[[#This Row],[Tôi thấy mức thuế tôi phải đóng theo phương án mới là công bằng (người thu nhập như tôi đóng mức này là hợp lý). - HUMAN-TRU2]]</f>
        <v>5</v>
      </c>
      <c r="AS82" t="str">
        <f t="shared" si="43"/>
        <v>Neutral</v>
      </c>
      <c r="AT82" s="32">
        <f t="shared" si="44"/>
        <v>4</v>
      </c>
      <c r="AU82">
        <f>step3_validation[[#This Row],[AI_TRU3]]</f>
        <v>7</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1</v>
      </c>
      <c r="AZ82">
        <f>step3_validation[[#This Row],[AI_TRU4]]</f>
        <v>8</v>
      </c>
      <c r="BA82" t="str">
        <f t="shared" si="48"/>
        <v>Support</v>
      </c>
      <c r="BB82">
        <f>survey_responses[[#This Row],[Tôi thấy Nhà nước đã giải thích rõ ràng, minh bạch về lý do và mục tiêu của việc sửa đổi thuế lần này. - HUMAN-TRU4]]</f>
        <v>6</v>
      </c>
      <c r="BC82" t="str">
        <f t="shared" si="49"/>
        <v>Neutral</v>
      </c>
      <c r="BD82" s="32">
        <f t="shared" si="50"/>
        <v>2</v>
      </c>
      <c r="BE82">
        <f>step3_validation[[#This Row],[AI_OUT1]]</f>
        <v>9</v>
      </c>
      <c r="BF82" t="str">
        <f t="shared" si="51"/>
        <v>Support</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123</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13.587527020026418</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8</v>
      </c>
      <c r="R83" t="str">
        <f t="shared" si="27"/>
        <v>Support</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0</v>
      </c>
      <c r="V83">
        <f>step3_validation[[#This Row],[AI_ENF2]]</f>
        <v>7</v>
      </c>
      <c r="W83" t="str">
        <f t="shared" si="30"/>
        <v>Neutral</v>
      </c>
      <c r="X83">
        <f>survey_responses[[#This Row],[Tôi tin rằng Nhà nước, cơ quan thuế có đủ khả năng và công nghệ để phát hiện, xử lý nghiêm các hành vi trốn thuế. - HUMAN-ENF2]]</f>
        <v>9</v>
      </c>
      <c r="Y83" t="str">
        <f t="shared" si="31"/>
        <v>Support</v>
      </c>
      <c r="Z83" s="32">
        <f t="shared" si="32"/>
        <v>2</v>
      </c>
      <c r="AA83">
        <f>step3_validation[[#This Row],[AI_FAC1]]</f>
        <v>9</v>
      </c>
      <c r="AB83" t="str">
        <f t="shared" si="33"/>
        <v>Support</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4</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8</v>
      </c>
      <c r="AL83" t="str">
        <f t="shared" si="39"/>
        <v>Support</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3</v>
      </c>
      <c r="AP83">
        <f>step3_validation[[#This Row],[AI_TRU2]]</f>
        <v>7</v>
      </c>
      <c r="AQ83" t="str">
        <f t="shared" si="42"/>
        <v>Neutral</v>
      </c>
      <c r="AR83">
        <f>survey_responses[[#This Row],[Tôi thấy mức thuế tôi phải đóng theo phương án mới là công bằng (người thu nhập như tôi đóng mức này là hợp lý). - HUMAN-TRU2]]</f>
        <v>5</v>
      </c>
      <c r="AS83" t="str">
        <f t="shared" si="43"/>
        <v>Neutral</v>
      </c>
      <c r="AT83" s="32">
        <f t="shared" si="44"/>
        <v>2</v>
      </c>
      <c r="AU83">
        <f>step3_validation[[#This Row],[AI_TRU3]]</f>
        <v>8</v>
      </c>
      <c r="AV83" t="str">
        <f t="shared" si="45"/>
        <v>Support</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7</v>
      </c>
      <c r="AZ83">
        <f>step3_validation[[#This Row],[AI_TRU4]]</f>
        <v>7</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2</v>
      </c>
      <c r="BE83">
        <f>step3_validation[[#This Row],[AI_OUT1]]</f>
        <v>9</v>
      </c>
      <c r="BF83" t="str">
        <f t="shared" si="51"/>
        <v>Support</v>
      </c>
      <c r="BG83">
        <f>survey_responses[[#This Row],[Sau khi xem xét các quyền lợi và nghĩa vụ, bạn có ủng hộ và tuân thủ chính sách mới hiện nay? - HUMAN-OUT1]]</f>
        <v>5</v>
      </c>
      <c r="BH83" t="str">
        <f t="shared" si="52"/>
        <v>Neutral</v>
      </c>
      <c r="BI83" s="32">
        <f t="shared" si="53"/>
        <v>4</v>
      </c>
    </row>
    <row r="84" spans="1:61" x14ac:dyDescent="0.45">
      <c r="A84" s="30">
        <f>step3_validation[[#This Row],[Persona_ID]]</f>
        <v>83</v>
      </c>
      <c r="B84" s="31">
        <f>step3_validation[[#This Row],[Used_Seed]]</f>
        <v>124</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13.306810362881187</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8</v>
      </c>
      <c r="R84" t="str">
        <f t="shared" si="27"/>
        <v>Support</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2</v>
      </c>
      <c r="V84">
        <f>step3_validation[[#This Row],[AI_ENF2]]</f>
        <v>9</v>
      </c>
      <c r="W84" t="str">
        <f t="shared" si="30"/>
        <v>Support</v>
      </c>
      <c r="X84">
        <f>survey_responses[[#This Row],[Tôi tin rằng Nhà nước, cơ quan thuế có đủ khả năng và công nghệ để phát hiện, xử lý nghiêm các hành vi trốn thuế. - HUMAN-ENF2]]</f>
        <v>8</v>
      </c>
      <c r="Y84" t="str">
        <f t="shared" si="31"/>
        <v>Support</v>
      </c>
      <c r="Z84" s="32">
        <f t="shared" si="32"/>
        <v>1</v>
      </c>
      <c r="AA84">
        <f>step3_validation[[#This Row],[AI_FAC1]]</f>
        <v>8</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0</v>
      </c>
      <c r="AF84">
        <f>step3_validation[[#This Row],[AI_FAC2]]</f>
        <v>9</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2</v>
      </c>
      <c r="AK84">
        <f>step3_validation[[#This Row],[AI_TRU1]]</f>
        <v>9</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2</v>
      </c>
      <c r="AP84">
        <f>step3_validation[[#This Row],[AI_TRU2]]</f>
        <v>10</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2">
        <f t="shared" si="44"/>
        <v>4</v>
      </c>
      <c r="AU84">
        <f>step3_validation[[#This Row],[AI_TRU3]]</f>
        <v>9</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2</v>
      </c>
      <c r="AZ84">
        <f>step3_validation[[#This Row],[AI_TRU4]]</f>
        <v>8</v>
      </c>
      <c r="BA84" t="str">
        <f t="shared" si="48"/>
        <v>Support</v>
      </c>
      <c r="BB84">
        <f>survey_responses[[#This Row],[Tôi thấy Nhà nước đã giải thích rõ ràng, minh bạch về lý do và mục tiêu của việc sửa đổi thuế lần này. - HUMAN-TRU4]]</f>
        <v>6</v>
      </c>
      <c r="BC84" t="str">
        <f t="shared" si="49"/>
        <v>Neutral</v>
      </c>
      <c r="BD84" s="32">
        <f t="shared" si="50"/>
        <v>2</v>
      </c>
      <c r="BE84">
        <f>step3_validation[[#This Row],[AI_OUT1]]</f>
        <v>9</v>
      </c>
      <c r="BF84" t="str">
        <f t="shared" si="51"/>
        <v>Support</v>
      </c>
      <c r="BG84">
        <f>survey_responses[[#This Row],[Sau khi xem xét các quyền lợi và nghĩa vụ, bạn có ủng hộ và tuân thủ chính sách mới hiện nay? - HUMAN-OUT1]]</f>
        <v>8</v>
      </c>
      <c r="BH84" t="str">
        <f t="shared" si="52"/>
        <v>Support</v>
      </c>
      <c r="BI84" s="32">
        <f t="shared" si="53"/>
        <v>1</v>
      </c>
    </row>
    <row r="85" spans="1:61" x14ac:dyDescent="0.45">
      <c r="A85" s="30">
        <f>step3_validation[[#This Row],[Persona_ID]]</f>
        <v>84</v>
      </c>
      <c r="B85" s="31">
        <f>step3_validation[[#This Row],[Used_Seed]]</f>
        <v>125</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16.377129287211631</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8</v>
      </c>
      <c r="R85" t="str">
        <f t="shared" si="27"/>
        <v>Support</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2</v>
      </c>
      <c r="V85">
        <f>step3_validation[[#This Row],[AI_ENF2]]</f>
        <v>9</v>
      </c>
      <c r="W85" t="str">
        <f t="shared" si="30"/>
        <v>Support</v>
      </c>
      <c r="X85">
        <f>survey_responses[[#This Row],[Tôi tin rằng Nhà nước, cơ quan thuế có đủ khả năng và công nghệ để phát hiện, xử lý nghiêm các hành vi trốn thuế. - HUMAN-ENF2]]</f>
        <v>7</v>
      </c>
      <c r="Y85" t="str">
        <f t="shared" si="31"/>
        <v>Neutral</v>
      </c>
      <c r="Z85" s="32">
        <f t="shared" si="32"/>
        <v>2</v>
      </c>
      <c r="AA85">
        <f>step3_validation[[#This Row],[AI_FAC1]]</f>
        <v>9</v>
      </c>
      <c r="AB85" t="str">
        <f t="shared" si="33"/>
        <v>Support</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4</v>
      </c>
      <c r="AF85">
        <f>step3_validation[[#This Row],[AI_FAC2]]</f>
        <v>8</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2">
        <f t="shared" si="38"/>
        <v>3</v>
      </c>
      <c r="AK85">
        <f>step3_validation[[#This Row],[AI_TRU1]]</f>
        <v>7</v>
      </c>
      <c r="AL85" t="str">
        <f t="shared" si="39"/>
        <v>Neutral</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2</v>
      </c>
      <c r="AP85">
        <f>step3_validation[[#This Row],[AI_TRU2]]</f>
        <v>8</v>
      </c>
      <c r="AQ85" t="str">
        <f t="shared" si="42"/>
        <v>Support</v>
      </c>
      <c r="AR85">
        <f>survey_responses[[#This Row],[Tôi thấy mức thuế tôi phải đóng theo phương án mới là công bằng (người thu nhập như tôi đóng mức này là hợp lý). - HUMAN-TRU2]]</f>
        <v>5</v>
      </c>
      <c r="AS85" t="str">
        <f t="shared" si="43"/>
        <v>Neutral</v>
      </c>
      <c r="AT85" s="32">
        <f t="shared" si="44"/>
        <v>3</v>
      </c>
      <c r="AU85">
        <f>step3_validation[[#This Row],[AI_TRU3]]</f>
        <v>7</v>
      </c>
      <c r="AV85" t="str">
        <f t="shared" si="45"/>
        <v>Neutral</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2</v>
      </c>
      <c r="AZ85">
        <f>step3_validation[[#This Row],[AI_TRU4]]</f>
        <v>6</v>
      </c>
      <c r="BA85" t="str">
        <f t="shared" si="48"/>
        <v>Neutral</v>
      </c>
      <c r="BB85">
        <f>survey_responses[[#This Row],[Tôi thấy Nhà nước đã giải thích rõ ràng, minh bạch về lý do và mục tiêu của việc sửa đổi thuế lần này. - HUMAN-TRU4]]</f>
        <v>5</v>
      </c>
      <c r="BC85" t="str">
        <f t="shared" si="49"/>
        <v>Neutral</v>
      </c>
      <c r="BD85" s="32">
        <f t="shared" si="50"/>
        <v>1</v>
      </c>
      <c r="BE85">
        <f>step3_validation[[#This Row],[AI_OUT1]]</f>
        <v>9</v>
      </c>
      <c r="BF85" t="str">
        <f t="shared" si="51"/>
        <v>Support</v>
      </c>
      <c r="BG85">
        <f>survey_responses[[#This Row],[Sau khi xem xét các quyền lợi và nghĩa vụ, bạn có ủng hộ và tuân thủ chính sách mới hiện nay? - HUMAN-OUT1]]</f>
        <v>5</v>
      </c>
      <c r="BH85" t="str">
        <f t="shared" si="52"/>
        <v>Neutral</v>
      </c>
      <c r="BI85" s="32">
        <f t="shared" si="53"/>
        <v>4</v>
      </c>
    </row>
    <row r="86" spans="1:61" x14ac:dyDescent="0.45">
      <c r="A86" s="30">
        <f>step3_validation[[#This Row],[Persona_ID]]</f>
        <v>85</v>
      </c>
      <c r="B86" s="31">
        <f>step3_validation[[#This Row],[Used_Seed]]</f>
        <v>126</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14.053648939957267</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2</v>
      </c>
      <c r="V86">
        <f>step3_validation[[#This Row],[AI_ENF2]]</f>
        <v>8</v>
      </c>
      <c r="W86" t="str">
        <f t="shared" si="30"/>
        <v>Support</v>
      </c>
      <c r="X86">
        <f>survey_responses[[#This Row],[Tôi tin rằng Nhà nước, cơ quan thuế có đủ khả năng và công nghệ để phát hiện, xử lý nghiêm các hành vi trốn thuế. - HUMAN-ENF2]]</f>
        <v>9</v>
      </c>
      <c r="Y86" t="str">
        <f t="shared" si="31"/>
        <v>Support</v>
      </c>
      <c r="Z86" s="32">
        <f t="shared" si="32"/>
        <v>1</v>
      </c>
      <c r="AA86">
        <f>step3_validation[[#This Row],[AI_FAC1]]</f>
        <v>6</v>
      </c>
      <c r="AB86" t="str">
        <f t="shared" si="33"/>
        <v>Neutral</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2</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0</v>
      </c>
      <c r="AK86">
        <f>step3_validation[[#This Row],[AI_TRU1]]</f>
        <v>7</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2</v>
      </c>
      <c r="AP86">
        <f>step3_validation[[#This Row],[AI_TRU2]]</f>
        <v>9</v>
      </c>
      <c r="AQ86" t="str">
        <f t="shared" si="42"/>
        <v>Support</v>
      </c>
      <c r="AR86">
        <f>survey_responses[[#This Row],[Tôi thấy mức thuế tôi phải đóng theo phương án mới là công bằng (người thu nhập như tôi đóng mức này là hợp lý). - HUMAN-TRU2]]</f>
        <v>9</v>
      </c>
      <c r="AS86" t="str">
        <f t="shared" si="43"/>
        <v>Support</v>
      </c>
      <c r="AT86" s="32">
        <f t="shared" si="44"/>
        <v>0</v>
      </c>
      <c r="AU86">
        <f>step3_validation[[#This Row],[AI_TRU3]]</f>
        <v>7</v>
      </c>
      <c r="AV86" t="str">
        <f t="shared" si="45"/>
        <v>Neutral</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0</v>
      </c>
      <c r="AZ86">
        <f>step3_validation[[#This Row],[AI_TRU4]]</f>
        <v>5</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3</v>
      </c>
      <c r="BE86">
        <f>step3_validation[[#This Row],[AI_OUT1]]</f>
        <v>8</v>
      </c>
      <c r="BF86" t="str">
        <f t="shared" si="51"/>
        <v>Support</v>
      </c>
      <c r="BG86">
        <f>survey_responses[[#This Row],[Sau khi xem xét các quyền lợi và nghĩa vụ, bạn có ủng hộ và tuân thủ chính sách mới hiện nay? - HUMAN-OUT1]]</f>
        <v>8</v>
      </c>
      <c r="BH86" t="str">
        <f t="shared" si="52"/>
        <v>Support</v>
      </c>
      <c r="BI86" s="32">
        <f t="shared" si="53"/>
        <v>0</v>
      </c>
    </row>
    <row r="87" spans="1:61" x14ac:dyDescent="0.45">
      <c r="A87" s="30">
        <f>step3_validation[[#This Row],[Persona_ID]]</f>
        <v>86</v>
      </c>
      <c r="B87" s="31">
        <f>step3_validation[[#This Row],[Used_Seed]]</f>
        <v>127</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16.88622586933084</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7</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2</v>
      </c>
      <c r="V87">
        <f>step3_validation[[#This Row],[AI_ENF2]]</f>
        <v>7</v>
      </c>
      <c r="W87" t="str">
        <f t="shared" si="30"/>
        <v>Neutral</v>
      </c>
      <c r="X87">
        <f>survey_responses[[#This Row],[Tôi tin rằng Nhà nước, cơ quan thuế có đủ khả năng và công nghệ để phát hiện, xử lý nghiêm các hành vi trốn thuế. - HUMAN-ENF2]]</f>
        <v>5</v>
      </c>
      <c r="Y87" t="str">
        <f t="shared" si="31"/>
        <v>Neutral</v>
      </c>
      <c r="Z87" s="32">
        <f t="shared" si="32"/>
        <v>2</v>
      </c>
      <c r="AA87">
        <f>step3_validation[[#This Row],[AI_FAC1]]</f>
        <v>9</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1</v>
      </c>
      <c r="AF87">
        <f>step3_validation[[#This Row],[AI_FAC2]]</f>
        <v>9</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2">
        <f t="shared" si="38"/>
        <v>5</v>
      </c>
      <c r="AK87">
        <f>step3_validation[[#This Row],[AI_TRU1]]</f>
        <v>6</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2</v>
      </c>
      <c r="AP87">
        <f>step3_validation[[#This Row],[AI_TRU2]]</f>
        <v>8</v>
      </c>
      <c r="AQ87" t="str">
        <f t="shared" si="42"/>
        <v>Support</v>
      </c>
      <c r="AR87">
        <f>survey_responses[[#This Row],[Tôi thấy mức thuế tôi phải đóng theo phương án mới là công bằng (người thu nhập như tôi đóng mức này là hợp lý). - HUMAN-TRU2]]</f>
        <v>5</v>
      </c>
      <c r="AS87" t="str">
        <f t="shared" si="43"/>
        <v>Neutral</v>
      </c>
      <c r="AT87" s="32">
        <f t="shared" si="44"/>
        <v>3</v>
      </c>
      <c r="AU87">
        <f>step3_validation[[#This Row],[AI_TRU3]]</f>
        <v>5</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0</v>
      </c>
      <c r="AZ87">
        <f>step3_validation[[#This Row],[AI_TRU4]]</f>
        <v>7</v>
      </c>
      <c r="BA87" t="str">
        <f t="shared" si="48"/>
        <v>Neutral</v>
      </c>
      <c r="BB87">
        <f>survey_responses[[#This Row],[Tôi thấy Nhà nước đã giải thích rõ ràng, minh bạch về lý do và mục tiêu của việc sửa đổi thuế lần này. - HUMAN-TRU4]]</f>
        <v>8</v>
      </c>
      <c r="BC87" t="str">
        <f t="shared" si="49"/>
        <v>Support</v>
      </c>
      <c r="BD87" s="32">
        <f t="shared" si="50"/>
        <v>1</v>
      </c>
      <c r="BE87">
        <f>step3_validation[[#This Row],[AI_OUT1]]</f>
        <v>9</v>
      </c>
      <c r="BF87" t="str">
        <f t="shared" si="51"/>
        <v>Support</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128</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13.141362128046312</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6</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2">
        <f t="shared" si="32"/>
        <v>3</v>
      </c>
      <c r="AA88">
        <f>step3_validation[[#This Row],[AI_FAC1]]</f>
        <v>8</v>
      </c>
      <c r="AB88" t="str">
        <f t="shared" si="33"/>
        <v>Support</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1</v>
      </c>
      <c r="AF88">
        <f>step3_validation[[#This Row],[AI_FAC2]]</f>
        <v>9</v>
      </c>
      <c r="AG88" t="str">
        <f t="shared" si="36"/>
        <v>Support</v>
      </c>
      <c r="AH88">
        <f>survey_responses[[#This Row],[So với trước đây, tôi thấy cách tính thuế và các bậc thuế trong phương án mới đơn giản, dễ hiểu và dễ thực hiện hơn. - HUMAN-FAC2]]</f>
        <v>9</v>
      </c>
      <c r="AI88" t="str">
        <f t="shared" si="37"/>
        <v>Support</v>
      </c>
      <c r="AJ88" s="32">
        <f t="shared" si="38"/>
        <v>0</v>
      </c>
      <c r="AK88">
        <f>step3_validation[[#This Row],[AI_TRU1]]</f>
        <v>7</v>
      </c>
      <c r="AL88" t="str">
        <f t="shared" si="39"/>
        <v>Neutral</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2</v>
      </c>
      <c r="AP88">
        <f>step3_validation[[#This Row],[AI_TRU2]]</f>
        <v>8</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2">
        <f t="shared" si="44"/>
        <v>1</v>
      </c>
      <c r="AU88">
        <f>step3_validation[[#This Row],[AI_TRU3]]</f>
        <v>7</v>
      </c>
      <c r="AV88" t="str">
        <f t="shared" si="45"/>
        <v>Neutral</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3</v>
      </c>
      <c r="AZ88">
        <f>step3_validation[[#This Row],[AI_TRU4]]</f>
        <v>6</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2">
        <f t="shared" si="50"/>
        <v>3</v>
      </c>
      <c r="BE88">
        <f>step3_validation[[#This Row],[AI_OUT1]]</f>
        <v>9</v>
      </c>
      <c r="BF88" t="str">
        <f t="shared" si="51"/>
        <v>Support</v>
      </c>
      <c r="BG88">
        <f>survey_responses[[#This Row],[Sau khi xem xét các quyền lợi và nghĩa vụ, bạn có ủng hộ và tuân thủ chính sách mới hiện nay? - HUMAN-OUT1]]</f>
        <v>10</v>
      </c>
      <c r="BH88" t="str">
        <f t="shared" si="52"/>
        <v>Support</v>
      </c>
      <c r="BI88" s="32">
        <f t="shared" si="53"/>
        <v>1</v>
      </c>
    </row>
    <row r="89" spans="1:61" x14ac:dyDescent="0.45">
      <c r="A89" s="30">
        <f>step3_validation[[#This Row],[Persona_ID]]</f>
        <v>88</v>
      </c>
      <c r="B89" s="31">
        <f>step3_validation[[#This Row],[Used_Seed]]</f>
        <v>129</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6</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4</v>
      </c>
      <c r="V89">
        <f>step3_validation[[#This Row],[AI_ENF2]]</f>
        <v>5</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2">
        <f t="shared" si="32"/>
        <v>5</v>
      </c>
      <c r="AA89">
        <f>step3_validation[[#This Row],[AI_FAC1]]</f>
        <v>8</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2</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1</v>
      </c>
      <c r="AK89">
        <f>step3_validation[[#This Row],[AI_TRU1]]</f>
        <v>7</v>
      </c>
      <c r="AL89" t="str">
        <f t="shared" si="39"/>
        <v>Neutral</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3</v>
      </c>
      <c r="AP89">
        <f>step3_validation[[#This Row],[AI_TRU2]]</f>
        <v>9</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2">
        <f t="shared" si="44"/>
        <v>1</v>
      </c>
      <c r="AU89">
        <f>step3_validation[[#This Row],[AI_TRU3]]</f>
        <v>8</v>
      </c>
      <c r="AV89" t="str">
        <f t="shared" si="45"/>
        <v>Support</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2</v>
      </c>
      <c r="AZ89">
        <f>step3_validation[[#This Row],[AI_TRU4]]</f>
        <v>7</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2">
        <f t="shared" si="50"/>
        <v>3</v>
      </c>
      <c r="BE89">
        <f>step3_validation[[#This Row],[AI_OUT1]]</f>
        <v>8</v>
      </c>
      <c r="BF89" t="str">
        <f t="shared" si="51"/>
        <v>Support</v>
      </c>
      <c r="BG89">
        <f>survey_responses[[#This Row],[Sau khi xem xét các quyền lợi và nghĩa vụ, bạn có ủng hộ và tuân thủ chính sách mới hiện nay? - HUMAN-OUT1]]</f>
        <v>10</v>
      </c>
      <c r="BH89" t="str">
        <f t="shared" si="52"/>
        <v>Support</v>
      </c>
      <c r="BI89" s="32">
        <f t="shared" si="53"/>
        <v>2</v>
      </c>
    </row>
    <row r="90" spans="1:61" x14ac:dyDescent="0.45">
      <c r="A90" s="30">
        <f>step3_validation[[#This Row],[Persona_ID]]</f>
        <v>89</v>
      </c>
      <c r="B90" s="31">
        <f>step3_validation[[#This Row],[Used_Seed]]</f>
        <v>130</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3</v>
      </c>
      <c r="V90">
        <f>step3_validation[[#This Row],[AI_ENF2]]</f>
        <v>6</v>
      </c>
      <c r="W90" t="str">
        <f t="shared" si="30"/>
        <v>Neutral</v>
      </c>
      <c r="X90">
        <f>survey_responses[[#This Row],[Tôi tin rằng Nhà nước, cơ quan thuế có đủ khả năng và công nghệ để phát hiện, xử lý nghiêm các hành vi trốn thuế. - HUMAN-ENF2]]</f>
        <v>9</v>
      </c>
      <c r="Y90" t="str">
        <f t="shared" si="31"/>
        <v>Support</v>
      </c>
      <c r="Z90" s="32">
        <f t="shared" si="32"/>
        <v>3</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1</v>
      </c>
      <c r="AF90">
        <f>step3_validation[[#This Row],[AI_FAC2]]</f>
        <v>9</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0</v>
      </c>
      <c r="AK90">
        <f>step3_validation[[#This Row],[AI_TRU1]]</f>
        <v>8</v>
      </c>
      <c r="AL90" t="str">
        <f t="shared" si="39"/>
        <v>Support</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2</v>
      </c>
      <c r="AP90">
        <f>step3_validation[[#This Row],[AI_TRU2]]</f>
        <v>9</v>
      </c>
      <c r="AQ90" t="str">
        <f t="shared" si="42"/>
        <v>Support</v>
      </c>
      <c r="AR90">
        <f>survey_responses[[#This Row],[Tôi thấy mức thuế tôi phải đóng theo phương án mới là công bằng (người thu nhập như tôi đóng mức này là hợp lý). - HUMAN-TRU2]]</f>
        <v>9</v>
      </c>
      <c r="AS90" t="str">
        <f t="shared" si="43"/>
        <v>Support</v>
      </c>
      <c r="AT90" s="32">
        <f t="shared" si="44"/>
        <v>0</v>
      </c>
      <c r="AU90">
        <f>step3_validation[[#This Row],[AI_TRU3]]</f>
        <v>7</v>
      </c>
      <c r="AV90" t="str">
        <f t="shared" si="45"/>
        <v>Neutral</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2</v>
      </c>
      <c r="AZ90">
        <f>step3_validation[[#This Row],[AI_TRU4]]</f>
        <v>6</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2</v>
      </c>
      <c r="BE90">
        <f>step3_validation[[#This Row],[AI_OUT1]]</f>
        <v>8</v>
      </c>
      <c r="BF90" t="str">
        <f t="shared" si="51"/>
        <v>Support</v>
      </c>
      <c r="BG90">
        <f>survey_responses[[#This Row],[Sau khi xem xét các quyền lợi và nghĩa vụ, bạn có ủng hộ và tuân thủ chính sách mới hiện nay? - HUMAN-OUT1]]</f>
        <v>9</v>
      </c>
      <c r="BH90" t="str">
        <f t="shared" si="52"/>
        <v>Support</v>
      </c>
      <c r="BI90" s="32">
        <f t="shared" si="53"/>
        <v>1</v>
      </c>
    </row>
    <row r="91" spans="1:61" x14ac:dyDescent="0.45">
      <c r="A91" s="30">
        <f>step3_validation[[#This Row],[Persona_ID]]</f>
        <v>90</v>
      </c>
      <c r="B91" s="31">
        <f>step3_validation[[#This Row],[Used_Seed]]</f>
        <v>131</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8</v>
      </c>
      <c r="R91" t="str">
        <f t="shared" si="27"/>
        <v>Support</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2</v>
      </c>
      <c r="V91">
        <f>step3_validation[[#This Row],[AI_ENF2]]</f>
        <v>9</v>
      </c>
      <c r="W91" t="str">
        <f t="shared" si="30"/>
        <v>Support</v>
      </c>
      <c r="X91">
        <f>survey_responses[[#This Row],[Tôi tin rằng Nhà nước, cơ quan thuế có đủ khả năng và công nghệ để phát hiện, xử lý nghiêm các hành vi trốn thuế. - HUMAN-ENF2]]</f>
        <v>10</v>
      </c>
      <c r="Y91" t="str">
        <f t="shared" si="31"/>
        <v>Support</v>
      </c>
      <c r="Z91" s="32">
        <f t="shared" si="32"/>
        <v>1</v>
      </c>
      <c r="AA91">
        <f>step3_validation[[#This Row],[AI_FAC1]]</f>
        <v>9</v>
      </c>
      <c r="AB91" t="str">
        <f t="shared" si="33"/>
        <v>Support</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1</v>
      </c>
      <c r="AF91">
        <f>step3_validation[[#This Row],[AI_FAC2]]</f>
        <v>8</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2">
        <f t="shared" si="38"/>
        <v>1</v>
      </c>
      <c r="AK91">
        <f>step3_validation[[#This Row],[AI_TRU1]]</f>
        <v>9</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0</v>
      </c>
      <c r="AP91">
        <f>step3_validation[[#This Row],[AI_TRU2]]</f>
        <v>9</v>
      </c>
      <c r="AQ91" t="str">
        <f t="shared" si="42"/>
        <v>Support</v>
      </c>
      <c r="AR91">
        <f>survey_responses[[#This Row],[Tôi thấy mức thuế tôi phải đóng theo phương án mới là công bằng (người thu nhập như tôi đóng mức này là hợp lý). - HUMAN-TRU2]]</f>
        <v>9</v>
      </c>
      <c r="AS91" t="str">
        <f t="shared" si="43"/>
        <v>Support</v>
      </c>
      <c r="AT91" s="32">
        <f t="shared" si="44"/>
        <v>0</v>
      </c>
      <c r="AU91">
        <f>step3_validation[[#This Row],[AI_TRU3]]</f>
        <v>9</v>
      </c>
      <c r="AV91" t="str">
        <f t="shared" si="45"/>
        <v>Support</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1</v>
      </c>
      <c r="AZ91">
        <f>step3_validation[[#This Row],[AI_TRU4]]</f>
        <v>8</v>
      </c>
      <c r="BA91" t="str">
        <f t="shared" si="48"/>
        <v>Support</v>
      </c>
      <c r="BB91">
        <f>survey_responses[[#This Row],[Tôi thấy Nhà nước đã giải thích rõ ràng, minh bạch về lý do và mục tiêu của việc sửa đổi thuế lần này. - HUMAN-TRU4]]</f>
        <v>8</v>
      </c>
      <c r="BC91" t="str">
        <f t="shared" si="49"/>
        <v>Support</v>
      </c>
      <c r="BD91" s="32">
        <f t="shared" si="50"/>
        <v>0</v>
      </c>
      <c r="BE91">
        <f>step3_validation[[#This Row],[AI_OUT1]]</f>
        <v>9</v>
      </c>
      <c r="BF91" t="str">
        <f t="shared" si="51"/>
        <v>Support</v>
      </c>
      <c r="BG91">
        <f>survey_responses[[#This Row],[Sau khi xem xét các quyền lợi và nghĩa vụ, bạn có ủng hộ và tuân thủ chính sách mới hiện nay? - HUMAN-OUT1]]</f>
        <v>9</v>
      </c>
      <c r="BH91" t="str">
        <f t="shared" si="52"/>
        <v>Support</v>
      </c>
      <c r="BI91" s="32">
        <f t="shared" si="53"/>
        <v>0</v>
      </c>
    </row>
    <row r="92" spans="1:61" x14ac:dyDescent="0.45">
      <c r="A92" s="30">
        <f>step3_validation[[#This Row],[Persona_ID]]</f>
        <v>91</v>
      </c>
      <c r="B92" s="31">
        <f>step3_validation[[#This Row],[Used_Seed]]</f>
        <v>132</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6</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4</v>
      </c>
      <c r="V92">
        <f>step3_validation[[#This Row],[AI_ENF2]]</f>
        <v>8</v>
      </c>
      <c r="W92" t="str">
        <f t="shared" si="30"/>
        <v>Support</v>
      </c>
      <c r="X92">
        <f>survey_responses[[#This Row],[Tôi tin rằng Nhà nước, cơ quan thuế có đủ khả năng và công nghệ để phát hiện, xử lý nghiêm các hành vi trốn thuế. - HUMAN-ENF2]]</f>
        <v>9</v>
      </c>
      <c r="Y92" t="str">
        <f t="shared" si="31"/>
        <v>Support</v>
      </c>
      <c r="Z92" s="32">
        <f t="shared" si="32"/>
        <v>1</v>
      </c>
      <c r="AA92">
        <f>step3_validation[[#This Row],[AI_FAC1]]</f>
        <v>9</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0</v>
      </c>
      <c r="AF92">
        <f>step3_validation[[#This Row],[AI_FAC2]]</f>
        <v>9</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0</v>
      </c>
      <c r="AK92">
        <f>step3_validation[[#This Row],[AI_TRU1]]</f>
        <v>7</v>
      </c>
      <c r="AL92" t="str">
        <f t="shared" si="39"/>
        <v>Neutral</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3</v>
      </c>
      <c r="AP92">
        <f>step3_validation[[#This Row],[AI_TRU2]]</f>
        <v>8</v>
      </c>
      <c r="AQ92" t="str">
        <f t="shared" si="42"/>
        <v>Support</v>
      </c>
      <c r="AR92">
        <f>survey_responses[[#This Row],[Tôi thấy mức thuế tôi phải đóng theo phương án mới là công bằng (người thu nhập như tôi đóng mức này là hợp lý). - HUMAN-TRU2]]</f>
        <v>9</v>
      </c>
      <c r="AS92" t="str">
        <f t="shared" si="43"/>
        <v>Support</v>
      </c>
      <c r="AT92" s="32">
        <f t="shared" si="44"/>
        <v>1</v>
      </c>
      <c r="AU92">
        <f>step3_validation[[#This Row],[AI_TRU3]]</f>
        <v>7</v>
      </c>
      <c r="AV92" t="str">
        <f t="shared" si="45"/>
        <v>Neutral</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1</v>
      </c>
      <c r="AZ92">
        <f>step3_validation[[#This Row],[AI_TRU4]]</f>
        <v>6</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2</v>
      </c>
      <c r="BE92">
        <f>step3_validation[[#This Row],[AI_OUT1]]</f>
        <v>7</v>
      </c>
      <c r="BF92" t="str">
        <f t="shared" si="51"/>
        <v>Neutral</v>
      </c>
      <c r="BG92">
        <f>survey_responses[[#This Row],[Sau khi xem xét các quyền lợi và nghĩa vụ, bạn có ủng hộ và tuân thủ chính sách mới hiện nay? - HUMAN-OUT1]]</f>
        <v>10</v>
      </c>
      <c r="BH92" t="str">
        <f t="shared" si="52"/>
        <v>Support</v>
      </c>
      <c r="BI92" s="32">
        <f t="shared" si="53"/>
        <v>3</v>
      </c>
    </row>
    <row r="93" spans="1:61" x14ac:dyDescent="0.45">
      <c r="A93" s="30">
        <f>step3_validation[[#This Row],[Persona_ID]]</f>
        <v>92</v>
      </c>
      <c r="B93" s="31">
        <f>step3_validation[[#This Row],[Used_Seed]]</f>
        <v>133</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3</v>
      </c>
      <c r="V93">
        <f>step3_validation[[#This Row],[AI_ENF2]]</f>
        <v>6</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4</v>
      </c>
      <c r="AA93">
        <f>step3_validation[[#This Row],[AI_FAC1]]</f>
        <v>9</v>
      </c>
      <c r="AB93" t="str">
        <f t="shared" si="33"/>
        <v>Support</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1</v>
      </c>
      <c r="AF93">
        <f>step3_validation[[#This Row],[AI_FAC2]]</f>
        <v>8</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2">
        <f t="shared" si="38"/>
        <v>2</v>
      </c>
      <c r="AK93">
        <f>step3_validation[[#This Row],[AI_TRU1]]</f>
        <v>9</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1</v>
      </c>
      <c r="AP93">
        <f>step3_validation[[#This Row],[AI_TRU2]]</f>
        <v>8</v>
      </c>
      <c r="AQ93" t="str">
        <f t="shared" si="42"/>
        <v>Support</v>
      </c>
      <c r="AR93">
        <f>survey_responses[[#This Row],[Tôi thấy mức thuế tôi phải đóng theo phương án mới là công bằng (người thu nhập như tôi đóng mức này là hợp lý). - HUMAN-TRU2]]</f>
        <v>1</v>
      </c>
      <c r="AS93" t="str">
        <f t="shared" si="43"/>
        <v>Oppose</v>
      </c>
      <c r="AT93" s="32">
        <f t="shared" si="44"/>
        <v>7</v>
      </c>
      <c r="AU93">
        <f>step3_validation[[#This Row],[AI_TRU3]]</f>
        <v>9</v>
      </c>
      <c r="AV93" t="str">
        <f t="shared" si="45"/>
        <v>Support</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1</v>
      </c>
      <c r="AZ93">
        <f>step3_validation[[#This Row],[AI_TRU4]]</f>
        <v>8</v>
      </c>
      <c r="BA93" t="str">
        <f t="shared" si="48"/>
        <v>Support</v>
      </c>
      <c r="BB93">
        <f>survey_responses[[#This Row],[Tôi thấy Nhà nước đã giải thích rõ ràng, minh bạch về lý do và mục tiêu của việc sửa đổi thuế lần này. - HUMAN-TRU4]]</f>
        <v>10</v>
      </c>
      <c r="BC93" t="str">
        <f t="shared" si="49"/>
        <v>Support</v>
      </c>
      <c r="BD93" s="32">
        <f t="shared" si="50"/>
        <v>2</v>
      </c>
      <c r="BE93">
        <f>step3_validation[[#This Row],[AI_OUT1]]</f>
        <v>9</v>
      </c>
      <c r="BF93" t="str">
        <f t="shared" si="51"/>
        <v>Support</v>
      </c>
      <c r="BG93">
        <f>survey_responses[[#This Row],[Sau khi xem xét các quyền lợi và nghĩa vụ, bạn có ủng hộ và tuân thủ chính sách mới hiện nay? - HUMAN-OUT1]]</f>
        <v>10</v>
      </c>
      <c r="BH93" t="str">
        <f t="shared" si="52"/>
        <v>Support</v>
      </c>
      <c r="BI93" s="32">
        <f t="shared" si="53"/>
        <v>1</v>
      </c>
    </row>
    <row r="94" spans="1:61" x14ac:dyDescent="0.45">
      <c r="A94" s="30">
        <f>step3_validation[[#This Row],[Persona_ID]]</f>
        <v>93</v>
      </c>
      <c r="B94" s="31">
        <f>step3_validation[[#This Row],[Used_Seed]]</f>
        <v>134</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41.656972505143862</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1</v>
      </c>
      <c r="V94">
        <f>step3_validation[[#This Row],[AI_ENF2]]</f>
        <v>6</v>
      </c>
      <c r="W94" t="str">
        <f t="shared" si="30"/>
        <v>Neutral</v>
      </c>
      <c r="X94">
        <f>survey_responses[[#This Row],[Tôi tin rằng Nhà nước, cơ quan thuế có đủ khả năng và công nghệ để phát hiện, xử lý nghiêm các hành vi trốn thuế. - HUMAN-ENF2]]</f>
        <v>8</v>
      </c>
      <c r="Y94" t="str">
        <f t="shared" si="31"/>
        <v>Support</v>
      </c>
      <c r="Z94" s="32">
        <f t="shared" si="32"/>
        <v>2</v>
      </c>
      <c r="AA94">
        <f>step3_validation[[#This Row],[AI_FAC1]]</f>
        <v>7</v>
      </c>
      <c r="AB94" t="str">
        <f t="shared" si="33"/>
        <v>Neutral</v>
      </c>
      <c r="AC94">
        <f>survey_responses[[#This Row],[Các thủ tục khai báo thuế VÀ/HOẶC quy trình làm việc với cơ quan thuế đơn giản, tiện lợi, nhanh chóng hơn so với trước đây. - HUMAN-FAC1]]</f>
        <v>4</v>
      </c>
      <c r="AD94" t="str">
        <f t="shared" si="34"/>
        <v>Oppose</v>
      </c>
      <c r="AE94" s="32">
        <f t="shared" si="35"/>
        <v>3</v>
      </c>
      <c r="AF94">
        <f>step3_validation[[#This Row],[AI_FAC2]]</f>
        <v>8</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1</v>
      </c>
      <c r="AK94">
        <f>step3_validation[[#This Row],[AI_TRU1]]</f>
        <v>7</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0</v>
      </c>
      <c r="AP94">
        <f>step3_validation[[#This Row],[AI_TRU2]]</f>
        <v>8</v>
      </c>
      <c r="AQ94" t="str">
        <f t="shared" si="42"/>
        <v>Support</v>
      </c>
      <c r="AR94">
        <f>survey_responses[[#This Row],[Tôi thấy mức thuế tôi phải đóng theo phương án mới là công bằng (người thu nhập như tôi đóng mức này là hợp lý). - HUMAN-TRU2]]</f>
        <v>5</v>
      </c>
      <c r="AS94" t="str">
        <f t="shared" si="43"/>
        <v>Neutral</v>
      </c>
      <c r="AT94" s="32">
        <f t="shared" si="44"/>
        <v>3</v>
      </c>
      <c r="AU94">
        <f>step3_validation[[#This Row],[AI_TRU3]]</f>
        <v>7</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0</v>
      </c>
      <c r="AZ94">
        <f>step3_validation[[#This Row],[AI_TRU4]]</f>
        <v>8</v>
      </c>
      <c r="BA94" t="str">
        <f t="shared" si="48"/>
        <v>Support</v>
      </c>
      <c r="BB94">
        <f>survey_responses[[#This Row],[Tôi thấy Nhà nước đã giải thích rõ ràng, minh bạch về lý do và mục tiêu của việc sửa đổi thuế lần này. - HUMAN-TRU4]]</f>
        <v>8</v>
      </c>
      <c r="BC94" t="str">
        <f t="shared" si="49"/>
        <v>Support</v>
      </c>
      <c r="BD94" s="32">
        <f t="shared" si="50"/>
        <v>0</v>
      </c>
      <c r="BE94">
        <f>step3_validation[[#This Row],[AI_OUT1]]</f>
        <v>9</v>
      </c>
      <c r="BF94" t="str">
        <f t="shared" si="51"/>
        <v>Support</v>
      </c>
      <c r="BG94">
        <f>survey_responses[[#This Row],[Sau khi xem xét các quyền lợi và nghĩa vụ, bạn có ủng hộ và tuân thủ chính sách mới hiện nay? - HUMAN-OUT1]]</f>
        <v>10</v>
      </c>
      <c r="BH94" t="str">
        <f t="shared" si="52"/>
        <v>Support</v>
      </c>
      <c r="BI94" s="32">
        <f t="shared" si="53"/>
        <v>1</v>
      </c>
    </row>
    <row r="95" spans="1:61" x14ac:dyDescent="0.45">
      <c r="A95" s="30">
        <f>step3_validation[[#This Row],[Persona_ID]]</f>
        <v>94</v>
      </c>
      <c r="B95" s="31">
        <f>step3_validation[[#This Row],[Used_Seed]]</f>
        <v>135</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3</v>
      </c>
      <c r="V95">
        <f>step3_validation[[#This Row],[AI_ENF2]]</f>
        <v>7</v>
      </c>
      <c r="W95" t="str">
        <f t="shared" si="30"/>
        <v>Neutral</v>
      </c>
      <c r="X95">
        <f>survey_responses[[#This Row],[Tôi tin rằng Nhà nước, cơ quan thuế có đủ khả năng và công nghệ để phát hiện, xử lý nghiêm các hành vi trốn thuế. - HUMAN-ENF2]]</f>
        <v>7</v>
      </c>
      <c r="Y95" t="str">
        <f t="shared" si="31"/>
        <v>Neutral</v>
      </c>
      <c r="Z95" s="32">
        <f t="shared" si="32"/>
        <v>0</v>
      </c>
      <c r="AA95">
        <f>step3_validation[[#This Row],[AI_FAC1]]</f>
        <v>9</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4</v>
      </c>
      <c r="AF95">
        <f>step3_validation[[#This Row],[AI_FAC2]]</f>
        <v>8</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1</v>
      </c>
      <c r="AK95">
        <f>step3_validation[[#This Row],[AI_TRU1]]</f>
        <v>7</v>
      </c>
      <c r="AL95" t="str">
        <f t="shared" si="39"/>
        <v>Neutral</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2</v>
      </c>
      <c r="AP95">
        <f>step3_validation[[#This Row],[AI_TRU2]]</f>
        <v>9</v>
      </c>
      <c r="AQ95" t="str">
        <f t="shared" si="42"/>
        <v>Support</v>
      </c>
      <c r="AR95">
        <f>survey_responses[[#This Row],[Tôi thấy mức thuế tôi phải đóng theo phương án mới là công bằng (người thu nhập như tôi đóng mức này là hợp lý). - HUMAN-TRU2]]</f>
        <v>8</v>
      </c>
      <c r="AS95" t="str">
        <f t="shared" si="43"/>
        <v>Support</v>
      </c>
      <c r="AT95" s="32">
        <f t="shared" si="44"/>
        <v>1</v>
      </c>
      <c r="AU95">
        <f>step3_validation[[#This Row],[AI_TRU3]]</f>
        <v>6</v>
      </c>
      <c r="AV95" t="str">
        <f t="shared" si="45"/>
        <v>Neutral</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1</v>
      </c>
      <c r="AZ95">
        <f>step3_validation[[#This Row],[AI_TRU4]]</f>
        <v>8</v>
      </c>
      <c r="BA95" t="str">
        <f t="shared" si="48"/>
        <v>Support</v>
      </c>
      <c r="BB95">
        <f>survey_responses[[#This Row],[Tôi thấy Nhà nước đã giải thích rõ ràng, minh bạch về lý do và mục tiêu của việc sửa đổi thuế lần này. - HUMAN-TRU4]]</f>
        <v>5</v>
      </c>
      <c r="BC95" t="str">
        <f t="shared" si="49"/>
        <v>Neutral</v>
      </c>
      <c r="BD95" s="32">
        <f t="shared" si="50"/>
        <v>3</v>
      </c>
      <c r="BE95">
        <f>step3_validation[[#This Row],[AI_OUT1]]</f>
        <v>9</v>
      </c>
      <c r="BF95" t="str">
        <f t="shared" si="51"/>
        <v>Support</v>
      </c>
      <c r="BG95">
        <f>survey_responses[[#This Row],[Sau khi xem xét các quyền lợi và nghĩa vụ, bạn có ủng hộ và tuân thủ chính sách mới hiện nay? - HUMAN-OUT1]]</f>
        <v>7</v>
      </c>
      <c r="BH95" t="str">
        <f t="shared" si="52"/>
        <v>Neutral</v>
      </c>
      <c r="BI95" s="32">
        <f t="shared" si="53"/>
        <v>2</v>
      </c>
    </row>
    <row r="96" spans="1:61" x14ac:dyDescent="0.45">
      <c r="A96" s="30">
        <f>step3_validation[[#This Row],[Persona_ID]]</f>
        <v>95</v>
      </c>
      <c r="B96" s="31">
        <f>step3_validation[[#This Row],[Used_Seed]]</f>
        <v>136</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38.558133870842298</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6</v>
      </c>
      <c r="R96" t="str">
        <f t="shared" si="27"/>
        <v>Neutral</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2</v>
      </c>
      <c r="V96">
        <f>step3_validation[[#This Row],[AI_ENF2]]</f>
        <v>6</v>
      </c>
      <c r="W96" t="str">
        <f t="shared" si="30"/>
        <v>Neutral</v>
      </c>
      <c r="X96">
        <f>survey_responses[[#This Row],[Tôi tin rằng Nhà nước, cơ quan thuế có đủ khả năng và công nghệ để phát hiện, xử lý nghiêm các hành vi trốn thuế. - HUMAN-ENF2]]</f>
        <v>6</v>
      </c>
      <c r="Y96" t="str">
        <f t="shared" si="31"/>
        <v>Neutral</v>
      </c>
      <c r="Z96" s="32">
        <f t="shared" si="32"/>
        <v>0</v>
      </c>
      <c r="AA96">
        <f>step3_validation[[#This Row],[AI_FAC1]]</f>
        <v>8</v>
      </c>
      <c r="AB96" t="str">
        <f t="shared" si="33"/>
        <v>Support</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3</v>
      </c>
      <c r="AF96">
        <f>step3_validation[[#This Row],[AI_FAC2]]</f>
        <v>9</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4</v>
      </c>
      <c r="AK96">
        <f>step3_validation[[#This Row],[AI_TRU1]]</f>
        <v>7</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3</v>
      </c>
      <c r="AP96">
        <f>step3_validation[[#This Row],[AI_TRU2]]</f>
        <v>8</v>
      </c>
      <c r="AQ96" t="str">
        <f t="shared" si="42"/>
        <v>Support</v>
      </c>
      <c r="AR96">
        <f>survey_responses[[#This Row],[Tôi thấy mức thuế tôi phải đóng theo phương án mới là công bằng (người thu nhập như tôi đóng mức này là hợp lý). - HUMAN-TRU2]]</f>
        <v>4</v>
      </c>
      <c r="AS96" t="str">
        <f t="shared" si="43"/>
        <v>Oppose</v>
      </c>
      <c r="AT96" s="32">
        <f t="shared" si="44"/>
        <v>4</v>
      </c>
      <c r="AU96">
        <f>step3_validation[[#This Row],[AI_TRU3]]</f>
        <v>7</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4</v>
      </c>
      <c r="AZ96">
        <f>step3_validation[[#This Row],[AI_TRU4]]</f>
        <v>6</v>
      </c>
      <c r="BA96" t="str">
        <f t="shared" si="48"/>
        <v>Neutral</v>
      </c>
      <c r="BB96">
        <f>survey_responses[[#This Row],[Tôi thấy Nhà nước đã giải thích rõ ràng, minh bạch về lý do và mục tiêu của việc sửa đổi thuế lần này. - HUMAN-TRU4]]</f>
        <v>4</v>
      </c>
      <c r="BC96" t="str">
        <f t="shared" si="49"/>
        <v>Oppose</v>
      </c>
      <c r="BD96" s="32">
        <f t="shared" si="50"/>
        <v>2</v>
      </c>
      <c r="BE96">
        <f>step3_validation[[#This Row],[AI_OUT1]]</f>
        <v>8</v>
      </c>
      <c r="BF96" t="str">
        <f t="shared" si="51"/>
        <v>Support</v>
      </c>
      <c r="BG96">
        <f>survey_responses[[#This Row],[Sau khi xem xét các quyền lợi và nghĩa vụ, bạn có ủng hộ và tuân thủ chính sách mới hiện nay? - HUMAN-OUT1]]</f>
        <v>3</v>
      </c>
      <c r="BH96" t="str">
        <f t="shared" si="52"/>
        <v>Oppose</v>
      </c>
      <c r="BI96" s="32">
        <f t="shared" si="53"/>
        <v>5</v>
      </c>
    </row>
    <row r="97" spans="1:61" x14ac:dyDescent="0.45">
      <c r="A97" s="30">
        <f>step3_validation[[#This Row],[Persona_ID]]</f>
        <v>96</v>
      </c>
      <c r="B97" s="31">
        <f>step3_validation[[#This Row],[Used_Seed]]</f>
        <v>137</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1</v>
      </c>
      <c r="V97">
        <f>step3_validation[[#This Row],[AI_ENF2]]</f>
        <v>8</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1</v>
      </c>
      <c r="AA97">
        <f>step3_validation[[#This Row],[AI_FAC1]]</f>
        <v>9</v>
      </c>
      <c r="AB97" t="str">
        <f t="shared" si="33"/>
        <v>Support</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4</v>
      </c>
      <c r="AF97">
        <f>step3_validation[[#This Row],[AI_FAC2]]</f>
        <v>8</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1</v>
      </c>
      <c r="AK97">
        <f>step3_validation[[#This Row],[AI_TRU1]]</f>
        <v>9</v>
      </c>
      <c r="AL97" t="str">
        <f t="shared" si="39"/>
        <v>Support</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2</v>
      </c>
      <c r="AP97">
        <f>step3_validation[[#This Row],[AI_TRU2]]</f>
        <v>8</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3</v>
      </c>
      <c r="AU97">
        <f>step3_validation[[#This Row],[AI_TRU3]]</f>
        <v>9</v>
      </c>
      <c r="AV97" t="str">
        <f t="shared" si="45"/>
        <v>Support</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4</v>
      </c>
      <c r="AZ97">
        <f>step3_validation[[#This Row],[AI_TRU4]]</f>
        <v>8</v>
      </c>
      <c r="BA97" t="str">
        <f t="shared" si="48"/>
        <v>Support</v>
      </c>
      <c r="BB97">
        <f>survey_responses[[#This Row],[Tôi thấy Nhà nước đã giải thích rõ ràng, minh bạch về lý do và mục tiêu của việc sửa đổi thuế lần này. - HUMAN-TRU4]]</f>
        <v>7</v>
      </c>
      <c r="BC97" t="str">
        <f t="shared" si="49"/>
        <v>Neutral</v>
      </c>
      <c r="BD97" s="32">
        <f t="shared" si="50"/>
        <v>1</v>
      </c>
      <c r="BE97">
        <f>step3_validation[[#This Row],[AI_OUT1]]</f>
        <v>9</v>
      </c>
      <c r="BF97" t="str">
        <f t="shared" si="51"/>
        <v>Support</v>
      </c>
      <c r="BG97">
        <f>survey_responses[[#This Row],[Sau khi xem xét các quyền lợi và nghĩa vụ, bạn có ủng hộ và tuân thủ chính sách mới hiện nay? - HUMAN-OUT1]]</f>
        <v>7</v>
      </c>
      <c r="BH97" t="str">
        <f t="shared" si="52"/>
        <v>Neutral</v>
      </c>
      <c r="BI97" s="32">
        <f t="shared" si="53"/>
        <v>2</v>
      </c>
    </row>
    <row r="98" spans="1:61" x14ac:dyDescent="0.45">
      <c r="A98" s="30">
        <f>step3_validation[[#This Row],[Persona_ID]]</f>
        <v>97</v>
      </c>
      <c r="B98" s="31">
        <f>step3_validation[[#This Row],[Used_Seed]]</f>
        <v>138</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144.51048773312573</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6</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0</v>
      </c>
      <c r="V98">
        <f>step3_validation[[#This Row],[AI_ENF2]]</f>
        <v>7</v>
      </c>
      <c r="W98" t="str">
        <f t="shared" si="30"/>
        <v>Neutral</v>
      </c>
      <c r="X98">
        <f>survey_responses[[#This Row],[Tôi tin rằng Nhà nước, cơ quan thuế có đủ khả năng và công nghệ để phát hiện, xử lý nghiêm các hành vi trốn thuế. - HUMAN-ENF2]]</f>
        <v>6</v>
      </c>
      <c r="Y98" t="str">
        <f t="shared" si="31"/>
        <v>Neutral</v>
      </c>
      <c r="Z98" s="32">
        <f t="shared" si="32"/>
        <v>1</v>
      </c>
      <c r="AA98">
        <f>step3_validation[[#This Row],[AI_FAC1]]</f>
        <v>6</v>
      </c>
      <c r="AB98" t="str">
        <f t="shared" si="33"/>
        <v>Neutral</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1</v>
      </c>
      <c r="AF98">
        <f>step3_validation[[#This Row],[AI_FAC2]]</f>
        <v>8</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3</v>
      </c>
      <c r="AK98">
        <f>step3_validation[[#This Row],[AI_TRU1]]</f>
        <v>5</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0</v>
      </c>
      <c r="AP98">
        <f>step3_validation[[#This Row],[AI_TRU2]]</f>
        <v>6</v>
      </c>
      <c r="AQ98" t="str">
        <f t="shared" si="42"/>
        <v>Neutral</v>
      </c>
      <c r="AR98">
        <f>survey_responses[[#This Row],[Tôi thấy mức thuế tôi phải đóng theo phương án mới là công bằng (người thu nhập như tôi đóng mức này là hợp lý). - HUMAN-TRU2]]</f>
        <v>5</v>
      </c>
      <c r="AS98" t="str">
        <f t="shared" si="43"/>
        <v>Neutral</v>
      </c>
      <c r="AT98" s="32">
        <f t="shared" si="44"/>
        <v>1</v>
      </c>
      <c r="AU98">
        <f>step3_validation[[#This Row],[AI_TRU3]]</f>
        <v>5</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0</v>
      </c>
      <c r="AZ98">
        <f>step3_validation[[#This Row],[AI_TRU4]]</f>
        <v>7</v>
      </c>
      <c r="BA98" t="str">
        <f t="shared" si="48"/>
        <v>Neutral</v>
      </c>
      <c r="BB98">
        <f>survey_responses[[#This Row],[Tôi thấy Nhà nước đã giải thích rõ ràng, minh bạch về lý do và mục tiêu của việc sửa đổi thuế lần này. - HUMAN-TRU4]]</f>
        <v>5</v>
      </c>
      <c r="BC98" t="str">
        <f t="shared" si="49"/>
        <v>Neutral</v>
      </c>
      <c r="BD98" s="32">
        <f t="shared" si="50"/>
        <v>2</v>
      </c>
      <c r="BE98">
        <f>step3_validation[[#This Row],[AI_OUT1]]</f>
        <v>7</v>
      </c>
      <c r="BF98" t="str">
        <f t="shared" si="51"/>
        <v>Neutral</v>
      </c>
      <c r="BG98">
        <f>survey_responses[[#This Row],[Sau khi xem xét các quyền lợi và nghĩa vụ, bạn có ủng hộ và tuân thủ chính sách mới hiện nay? - HUMAN-OUT1]]</f>
        <v>5</v>
      </c>
      <c r="BH98" t="str">
        <f t="shared" si="52"/>
        <v>Neutral</v>
      </c>
      <c r="BI98" s="32">
        <f t="shared" si="53"/>
        <v>2</v>
      </c>
    </row>
    <row r="99" spans="1:61" x14ac:dyDescent="0.45">
      <c r="A99" s="30">
        <f>step3_validation[[#This Row],[Persona_ID]]</f>
        <v>98</v>
      </c>
      <c r="B99" s="31">
        <f>step3_validation[[#This Row],[Used_Seed]]</f>
        <v>139</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19.919094533873299</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7</v>
      </c>
      <c r="R99" t="str">
        <f t="shared" si="27"/>
        <v>Neutral</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1</v>
      </c>
      <c r="V99">
        <f>step3_validation[[#This Row],[AI_ENF2]]</f>
        <v>8</v>
      </c>
      <c r="W99" t="str">
        <f t="shared" si="30"/>
        <v>Support</v>
      </c>
      <c r="X99">
        <f>survey_responses[[#This Row],[Tôi tin rằng Nhà nước, cơ quan thuế có đủ khả năng và công nghệ để phát hiện, xử lý nghiêm các hành vi trốn thuế. - HUMAN-ENF2]]</f>
        <v>8</v>
      </c>
      <c r="Y99" t="str">
        <f t="shared" si="31"/>
        <v>Support</v>
      </c>
      <c r="Z99" s="32">
        <f t="shared" si="32"/>
        <v>0</v>
      </c>
      <c r="AA99">
        <f>step3_validation[[#This Row],[AI_FAC1]]</f>
        <v>9</v>
      </c>
      <c r="AB99" t="str">
        <f t="shared" si="33"/>
        <v>Support</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4</v>
      </c>
      <c r="AF99">
        <f>step3_validation[[#This Row],[AI_FAC2]]</f>
        <v>9</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1</v>
      </c>
      <c r="AK99">
        <f>step3_validation[[#This Row],[AI_TRU1]]</f>
        <v>7</v>
      </c>
      <c r="AL99" t="str">
        <f t="shared" si="39"/>
        <v>Neutral</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1</v>
      </c>
      <c r="AP99">
        <f>step3_validation[[#This Row],[AI_TRU2]]</f>
        <v>8</v>
      </c>
      <c r="AQ99" t="str">
        <f t="shared" si="42"/>
        <v>Support</v>
      </c>
      <c r="AR99">
        <f>survey_responses[[#This Row],[Tôi thấy mức thuế tôi phải đóng theo phương án mới là công bằng (người thu nhập như tôi đóng mức này là hợp lý). - HUMAN-TRU2]]</f>
        <v>9</v>
      </c>
      <c r="AS99" t="str">
        <f t="shared" si="43"/>
        <v>Support</v>
      </c>
      <c r="AT99" s="32">
        <f t="shared" si="44"/>
        <v>1</v>
      </c>
      <c r="AU99">
        <f>step3_validation[[#This Row],[AI_TRU3]]</f>
        <v>6</v>
      </c>
      <c r="AV99" t="str">
        <f t="shared" si="45"/>
        <v>Neutral</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1</v>
      </c>
      <c r="AZ99">
        <f>step3_validation[[#This Row],[AI_TRU4]]</f>
        <v>7</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0</v>
      </c>
      <c r="BE99">
        <f>step3_validation[[#This Row],[AI_OUT1]]</f>
        <v>9</v>
      </c>
      <c r="BF99" t="str">
        <f t="shared" si="51"/>
        <v>Support</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140</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30.787412476426358</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5</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1</v>
      </c>
      <c r="V100">
        <f>step3_validation[[#This Row],[AI_ENF2]]</f>
        <v>6</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0</v>
      </c>
      <c r="AA100">
        <f>step3_validation[[#This Row],[AI_FAC1]]</f>
        <v>7</v>
      </c>
      <c r="AB100" t="str">
        <f t="shared" si="33"/>
        <v>Neutral</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4</v>
      </c>
      <c r="AF100">
        <f>step3_validation[[#This Row],[AI_FAC2]]</f>
        <v>8</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2</v>
      </c>
      <c r="AK100">
        <f>step3_validation[[#This Row],[AI_TRU1]]</f>
        <v>6</v>
      </c>
      <c r="AL100" t="str">
        <f t="shared" si="39"/>
        <v>Neutral</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1</v>
      </c>
      <c r="AP100">
        <f>step3_validation[[#This Row],[AI_TRU2]]</f>
        <v>9</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3</v>
      </c>
      <c r="AU100">
        <f>step3_validation[[#This Row],[AI_TRU3]]</f>
        <v>7</v>
      </c>
      <c r="AV100" t="str">
        <f t="shared" si="45"/>
        <v>Neutral</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2</v>
      </c>
      <c r="AZ100">
        <f>step3_validation[[#This Row],[AI_TRU4]]</f>
        <v>6</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0</v>
      </c>
      <c r="BE100">
        <f>step3_validation[[#This Row],[AI_OUT1]]</f>
        <v>9</v>
      </c>
      <c r="BF100" t="str">
        <f t="shared" si="51"/>
        <v>Support</v>
      </c>
      <c r="BG100">
        <f>survey_responses[[#This Row],[Sau khi xem xét các quyền lợi và nghĩa vụ, bạn có ủng hộ và tuân thủ chính sách mới hiện nay? - HUMAN-OUT1]]</f>
        <v>6</v>
      </c>
      <c r="BH100" t="str">
        <f t="shared" si="52"/>
        <v>Neutral</v>
      </c>
      <c r="BI100" s="32">
        <f t="shared" si="53"/>
        <v>3</v>
      </c>
    </row>
    <row r="101" spans="1:61" x14ac:dyDescent="0.45">
      <c r="A101" s="30">
        <f>step3_validation[[#This Row],[Persona_ID]]</f>
        <v>100</v>
      </c>
      <c r="B101" s="31">
        <f>step3_validation[[#This Row],[Used_Seed]]</f>
        <v>141</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13.675299873446729</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5</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3</v>
      </c>
      <c r="V101">
        <f>step3_validation[[#This Row],[AI_ENF2]]</f>
        <v>7</v>
      </c>
      <c r="W101" t="str">
        <f t="shared" si="30"/>
        <v>Neutral</v>
      </c>
      <c r="X101">
        <f>survey_responses[[#This Row],[Tôi tin rằng Nhà nước, cơ quan thuế có đủ khả năng và công nghệ để phát hiện, xử lý nghiêm các hành vi trốn thuế. - HUMAN-ENF2]]</f>
        <v>8</v>
      </c>
      <c r="Y101" t="str">
        <f t="shared" si="31"/>
        <v>Support</v>
      </c>
      <c r="Z101" s="32">
        <f t="shared" si="32"/>
        <v>1</v>
      </c>
      <c r="AA101">
        <f>step3_validation[[#This Row],[AI_FAC1]]</f>
        <v>9</v>
      </c>
      <c r="AB101" t="str">
        <f t="shared" si="33"/>
        <v>Support</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1</v>
      </c>
      <c r="AF101">
        <f>step3_validation[[#This Row],[AI_FAC2]]</f>
        <v>7</v>
      </c>
      <c r="AG101" t="str">
        <f t="shared" si="36"/>
        <v>Neutral</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3</v>
      </c>
      <c r="AK101">
        <f>step3_validation[[#This Row],[AI_TRU1]]</f>
        <v>8</v>
      </c>
      <c r="AL101" t="str">
        <f t="shared" si="39"/>
        <v>Support</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2</v>
      </c>
      <c r="AP101">
        <f>step3_validation[[#This Row],[AI_TRU2]]</f>
        <v>9</v>
      </c>
      <c r="AQ101" t="str">
        <f t="shared" si="42"/>
        <v>Support</v>
      </c>
      <c r="AR101">
        <f>survey_responses[[#This Row],[Tôi thấy mức thuế tôi phải đóng theo phương án mới là công bằng (người thu nhập như tôi đóng mức này là hợp lý). - HUMAN-TRU2]]</f>
        <v>10</v>
      </c>
      <c r="AS101" t="str">
        <f t="shared" si="43"/>
        <v>Support</v>
      </c>
      <c r="AT101" s="32">
        <f t="shared" si="44"/>
        <v>1</v>
      </c>
      <c r="AU101">
        <f>step3_validation[[#This Row],[AI_TRU3]]</f>
        <v>8</v>
      </c>
      <c r="AV101" t="str">
        <f t="shared" si="45"/>
        <v>Support</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2</v>
      </c>
      <c r="AZ101">
        <f>step3_validation[[#This Row],[AI_TRU4]]</f>
        <v>6</v>
      </c>
      <c r="BA101" t="str">
        <f t="shared" si="48"/>
        <v>Neutral</v>
      </c>
      <c r="BB101">
        <f>survey_responses[[#This Row],[Tôi thấy Nhà nước đã giải thích rõ ràng, minh bạch về lý do và mục tiêu của việc sửa đổi thuế lần này. - HUMAN-TRU4]]</f>
        <v>10</v>
      </c>
      <c r="BC101" t="str">
        <f t="shared" si="49"/>
        <v>Support</v>
      </c>
      <c r="BD101" s="32">
        <f t="shared" si="50"/>
        <v>4</v>
      </c>
      <c r="BE101">
        <f>step3_validation[[#This Row],[AI_OUT1]]</f>
        <v>8</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2</v>
      </c>
    </row>
    <row r="102" spans="1:61" x14ac:dyDescent="0.45">
      <c r="A102" s="30">
        <f>step3_validation[[#This Row],[Persona_ID]]</f>
        <v>101</v>
      </c>
      <c r="B102" s="31">
        <f>step3_validation[[#This Row],[Used_Seed]]</f>
        <v>142</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73.984400877890153</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t="str">
        <f t="shared" si="27"/>
        <v>Neutral</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1</v>
      </c>
      <c r="V102">
        <f>step3_validation[[#This Row],[AI_ENF2]]</f>
        <v>8</v>
      </c>
      <c r="W102" t="str">
        <f t="shared" si="30"/>
        <v>Support</v>
      </c>
      <c r="X102">
        <f>survey_responses[[#This Row],[Tôi tin rằng Nhà nước, cơ quan thuế có đủ khả năng và công nghệ để phát hiện, xử lý nghiêm các hành vi trốn thuế. - HUMAN-ENF2]]</f>
        <v>8</v>
      </c>
      <c r="Y102" t="str">
        <f t="shared" si="31"/>
        <v>Support</v>
      </c>
      <c r="Z102" s="32">
        <f t="shared" si="32"/>
        <v>0</v>
      </c>
      <c r="AA102">
        <f>step3_validation[[#This Row],[AI_FAC1]]</f>
        <v>7</v>
      </c>
      <c r="AB102" t="str">
        <f t="shared" si="33"/>
        <v>Neutral</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0</v>
      </c>
      <c r="AF102">
        <f>step3_validation[[#This Row],[AI_FAC2]]</f>
        <v>8</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0</v>
      </c>
      <c r="AK102">
        <f>step3_validation[[#This Row],[AI_TRU1]]</f>
        <v>7</v>
      </c>
      <c r="AL102" t="str">
        <f t="shared" si="39"/>
        <v>Neutral</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1</v>
      </c>
      <c r="AP102">
        <f>step3_validation[[#This Row],[AI_TRU2]]</f>
        <v>9</v>
      </c>
      <c r="AQ102" t="str">
        <f t="shared" si="42"/>
        <v>Support</v>
      </c>
      <c r="AR102">
        <f>survey_responses[[#This Row],[Tôi thấy mức thuế tôi phải đóng theo phương án mới là công bằng (người thu nhập như tôi đóng mức này là hợp lý). - HUMAN-TRU2]]</f>
        <v>7</v>
      </c>
      <c r="AS102" t="str">
        <f t="shared" si="43"/>
        <v>Neutral</v>
      </c>
      <c r="AT102" s="32">
        <f t="shared" si="44"/>
        <v>2</v>
      </c>
      <c r="AU102">
        <f>step3_validation[[#This Row],[AI_TRU3]]</f>
        <v>7</v>
      </c>
      <c r="AV102" t="str">
        <f t="shared" si="45"/>
        <v>Neutral</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0</v>
      </c>
      <c r="AZ102">
        <f>step3_validation[[#This Row],[AI_TRU4]]</f>
        <v>8</v>
      </c>
      <c r="BA102" t="str">
        <f t="shared" si="48"/>
        <v>Support</v>
      </c>
      <c r="BB102">
        <f>survey_responses[[#This Row],[Tôi thấy Nhà nước đã giải thích rõ ràng, minh bạch về lý do và mục tiêu của việc sửa đổi thuế lần này. - HUMAN-TRU4]]</f>
        <v>7</v>
      </c>
      <c r="BC102" t="str">
        <f t="shared" si="49"/>
        <v>Neutral</v>
      </c>
      <c r="BD102" s="32">
        <f t="shared" si="50"/>
        <v>1</v>
      </c>
      <c r="BE102">
        <f>step3_validation[[#This Row],[AI_OUT1]]</f>
        <v>9</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1</v>
      </c>
    </row>
    <row r="103" spans="1:61" x14ac:dyDescent="0.45">
      <c r="A103" s="30">
        <f>step3_validation[[#This Row],[Persona_ID]]</f>
        <v>102</v>
      </c>
      <c r="B103" s="31">
        <f>step3_validation[[#This Row],[Used_Seed]]</f>
        <v>143</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16.418050193658651</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2</v>
      </c>
      <c r="V103">
        <f>step3_validation[[#This Row],[AI_ENF2]]</f>
        <v>6</v>
      </c>
      <c r="W103" t="str">
        <f t="shared" si="30"/>
        <v>Neutral</v>
      </c>
      <c r="X103">
        <f>survey_responses[[#This Row],[Tôi tin rằng Nhà nước, cơ quan thuế có đủ khả năng và công nghệ để phát hiện, xử lý nghiêm các hành vi trốn thuế. - HUMAN-ENF2]]</f>
        <v>5</v>
      </c>
      <c r="Y103" t="str">
        <f t="shared" si="31"/>
        <v>Neutral</v>
      </c>
      <c r="Z103" s="32">
        <f t="shared" si="32"/>
        <v>1</v>
      </c>
      <c r="AA103">
        <f>step3_validation[[#This Row],[AI_FAC1]]</f>
        <v>8</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3</v>
      </c>
      <c r="AF103">
        <f>step3_validation[[#This Row],[AI_FAC2]]</f>
        <v>9</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4</v>
      </c>
      <c r="AK103">
        <f>step3_validation[[#This Row],[AI_TRU1]]</f>
        <v>7</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2</v>
      </c>
      <c r="AP103">
        <f>step3_validation[[#This Row],[AI_TRU2]]</f>
        <v>9</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4</v>
      </c>
      <c r="AU103">
        <f>step3_validation[[#This Row],[AI_TRU3]]</f>
        <v>8</v>
      </c>
      <c r="AV103" t="str">
        <f t="shared" si="45"/>
        <v>Support</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3</v>
      </c>
      <c r="AZ103">
        <f>step3_validation[[#This Row],[AI_TRU4]]</f>
        <v>7</v>
      </c>
      <c r="BA103" t="str">
        <f t="shared" si="48"/>
        <v>Neutral</v>
      </c>
      <c r="BB103">
        <f>survey_responses[[#This Row],[Tôi thấy Nhà nước đã giải thích rõ ràng, minh bạch về lý do và mục tiêu của việc sửa đổi thuế lần này. - HUMAN-TRU4]]</f>
        <v>5</v>
      </c>
      <c r="BC103" t="str">
        <f t="shared" si="49"/>
        <v>Neutral</v>
      </c>
      <c r="BD103" s="32">
        <f t="shared" si="50"/>
        <v>2</v>
      </c>
      <c r="BE103">
        <f>step3_validation[[#This Row],[AI_OUT1]]</f>
        <v>9</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4</v>
      </c>
    </row>
    <row r="104" spans="1:61" x14ac:dyDescent="0.45">
      <c r="A104" s="30">
        <f>step3_validation[[#This Row],[Persona_ID]]</f>
        <v>103</v>
      </c>
      <c r="B104" s="31">
        <f>step3_validation[[#This Row],[Used_Seed]]</f>
        <v>144</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38.789842537898139</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6</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2</v>
      </c>
      <c r="V104">
        <f>step3_validation[[#This Row],[AI_ENF2]]</f>
        <v>5</v>
      </c>
      <c r="W104" t="str">
        <f t="shared" si="30"/>
        <v>Neutral</v>
      </c>
      <c r="X104">
        <f>survey_responses[[#This Row],[Tôi tin rằng Nhà nước, cơ quan thuế có đủ khả năng và công nghệ để phát hiện, xử lý nghiêm các hành vi trốn thuế. - HUMAN-ENF2]]</f>
        <v>8</v>
      </c>
      <c r="Y104" t="str">
        <f t="shared" si="31"/>
        <v>Support</v>
      </c>
      <c r="Z104" s="32">
        <f t="shared" si="32"/>
        <v>3</v>
      </c>
      <c r="AA104">
        <f>step3_validation[[#This Row],[AI_FAC1]]</f>
        <v>7</v>
      </c>
      <c r="AB104" t="str">
        <f t="shared" si="33"/>
        <v>Neutral</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2</v>
      </c>
      <c r="AF104">
        <f>step3_validation[[#This Row],[AI_FAC2]]</f>
        <v>9</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1</v>
      </c>
      <c r="AK104">
        <f>step3_validation[[#This Row],[AI_TRU1]]</f>
        <v>7</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2</v>
      </c>
      <c r="AP104">
        <f>step3_validation[[#This Row],[AI_TRU2]]</f>
        <v>9</v>
      </c>
      <c r="AQ104" t="str">
        <f t="shared" si="42"/>
        <v>Support</v>
      </c>
      <c r="AR104">
        <f>survey_responses[[#This Row],[Tôi thấy mức thuế tôi phải đóng theo phương án mới là công bằng (người thu nhập như tôi đóng mức này là hợp lý). - HUMAN-TRU2]]</f>
        <v>5</v>
      </c>
      <c r="AS104" t="str">
        <f t="shared" si="43"/>
        <v>Neutral</v>
      </c>
      <c r="AT104" s="32">
        <f t="shared" si="44"/>
        <v>4</v>
      </c>
      <c r="AU104">
        <f>step3_validation[[#This Row],[AI_TRU3]]</f>
        <v>7</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1</v>
      </c>
      <c r="AZ104">
        <f>step3_validation[[#This Row],[AI_TRU4]]</f>
        <v>8</v>
      </c>
      <c r="BA104" t="str">
        <f t="shared" si="48"/>
        <v>Support</v>
      </c>
      <c r="BB104">
        <f>survey_responses[[#This Row],[Tôi thấy Nhà nước đã giải thích rõ ràng, minh bạch về lý do và mục tiêu của việc sửa đổi thuế lần này. - HUMAN-TRU4]]</f>
        <v>6</v>
      </c>
      <c r="BC104" t="str">
        <f t="shared" si="49"/>
        <v>Neutral</v>
      </c>
      <c r="BD104" s="32">
        <f t="shared" si="50"/>
        <v>2</v>
      </c>
      <c r="BE104">
        <f>step3_validation[[#This Row],[AI_OUT1]]</f>
        <v>9</v>
      </c>
      <c r="BF104" t="str">
        <f t="shared" si="51"/>
        <v>Support</v>
      </c>
      <c r="BG104">
        <f>survey_responses[[#This Row],[Sau khi xem xét các quyền lợi và nghĩa vụ, bạn có ủng hộ và tuân thủ chính sách mới hiện nay? - HUMAN-OUT1]]</f>
        <v>5</v>
      </c>
      <c r="BH104" t="str">
        <f t="shared" si="52"/>
        <v>Neutral</v>
      </c>
      <c r="BI104" s="32">
        <f t="shared" si="53"/>
        <v>4</v>
      </c>
    </row>
    <row r="105" spans="1:61" x14ac:dyDescent="0.45">
      <c r="A105" s="30">
        <f>step3_validation[[#This Row],[Persona_ID]]</f>
        <v>104</v>
      </c>
      <c r="B105" s="31">
        <f>step3_validation[[#This Row],[Used_Seed]]</f>
        <v>145</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20.345669206619846</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0</v>
      </c>
      <c r="V105">
        <f>step3_validation[[#This Row],[AI_ENF2]]</f>
        <v>7</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2">
        <f t="shared" si="32"/>
        <v>0</v>
      </c>
      <c r="AA105">
        <f>step3_validation[[#This Row],[AI_FAC1]]</f>
        <v>8</v>
      </c>
      <c r="AB105" t="str">
        <f t="shared" si="33"/>
        <v>Support</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2</v>
      </c>
      <c r="AF105">
        <f>step3_validation[[#This Row],[AI_FAC2]]</f>
        <v>9</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1</v>
      </c>
      <c r="AK105">
        <f>step3_validation[[#This Row],[AI_TRU1]]</f>
        <v>7</v>
      </c>
      <c r="AL105" t="str">
        <f t="shared" si="39"/>
        <v>Neutral</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1</v>
      </c>
      <c r="AP105">
        <f>step3_validation[[#This Row],[AI_TRU2]]</f>
        <v>9</v>
      </c>
      <c r="AQ105" t="str">
        <f t="shared" si="42"/>
        <v>Support</v>
      </c>
      <c r="AR105">
        <f>survey_responses[[#This Row],[Tôi thấy mức thuế tôi phải đóng theo phương án mới là công bằng (người thu nhập như tôi đóng mức này là hợp lý). - HUMAN-TRU2]]</f>
        <v>7</v>
      </c>
      <c r="AS105" t="str">
        <f t="shared" si="43"/>
        <v>Neutral</v>
      </c>
      <c r="AT105" s="32">
        <f t="shared" si="44"/>
        <v>2</v>
      </c>
      <c r="AU105">
        <f>step3_validation[[#This Row],[AI_TRU3]]</f>
        <v>8</v>
      </c>
      <c r="AV105" t="str">
        <f t="shared" si="45"/>
        <v>Support</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2</v>
      </c>
      <c r="AZ105">
        <f>step3_validation[[#This Row],[AI_TRU4]]</f>
        <v>7</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9</v>
      </c>
      <c r="BF105" t="str">
        <f t="shared" si="51"/>
        <v>Support</v>
      </c>
      <c r="BG105">
        <f>survey_responses[[#This Row],[Sau khi xem xét các quyền lợi và nghĩa vụ, bạn có ủng hộ và tuân thủ chính sách mới hiện nay? - HUMAN-OUT1]]</f>
        <v>7</v>
      </c>
      <c r="BH105" t="str">
        <f t="shared" si="52"/>
        <v>Neutral</v>
      </c>
      <c r="BI105" s="32">
        <f t="shared" si="53"/>
        <v>2</v>
      </c>
    </row>
    <row r="106" spans="1:61" x14ac:dyDescent="0.45">
      <c r="A106" s="30">
        <f>step3_validation[[#This Row],[Persona_ID]]</f>
        <v>105</v>
      </c>
      <c r="B106" s="31">
        <f>step3_validation[[#This Row],[Used_Seed]]</f>
        <v>146</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12.925167568684918</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2</v>
      </c>
      <c r="V106">
        <f>step3_validation[[#This Row],[AI_ENF2]]</f>
        <v>9</v>
      </c>
      <c r="W106" t="str">
        <f t="shared" si="30"/>
        <v>Support</v>
      </c>
      <c r="X106">
        <f>survey_responses[[#This Row],[Tôi tin rằng Nhà nước, cơ quan thuế có đủ khả năng và công nghệ để phát hiện, xử lý nghiêm các hành vi trốn thuế. - HUMAN-ENF2]]</f>
        <v>10</v>
      </c>
      <c r="Y106" t="str">
        <f t="shared" si="31"/>
        <v>Support</v>
      </c>
      <c r="Z106" s="32">
        <f t="shared" si="32"/>
        <v>1</v>
      </c>
      <c r="AA106">
        <f>step3_validation[[#This Row],[AI_FAC1]]</f>
        <v>8</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0</v>
      </c>
      <c r="AF106">
        <f>step3_validation[[#This Row],[AI_FAC2]]</f>
        <v>9</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1</v>
      </c>
      <c r="AK106">
        <f>step3_validation[[#This Row],[AI_TRU1]]</f>
        <v>8</v>
      </c>
      <c r="AL106" t="str">
        <f t="shared" si="39"/>
        <v>Support</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1</v>
      </c>
      <c r="AP106">
        <f>step3_validation[[#This Row],[AI_TRU2]]</f>
        <v>9</v>
      </c>
      <c r="AQ106" t="str">
        <f t="shared" si="42"/>
        <v>Support</v>
      </c>
      <c r="AR106">
        <f>survey_responses[[#This Row],[Tôi thấy mức thuế tôi phải đóng theo phương án mới là công bằng (người thu nhập như tôi đóng mức này là hợp lý). - HUMAN-TRU2]]</f>
        <v>9</v>
      </c>
      <c r="AS106" t="str">
        <f t="shared" si="43"/>
        <v>Support</v>
      </c>
      <c r="AT106" s="32">
        <f t="shared" si="44"/>
        <v>0</v>
      </c>
      <c r="AU106">
        <f>step3_validation[[#This Row],[AI_TRU3]]</f>
        <v>7</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1</v>
      </c>
      <c r="AZ106">
        <f>step3_validation[[#This Row],[AI_TRU4]]</f>
        <v>9</v>
      </c>
      <c r="BA106" t="str">
        <f t="shared" si="48"/>
        <v>Support</v>
      </c>
      <c r="BB106">
        <f>survey_responses[[#This Row],[Tôi thấy Nhà nước đã giải thích rõ ràng, minh bạch về lý do và mục tiêu của việc sửa đổi thuế lần này. - HUMAN-TRU4]]</f>
        <v>6</v>
      </c>
      <c r="BC106" t="str">
        <f t="shared" si="49"/>
        <v>Neutral</v>
      </c>
      <c r="BD106" s="32">
        <f t="shared" si="50"/>
        <v>3</v>
      </c>
      <c r="BE106">
        <f>step3_validation[[#This Row],[AI_OUT1]]</f>
        <v>8</v>
      </c>
      <c r="BF106" t="str">
        <f t="shared" si="51"/>
        <v>Support</v>
      </c>
      <c r="BG106">
        <f>survey_responses[[#This Row],[Sau khi xem xét các quyền lợi và nghĩa vụ, bạn có ủng hộ và tuân thủ chính sách mới hiện nay? - HUMAN-OUT1]]</f>
        <v>9</v>
      </c>
      <c r="BH106" t="str">
        <f t="shared" si="52"/>
        <v>Support</v>
      </c>
      <c r="BI106" s="32">
        <f t="shared" si="53"/>
        <v>1</v>
      </c>
    </row>
    <row r="107" spans="1:61" x14ac:dyDescent="0.45">
      <c r="A107" s="30">
        <f>step3_validation[[#This Row],[Persona_ID]]</f>
        <v>106</v>
      </c>
      <c r="B107" s="31">
        <f>step3_validation[[#This Row],[Used_Seed]]</f>
        <v>147</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3</v>
      </c>
      <c r="V107">
        <f>step3_validation[[#This Row],[AI_ENF2]]</f>
        <v>7</v>
      </c>
      <c r="W107" t="str">
        <f t="shared" si="30"/>
        <v>Neutral</v>
      </c>
      <c r="X107">
        <f>survey_responses[[#This Row],[Tôi tin rằng Nhà nước, cơ quan thuế có đủ khả năng và công nghệ để phát hiện, xử lý nghiêm các hành vi trốn thuế. - HUMAN-ENF2]]</f>
        <v>5</v>
      </c>
      <c r="Y107" t="str">
        <f t="shared" si="31"/>
        <v>Neutral</v>
      </c>
      <c r="Z107" s="32">
        <f t="shared" si="32"/>
        <v>2</v>
      </c>
      <c r="AA107">
        <f>step3_validation[[#This Row],[AI_FAC1]]</f>
        <v>9</v>
      </c>
      <c r="AB107" t="str">
        <f t="shared" si="33"/>
        <v>Support</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1</v>
      </c>
      <c r="AF107">
        <f>step3_validation[[#This Row],[AI_FAC2]]</f>
        <v>9</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1</v>
      </c>
      <c r="AK107">
        <f>step3_validation[[#This Row],[AI_TRU1]]</f>
        <v>7</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3</v>
      </c>
      <c r="AP107">
        <f>step3_validation[[#This Row],[AI_TRU2]]</f>
        <v>9</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1</v>
      </c>
      <c r="AU107">
        <f>step3_validation[[#This Row],[AI_TRU3]]</f>
        <v>7</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3</v>
      </c>
      <c r="AZ107">
        <f>step3_validation[[#This Row],[AI_TRU4]]</f>
        <v>8</v>
      </c>
      <c r="BA107" t="str">
        <f t="shared" si="48"/>
        <v>Support</v>
      </c>
      <c r="BB107">
        <f>survey_responses[[#This Row],[Tôi thấy Nhà nước đã giải thích rõ ràng, minh bạch về lý do và mục tiêu của việc sửa đổi thuế lần này. - HUMAN-TRU4]]</f>
        <v>10</v>
      </c>
      <c r="BC107" t="str">
        <f t="shared" si="49"/>
        <v>Support</v>
      </c>
      <c r="BD107" s="32">
        <f t="shared" si="50"/>
        <v>2</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2</v>
      </c>
    </row>
    <row r="108" spans="1:61" x14ac:dyDescent="0.45">
      <c r="A108" s="30">
        <f>step3_validation[[#This Row],[Persona_ID]]</f>
        <v>107</v>
      </c>
      <c r="B108" s="31">
        <f>step3_validation[[#This Row],[Used_Seed]]</f>
        <v>148</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29.307649563470548</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8</v>
      </c>
      <c r="R108" t="str">
        <f t="shared" si="27"/>
        <v>Support</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1</v>
      </c>
      <c r="V108">
        <f>step3_validation[[#This Row],[AI_ENF2]]</f>
        <v>7</v>
      </c>
      <c r="W108" t="str">
        <f t="shared" si="30"/>
        <v>Neutral</v>
      </c>
      <c r="X108">
        <f>survey_responses[[#This Row],[Tôi tin rằng Nhà nước, cơ quan thuế có đủ khả năng và công nghệ để phát hiện, xử lý nghiêm các hành vi trốn thuế. - HUMAN-ENF2]]</f>
        <v>7</v>
      </c>
      <c r="Y108" t="str">
        <f t="shared" si="31"/>
        <v>Neutral</v>
      </c>
      <c r="Z108" s="32">
        <f t="shared" si="32"/>
        <v>0</v>
      </c>
      <c r="AA108">
        <f>step3_validation[[#This Row],[AI_FAC1]]</f>
        <v>9</v>
      </c>
      <c r="AB108" t="str">
        <f t="shared" si="33"/>
        <v>Support</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2</v>
      </c>
      <c r="AF108">
        <f>step3_validation[[#This Row],[AI_FAC2]]</f>
        <v>8</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1</v>
      </c>
      <c r="AK108">
        <f>step3_validation[[#This Row],[AI_TRU1]]</f>
        <v>9</v>
      </c>
      <c r="AL108" t="str">
        <f t="shared" si="39"/>
        <v>Support</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2</v>
      </c>
      <c r="AP108">
        <f>step3_validation[[#This Row],[AI_TRU2]]</f>
        <v>8</v>
      </c>
      <c r="AQ108" t="str">
        <f t="shared" si="42"/>
        <v>Support</v>
      </c>
      <c r="AR108">
        <f>survey_responses[[#This Row],[Tôi thấy mức thuế tôi phải đóng theo phương án mới là công bằng (người thu nhập như tôi đóng mức này là hợp lý). - HUMAN-TRU2]]</f>
        <v>7</v>
      </c>
      <c r="AS108" t="str">
        <f t="shared" si="43"/>
        <v>Neutral</v>
      </c>
      <c r="AT108" s="32">
        <f t="shared" si="44"/>
        <v>1</v>
      </c>
      <c r="AU108">
        <f>step3_validation[[#This Row],[AI_TRU3]]</f>
        <v>7</v>
      </c>
      <c r="AV108" t="str">
        <f t="shared" si="45"/>
        <v>Neutral</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0</v>
      </c>
      <c r="AZ108">
        <f>step3_validation[[#This Row],[AI_TRU4]]</f>
        <v>8</v>
      </c>
      <c r="BA108" t="str">
        <f t="shared" si="48"/>
        <v>Support</v>
      </c>
      <c r="BB108">
        <f>survey_responses[[#This Row],[Tôi thấy Nhà nước đã giải thích rõ ràng, minh bạch về lý do và mục tiêu của việc sửa đổi thuế lần này. - HUMAN-TRU4]]</f>
        <v>7</v>
      </c>
      <c r="BC108" t="str">
        <f t="shared" si="49"/>
        <v>Neutral</v>
      </c>
      <c r="BD108" s="32">
        <f t="shared" si="50"/>
        <v>1</v>
      </c>
      <c r="BE108">
        <f>step3_validation[[#This Row],[AI_OUT1]]</f>
        <v>9</v>
      </c>
      <c r="BF108" t="str">
        <f t="shared" si="51"/>
        <v>Support</v>
      </c>
      <c r="BG108">
        <f>survey_responses[[#This Row],[Sau khi xem xét các quyền lợi và nghĩa vụ, bạn có ủng hộ và tuân thủ chính sách mới hiện nay? - HUMAN-OUT1]]</f>
        <v>8</v>
      </c>
      <c r="BH108" t="str">
        <f t="shared" si="52"/>
        <v>Support</v>
      </c>
      <c r="BI108" s="32">
        <f t="shared" si="53"/>
        <v>1</v>
      </c>
    </row>
    <row r="109" spans="1:61" x14ac:dyDescent="0.45">
      <c r="A109" s="30">
        <f>step3_validation[[#This Row],[Persona_ID]]</f>
        <v>108</v>
      </c>
      <c r="B109" s="31">
        <f>step3_validation[[#This Row],[Used_Seed]]</f>
        <v>149</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14.189068614330749</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t="str">
        <f t="shared" si="27"/>
        <v>Neutral</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2</v>
      </c>
      <c r="V109">
        <f>step3_validation[[#This Row],[AI_ENF2]]</f>
        <v>8</v>
      </c>
      <c r="W109" t="str">
        <f t="shared" si="30"/>
        <v>Support</v>
      </c>
      <c r="X109">
        <f>survey_responses[[#This Row],[Tôi tin rằng Nhà nước, cơ quan thuế có đủ khả năng và công nghệ để phát hiện, xử lý nghiêm các hành vi trốn thuế. - HUMAN-ENF2]]</f>
        <v>10</v>
      </c>
      <c r="Y109" t="str">
        <f t="shared" si="31"/>
        <v>Support</v>
      </c>
      <c r="Z109" s="32">
        <f t="shared" si="32"/>
        <v>2</v>
      </c>
      <c r="AA109">
        <f>step3_validation[[#This Row],[AI_FAC1]]</f>
        <v>9</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4</v>
      </c>
      <c r="AF109">
        <f>step3_validation[[#This Row],[AI_FAC2]]</f>
        <v>9</v>
      </c>
      <c r="AG109" t="str">
        <f t="shared" si="36"/>
        <v>Support</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4</v>
      </c>
      <c r="AK109">
        <f>step3_validation[[#This Row],[AI_TRU1]]</f>
        <v>8</v>
      </c>
      <c r="AL109" t="str">
        <f t="shared" si="39"/>
        <v>Support</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3</v>
      </c>
      <c r="AP109">
        <f>step3_validation[[#This Row],[AI_TRU2]]</f>
        <v>9</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2">
        <f t="shared" si="44"/>
        <v>4</v>
      </c>
      <c r="AU109">
        <f>step3_validation[[#This Row],[AI_TRU3]]</f>
        <v>8</v>
      </c>
      <c r="AV109" t="str">
        <f t="shared" si="45"/>
        <v>Support</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0</v>
      </c>
      <c r="AZ109">
        <f>step3_validation[[#This Row],[AI_TRU4]]</f>
        <v>9</v>
      </c>
      <c r="BA109" t="str">
        <f t="shared" si="48"/>
        <v>Support</v>
      </c>
      <c r="BB109">
        <f>survey_responses[[#This Row],[Tôi thấy Nhà nước đã giải thích rõ ràng, minh bạch về lý do và mục tiêu của việc sửa đổi thuế lần này. - HUMAN-TRU4]]</f>
        <v>5</v>
      </c>
      <c r="BC109" t="str">
        <f t="shared" si="49"/>
        <v>Neutral</v>
      </c>
      <c r="BD109" s="32">
        <f t="shared" si="50"/>
        <v>4</v>
      </c>
      <c r="BE109">
        <f>step3_validation[[#This Row],[AI_OUT1]]</f>
        <v>10</v>
      </c>
      <c r="BF109" t="str">
        <f t="shared" si="51"/>
        <v>Support</v>
      </c>
      <c r="BG109">
        <f>survey_responses[[#This Row],[Sau khi xem xét các quyền lợi và nghĩa vụ, bạn có ủng hộ và tuân thủ chính sách mới hiện nay? - HUMAN-OUT1]]</f>
        <v>6</v>
      </c>
      <c r="BH109" t="str">
        <f t="shared" si="52"/>
        <v>Neutral</v>
      </c>
      <c r="BI109" s="32">
        <f t="shared" si="53"/>
        <v>4</v>
      </c>
    </row>
    <row r="110" spans="1:61" x14ac:dyDescent="0.45">
      <c r="A110" s="30">
        <f>step3_validation[[#This Row],[Persona_ID]]</f>
        <v>109</v>
      </c>
      <c r="B110" s="31">
        <f>step3_validation[[#This Row],[Used_Seed]]</f>
        <v>150</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14.500927436212084</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8</v>
      </c>
      <c r="R110" t="str">
        <f t="shared" si="27"/>
        <v>Support</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2</v>
      </c>
      <c r="V110">
        <f>step3_validation[[#This Row],[AI_ENF2]]</f>
        <v>7</v>
      </c>
      <c r="W110" t="str">
        <f t="shared" si="30"/>
        <v>Neutral</v>
      </c>
      <c r="X110">
        <f>survey_responses[[#This Row],[Tôi tin rằng Nhà nước, cơ quan thuế có đủ khả năng và công nghệ để phát hiện, xử lý nghiêm các hành vi trốn thuế. - HUMAN-ENF2]]</f>
        <v>10</v>
      </c>
      <c r="Y110" t="str">
        <f t="shared" si="31"/>
        <v>Support</v>
      </c>
      <c r="Z110" s="32">
        <f t="shared" si="32"/>
        <v>3</v>
      </c>
      <c r="AA110">
        <f>step3_validation[[#This Row],[AI_FAC1]]</f>
        <v>9</v>
      </c>
      <c r="AB110" t="str">
        <f t="shared" si="33"/>
        <v>Support</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1</v>
      </c>
      <c r="AF110">
        <f>step3_validation[[#This Row],[AI_FAC2]]</f>
        <v>9</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1</v>
      </c>
      <c r="AK110">
        <f>step3_validation[[#This Row],[AI_TRU1]]</f>
        <v>8</v>
      </c>
      <c r="AL110" t="str">
        <f t="shared" si="39"/>
        <v>Support</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2</v>
      </c>
      <c r="AP110">
        <f>step3_validation[[#This Row],[AI_TRU2]]</f>
        <v>9</v>
      </c>
      <c r="AQ110" t="str">
        <f t="shared" si="42"/>
        <v>Support</v>
      </c>
      <c r="AR110">
        <f>survey_responses[[#This Row],[Tôi thấy mức thuế tôi phải đóng theo phương án mới là công bằng (người thu nhập như tôi đóng mức này là hợp lý). - HUMAN-TRU2]]</f>
        <v>10</v>
      </c>
      <c r="AS110" t="str">
        <f t="shared" si="43"/>
        <v>Support</v>
      </c>
      <c r="AT110" s="32">
        <f t="shared" si="44"/>
        <v>1</v>
      </c>
      <c r="AU110">
        <f>step3_validation[[#This Row],[AI_TRU3]]</f>
        <v>8</v>
      </c>
      <c r="AV110" t="str">
        <f t="shared" si="45"/>
        <v>Support</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2</v>
      </c>
      <c r="AZ110">
        <f>step3_validation[[#This Row],[AI_TRU4]]</f>
        <v>9</v>
      </c>
      <c r="BA110" t="str">
        <f t="shared" si="48"/>
        <v>Support</v>
      </c>
      <c r="BB110">
        <f>survey_responses[[#This Row],[Tôi thấy Nhà nước đã giải thích rõ ràng, minh bạch về lý do và mục tiêu của việc sửa đổi thuế lần này. - HUMAN-TRU4]]</f>
        <v>10</v>
      </c>
      <c r="BC110" t="str">
        <f t="shared" si="49"/>
        <v>Support</v>
      </c>
      <c r="BD110" s="32">
        <f t="shared" si="50"/>
        <v>1</v>
      </c>
      <c r="BE110">
        <f>step3_validation[[#This Row],[AI_OUT1]]</f>
        <v>8</v>
      </c>
      <c r="BF110" t="str">
        <f t="shared" si="51"/>
        <v>Support</v>
      </c>
      <c r="BG110">
        <f>survey_responses[[#This Row],[Sau khi xem xét các quyền lợi và nghĩa vụ, bạn có ủng hộ và tuân thủ chính sách mới hiện nay? - HUMAN-OUT1]]</f>
        <v>10</v>
      </c>
      <c r="BH110" t="str">
        <f t="shared" si="52"/>
        <v>Support</v>
      </c>
      <c r="BI110" s="32">
        <f t="shared" si="53"/>
        <v>2</v>
      </c>
    </row>
    <row r="111" spans="1:61" x14ac:dyDescent="0.45">
      <c r="A111" s="30">
        <f>step3_validation[[#This Row],[Persona_ID]]</f>
        <v>110</v>
      </c>
      <c r="B111" s="31">
        <f>step3_validation[[#This Row],[Used_Seed]]</f>
        <v>151</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66.698083237342587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8</v>
      </c>
      <c r="R111" t="str">
        <f t="shared" si="27"/>
        <v>Support</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1</v>
      </c>
      <c r="V111">
        <f>step3_validation[[#This Row],[AI_ENF2]]</f>
        <v>9</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2">
        <f t="shared" si="32"/>
        <v>3</v>
      </c>
      <c r="AA111">
        <f>step3_validation[[#This Row],[AI_FAC1]]</f>
        <v>8</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0</v>
      </c>
      <c r="AF111">
        <f>step3_validation[[#This Row],[AI_FAC2]]</f>
        <v>9</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1</v>
      </c>
      <c r="AK111">
        <f>step3_validation[[#This Row],[AI_TRU1]]</f>
        <v>8</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1</v>
      </c>
      <c r="AP111">
        <f>step3_validation[[#This Row],[AI_TRU2]]</f>
        <v>9</v>
      </c>
      <c r="AQ111" t="str">
        <f t="shared" si="42"/>
        <v>Support</v>
      </c>
      <c r="AR111">
        <f>survey_responses[[#This Row],[Tôi thấy mức thuế tôi phải đóng theo phương án mới là công bằng (người thu nhập như tôi đóng mức này là hợp lý). - HUMAN-TRU2]]</f>
        <v>6</v>
      </c>
      <c r="AS111" t="str">
        <f t="shared" si="43"/>
        <v>Neutral</v>
      </c>
      <c r="AT111" s="32">
        <f t="shared" si="44"/>
        <v>3</v>
      </c>
      <c r="AU111">
        <f>step3_validation[[#This Row],[AI_TRU3]]</f>
        <v>8</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3</v>
      </c>
      <c r="AZ111">
        <f>step3_validation[[#This Row],[AI_TRU4]]</f>
        <v>9</v>
      </c>
      <c r="BA111" t="str">
        <f t="shared" si="48"/>
        <v>Support</v>
      </c>
      <c r="BB111">
        <f>survey_responses[[#This Row],[Tôi thấy Nhà nước đã giải thích rõ ràng, minh bạch về lý do và mục tiêu của việc sửa đổi thuế lần này. - HUMAN-TRU4]]</f>
        <v>5</v>
      </c>
      <c r="BC111" t="str">
        <f t="shared" si="49"/>
        <v>Neutral</v>
      </c>
      <c r="BD111" s="32">
        <f t="shared" si="50"/>
        <v>4</v>
      </c>
      <c r="BE111">
        <f>step3_validation[[#This Row],[AI_OUT1]]</f>
        <v>8</v>
      </c>
      <c r="BF111" t="str">
        <f t="shared" si="51"/>
        <v>Support</v>
      </c>
      <c r="BG111">
        <f>survey_responses[[#This Row],[Sau khi xem xét các quyền lợi và nghĩa vụ, bạn có ủng hộ và tuân thủ chính sách mới hiện nay? - HUMAN-OUT1]]</f>
        <v>8</v>
      </c>
      <c r="BH111" t="str">
        <f t="shared" si="52"/>
        <v>Support</v>
      </c>
      <c r="BI111" s="32">
        <f t="shared" si="53"/>
        <v>0</v>
      </c>
    </row>
    <row r="112" spans="1:61" x14ac:dyDescent="0.45">
      <c r="A112" s="30">
        <f>step3_validation[[#This Row],[Persona_ID]]</f>
        <v>111</v>
      </c>
      <c r="B112" s="31">
        <f>step3_validation[[#This Row],[Used_Seed]]</f>
        <v>152</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23.132941615936844</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t="str">
        <f t="shared" si="27"/>
        <v>Support</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0</v>
      </c>
      <c r="V112">
        <f>step3_validation[[#This Row],[AI_ENF2]]</f>
        <v>9</v>
      </c>
      <c r="W112" t="str">
        <f t="shared" si="30"/>
        <v>Support</v>
      </c>
      <c r="X112">
        <f>survey_responses[[#This Row],[Tôi tin rằng Nhà nước, cơ quan thuế có đủ khả năng và công nghệ để phát hiện, xử lý nghiêm các hành vi trốn thuế. - HUMAN-ENF2]]</f>
        <v>8</v>
      </c>
      <c r="Y112" t="str">
        <f t="shared" si="31"/>
        <v>Support</v>
      </c>
      <c r="Z112" s="32">
        <f t="shared" si="32"/>
        <v>1</v>
      </c>
      <c r="AA112">
        <f>step3_validation[[#This Row],[AI_FAC1]]</f>
        <v>8</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2</v>
      </c>
      <c r="AF112">
        <f>step3_validation[[#This Row],[AI_FAC2]]</f>
        <v>9</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2</v>
      </c>
      <c r="AK112">
        <f>step3_validation[[#This Row],[AI_TRU1]]</f>
        <v>8</v>
      </c>
      <c r="AL112" t="str">
        <f t="shared" si="39"/>
        <v>Support</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2</v>
      </c>
      <c r="AP112">
        <f>step3_validation[[#This Row],[AI_TRU2]]</f>
        <v>9</v>
      </c>
      <c r="AQ112" t="str">
        <f t="shared" si="42"/>
        <v>Support</v>
      </c>
      <c r="AR112">
        <f>survey_responses[[#This Row],[Tôi thấy mức thuế tôi phải đóng theo phương án mới là công bằng (người thu nhập như tôi đóng mức này là hợp lý). - HUMAN-TRU2]]</f>
        <v>7</v>
      </c>
      <c r="AS112" t="str">
        <f t="shared" si="43"/>
        <v>Neutral</v>
      </c>
      <c r="AT112" s="32">
        <f t="shared" si="44"/>
        <v>2</v>
      </c>
      <c r="AU112">
        <f>step3_validation[[#This Row],[AI_TRU3]]</f>
        <v>8</v>
      </c>
      <c r="AV112" t="str">
        <f t="shared" si="45"/>
        <v>Support</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3</v>
      </c>
      <c r="AZ112">
        <f>step3_validation[[#This Row],[AI_TRU4]]</f>
        <v>7</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2">
        <f t="shared" si="50"/>
        <v>2</v>
      </c>
      <c r="BE112">
        <f>step3_validation[[#This Row],[AI_OUT1]]</f>
        <v>9</v>
      </c>
      <c r="BF112" t="str">
        <f t="shared" si="51"/>
        <v>Support</v>
      </c>
      <c r="BG112">
        <f>survey_responses[[#This Row],[Sau khi xem xét các quyền lợi và nghĩa vụ, bạn có ủng hộ và tuân thủ chính sách mới hiện nay? - HUMAN-OUT1]]</f>
        <v>5</v>
      </c>
      <c r="BH112" t="str">
        <f t="shared" si="52"/>
        <v>Neutral</v>
      </c>
      <c r="BI112" s="32">
        <f t="shared" si="53"/>
        <v>4</v>
      </c>
    </row>
    <row r="113" spans="1:61" x14ac:dyDescent="0.45">
      <c r="A113" s="30">
        <f>step3_validation[[#This Row],[Persona_ID]]</f>
        <v>112</v>
      </c>
      <c r="B113" s="31">
        <f>step3_validation[[#This Row],[Used_Seed]]</f>
        <v>153</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19.43793787470544</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8</v>
      </c>
      <c r="R113" t="str">
        <f t="shared" si="27"/>
        <v>Support</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1</v>
      </c>
      <c r="V113">
        <f>step3_validation[[#This Row],[AI_ENF2]]</f>
        <v>7</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9</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1</v>
      </c>
      <c r="AF113">
        <f>step3_validation[[#This Row],[AI_FAC2]]</f>
        <v>9</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1</v>
      </c>
      <c r="AK113">
        <f>step3_validation[[#This Row],[AI_TRU1]]</f>
        <v>7</v>
      </c>
      <c r="AL113" t="str">
        <f t="shared" si="39"/>
        <v>Neutral</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1</v>
      </c>
      <c r="AP113">
        <f>step3_validation[[#This Row],[AI_TRU2]]</f>
        <v>9</v>
      </c>
      <c r="AQ113" t="str">
        <f t="shared" si="42"/>
        <v>Support</v>
      </c>
      <c r="AR113">
        <f>survey_responses[[#This Row],[Tôi thấy mức thuế tôi phải đóng theo phương án mới là công bằng (người thu nhập như tôi đóng mức này là hợp lý). - HUMAN-TRU2]]</f>
        <v>8</v>
      </c>
      <c r="AS113" t="str">
        <f t="shared" si="43"/>
        <v>Support</v>
      </c>
      <c r="AT113" s="32">
        <f t="shared" si="44"/>
        <v>1</v>
      </c>
      <c r="AU113">
        <f>step3_validation[[#This Row],[AI_TRU3]]</f>
        <v>6</v>
      </c>
      <c r="AV113" t="str">
        <f t="shared" si="45"/>
        <v>Neutral</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2</v>
      </c>
      <c r="AZ113">
        <f>step3_validation[[#This Row],[AI_TRU4]]</f>
        <v>8</v>
      </c>
      <c r="BA113" t="str">
        <f t="shared" si="48"/>
        <v>Support</v>
      </c>
      <c r="BB113">
        <f>survey_responses[[#This Row],[Tôi thấy Nhà nước đã giải thích rõ ràng, minh bạch về lý do và mục tiêu của việc sửa đổi thuế lần này. - HUMAN-TRU4]]</f>
        <v>8</v>
      </c>
      <c r="BC113" t="str">
        <f t="shared" si="49"/>
        <v>Support</v>
      </c>
      <c r="BD113" s="32">
        <f t="shared" si="50"/>
        <v>0</v>
      </c>
      <c r="BE113">
        <f>step3_validation[[#This Row],[AI_OUT1]]</f>
        <v>9</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1</v>
      </c>
    </row>
    <row r="114" spans="1:61" x14ac:dyDescent="0.45">
      <c r="A114" s="30">
        <f>step3_validation[[#This Row],[Persona_ID]]</f>
        <v>113</v>
      </c>
      <c r="B114" s="31">
        <f>step3_validation[[#This Row],[Used_Seed]]</f>
        <v>154</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9</v>
      </c>
      <c r="R114" t="str">
        <f t="shared" si="27"/>
        <v>Support</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8</v>
      </c>
      <c r="V114">
        <f>step3_validation[[#This Row],[AI_ENF2]]</f>
        <v>8</v>
      </c>
      <c r="W114" t="str">
        <f t="shared" si="30"/>
        <v>Support</v>
      </c>
      <c r="X114">
        <f>survey_responses[[#This Row],[Tôi tin rằng Nhà nước, cơ quan thuế có đủ khả năng và công nghệ để phát hiện, xử lý nghiêm các hành vi trốn thuế. - HUMAN-ENF2]]</f>
        <v>1</v>
      </c>
      <c r="Y114" t="str">
        <f t="shared" si="31"/>
        <v>Oppose</v>
      </c>
      <c r="Z114" s="32">
        <f t="shared" si="32"/>
        <v>7</v>
      </c>
      <c r="AA114">
        <f>step3_validation[[#This Row],[AI_FAC1]]</f>
        <v>7</v>
      </c>
      <c r="AB114" t="str">
        <f t="shared" si="33"/>
        <v>Neutral</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6</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7</v>
      </c>
      <c r="AK114">
        <f>step3_validation[[#This Row],[AI_TRU1]]</f>
        <v>9</v>
      </c>
      <c r="AL114" t="str">
        <f t="shared" si="39"/>
        <v>Support</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8</v>
      </c>
      <c r="AP114">
        <f>step3_validation[[#This Row],[AI_TRU2]]</f>
        <v>8</v>
      </c>
      <c r="AQ114" t="str">
        <f t="shared" si="42"/>
        <v>Support</v>
      </c>
      <c r="AR114">
        <f>survey_responses[[#This Row],[Tôi thấy mức thuế tôi phải đóng theo phương án mới là công bằng (người thu nhập như tôi đóng mức này là hợp lý). - HUMAN-TRU2]]</f>
        <v>1</v>
      </c>
      <c r="AS114" t="str">
        <f t="shared" si="43"/>
        <v>Oppose</v>
      </c>
      <c r="AT114" s="32">
        <f t="shared" si="44"/>
        <v>7</v>
      </c>
      <c r="AU114">
        <f>step3_validation[[#This Row],[AI_TRU3]]</f>
        <v>9</v>
      </c>
      <c r="AV114" t="str">
        <f t="shared" si="45"/>
        <v>Support</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8</v>
      </c>
      <c r="AZ114">
        <f>step3_validation[[#This Row],[AI_TRU4]]</f>
        <v>8</v>
      </c>
      <c r="BA114" t="str">
        <f t="shared" si="48"/>
        <v>Support</v>
      </c>
      <c r="BB114">
        <f>survey_responses[[#This Row],[Tôi thấy Nhà nước đã giải thích rõ ràng, minh bạch về lý do và mục tiêu của việc sửa đổi thuế lần này. - HUMAN-TRU4]]</f>
        <v>1</v>
      </c>
      <c r="BC114" t="str">
        <f t="shared" si="49"/>
        <v>Oppose</v>
      </c>
      <c r="BD114" s="32">
        <f t="shared" si="50"/>
        <v>7</v>
      </c>
      <c r="BE114">
        <f>step3_validation[[#This Row],[AI_OUT1]]</f>
        <v>9</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8</v>
      </c>
    </row>
    <row r="115" spans="1:61" x14ac:dyDescent="0.45">
      <c r="A115" s="30">
        <f>step3_validation[[#This Row],[Persona_ID]]</f>
        <v>114</v>
      </c>
      <c r="B115" s="31">
        <f>step3_validation[[#This Row],[Used_Seed]]</f>
        <v>155</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19.551035595401128</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8</v>
      </c>
      <c r="R115" t="str">
        <f t="shared" si="27"/>
        <v>Support</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2</v>
      </c>
      <c r="V115">
        <f>step3_validation[[#This Row],[AI_ENF2]]</f>
        <v>7</v>
      </c>
      <c r="W115" t="str">
        <f t="shared" si="30"/>
        <v>Neutral</v>
      </c>
      <c r="X115">
        <f>survey_responses[[#This Row],[Tôi tin rằng Nhà nước, cơ quan thuế có đủ khả năng và công nghệ để phát hiện, xử lý nghiêm các hành vi trốn thuế. - HUMAN-ENF2]]</f>
        <v>10</v>
      </c>
      <c r="Y115" t="str">
        <f t="shared" si="31"/>
        <v>Support</v>
      </c>
      <c r="Z115" s="32">
        <f t="shared" si="32"/>
        <v>3</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1</v>
      </c>
      <c r="AF115">
        <f>step3_validation[[#This Row],[AI_FAC2]]</f>
        <v>8</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2</v>
      </c>
      <c r="AK115">
        <f>step3_validation[[#This Row],[AI_TRU1]]</f>
        <v>9</v>
      </c>
      <c r="AL115" t="str">
        <f t="shared" si="39"/>
        <v>Support</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1</v>
      </c>
      <c r="AP115">
        <f>step3_validation[[#This Row],[AI_TRU2]]</f>
        <v>8</v>
      </c>
      <c r="AQ115" t="str">
        <f t="shared" si="42"/>
        <v>Support</v>
      </c>
      <c r="AR115">
        <f>survey_responses[[#This Row],[Tôi thấy mức thuế tôi phải đóng theo phương án mới là công bằng (người thu nhập như tôi đóng mức này là hợp lý). - HUMAN-TRU2]]</f>
        <v>10</v>
      </c>
      <c r="AS115" t="str">
        <f t="shared" si="43"/>
        <v>Support</v>
      </c>
      <c r="AT115" s="32">
        <f t="shared" si="44"/>
        <v>2</v>
      </c>
      <c r="AU115">
        <f>step3_validation[[#This Row],[AI_TRU3]]</f>
        <v>9</v>
      </c>
      <c r="AV115" t="str">
        <f t="shared" si="45"/>
        <v>Support</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1</v>
      </c>
      <c r="AZ115">
        <f>step3_validation[[#This Row],[AI_TRU4]]</f>
        <v>8</v>
      </c>
      <c r="BA115" t="str">
        <f t="shared" si="48"/>
        <v>Support</v>
      </c>
      <c r="BB115">
        <f>survey_responses[[#This Row],[Tôi thấy Nhà nước đã giải thích rõ ràng, minh bạch về lý do và mục tiêu của việc sửa đổi thuế lần này. - HUMAN-TRU4]]</f>
        <v>10</v>
      </c>
      <c r="BC115" t="str">
        <f t="shared" si="49"/>
        <v>Support</v>
      </c>
      <c r="BD115" s="32">
        <f t="shared" si="50"/>
        <v>2</v>
      </c>
      <c r="BE115">
        <f>step3_validation[[#This Row],[AI_OUT1]]</f>
        <v>10</v>
      </c>
      <c r="BF115" t="str">
        <f t="shared" si="51"/>
        <v>Support</v>
      </c>
      <c r="BG115">
        <f>survey_responses[[#This Row],[Sau khi xem xét các quyền lợi và nghĩa vụ, bạn có ủng hộ và tuân thủ chính sách mới hiện nay? - HUMAN-OUT1]]</f>
        <v>10</v>
      </c>
      <c r="BH115" t="str">
        <f t="shared" si="52"/>
        <v>Support</v>
      </c>
      <c r="BI115" s="32">
        <f t="shared" si="53"/>
        <v>0</v>
      </c>
    </row>
    <row r="116" spans="1:61" x14ac:dyDescent="0.45">
      <c r="A116" s="30">
        <f>step3_validation[[#This Row],[Persona_ID]]</f>
        <v>115</v>
      </c>
      <c r="B116" s="31">
        <f>step3_validation[[#This Row],[Used_Seed]]</f>
        <v>156</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12.25852098708115</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7</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6</v>
      </c>
      <c r="V116">
        <f>step3_validation[[#This Row],[AI_ENF2]]</f>
        <v>8</v>
      </c>
      <c r="W116" t="str">
        <f t="shared" si="30"/>
        <v>Support</v>
      </c>
      <c r="X116">
        <f>survey_responses[[#This Row],[Tôi tin rằng Nhà nước, cơ quan thuế có đủ khả năng và công nghệ để phát hiện, xử lý nghiêm các hành vi trốn thuế. - HUMAN-ENF2]]</f>
        <v>1</v>
      </c>
      <c r="Y116" t="str">
        <f t="shared" si="31"/>
        <v>Oppose</v>
      </c>
      <c r="Z116" s="32">
        <f t="shared" si="32"/>
        <v>7</v>
      </c>
      <c r="AA116">
        <f>step3_validation[[#This Row],[AI_FAC1]]</f>
        <v>7</v>
      </c>
      <c r="AB116" t="str">
        <f t="shared" si="33"/>
        <v>Neutral</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6</v>
      </c>
      <c r="AF116">
        <f>step3_validation[[#This Row],[AI_FAC2]]</f>
        <v>9</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8</v>
      </c>
      <c r="AK116">
        <f>step3_validation[[#This Row],[AI_TRU1]]</f>
        <v>8</v>
      </c>
      <c r="AL116" t="str">
        <f t="shared" si="39"/>
        <v>Support</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7</v>
      </c>
      <c r="AP116">
        <f>step3_validation[[#This Row],[AI_TRU2]]</f>
        <v>9</v>
      </c>
      <c r="AQ116" t="str">
        <f t="shared" si="42"/>
        <v>Support</v>
      </c>
      <c r="AR116">
        <f>survey_responses[[#This Row],[Tôi thấy mức thuế tôi phải đóng theo phương án mới là công bằng (người thu nhập như tôi đóng mức này là hợp lý). - HUMAN-TRU2]]</f>
        <v>1</v>
      </c>
      <c r="AS116" t="str">
        <f t="shared" si="43"/>
        <v>Oppose</v>
      </c>
      <c r="AT116" s="32">
        <f t="shared" si="44"/>
        <v>8</v>
      </c>
      <c r="AU116">
        <f>step3_validation[[#This Row],[AI_TRU3]]</f>
        <v>8</v>
      </c>
      <c r="AV116" t="str">
        <f t="shared" si="45"/>
        <v>Support</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7</v>
      </c>
      <c r="AZ116">
        <f>step3_validation[[#This Row],[AI_TRU4]]</f>
        <v>9</v>
      </c>
      <c r="BA116" t="str">
        <f t="shared" si="48"/>
        <v>Support</v>
      </c>
      <c r="BB116">
        <f>survey_responses[[#This Row],[Tôi thấy Nhà nước đã giải thích rõ ràng, minh bạch về lý do và mục tiêu của việc sửa đổi thuế lần này. - HUMAN-TRU4]]</f>
        <v>1</v>
      </c>
      <c r="BC116" t="str">
        <f t="shared" si="49"/>
        <v>Oppose</v>
      </c>
      <c r="BD116" s="32">
        <f t="shared" si="50"/>
        <v>8</v>
      </c>
      <c r="BE116">
        <f>step3_validation[[#This Row],[AI_OUT1]]</f>
        <v>9</v>
      </c>
      <c r="BF116" t="str">
        <f t="shared" si="51"/>
        <v>Support</v>
      </c>
      <c r="BG116">
        <f>survey_responses[[#This Row],[Sau khi xem xét các quyền lợi và nghĩa vụ, bạn có ủng hộ và tuân thủ chính sách mới hiện nay? - HUMAN-OUT1]]</f>
        <v>1</v>
      </c>
      <c r="BH116" t="str">
        <f t="shared" si="52"/>
        <v>Oppose</v>
      </c>
      <c r="BI116" s="32">
        <f t="shared" si="53"/>
        <v>8</v>
      </c>
    </row>
    <row r="117" spans="1:61" x14ac:dyDescent="0.45">
      <c r="A117" s="30">
        <f>step3_validation[[#This Row],[Persona_ID]]</f>
        <v>116</v>
      </c>
      <c r="B117" s="31">
        <f>step3_validation[[#This Row],[Used_Seed]]</f>
        <v>157</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14.926006526185645</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6</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3</v>
      </c>
      <c r="V117">
        <f>step3_validation[[#This Row],[AI_ENF2]]</f>
        <v>6</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3</v>
      </c>
      <c r="AA117">
        <f>step3_validation[[#This Row],[AI_FAC1]]</f>
        <v>9</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0</v>
      </c>
      <c r="AF117">
        <f>step3_validation[[#This Row],[AI_FAC2]]</f>
        <v>8</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1</v>
      </c>
      <c r="AK117">
        <f>step3_validation[[#This Row],[AI_TRU1]]</f>
        <v>9</v>
      </c>
      <c r="AL117" t="str">
        <f t="shared" si="39"/>
        <v>Support</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0</v>
      </c>
      <c r="AP117">
        <f>step3_validation[[#This Row],[AI_TRU2]]</f>
        <v>8</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2">
        <f t="shared" si="44"/>
        <v>1</v>
      </c>
      <c r="AU117">
        <f>step3_validation[[#This Row],[AI_TRU3]]</f>
        <v>9</v>
      </c>
      <c r="AV117" t="str">
        <f t="shared" si="45"/>
        <v>Support</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0</v>
      </c>
      <c r="AZ117">
        <f>step3_validation[[#This Row],[AI_TRU4]]</f>
        <v>8</v>
      </c>
      <c r="BA117" t="str">
        <f t="shared" si="48"/>
        <v>Support</v>
      </c>
      <c r="BB117">
        <f>survey_responses[[#This Row],[Tôi thấy Nhà nước đã giải thích rõ ràng, minh bạch về lý do và mục tiêu của việc sửa đổi thuế lần này. - HUMAN-TRU4]]</f>
        <v>8</v>
      </c>
      <c r="BC117" t="str">
        <f t="shared" si="49"/>
        <v>Support</v>
      </c>
      <c r="BD117" s="32">
        <f t="shared" si="50"/>
        <v>0</v>
      </c>
      <c r="BE117">
        <f>step3_validation[[#This Row],[AI_OUT1]]</f>
        <v>9</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0</v>
      </c>
    </row>
    <row r="118" spans="1:61" x14ac:dyDescent="0.45">
      <c r="A118" s="30">
        <f>step3_validation[[#This Row],[Persona_ID]]</f>
        <v>117</v>
      </c>
      <c r="B118" s="31">
        <f>step3_validation[[#This Row],[Used_Seed]]</f>
        <v>158</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54.357397999614605</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9</v>
      </c>
      <c r="R118" t="str">
        <f t="shared" si="27"/>
        <v>Support</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1</v>
      </c>
      <c r="V118">
        <f>step3_validation[[#This Row],[AI_ENF2]]</f>
        <v>8</v>
      </c>
      <c r="W118" t="str">
        <f t="shared" si="30"/>
        <v>Support</v>
      </c>
      <c r="X118">
        <f>survey_responses[[#This Row],[Tôi tin rằng Nhà nước, cơ quan thuế có đủ khả năng và công nghệ để phát hiện, xử lý nghiêm các hành vi trốn thuế. - HUMAN-ENF2]]</f>
        <v>9</v>
      </c>
      <c r="Y118" t="str">
        <f t="shared" si="31"/>
        <v>Support</v>
      </c>
      <c r="Z118" s="32">
        <f t="shared" si="32"/>
        <v>1</v>
      </c>
      <c r="AA118">
        <f>step3_validation[[#This Row],[AI_FAC1]]</f>
        <v>8</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0</v>
      </c>
      <c r="AF118">
        <f>step3_validation[[#This Row],[AI_FAC2]]</f>
        <v>9</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3</v>
      </c>
      <c r="AK118">
        <f>step3_validation[[#This Row],[AI_TRU1]]</f>
        <v>9</v>
      </c>
      <c r="AL118" t="str">
        <f t="shared" si="39"/>
        <v>Support</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1</v>
      </c>
      <c r="AP118">
        <f>step3_validation[[#This Row],[AI_TRU2]]</f>
        <v>8</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2">
        <f t="shared" si="44"/>
        <v>0</v>
      </c>
      <c r="AU118">
        <f>step3_validation[[#This Row],[AI_TRU3]]</f>
        <v>9</v>
      </c>
      <c r="AV118" t="str">
        <f t="shared" si="45"/>
        <v>Support</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1</v>
      </c>
      <c r="AZ118">
        <f>step3_validation[[#This Row],[AI_TRU4]]</f>
        <v>8</v>
      </c>
      <c r="BA118" t="str">
        <f t="shared" si="48"/>
        <v>Support</v>
      </c>
      <c r="BB118">
        <f>survey_responses[[#This Row],[Tôi thấy Nhà nước đã giải thích rõ ràng, minh bạch về lý do và mục tiêu của việc sửa đổi thuế lần này. - HUMAN-TRU4]]</f>
        <v>8</v>
      </c>
      <c r="BC118" t="str">
        <f t="shared" si="49"/>
        <v>Support</v>
      </c>
      <c r="BD118" s="32">
        <f t="shared" si="50"/>
        <v>0</v>
      </c>
      <c r="BE118">
        <f>step3_validation[[#This Row],[AI_OUT1]]</f>
        <v>9</v>
      </c>
      <c r="BF118" t="str">
        <f t="shared" si="51"/>
        <v>Support</v>
      </c>
      <c r="BG118">
        <f>survey_responses[[#This Row],[Sau khi xem xét các quyền lợi và nghĩa vụ, bạn có ủng hộ và tuân thủ chính sách mới hiện nay? - HUMAN-OUT1]]</f>
        <v>6</v>
      </c>
      <c r="BH118" t="str">
        <f t="shared" si="52"/>
        <v>Neutral</v>
      </c>
      <c r="BI118" s="32">
        <f t="shared" si="53"/>
        <v>3</v>
      </c>
    </row>
    <row r="119" spans="1:61" x14ac:dyDescent="0.45">
      <c r="A119" s="30">
        <f>step3_validation[[#This Row],[Persona_ID]]</f>
        <v>118</v>
      </c>
      <c r="B119" s="31">
        <f>step3_validation[[#This Row],[Used_Seed]]</f>
        <v>159</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35.067836146928116</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5</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1</v>
      </c>
      <c r="V119">
        <f>step3_validation[[#This Row],[AI_ENF2]]</f>
        <v>6</v>
      </c>
      <c r="W119" t="str">
        <f t="shared" si="30"/>
        <v>Neutral</v>
      </c>
      <c r="X119">
        <f>survey_responses[[#This Row],[Tôi tin rằng Nhà nước, cơ quan thuế có đủ khả năng và công nghệ để phát hiện, xử lý nghiêm các hành vi trốn thuế. - HUMAN-ENF2]]</f>
        <v>1</v>
      </c>
      <c r="Y119" t="str">
        <f t="shared" si="31"/>
        <v>Oppose</v>
      </c>
      <c r="Z119" s="32">
        <f t="shared" si="32"/>
        <v>5</v>
      </c>
      <c r="AA119">
        <f>step3_validation[[#This Row],[AI_FAC1]]</f>
        <v>8</v>
      </c>
      <c r="AB119" t="str">
        <f t="shared" si="33"/>
        <v>Support</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7</v>
      </c>
      <c r="AF119">
        <f>step3_validation[[#This Row],[AI_FAC2]]</f>
        <v>9</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4</v>
      </c>
      <c r="AK119">
        <f>step3_validation[[#This Row],[AI_TRU1]]</f>
        <v>7</v>
      </c>
      <c r="AL119" t="str">
        <f t="shared" si="39"/>
        <v>Neutral</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6</v>
      </c>
      <c r="AP119">
        <f>step3_validation[[#This Row],[AI_TRU2]]</f>
        <v>8</v>
      </c>
      <c r="AQ119" t="str">
        <f t="shared" si="42"/>
        <v>Support</v>
      </c>
      <c r="AR119">
        <f>survey_responses[[#This Row],[Tôi thấy mức thuế tôi phải đóng theo phương án mới là công bằng (người thu nhập như tôi đóng mức này là hợp lý). - HUMAN-TRU2]]</f>
        <v>3</v>
      </c>
      <c r="AS119" t="str">
        <f t="shared" si="43"/>
        <v>Oppose</v>
      </c>
      <c r="AT119" s="32">
        <f t="shared" si="44"/>
        <v>5</v>
      </c>
      <c r="AU119">
        <f>step3_validation[[#This Row],[AI_TRU3]]</f>
        <v>7</v>
      </c>
      <c r="AV119" t="str">
        <f t="shared" si="45"/>
        <v>Neutral</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6</v>
      </c>
      <c r="AZ119">
        <f>step3_validation[[#This Row],[AI_TRU4]]</f>
        <v>8</v>
      </c>
      <c r="BA119" t="str">
        <f t="shared" si="48"/>
        <v>Support</v>
      </c>
      <c r="BB119">
        <f>survey_responses[[#This Row],[Tôi thấy Nhà nước đã giải thích rõ ràng, minh bạch về lý do và mục tiêu của việc sửa đổi thuế lần này. - HUMAN-TRU4]]</f>
        <v>1</v>
      </c>
      <c r="BC119" t="str">
        <f t="shared" si="49"/>
        <v>Oppose</v>
      </c>
      <c r="BD119" s="32">
        <f t="shared" si="50"/>
        <v>7</v>
      </c>
      <c r="BE119">
        <f>step3_validation[[#This Row],[AI_OUT1]]</f>
        <v>7</v>
      </c>
      <c r="BF119" t="str">
        <f t="shared" si="51"/>
        <v>Neutral</v>
      </c>
      <c r="BG119">
        <f>survey_responses[[#This Row],[Sau khi xem xét các quyền lợi và nghĩa vụ, bạn có ủng hộ và tuân thủ chính sách mới hiện nay? - HUMAN-OUT1]]</f>
        <v>5</v>
      </c>
      <c r="BH119" t="str">
        <f t="shared" si="52"/>
        <v>Neutral</v>
      </c>
      <c r="BI119" s="32">
        <f t="shared" si="53"/>
        <v>2</v>
      </c>
    </row>
    <row r="120" spans="1:61" x14ac:dyDescent="0.45">
      <c r="A120" s="30">
        <f>step3_validation[[#This Row],[Persona_ID]]</f>
        <v>119</v>
      </c>
      <c r="B120" s="31">
        <f>step3_validation[[#This Row],[Used_Seed]]</f>
        <v>160</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64.115804334565809</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8</v>
      </c>
      <c r="R120" t="str">
        <f t="shared" si="27"/>
        <v>Support</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0</v>
      </c>
      <c r="V120">
        <f>step3_validation[[#This Row],[AI_ENF2]]</f>
        <v>7</v>
      </c>
      <c r="W120" t="str">
        <f t="shared" si="30"/>
        <v>Neutral</v>
      </c>
      <c r="X120">
        <f>survey_responses[[#This Row],[Tôi tin rằng Nhà nước, cơ quan thuế có đủ khả năng và công nghệ để phát hiện, xử lý nghiêm các hành vi trốn thuế. - HUMAN-ENF2]]</f>
        <v>8</v>
      </c>
      <c r="Y120" t="str">
        <f t="shared" si="31"/>
        <v>Support</v>
      </c>
      <c r="Z120" s="32">
        <f t="shared" si="32"/>
        <v>1</v>
      </c>
      <c r="AA120">
        <f>step3_validation[[#This Row],[AI_FAC1]]</f>
        <v>9</v>
      </c>
      <c r="AB120" t="str">
        <f t="shared" si="33"/>
        <v>Support</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3</v>
      </c>
      <c r="AF120">
        <f>step3_validation[[#This Row],[AI_FAC2]]</f>
        <v>8</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1</v>
      </c>
      <c r="AK120">
        <f>step3_validation[[#This Row],[AI_TRU1]]</f>
        <v>9</v>
      </c>
      <c r="AL120" t="str">
        <f t="shared" si="39"/>
        <v>Support</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1</v>
      </c>
      <c r="AP120">
        <f>step3_validation[[#This Row],[AI_TRU2]]</f>
        <v>7</v>
      </c>
      <c r="AQ120" t="str">
        <f t="shared" si="42"/>
        <v>Neutral</v>
      </c>
      <c r="AR120">
        <f>survey_responses[[#This Row],[Tôi thấy mức thuế tôi phải đóng theo phương án mới là công bằng (người thu nhập như tôi đóng mức này là hợp lý). - HUMAN-TRU2]]</f>
        <v>7</v>
      </c>
      <c r="AS120" t="str">
        <f t="shared" si="43"/>
        <v>Neutral</v>
      </c>
      <c r="AT120" s="32">
        <f t="shared" si="44"/>
        <v>0</v>
      </c>
      <c r="AU120">
        <f>step3_validation[[#This Row],[AI_TRU3]]</f>
        <v>8</v>
      </c>
      <c r="AV120" t="str">
        <f t="shared" si="45"/>
        <v>Support</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1</v>
      </c>
      <c r="AZ120">
        <f>step3_validation[[#This Row],[AI_TRU4]]</f>
        <v>6</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1</v>
      </c>
      <c r="BE120">
        <f>step3_validation[[#This Row],[AI_OUT1]]</f>
        <v>8</v>
      </c>
      <c r="BF120" t="str">
        <f t="shared" si="51"/>
        <v>Support</v>
      </c>
      <c r="BG120">
        <f>survey_responses[[#This Row],[Sau khi xem xét các quyền lợi và nghĩa vụ, bạn có ủng hộ và tuân thủ chính sách mới hiện nay? - HUMAN-OUT1]]</f>
        <v>7</v>
      </c>
      <c r="BH120" t="str">
        <f t="shared" si="52"/>
        <v>Neutral</v>
      </c>
      <c r="BI120" s="32">
        <f t="shared" si="53"/>
        <v>1</v>
      </c>
    </row>
    <row r="121" spans="1:61" x14ac:dyDescent="0.45">
      <c r="A121" s="30">
        <f>step3_validation[[#This Row],[Persona_ID]]</f>
        <v>120</v>
      </c>
      <c r="B121" s="31">
        <f>step3_validation[[#This Row],[Used_Seed]]</f>
        <v>161</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25.663526697818767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1</v>
      </c>
      <c r="V121">
        <f>step3_validation[[#This Row],[AI_ENF2]]</f>
        <v>8</v>
      </c>
      <c r="W121" t="str">
        <f t="shared" si="30"/>
        <v>Support</v>
      </c>
      <c r="X121">
        <f>survey_responses[[#This Row],[Tôi tin rằng Nhà nước, cơ quan thuế có đủ khả năng và công nghệ để phát hiện, xử lý nghiêm các hành vi trốn thuế. - HUMAN-ENF2]]</f>
        <v>6</v>
      </c>
      <c r="Y121" t="str">
        <f t="shared" si="31"/>
        <v>Neutral</v>
      </c>
      <c r="Z121" s="32">
        <f t="shared" si="32"/>
        <v>2</v>
      </c>
      <c r="AA121">
        <f>step3_validation[[#This Row],[AI_FAC1]]</f>
        <v>9</v>
      </c>
      <c r="AB121" t="str">
        <f t="shared" si="33"/>
        <v>Support</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3</v>
      </c>
      <c r="AF121">
        <f>step3_validation[[#This Row],[AI_FAC2]]</f>
        <v>9</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3</v>
      </c>
      <c r="AK121">
        <f>step3_validation[[#This Row],[AI_TRU1]]</f>
        <v>7</v>
      </c>
      <c r="AL121" t="str">
        <f t="shared" si="39"/>
        <v>Neutral</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1</v>
      </c>
      <c r="AP121">
        <f>step3_validation[[#This Row],[AI_TRU2]]</f>
        <v>8</v>
      </c>
      <c r="AQ121" t="str">
        <f t="shared" si="42"/>
        <v>Support</v>
      </c>
      <c r="AR121">
        <f>survey_responses[[#This Row],[Tôi thấy mức thuế tôi phải đóng theo phương án mới là công bằng (người thu nhập như tôi đóng mức này là hợp lý). - HUMAN-TRU2]]</f>
        <v>6</v>
      </c>
      <c r="AS121" t="str">
        <f t="shared" si="43"/>
        <v>Neutral</v>
      </c>
      <c r="AT121" s="32">
        <f t="shared" si="44"/>
        <v>2</v>
      </c>
      <c r="AU121">
        <f>step3_validation[[#This Row],[AI_TRU3]]</f>
        <v>6</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0</v>
      </c>
      <c r="AZ121">
        <f>step3_validation[[#This Row],[AI_TRU4]]</f>
        <v>7</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1</v>
      </c>
      <c r="BE121">
        <f>step3_validation[[#This Row],[AI_OUT1]]</f>
        <v>9</v>
      </c>
      <c r="BF121" t="str">
        <f t="shared" si="51"/>
        <v>Support</v>
      </c>
      <c r="BG121">
        <f>survey_responses[[#This Row],[Sau khi xem xét các quyền lợi và nghĩa vụ, bạn có ủng hộ và tuân thủ chính sách mới hiện nay? - HUMAN-OUT1]]</f>
        <v>6</v>
      </c>
      <c r="BH121" t="str">
        <f t="shared" si="52"/>
        <v>Neutral</v>
      </c>
      <c r="BI121" s="32">
        <f t="shared" si="53"/>
        <v>3</v>
      </c>
    </row>
    <row r="122" spans="1:61" x14ac:dyDescent="0.45">
      <c r="A122" s="30">
        <f>step3_validation[[#This Row],[Persona_ID]]</f>
        <v>121</v>
      </c>
      <c r="B122" s="31">
        <f>step3_validation[[#This Row],[Used_Seed]]</f>
        <v>162</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181.12453379527199</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6</v>
      </c>
      <c r="V122">
        <f>step3_validation[[#This Row],[AI_ENF2]]</f>
        <v>8</v>
      </c>
      <c r="W122" t="str">
        <f t="shared" si="30"/>
        <v>Support</v>
      </c>
      <c r="X122">
        <f>survey_responses[[#This Row],[Tôi tin rằng Nhà nước, cơ quan thuế có đủ khả năng và công nghệ để phát hiện, xử lý nghiêm các hành vi trốn thuế. - HUMAN-ENF2]]</f>
        <v>1</v>
      </c>
      <c r="Y122" t="str">
        <f t="shared" si="31"/>
        <v>Oppose</v>
      </c>
      <c r="Z122" s="32">
        <f t="shared" si="32"/>
        <v>7</v>
      </c>
      <c r="AA122">
        <f>step3_validation[[#This Row],[AI_FAC1]]</f>
        <v>6</v>
      </c>
      <c r="AB122" t="str">
        <f t="shared" si="33"/>
        <v>Neutral</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5</v>
      </c>
      <c r="AF122">
        <f>step3_validation[[#This Row],[AI_FAC2]]</f>
        <v>9</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4</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8</v>
      </c>
      <c r="AQ122" t="str">
        <f t="shared" si="42"/>
        <v>Support</v>
      </c>
      <c r="AR122">
        <f>survey_responses[[#This Row],[Tôi thấy mức thuế tôi phải đóng theo phương án mới là công bằng (người thu nhập như tôi đóng mức này là hợp lý). - HUMAN-TRU2]]</f>
        <v>1</v>
      </c>
      <c r="AS122" t="str">
        <f t="shared" si="43"/>
        <v>Oppose</v>
      </c>
      <c r="AT122" s="32">
        <f t="shared" si="44"/>
        <v>7</v>
      </c>
      <c r="AU122">
        <f>step3_validation[[#This Row],[AI_TRU3]]</f>
        <v>7</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6</v>
      </c>
      <c r="AZ122">
        <f>step3_validation[[#This Row],[AI_TRU4]]</f>
        <v>6</v>
      </c>
      <c r="BA122" t="str">
        <f t="shared" si="48"/>
        <v>Neutral</v>
      </c>
      <c r="BB122">
        <f>survey_responses[[#This Row],[Tôi thấy Nhà nước đã giải thích rõ ràng, minh bạch về lý do và mục tiêu của việc sửa đổi thuế lần này. - HUMAN-TRU4]]</f>
        <v>1</v>
      </c>
      <c r="BC122" t="str">
        <f t="shared" si="49"/>
        <v>Oppose</v>
      </c>
      <c r="BD122" s="32">
        <f t="shared" si="50"/>
        <v>5</v>
      </c>
      <c r="BE122">
        <f>step3_validation[[#This Row],[AI_OUT1]]</f>
        <v>9</v>
      </c>
      <c r="BF122" t="str">
        <f t="shared" si="51"/>
        <v>Support</v>
      </c>
      <c r="BG122">
        <f>survey_responses[[#This Row],[Sau khi xem xét các quyền lợi và nghĩa vụ, bạn có ủng hộ và tuân thủ chính sách mới hiện nay? - HUMAN-OUT1]]</f>
        <v>5</v>
      </c>
      <c r="BH122" t="str">
        <f t="shared" si="52"/>
        <v>Neutral</v>
      </c>
      <c r="BI122" s="32">
        <f t="shared" si="53"/>
        <v>4</v>
      </c>
    </row>
    <row r="123" spans="1:61" x14ac:dyDescent="0.45">
      <c r="A123" s="30">
        <f>step3_validation[[#This Row],[Persona_ID]]</f>
        <v>122</v>
      </c>
      <c r="B123" s="31">
        <f>step3_validation[[#This Row],[Used_Seed]]</f>
        <v>163</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210.09545177990483</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9</v>
      </c>
      <c r="R123" t="str">
        <f t="shared" si="27"/>
        <v>Support</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5</v>
      </c>
      <c r="V123">
        <f>step3_validation[[#This Row],[AI_ENF2]]</f>
        <v>8</v>
      </c>
      <c r="W123" t="str">
        <f t="shared" si="30"/>
        <v>Support</v>
      </c>
      <c r="X123">
        <f>survey_responses[[#This Row],[Tôi tin rằng Nhà nước, cơ quan thuế có đủ khả năng và công nghệ để phát hiện, xử lý nghiêm các hành vi trốn thuế. - HUMAN-ENF2]]</f>
        <v>4</v>
      </c>
      <c r="Y123" t="str">
        <f t="shared" si="31"/>
        <v>Oppose</v>
      </c>
      <c r="Z123" s="32">
        <f t="shared" si="32"/>
        <v>4</v>
      </c>
      <c r="AA123">
        <f>step3_validation[[#This Row],[AI_FAC1]]</f>
        <v>9</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7</v>
      </c>
      <c r="AF123">
        <f>step3_validation[[#This Row],[AI_FAC2]]</f>
        <v>8</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3</v>
      </c>
      <c r="AK123">
        <f>step3_validation[[#This Row],[AI_TRU1]]</f>
        <v>7</v>
      </c>
      <c r="AL123" t="str">
        <f t="shared" si="39"/>
        <v>Neutral</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6</v>
      </c>
      <c r="AP123">
        <f>step3_validation[[#This Row],[AI_TRU2]]</f>
        <v>8</v>
      </c>
      <c r="AQ123" t="str">
        <f t="shared" si="42"/>
        <v>Support</v>
      </c>
      <c r="AR123">
        <f>survey_responses[[#This Row],[Tôi thấy mức thuế tôi phải đóng theo phương án mới là công bằng (người thu nhập như tôi đóng mức này là hợp lý). - HUMAN-TRU2]]</f>
        <v>1</v>
      </c>
      <c r="AS123" t="str">
        <f t="shared" si="43"/>
        <v>Oppose</v>
      </c>
      <c r="AT123" s="32">
        <f t="shared" si="44"/>
        <v>7</v>
      </c>
      <c r="AU123">
        <f>step3_validation[[#This Row],[AI_TRU3]]</f>
        <v>7</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6</v>
      </c>
      <c r="AZ123">
        <f>step3_validation[[#This Row],[AI_TRU4]]</f>
        <v>8</v>
      </c>
      <c r="BA123" t="str">
        <f t="shared" si="48"/>
        <v>Support</v>
      </c>
      <c r="BB123">
        <f>survey_responses[[#This Row],[Tôi thấy Nhà nước đã giải thích rõ ràng, minh bạch về lý do và mục tiêu của việc sửa đổi thuế lần này. - HUMAN-TRU4]]</f>
        <v>4</v>
      </c>
      <c r="BC123" t="str">
        <f t="shared" si="49"/>
        <v>Oppose</v>
      </c>
      <c r="BD123" s="32">
        <f t="shared" si="50"/>
        <v>4</v>
      </c>
      <c r="BE123">
        <f>step3_validation[[#This Row],[AI_OUT1]]</f>
        <v>9</v>
      </c>
      <c r="BF123" t="str">
        <f t="shared" si="51"/>
        <v>Support</v>
      </c>
      <c r="BG123">
        <f>survey_responses[[#This Row],[Sau khi xem xét các quyền lợi và nghĩa vụ, bạn có ủng hộ và tuân thủ chính sách mới hiện nay? - HUMAN-OUT1]]</f>
        <v>4</v>
      </c>
      <c r="BH123" t="str">
        <f t="shared" si="52"/>
        <v>Oppose</v>
      </c>
      <c r="BI123" s="32">
        <f t="shared" si="53"/>
        <v>5</v>
      </c>
    </row>
    <row r="124" spans="1:61" x14ac:dyDescent="0.45">
      <c r="A124" s="30">
        <f>step3_validation[[#This Row],[Persona_ID]]</f>
        <v>123</v>
      </c>
      <c r="B124" s="31">
        <f>step3_validation[[#This Row],[Used_Seed]]</f>
        <v>164</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t="str">
        <f t="shared" si="27"/>
        <v>Support</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1</v>
      </c>
      <c r="V124">
        <f>step3_validation[[#This Row],[AI_ENF2]]</f>
        <v>9</v>
      </c>
      <c r="W124" t="str">
        <f t="shared" si="30"/>
        <v>Support</v>
      </c>
      <c r="X124">
        <f>survey_responses[[#This Row],[Tôi tin rằng Nhà nước, cơ quan thuế có đủ khả năng và công nghệ để phát hiện, xử lý nghiêm các hành vi trốn thuế. - HUMAN-ENF2]]</f>
        <v>7</v>
      </c>
      <c r="Y124" t="str">
        <f t="shared" si="31"/>
        <v>Neutral</v>
      </c>
      <c r="Z124" s="32">
        <f t="shared" si="32"/>
        <v>2</v>
      </c>
      <c r="AA124">
        <f>step3_validation[[#This Row],[AI_FAC1]]</f>
        <v>8</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1</v>
      </c>
      <c r="AF124">
        <f>step3_validation[[#This Row],[AI_FAC2]]</f>
        <v>9</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2</v>
      </c>
      <c r="AK124">
        <f>step3_validation[[#This Row],[AI_TRU1]]</f>
        <v>8</v>
      </c>
      <c r="AL124" t="str">
        <f t="shared" si="39"/>
        <v>Support</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1</v>
      </c>
      <c r="AP124">
        <f>step3_validation[[#This Row],[AI_TRU2]]</f>
        <v>9</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2">
        <f t="shared" si="44"/>
        <v>2</v>
      </c>
      <c r="AU124">
        <f>step3_validation[[#This Row],[AI_TRU3]]</f>
        <v>8</v>
      </c>
      <c r="AV124" t="str">
        <f t="shared" si="45"/>
        <v>Support</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1</v>
      </c>
      <c r="AZ124">
        <f>step3_validation[[#This Row],[AI_TRU4]]</f>
        <v>9</v>
      </c>
      <c r="BA124" t="str">
        <f t="shared" si="48"/>
        <v>Support</v>
      </c>
      <c r="BB124">
        <f>survey_responses[[#This Row],[Tôi thấy Nhà nước đã giải thích rõ ràng, minh bạch về lý do và mục tiêu của việc sửa đổi thuế lần này. - HUMAN-TRU4]]</f>
        <v>7</v>
      </c>
      <c r="BC124" t="str">
        <f t="shared" si="49"/>
        <v>Neutral</v>
      </c>
      <c r="BD124" s="32">
        <f t="shared" si="50"/>
        <v>2</v>
      </c>
      <c r="BE124">
        <f>step3_validation[[#This Row],[AI_OUT1]]</f>
        <v>8</v>
      </c>
      <c r="BF124" t="str">
        <f t="shared" si="51"/>
        <v>Support</v>
      </c>
      <c r="BG124">
        <f>survey_responses[[#This Row],[Sau khi xem xét các quyền lợi và nghĩa vụ, bạn có ủng hộ và tuân thủ chính sách mới hiện nay? - HUMAN-OUT1]]</f>
        <v>8</v>
      </c>
      <c r="BH124" t="str">
        <f t="shared" si="52"/>
        <v>Support</v>
      </c>
      <c r="BI124" s="32">
        <f t="shared" si="53"/>
        <v>0</v>
      </c>
    </row>
    <row r="125" spans="1:61" x14ac:dyDescent="0.45">
      <c r="A125" s="30">
        <f>step3_validation[[#This Row],[Persona_ID]]</f>
        <v>124</v>
      </c>
      <c r="B125" s="31">
        <f>step3_validation[[#This Row],[Used_Seed]]</f>
        <v>165</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41.047689617750216</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5</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5</v>
      </c>
      <c r="V125">
        <f>step3_validation[[#This Row],[AI_ENF2]]</f>
        <v>6</v>
      </c>
      <c r="W125" t="str">
        <f t="shared" si="30"/>
        <v>Neutral</v>
      </c>
      <c r="X125">
        <f>survey_responses[[#This Row],[Tôi tin rằng Nhà nước, cơ quan thuế có đủ khả năng và công nghệ để phát hiện, xử lý nghiêm các hành vi trốn thuế. - HUMAN-ENF2]]</f>
        <v>9</v>
      </c>
      <c r="Y125" t="str">
        <f t="shared" si="31"/>
        <v>Support</v>
      </c>
      <c r="Z125" s="32">
        <f t="shared" si="32"/>
        <v>3</v>
      </c>
      <c r="AA125">
        <f>step3_validation[[#This Row],[AI_FAC1]]</f>
        <v>7</v>
      </c>
      <c r="AB125" t="str">
        <f t="shared" si="33"/>
        <v>Neutral</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3</v>
      </c>
      <c r="AF125">
        <f>step3_validation[[#This Row],[AI_FAC2]]</f>
        <v>8</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2</v>
      </c>
      <c r="AK125">
        <f>step3_validation[[#This Row],[AI_TRU1]]</f>
        <v>6</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4</v>
      </c>
      <c r="AP125">
        <f>step3_validation[[#This Row],[AI_TRU2]]</f>
        <v>8</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2">
        <f t="shared" si="44"/>
        <v>0</v>
      </c>
      <c r="AU125">
        <f>step3_validation[[#This Row],[AI_TRU3]]</f>
        <v>6</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3</v>
      </c>
      <c r="AZ125">
        <f>step3_validation[[#This Row],[AI_TRU4]]</f>
        <v>7</v>
      </c>
      <c r="BA125" t="str">
        <f t="shared" si="48"/>
        <v>Neutral</v>
      </c>
      <c r="BB125">
        <f>survey_responses[[#This Row],[Tôi thấy Nhà nước đã giải thích rõ ràng, minh bạch về lý do và mục tiêu của việc sửa đổi thuế lần này. - HUMAN-TRU4]]</f>
        <v>9</v>
      </c>
      <c r="BC125" t="str">
        <f t="shared" si="49"/>
        <v>Support</v>
      </c>
      <c r="BD125" s="32">
        <f t="shared" si="50"/>
        <v>2</v>
      </c>
      <c r="BE125">
        <f>step3_validation[[#This Row],[AI_OUT1]]</f>
        <v>9</v>
      </c>
      <c r="BF125" t="str">
        <f t="shared" si="51"/>
        <v>Support</v>
      </c>
      <c r="BG125">
        <f>survey_responses[[#This Row],[Sau khi xem xét các quyền lợi và nghĩa vụ, bạn có ủng hộ và tuân thủ chính sách mới hiện nay? - HUMAN-OUT1]]</f>
        <v>9</v>
      </c>
      <c r="BH125" t="str">
        <f t="shared" si="52"/>
        <v>Support</v>
      </c>
      <c r="BI125" s="32">
        <f t="shared" si="53"/>
        <v>0</v>
      </c>
    </row>
    <row r="126" spans="1:61" x14ac:dyDescent="0.45">
      <c r="A126" s="30">
        <f>step3_validation[[#This Row],[Persona_ID]]</f>
        <v>125</v>
      </c>
      <c r="B126" s="31">
        <f>step3_validation[[#This Row],[Used_Seed]]</f>
        <v>166</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13.213746170526317</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8</v>
      </c>
      <c r="R126" t="str">
        <f t="shared" si="27"/>
        <v>Support</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2</v>
      </c>
      <c r="V126">
        <f>step3_validation[[#This Row],[AI_ENF2]]</f>
        <v>9</v>
      </c>
      <c r="W126" t="str">
        <f t="shared" si="30"/>
        <v>Support</v>
      </c>
      <c r="X126">
        <f>survey_responses[[#This Row],[Tôi tin rằng Nhà nước, cơ quan thuế có đủ khả năng và công nghệ để phát hiện, xử lý nghiêm các hành vi trốn thuế. - HUMAN-ENF2]]</f>
        <v>10</v>
      </c>
      <c r="Y126" t="str">
        <f t="shared" si="31"/>
        <v>Support</v>
      </c>
      <c r="Z126" s="32">
        <f t="shared" si="32"/>
        <v>1</v>
      </c>
      <c r="AA126">
        <f>step3_validation[[#This Row],[AI_FAC1]]</f>
        <v>8</v>
      </c>
      <c r="AB126" t="str">
        <f t="shared" si="33"/>
        <v>Support</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2</v>
      </c>
      <c r="AF126">
        <f>step3_validation[[#This Row],[AI_FAC2]]</f>
        <v>9</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1</v>
      </c>
      <c r="AK126">
        <f>step3_validation[[#This Row],[AI_TRU1]]</f>
        <v>8</v>
      </c>
      <c r="AL126" t="str">
        <f t="shared" si="39"/>
        <v>Support</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2</v>
      </c>
      <c r="AP126">
        <f>step3_validation[[#This Row],[AI_TRU2]]</f>
        <v>9</v>
      </c>
      <c r="AQ126" t="str">
        <f t="shared" si="42"/>
        <v>Support</v>
      </c>
      <c r="AR126">
        <f>survey_responses[[#This Row],[Tôi thấy mức thuế tôi phải đóng theo phương án mới là công bằng (người thu nhập như tôi đóng mức này là hợp lý). - HUMAN-TRU2]]</f>
        <v>10</v>
      </c>
      <c r="AS126" t="str">
        <f t="shared" si="43"/>
        <v>Support</v>
      </c>
      <c r="AT126" s="32">
        <f t="shared" si="44"/>
        <v>1</v>
      </c>
      <c r="AU126">
        <f>step3_validation[[#This Row],[AI_TRU3]]</f>
        <v>8</v>
      </c>
      <c r="AV126" t="str">
        <f t="shared" si="45"/>
        <v>Support</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2</v>
      </c>
      <c r="AZ126">
        <f>step3_validation[[#This Row],[AI_TRU4]]</f>
        <v>7</v>
      </c>
      <c r="BA126" t="str">
        <f t="shared" si="48"/>
        <v>Neutral</v>
      </c>
      <c r="BB126">
        <f>survey_responses[[#This Row],[Tôi thấy Nhà nước đã giải thích rõ ràng, minh bạch về lý do và mục tiêu của việc sửa đổi thuế lần này. - HUMAN-TRU4]]</f>
        <v>10</v>
      </c>
      <c r="BC126" t="str">
        <f t="shared" si="49"/>
        <v>Support</v>
      </c>
      <c r="BD126" s="32">
        <f t="shared" si="50"/>
        <v>3</v>
      </c>
      <c r="BE126">
        <f>step3_validation[[#This Row],[AI_OUT1]]</f>
        <v>8</v>
      </c>
      <c r="BF126" t="str">
        <f t="shared" si="51"/>
        <v>Support</v>
      </c>
      <c r="BG126">
        <f>survey_responses[[#This Row],[Sau khi xem xét các quyền lợi và nghĩa vụ, bạn có ủng hộ và tuân thủ chính sách mới hiện nay? - HUMAN-OUT1]]</f>
        <v>10</v>
      </c>
      <c r="BH126" t="str">
        <f t="shared" si="52"/>
        <v>Support</v>
      </c>
      <c r="BI126" s="32">
        <f t="shared" si="53"/>
        <v>2</v>
      </c>
    </row>
    <row r="127" spans="1:61" x14ac:dyDescent="0.45">
      <c r="A127" s="30">
        <f>step3_validation[[#This Row],[Persona_ID]]</f>
        <v>126</v>
      </c>
      <c r="B127" s="31">
        <f>step3_validation[[#This Row],[Used_Seed]]</f>
        <v>167</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24.996805599134536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t="str">
        <f t="shared" si="27"/>
        <v>Neutral</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1</v>
      </c>
      <c r="V127">
        <f>step3_validation[[#This Row],[AI_ENF2]]</f>
        <v>8</v>
      </c>
      <c r="W127" t="str">
        <f t="shared" si="30"/>
        <v>Support</v>
      </c>
      <c r="X127">
        <f>survey_responses[[#This Row],[Tôi tin rằng Nhà nước, cơ quan thuế có đủ khả năng và công nghệ để phát hiện, xử lý nghiêm các hành vi trốn thuế. - HUMAN-ENF2]]</f>
        <v>8</v>
      </c>
      <c r="Y127" t="str">
        <f t="shared" si="31"/>
        <v>Support</v>
      </c>
      <c r="Z127" s="32">
        <f t="shared" si="32"/>
        <v>0</v>
      </c>
      <c r="AA127">
        <f>step3_validation[[#This Row],[AI_FAC1]]</f>
        <v>9</v>
      </c>
      <c r="AB127" t="str">
        <f t="shared" si="33"/>
        <v>Support</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4</v>
      </c>
      <c r="AF127">
        <f>step3_validation[[#This Row],[AI_FAC2]]</f>
        <v>9</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1</v>
      </c>
      <c r="AK127">
        <f>step3_validation[[#This Row],[AI_TRU1]]</f>
        <v>6</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2</v>
      </c>
      <c r="AP127">
        <f>step3_validation[[#This Row],[AI_TRU2]]</f>
        <v>8</v>
      </c>
      <c r="AQ127" t="str">
        <f t="shared" si="42"/>
        <v>Support</v>
      </c>
      <c r="AR127">
        <f>survey_responses[[#This Row],[Tôi thấy mức thuế tôi phải đóng theo phương án mới là công bằng (người thu nhập như tôi đóng mức này là hợp lý). - HUMAN-TRU2]]</f>
        <v>8</v>
      </c>
      <c r="AS127" t="str">
        <f t="shared" si="43"/>
        <v>Support</v>
      </c>
      <c r="AT127" s="32">
        <f t="shared" si="44"/>
        <v>0</v>
      </c>
      <c r="AU127">
        <f>step3_validation[[#This Row],[AI_TRU3]]</f>
        <v>7</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0</v>
      </c>
      <c r="AZ127">
        <f>step3_validation[[#This Row],[AI_TRU4]]</f>
        <v>6</v>
      </c>
      <c r="BA127" t="str">
        <f t="shared" si="48"/>
        <v>Neutral</v>
      </c>
      <c r="BB127">
        <f>survey_responses[[#This Row],[Tôi thấy Nhà nước đã giải thích rõ ràng, minh bạch về lý do và mục tiêu của việc sửa đổi thuế lần này. - HUMAN-TRU4]]</f>
        <v>7</v>
      </c>
      <c r="BC127" t="str">
        <f t="shared" si="49"/>
        <v>Neutral</v>
      </c>
      <c r="BD127" s="32">
        <f t="shared" si="50"/>
        <v>1</v>
      </c>
      <c r="BE127">
        <f>step3_validation[[#This Row],[AI_OUT1]]</f>
        <v>9</v>
      </c>
      <c r="BF127" t="str">
        <f t="shared" si="51"/>
        <v>Support</v>
      </c>
      <c r="BG127">
        <f>survey_responses[[#This Row],[Sau khi xem xét các quyền lợi và nghĩa vụ, bạn có ủng hộ và tuân thủ chính sách mới hiện nay? - HUMAN-OUT1]]</f>
        <v>8</v>
      </c>
      <c r="BH127" t="str">
        <f t="shared" si="52"/>
        <v>Support</v>
      </c>
      <c r="BI127" s="32">
        <f t="shared" si="53"/>
        <v>1</v>
      </c>
    </row>
    <row r="128" spans="1:61" x14ac:dyDescent="0.45">
      <c r="A128" s="30">
        <f>step3_validation[[#This Row],[Persona_ID]]</f>
        <v>127</v>
      </c>
      <c r="B128" s="31">
        <f>step3_validation[[#This Row],[Used_Seed]]</f>
        <v>168</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137.79734230505227</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8</v>
      </c>
      <c r="R128" t="str">
        <f t="shared" si="27"/>
        <v>Support</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7</v>
      </c>
      <c r="V128">
        <f>step3_validation[[#This Row],[AI_ENF2]]</f>
        <v>7</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6</v>
      </c>
      <c r="AA128">
        <f>step3_validation[[#This Row],[AI_FAC1]]</f>
        <v>6</v>
      </c>
      <c r="AB128" t="str">
        <f t="shared" si="33"/>
        <v>Neutral</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5</v>
      </c>
      <c r="AF128">
        <f>step3_validation[[#This Row],[AI_FAC2]]</f>
        <v>9</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4</v>
      </c>
      <c r="AK128">
        <f>step3_validation[[#This Row],[AI_TRU1]]</f>
        <v>7</v>
      </c>
      <c r="AL128" t="str">
        <f t="shared" si="39"/>
        <v>Neutral</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6</v>
      </c>
      <c r="AP128">
        <f>step3_validation[[#This Row],[AI_TRU2]]</f>
        <v>9</v>
      </c>
      <c r="AQ128" t="str">
        <f t="shared" si="42"/>
        <v>Support</v>
      </c>
      <c r="AR128">
        <f>survey_responses[[#This Row],[Tôi thấy mức thuế tôi phải đóng theo phương án mới là công bằng (người thu nhập như tôi đóng mức này là hợp lý). - HUMAN-TRU2]]</f>
        <v>1</v>
      </c>
      <c r="AS128" t="str">
        <f t="shared" si="43"/>
        <v>Oppose</v>
      </c>
      <c r="AT128" s="32">
        <f t="shared" si="44"/>
        <v>8</v>
      </c>
      <c r="AU128">
        <f>step3_validation[[#This Row],[AI_TRU3]]</f>
        <v>7</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6</v>
      </c>
      <c r="AZ128">
        <f>step3_validation[[#This Row],[AI_TRU4]]</f>
        <v>6</v>
      </c>
      <c r="BA128" t="str">
        <f t="shared" si="48"/>
        <v>Neutral</v>
      </c>
      <c r="BB128">
        <f>survey_responses[[#This Row],[Tôi thấy Nhà nước đã giải thích rõ ràng, minh bạch về lý do và mục tiêu của việc sửa đổi thuế lần này. - HUMAN-TRU4]]</f>
        <v>5</v>
      </c>
      <c r="BC128" t="str">
        <f t="shared" si="49"/>
        <v>Neutral</v>
      </c>
      <c r="BD128" s="32">
        <f t="shared" si="50"/>
        <v>1</v>
      </c>
      <c r="BE128">
        <f>step3_validation[[#This Row],[AI_OUT1]]</f>
        <v>8</v>
      </c>
      <c r="BF128" t="str">
        <f t="shared" si="51"/>
        <v>Support</v>
      </c>
      <c r="BG128">
        <f>survey_responses[[#This Row],[Sau khi xem xét các quyền lợi và nghĩa vụ, bạn có ủng hộ và tuân thủ chính sách mới hiện nay? - HUMAN-OUT1]]</f>
        <v>5</v>
      </c>
      <c r="BH128" t="str">
        <f t="shared" si="52"/>
        <v>Neutral</v>
      </c>
      <c r="BI128" s="32">
        <f t="shared" si="53"/>
        <v>3</v>
      </c>
    </row>
    <row r="129" spans="1:61" x14ac:dyDescent="0.45">
      <c r="A129" s="30">
        <f>step3_validation[[#This Row],[Persona_ID]]</f>
        <v>128</v>
      </c>
      <c r="B129" s="31">
        <f>step3_validation[[#This Row],[Used_Seed]]</f>
        <v>169</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159.61985604609188</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1</v>
      </c>
      <c r="V129">
        <f>step3_validation[[#This Row],[AI_ENF2]]</f>
        <v>6</v>
      </c>
      <c r="W129" t="str">
        <f t="shared" si="30"/>
        <v>Neutral</v>
      </c>
      <c r="X129">
        <f>survey_responses[[#This Row],[Tôi tin rằng Nhà nước, cơ quan thuế có đủ khả năng và công nghệ để phát hiện, xử lý nghiêm các hành vi trốn thuế. - HUMAN-ENF2]]</f>
        <v>6</v>
      </c>
      <c r="Y129" t="str">
        <f t="shared" si="31"/>
        <v>Neutral</v>
      </c>
      <c r="Z129" s="32">
        <f t="shared" si="32"/>
        <v>0</v>
      </c>
      <c r="AA129">
        <f>step3_validation[[#This Row],[AI_FAC1]]</f>
        <v>9</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3</v>
      </c>
      <c r="AF129">
        <f>step3_validation[[#This Row],[AI_FAC2]]</f>
        <v>9</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1</v>
      </c>
      <c r="AK129">
        <f>step3_validation[[#This Row],[AI_TRU1]]</f>
        <v>8</v>
      </c>
      <c r="AL129" t="str">
        <f t="shared" si="39"/>
        <v>Support</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2</v>
      </c>
      <c r="AP129">
        <f>step3_validation[[#This Row],[AI_TRU2]]</f>
        <v>9</v>
      </c>
      <c r="AQ129" t="str">
        <f t="shared" si="42"/>
        <v>Support</v>
      </c>
      <c r="AR129">
        <f>survey_responses[[#This Row],[Tôi thấy mức thuế tôi phải đóng theo phương án mới là công bằng (người thu nhập như tôi đóng mức này là hợp lý). - HUMAN-TRU2]]</f>
        <v>3</v>
      </c>
      <c r="AS129" t="str">
        <f t="shared" si="43"/>
        <v>Oppose</v>
      </c>
      <c r="AT129" s="32">
        <f t="shared" si="44"/>
        <v>6</v>
      </c>
      <c r="AU129">
        <f>step3_validation[[#This Row],[AI_TRU3]]</f>
        <v>8</v>
      </c>
      <c r="AV129" t="str">
        <f t="shared" si="45"/>
        <v>Support</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3</v>
      </c>
      <c r="AZ129">
        <f>step3_validation[[#This Row],[AI_TRU4]]</f>
        <v>7</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2</v>
      </c>
      <c r="BE129">
        <f>step3_validation[[#This Row],[AI_OUT1]]</f>
        <v>9</v>
      </c>
      <c r="BF129" t="str">
        <f t="shared" si="51"/>
        <v>Support</v>
      </c>
      <c r="BG129">
        <f>survey_responses[[#This Row],[Sau khi xem xét các quyền lợi và nghĩa vụ, bạn có ủng hộ và tuân thủ chính sách mới hiện nay? - HUMAN-OUT1]]</f>
        <v>4</v>
      </c>
      <c r="BH129" t="str">
        <f t="shared" si="52"/>
        <v>Oppose</v>
      </c>
      <c r="BI129" s="32">
        <f t="shared" si="53"/>
        <v>5</v>
      </c>
    </row>
    <row r="130" spans="1:61" x14ac:dyDescent="0.45">
      <c r="A130" s="30">
        <f>step3_validation[[#This Row],[Persona_ID]]</f>
        <v>129</v>
      </c>
      <c r="B130" s="31">
        <f>step3_validation[[#This Row],[Used_Seed]]</f>
        <v>170</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247.19604490785346</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7</v>
      </c>
      <c r="R130" t="str">
        <f t="shared" si="27"/>
        <v>Neutral</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1</v>
      </c>
      <c r="V130">
        <f>step3_validation[[#This Row],[AI_ENF2]]</f>
        <v>6</v>
      </c>
      <c r="W130" t="str">
        <f t="shared" si="30"/>
        <v>Neutral</v>
      </c>
      <c r="X130">
        <f>survey_responses[[#This Row],[Tôi tin rằng Nhà nước, cơ quan thuế có đủ khả năng và công nghệ để phát hiện, xử lý nghiêm các hành vi trốn thuế. - HUMAN-ENF2]]</f>
        <v>6</v>
      </c>
      <c r="Y130" t="str">
        <f t="shared" si="31"/>
        <v>Neutral</v>
      </c>
      <c r="Z130" s="32">
        <f t="shared" si="32"/>
        <v>0</v>
      </c>
      <c r="AA130">
        <f>step3_validation[[#This Row],[AI_FAC1]]</f>
        <v>8</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4</v>
      </c>
      <c r="AF130">
        <f>step3_validation[[#This Row],[AI_FAC2]]</f>
        <v>9</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4</v>
      </c>
      <c r="AK130">
        <f>step3_validation[[#This Row],[AI_TRU1]]</f>
        <v>7</v>
      </c>
      <c r="AL130" t="str">
        <f t="shared" si="39"/>
        <v>Neutral</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2</v>
      </c>
      <c r="AP130">
        <f>step3_validation[[#This Row],[AI_TRU2]]</f>
        <v>9</v>
      </c>
      <c r="AQ130" t="str">
        <f t="shared" si="42"/>
        <v>Support</v>
      </c>
      <c r="AR130">
        <f>survey_responses[[#This Row],[Tôi thấy mức thuế tôi phải đóng theo phương án mới là công bằng (người thu nhập như tôi đóng mức này là hợp lý). - HUMAN-TRU2]]</f>
        <v>1</v>
      </c>
      <c r="AS130" t="str">
        <f t="shared" si="43"/>
        <v>Oppose</v>
      </c>
      <c r="AT130" s="32">
        <f t="shared" si="44"/>
        <v>8</v>
      </c>
      <c r="AU130">
        <f>step3_validation[[#This Row],[AI_TRU3]]</f>
        <v>8</v>
      </c>
      <c r="AV130" t="str">
        <f t="shared" si="45"/>
        <v>Support</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3</v>
      </c>
      <c r="AZ130">
        <f>step3_validation[[#This Row],[AI_TRU4]]</f>
        <v>6</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2</v>
      </c>
      <c r="BE130">
        <f>step3_validation[[#This Row],[AI_OUT1]]</f>
        <v>9</v>
      </c>
      <c r="BF130" t="str">
        <f t="shared" si="51"/>
        <v>Support</v>
      </c>
      <c r="BG130">
        <f>survey_responses[[#This Row],[Sau khi xem xét các quyền lợi và nghĩa vụ, bạn có ủng hộ và tuân thủ chính sách mới hiện nay? - HUMAN-OUT1]]</f>
        <v>5</v>
      </c>
      <c r="BH130" t="str">
        <f t="shared" si="52"/>
        <v>Neutral</v>
      </c>
      <c r="BI130" s="32">
        <f t="shared" si="53"/>
        <v>4</v>
      </c>
    </row>
    <row r="131" spans="1:61" x14ac:dyDescent="0.45">
      <c r="A131" s="30">
        <f>step3_validation[[#This Row],[Persona_ID]]</f>
        <v>130</v>
      </c>
      <c r="B131" s="31">
        <f>step3_validation[[#This Row],[Used_Seed]]</f>
        <v>171</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97.463060900714908</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6</v>
      </c>
      <c r="R131" t="str">
        <f t="shared" ref="R131:R194" si="54">IF(AND(Q131&gt;=1,Q131&lt;5),"Oppose",IF(AND(Q131&gt;=5,Q131&lt;8),"Neutral",IF(AND(Q131&gt;=8,Q131&lt;=10),"Support","")))</f>
        <v>Neutral</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1</v>
      </c>
      <c r="V131">
        <f>step3_validation[[#This Row],[AI_ENF2]]</f>
        <v>6</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1</v>
      </c>
      <c r="AA131">
        <f>step3_validation[[#This Row],[AI_FAC1]]</f>
        <v>9</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8</v>
      </c>
      <c r="AF131">
        <f>step3_validation[[#This Row],[AI_FAC2]]</f>
        <v>8</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4</v>
      </c>
      <c r="AK131">
        <f>step3_validation[[#This Row],[AI_TRU1]]</f>
        <v>7</v>
      </c>
      <c r="AL131" t="str">
        <f t="shared" ref="AL131:AL194" si="66">IF(AND(AK131&gt;=1,AK131&lt;5),"Oppose",IF(AND(AK131&gt;=5,AK131&lt;8),"Neutral",IF(AND(AK131&gt;=8,AK131&lt;=10),"Support","")))</f>
        <v>Neutral</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5</v>
      </c>
      <c r="AP131">
        <f>step3_validation[[#This Row],[AI_TRU2]]</f>
        <v>8</v>
      </c>
      <c r="AQ131" t="str">
        <f t="shared" ref="AQ131:AQ194" si="69">IF(AND(AP131&gt;=1,AP131&lt;5),"Oppose",IF(AND(AP131&gt;=5,AP131&lt;8),"Neutral",IF(AND(AP131&gt;=8,AP131&lt;=10),"Support","")))</f>
        <v>Support</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7</v>
      </c>
      <c r="AU131">
        <f>step3_validation[[#This Row],[AI_TRU3]]</f>
        <v>7</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6</v>
      </c>
      <c r="AZ131">
        <f>step3_validation[[#This Row],[AI_TRU4]]</f>
        <v>8</v>
      </c>
      <c r="BA131" t="str">
        <f t="shared" ref="BA131:BA194" si="75">IF(AND(AZ131&gt;=1,AZ131&lt;5),"Oppose",IF(AND(AZ131&gt;=5,AZ131&lt;8),"Neutral",IF(AND(AZ131&gt;=8,AZ131&lt;=10),"Support","")))</f>
        <v>Support</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7</v>
      </c>
      <c r="BE131">
        <f>step3_validation[[#This Row],[AI_OUT1]]</f>
        <v>9</v>
      </c>
      <c r="BF131" t="str">
        <f t="shared" ref="BF131:BF194" si="78">IF(AND(BE131&gt;=1,BE131&lt;5),"Oppose",IF(AND(BE131&gt;=5,BE131&lt;8),"Neutral",IF(AND(BE131&gt;=8,BE131&lt;=10),"Support","")))</f>
        <v>Support</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4</v>
      </c>
    </row>
    <row r="132" spans="1:61" x14ac:dyDescent="0.45">
      <c r="A132" s="30">
        <f>step3_validation[[#This Row],[Persona_ID]]</f>
        <v>131</v>
      </c>
      <c r="B132" s="31">
        <f>step3_validation[[#This Row],[Used_Seed]]</f>
        <v>172</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99.222990346484991</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6</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2</v>
      </c>
      <c r="V132">
        <f>step3_validation[[#This Row],[AI_ENF2]]</f>
        <v>6</v>
      </c>
      <c r="W132" t="str">
        <f t="shared" si="57"/>
        <v>Neutral</v>
      </c>
      <c r="X132">
        <f>survey_responses[[#This Row],[Tôi tin rằng Nhà nước, cơ quan thuế có đủ khả năng và công nghệ để phát hiện, xử lý nghiêm các hành vi trốn thuế. - HUMAN-ENF2]]</f>
        <v>9</v>
      </c>
      <c r="Y132" t="str">
        <f t="shared" si="58"/>
        <v>Support</v>
      </c>
      <c r="Z132" s="32">
        <f t="shared" si="59"/>
        <v>3</v>
      </c>
      <c r="AA132">
        <f>step3_validation[[#This Row],[AI_FAC1]]</f>
        <v>8</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3</v>
      </c>
      <c r="AF132">
        <f>step3_validation[[#This Row],[AI_FAC2]]</f>
        <v>9</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4</v>
      </c>
      <c r="AK132">
        <f>step3_validation[[#This Row],[AI_TRU1]]</f>
        <v>7</v>
      </c>
      <c r="AL132" t="str">
        <f t="shared" si="66"/>
        <v>Neutral</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2</v>
      </c>
      <c r="AP132">
        <f>step3_validation[[#This Row],[AI_TRU2]]</f>
        <v>9</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2">
        <f t="shared" si="71"/>
        <v>5</v>
      </c>
      <c r="AU132">
        <f>step3_validation[[#This Row],[AI_TRU3]]</f>
        <v>8</v>
      </c>
      <c r="AV132" t="str">
        <f t="shared" si="72"/>
        <v>Support</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3</v>
      </c>
      <c r="AZ132">
        <f>step3_validation[[#This Row],[AI_TRU4]]</f>
        <v>7</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2</v>
      </c>
      <c r="BE132">
        <f>step3_validation[[#This Row],[AI_OUT1]]</f>
        <v>9</v>
      </c>
      <c r="BF132" t="str">
        <f t="shared" si="78"/>
        <v>Support</v>
      </c>
      <c r="BG132">
        <f>survey_responses[[#This Row],[Sau khi xem xét các quyền lợi và nghĩa vụ, bạn có ủng hộ và tuân thủ chính sách mới hiện nay? - HUMAN-OUT1]]</f>
        <v>5</v>
      </c>
      <c r="BH132" t="str">
        <f t="shared" si="79"/>
        <v>Neutral</v>
      </c>
      <c r="BI132" s="32">
        <f t="shared" si="80"/>
        <v>4</v>
      </c>
    </row>
    <row r="133" spans="1:61" x14ac:dyDescent="0.45">
      <c r="A133" s="30">
        <f>step3_validation[[#This Row],[Persona_ID]]</f>
        <v>132</v>
      </c>
      <c r="B133" s="31">
        <f>step3_validation[[#This Row],[Used_Seed]]</f>
        <v>173</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15.268705496420361</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6</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3</v>
      </c>
      <c r="V133">
        <f>step3_validation[[#This Row],[AI_ENF2]]</f>
        <v>7</v>
      </c>
      <c r="W133" t="str">
        <f t="shared" si="57"/>
        <v>Neutral</v>
      </c>
      <c r="X133">
        <f>survey_responses[[#This Row],[Tôi tin rằng Nhà nước, cơ quan thuế có đủ khả năng và công nghệ để phát hiện, xử lý nghiêm các hành vi trốn thuế. - HUMAN-ENF2]]</f>
        <v>9</v>
      </c>
      <c r="Y133" t="str">
        <f t="shared" si="58"/>
        <v>Support</v>
      </c>
      <c r="Z133" s="32">
        <f t="shared" si="59"/>
        <v>2</v>
      </c>
      <c r="AA133">
        <f>step3_validation[[#This Row],[AI_FAC1]]</f>
        <v>8</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1</v>
      </c>
      <c r="AF133">
        <f>step3_validation[[#This Row],[AI_FAC2]]</f>
        <v>9</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0</v>
      </c>
      <c r="AK133">
        <f>step3_validation[[#This Row],[AI_TRU1]]</f>
        <v>7</v>
      </c>
      <c r="AL133" t="str">
        <f t="shared" si="66"/>
        <v>Neutral</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0</v>
      </c>
      <c r="AP133">
        <f>step3_validation[[#This Row],[AI_TRU2]]</f>
        <v>8</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2">
        <f t="shared" si="71"/>
        <v>2</v>
      </c>
      <c r="AU133">
        <f>step3_validation[[#This Row],[AI_TRU3]]</f>
        <v>7</v>
      </c>
      <c r="AV133" t="str">
        <f t="shared" si="72"/>
        <v>Neutral</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2</v>
      </c>
      <c r="AZ133">
        <f>step3_validation[[#This Row],[AI_TRU4]]</f>
        <v>6</v>
      </c>
      <c r="BA133" t="str">
        <f t="shared" si="75"/>
        <v>Neutral</v>
      </c>
      <c r="BB133">
        <f>survey_responses[[#This Row],[Tôi thấy Nhà nước đã giải thích rõ ràng, minh bạch về lý do và mục tiêu của việc sửa đổi thuế lần này. - HUMAN-TRU4]]</f>
        <v>5</v>
      </c>
      <c r="BC133" t="str">
        <f t="shared" si="76"/>
        <v>Neutral</v>
      </c>
      <c r="BD133" s="32">
        <f t="shared" si="77"/>
        <v>1</v>
      </c>
      <c r="BE133">
        <f>step3_validation[[#This Row],[AI_OUT1]]</f>
        <v>9</v>
      </c>
      <c r="BF133" t="str">
        <f t="shared" si="78"/>
        <v>Support</v>
      </c>
      <c r="BG133">
        <f>survey_responses[[#This Row],[Sau khi xem xét các quyền lợi và nghĩa vụ, bạn có ủng hộ và tuân thủ chính sách mới hiện nay? - HUMAN-OUT1]]</f>
        <v>9</v>
      </c>
      <c r="BH133" t="str">
        <f t="shared" si="79"/>
        <v>Support</v>
      </c>
      <c r="BI133" s="32">
        <f t="shared" si="80"/>
        <v>0</v>
      </c>
    </row>
    <row r="134" spans="1:61" x14ac:dyDescent="0.45">
      <c r="A134" s="30">
        <f>step3_validation[[#This Row],[Persona_ID]]</f>
        <v>133</v>
      </c>
      <c r="B134" s="31">
        <f>step3_validation[[#This Row],[Used_Seed]]</f>
        <v>174</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40.779172389044575</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6</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1</v>
      </c>
      <c r="V134">
        <f>step3_validation[[#This Row],[AI_ENF2]]</f>
        <v>6</v>
      </c>
      <c r="W134" t="str">
        <f t="shared" si="57"/>
        <v>Neutral</v>
      </c>
      <c r="X134">
        <f>survey_responses[[#This Row],[Tôi tin rằng Nhà nước, cơ quan thuế có đủ khả năng và công nghệ để phát hiện, xử lý nghiêm các hành vi trốn thuế. - HUMAN-ENF2]]</f>
        <v>5</v>
      </c>
      <c r="Y134" t="str">
        <f t="shared" si="58"/>
        <v>Neutral</v>
      </c>
      <c r="Z134" s="32">
        <f t="shared" si="59"/>
        <v>1</v>
      </c>
      <c r="AA134">
        <f>step3_validation[[#This Row],[AI_FAC1]]</f>
        <v>8</v>
      </c>
      <c r="AB134" t="str">
        <f t="shared" si="60"/>
        <v>Support</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3</v>
      </c>
      <c r="AF134">
        <f>step3_validation[[#This Row],[AI_FAC2]]</f>
        <v>9</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4</v>
      </c>
      <c r="AK134">
        <f>step3_validation[[#This Row],[AI_TRU1]]</f>
        <v>7</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2</v>
      </c>
      <c r="AP134">
        <f>step3_validation[[#This Row],[AI_TRU2]]</f>
        <v>8</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3</v>
      </c>
      <c r="AU134">
        <f>step3_validation[[#This Row],[AI_TRU3]]</f>
        <v>7</v>
      </c>
      <c r="AV134" t="str">
        <f t="shared" si="72"/>
        <v>Neutral</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2</v>
      </c>
      <c r="AZ134">
        <f>step3_validation[[#This Row],[AI_TRU4]]</f>
        <v>8</v>
      </c>
      <c r="BA134" t="str">
        <f t="shared" si="75"/>
        <v>Support</v>
      </c>
      <c r="BB134">
        <f>survey_responses[[#This Row],[Tôi thấy Nhà nước đã giải thích rõ ràng, minh bạch về lý do và mục tiêu của việc sửa đổi thuế lần này. - HUMAN-TRU4]]</f>
        <v>5</v>
      </c>
      <c r="BC134" t="str">
        <f t="shared" si="76"/>
        <v>Neutral</v>
      </c>
      <c r="BD134" s="32">
        <f t="shared" si="77"/>
        <v>3</v>
      </c>
      <c r="BE134">
        <f>step3_validation[[#This Row],[AI_OUT1]]</f>
        <v>9</v>
      </c>
      <c r="BF134" t="str">
        <f t="shared" si="78"/>
        <v>Support</v>
      </c>
      <c r="BG134">
        <f>survey_responses[[#This Row],[Sau khi xem xét các quyền lợi và nghĩa vụ, bạn có ủng hộ và tuân thủ chính sách mới hiện nay? - HUMAN-OUT1]]</f>
        <v>5</v>
      </c>
      <c r="BH134" t="str">
        <f t="shared" si="79"/>
        <v>Neutral</v>
      </c>
      <c r="BI134" s="32">
        <f t="shared" si="80"/>
        <v>4</v>
      </c>
    </row>
    <row r="135" spans="1:61" x14ac:dyDescent="0.45">
      <c r="A135" s="30">
        <f>step3_validation[[#This Row],[Persona_ID]]</f>
        <v>134</v>
      </c>
      <c r="B135" s="31">
        <f>step3_validation[[#This Row],[Used_Seed]]</f>
        <v>175</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20.199505970710106</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2</v>
      </c>
      <c r="V135">
        <f>step3_validation[[#This Row],[AI_ENF2]]</f>
        <v>7</v>
      </c>
      <c r="W135" t="str">
        <f t="shared" si="57"/>
        <v>Neutral</v>
      </c>
      <c r="X135">
        <f>survey_responses[[#This Row],[Tôi tin rằng Nhà nước, cơ quan thuế có đủ khả năng và công nghệ để phát hiện, xử lý nghiêm các hành vi trốn thuế. - HUMAN-ENF2]]</f>
        <v>9</v>
      </c>
      <c r="Y135" t="str">
        <f t="shared" si="58"/>
        <v>Support</v>
      </c>
      <c r="Z135" s="32">
        <f t="shared" si="59"/>
        <v>2</v>
      </c>
      <c r="AA135">
        <f>step3_validation[[#This Row],[AI_FAC1]]</f>
        <v>9</v>
      </c>
      <c r="AB135" t="str">
        <f t="shared" si="60"/>
        <v>Support</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4</v>
      </c>
      <c r="AF135">
        <f>step3_validation[[#This Row],[AI_FAC2]]</f>
        <v>8</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1</v>
      </c>
      <c r="AK135">
        <f>step3_validation[[#This Row],[AI_TRU1]]</f>
        <v>7</v>
      </c>
      <c r="AL135" t="str">
        <f t="shared" si="66"/>
        <v>Neutral</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1</v>
      </c>
      <c r="AP135">
        <f>step3_validation[[#This Row],[AI_TRU2]]</f>
        <v>8</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2">
        <f t="shared" si="71"/>
        <v>2</v>
      </c>
      <c r="AU135">
        <f>step3_validation[[#This Row],[AI_TRU3]]</f>
        <v>8</v>
      </c>
      <c r="AV135" t="str">
        <f t="shared" si="72"/>
        <v>Support</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3</v>
      </c>
      <c r="AZ135">
        <f>step3_validation[[#This Row],[AI_TRU4]]</f>
        <v>7</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2</v>
      </c>
      <c r="BE135">
        <f>step3_validation[[#This Row],[AI_OUT1]]</f>
        <v>8</v>
      </c>
      <c r="BF135" t="str">
        <f t="shared" si="78"/>
        <v>Support</v>
      </c>
      <c r="BG135">
        <f>survey_responses[[#This Row],[Sau khi xem xét các quyền lợi và nghĩa vụ, bạn có ủng hộ và tuân thủ chính sách mới hiện nay? - HUMAN-OUT1]]</f>
        <v>7</v>
      </c>
      <c r="BH135" t="str">
        <f t="shared" si="79"/>
        <v>Neutral</v>
      </c>
      <c r="BI135" s="32">
        <f t="shared" si="80"/>
        <v>1</v>
      </c>
    </row>
    <row r="136" spans="1:61" x14ac:dyDescent="0.45">
      <c r="A136" s="30">
        <f>step3_validation[[#This Row],[Persona_ID]]</f>
        <v>135</v>
      </c>
      <c r="B136" s="31">
        <f>step3_validation[[#This Row],[Used_Seed]]</f>
        <v>176</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14.325720764134783</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6</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1</v>
      </c>
      <c r="V136">
        <f>step3_validation[[#This Row],[AI_ENF2]]</f>
        <v>8</v>
      </c>
      <c r="W136" t="str">
        <f t="shared" si="57"/>
        <v>Support</v>
      </c>
      <c r="X136">
        <f>survey_responses[[#This Row],[Tôi tin rằng Nhà nước, cơ quan thuế có đủ khả năng và công nghệ để phát hiện, xử lý nghiêm các hành vi trốn thuế. - HUMAN-ENF2]]</f>
        <v>5</v>
      </c>
      <c r="Y136" t="str">
        <f t="shared" si="58"/>
        <v>Neutral</v>
      </c>
      <c r="Z136" s="32">
        <f t="shared" si="59"/>
        <v>3</v>
      </c>
      <c r="AA136">
        <f>step3_validation[[#This Row],[AI_FAC1]]</f>
        <v>7</v>
      </c>
      <c r="AB136" t="str">
        <f t="shared" si="60"/>
        <v>Neutral</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2</v>
      </c>
      <c r="AF136">
        <f>step3_validation[[#This Row],[AI_FAC2]]</f>
        <v>8</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2</v>
      </c>
      <c r="AK136">
        <f>step3_validation[[#This Row],[AI_TRU1]]</f>
        <v>7</v>
      </c>
      <c r="AL136" t="str">
        <f t="shared" si="66"/>
        <v>Neutral</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1</v>
      </c>
      <c r="AP136">
        <f>step3_validation[[#This Row],[AI_TRU2]]</f>
        <v>8</v>
      </c>
      <c r="AQ136" t="str">
        <f t="shared" si="69"/>
        <v>Support</v>
      </c>
      <c r="AR136">
        <f>survey_responses[[#This Row],[Tôi thấy mức thuế tôi phải đóng theo phương án mới là công bằng (người thu nhập như tôi đóng mức này là hợp lý). - HUMAN-TRU2]]</f>
        <v>6</v>
      </c>
      <c r="AS136" t="str">
        <f t="shared" si="70"/>
        <v>Neutral</v>
      </c>
      <c r="AT136" s="32">
        <f t="shared" si="71"/>
        <v>2</v>
      </c>
      <c r="AU136">
        <f>step3_validation[[#This Row],[AI_TRU3]]</f>
        <v>7</v>
      </c>
      <c r="AV136" t="str">
        <f t="shared" si="72"/>
        <v>Neutral</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1</v>
      </c>
      <c r="AZ136">
        <f>step3_validation[[#This Row],[AI_TRU4]]</f>
        <v>8</v>
      </c>
      <c r="BA136" t="str">
        <f t="shared" si="75"/>
        <v>Support</v>
      </c>
      <c r="BB136">
        <f>survey_responses[[#This Row],[Tôi thấy Nhà nước đã giải thích rõ ràng, minh bạch về lý do và mục tiêu của việc sửa đổi thuế lần này. - HUMAN-TRU4]]</f>
        <v>6</v>
      </c>
      <c r="BC136" t="str">
        <f t="shared" si="76"/>
        <v>Neutral</v>
      </c>
      <c r="BD136" s="32">
        <f t="shared" si="77"/>
        <v>2</v>
      </c>
      <c r="BE136">
        <f>step3_validation[[#This Row],[AI_OUT1]]</f>
        <v>9</v>
      </c>
      <c r="BF136" t="str">
        <f t="shared" si="78"/>
        <v>Support</v>
      </c>
      <c r="BG136">
        <f>survey_responses[[#This Row],[Sau khi xem xét các quyền lợi và nghĩa vụ, bạn có ủng hộ và tuân thủ chính sách mới hiện nay? - HUMAN-OUT1]]</f>
        <v>6</v>
      </c>
      <c r="BH136" t="str">
        <f t="shared" si="79"/>
        <v>Neutral</v>
      </c>
      <c r="BI136" s="32">
        <f t="shared" si="80"/>
        <v>3</v>
      </c>
    </row>
    <row r="137" spans="1:61" x14ac:dyDescent="0.45">
      <c r="A137" s="30">
        <f>step3_validation[[#This Row],[Persona_ID]]</f>
        <v>136</v>
      </c>
      <c r="B137" s="31">
        <f>step3_validation[[#This Row],[Used_Seed]]</f>
        <v>177</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2</v>
      </c>
      <c r="V137">
        <f>step3_validation[[#This Row],[AI_ENF2]]</f>
        <v>7</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1</v>
      </c>
      <c r="AA137">
        <f>step3_validation[[#This Row],[AI_FAC1]]</f>
        <v>9</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1</v>
      </c>
      <c r="AF137">
        <f>step3_validation[[#This Row],[AI_FAC2]]</f>
        <v>8</v>
      </c>
      <c r="AG137" t="str">
        <f t="shared" si="63"/>
        <v>Support</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0</v>
      </c>
      <c r="AK137">
        <f>step3_validation[[#This Row],[AI_TRU1]]</f>
        <v>9</v>
      </c>
      <c r="AL137" t="str">
        <f t="shared" si="66"/>
        <v>Support</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1</v>
      </c>
      <c r="AP137">
        <f>step3_validation[[#This Row],[AI_TRU2]]</f>
        <v>8</v>
      </c>
      <c r="AQ137" t="str">
        <f t="shared" si="69"/>
        <v>Support</v>
      </c>
      <c r="AR137">
        <f>survey_responses[[#This Row],[Tôi thấy mức thuế tôi phải đóng theo phương án mới là công bằng (người thu nhập như tôi đóng mức này là hợp lý). - HUMAN-TRU2]]</f>
        <v>10</v>
      </c>
      <c r="AS137" t="str">
        <f t="shared" si="70"/>
        <v>Support</v>
      </c>
      <c r="AT137" s="32">
        <f t="shared" si="71"/>
        <v>2</v>
      </c>
      <c r="AU137">
        <f>step3_validation[[#This Row],[AI_TRU3]]</f>
        <v>9</v>
      </c>
      <c r="AV137" t="str">
        <f t="shared" si="72"/>
        <v>Support</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1</v>
      </c>
      <c r="AZ137">
        <f>step3_validation[[#This Row],[AI_TRU4]]</f>
        <v>7</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2">
        <f t="shared" si="77"/>
        <v>3</v>
      </c>
      <c r="BE137">
        <f>step3_validation[[#This Row],[AI_OUT1]]</f>
        <v>9</v>
      </c>
      <c r="BF137" t="str">
        <f t="shared" si="78"/>
        <v>Support</v>
      </c>
      <c r="BG137">
        <f>survey_responses[[#This Row],[Sau khi xem xét các quyền lợi và nghĩa vụ, bạn có ủng hộ và tuân thủ chính sách mới hiện nay? - HUMAN-OUT1]]</f>
        <v>10</v>
      </c>
      <c r="BH137" t="str">
        <f t="shared" si="79"/>
        <v>Support</v>
      </c>
      <c r="BI137" s="32">
        <f t="shared" si="80"/>
        <v>1</v>
      </c>
    </row>
    <row r="138" spans="1:61" x14ac:dyDescent="0.45">
      <c r="A138" s="30">
        <f>step3_validation[[#This Row],[Persona_ID]]</f>
        <v>137</v>
      </c>
      <c r="B138" s="31">
        <f>step3_validation[[#This Row],[Used_Seed]]</f>
        <v>178</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216.32615820100276</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1</v>
      </c>
      <c r="V138">
        <f>step3_validation[[#This Row],[AI_ENF2]]</f>
        <v>8</v>
      </c>
      <c r="W138" t="str">
        <f t="shared" si="57"/>
        <v>Support</v>
      </c>
      <c r="X138">
        <f>survey_responses[[#This Row],[Tôi tin rằng Nhà nước, cơ quan thuế có đủ khả năng và công nghệ để phát hiện, xử lý nghiêm các hành vi trốn thuế. - HUMAN-ENF2]]</f>
        <v>8</v>
      </c>
      <c r="Y138" t="str">
        <f t="shared" si="58"/>
        <v>Support</v>
      </c>
      <c r="Z138" s="32">
        <f t="shared" si="59"/>
        <v>0</v>
      </c>
      <c r="AA138">
        <f>step3_validation[[#This Row],[AI_FAC1]]</f>
        <v>6</v>
      </c>
      <c r="AB138" t="str">
        <f t="shared" si="60"/>
        <v>Neutral</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2</v>
      </c>
      <c r="AF138">
        <f>step3_validation[[#This Row],[AI_FAC2]]</f>
        <v>9</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1</v>
      </c>
      <c r="AK138">
        <f>step3_validation[[#This Row],[AI_TRU1]]</f>
        <v>7</v>
      </c>
      <c r="AL138" t="str">
        <f t="shared" si="66"/>
        <v>Neutral</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1</v>
      </c>
      <c r="AP138">
        <f>step3_validation[[#This Row],[AI_TRU2]]</f>
        <v>8</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2">
        <f t="shared" si="71"/>
        <v>0</v>
      </c>
      <c r="AU138">
        <f>step3_validation[[#This Row],[AI_TRU3]]</f>
        <v>6</v>
      </c>
      <c r="AV138" t="str">
        <f t="shared" si="72"/>
        <v>Neutral</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1</v>
      </c>
      <c r="AZ138">
        <f>step3_validation[[#This Row],[AI_TRU4]]</f>
        <v>8</v>
      </c>
      <c r="BA138" t="str">
        <f t="shared" si="75"/>
        <v>Support</v>
      </c>
      <c r="BB138">
        <f>survey_responses[[#This Row],[Tôi thấy Nhà nước đã giải thích rõ ràng, minh bạch về lý do và mục tiêu của việc sửa đổi thuế lần này. - HUMAN-TRU4]]</f>
        <v>7</v>
      </c>
      <c r="BC138" t="str">
        <f t="shared" si="76"/>
        <v>Neutral</v>
      </c>
      <c r="BD138" s="32">
        <f t="shared" si="77"/>
        <v>1</v>
      </c>
      <c r="BE138">
        <f>step3_validation[[#This Row],[AI_OUT1]]</f>
        <v>9</v>
      </c>
      <c r="BF138" t="str">
        <f t="shared" si="78"/>
        <v>Support</v>
      </c>
      <c r="BG138">
        <f>survey_responses[[#This Row],[Sau khi xem xét các quyền lợi và nghĩa vụ, bạn có ủng hộ và tuân thủ chính sách mới hiện nay? - HUMAN-OUT1]]</f>
        <v>8</v>
      </c>
      <c r="BH138" t="str">
        <f t="shared" si="79"/>
        <v>Support</v>
      </c>
      <c r="BI138" s="32">
        <f t="shared" si="80"/>
        <v>1</v>
      </c>
    </row>
    <row r="139" spans="1:61" x14ac:dyDescent="0.45">
      <c r="A139" s="30">
        <f>step3_validation[[#This Row],[Persona_ID]]</f>
        <v>138</v>
      </c>
      <c r="B139" s="31">
        <f>step3_validation[[#This Row],[Used_Seed]]</f>
        <v>179</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15.140784211430701</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1</v>
      </c>
      <c r="V139">
        <f>step3_validation[[#This Row],[AI_ENF2]]</f>
        <v>6</v>
      </c>
      <c r="W139" t="str">
        <f t="shared" si="57"/>
        <v>Neutral</v>
      </c>
      <c r="X139">
        <f>survey_responses[[#This Row],[Tôi tin rằng Nhà nước, cơ quan thuế có đủ khả năng và công nghệ để phát hiện, xử lý nghiêm các hành vi trốn thuế. - HUMAN-ENF2]]</f>
        <v>9</v>
      </c>
      <c r="Y139" t="str">
        <f t="shared" si="58"/>
        <v>Support</v>
      </c>
      <c r="Z139" s="32">
        <f t="shared" si="59"/>
        <v>3</v>
      </c>
      <c r="AA139">
        <f>step3_validation[[#This Row],[AI_FAC1]]</f>
        <v>9</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2</v>
      </c>
      <c r="AF139">
        <f>step3_validation[[#This Row],[AI_FAC2]]</f>
        <v>9</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2</v>
      </c>
      <c r="AK139">
        <f>step3_validation[[#This Row],[AI_TRU1]]</f>
        <v>6</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0</v>
      </c>
      <c r="AP139">
        <f>step3_validation[[#This Row],[AI_TRU2]]</f>
        <v>7</v>
      </c>
      <c r="AQ139" t="str">
        <f t="shared" si="69"/>
        <v>Neutral</v>
      </c>
      <c r="AR139">
        <f>survey_responses[[#This Row],[Tôi thấy mức thuế tôi phải đóng theo phương án mới là công bằng (người thu nhập như tôi đóng mức này là hợp lý). - HUMAN-TRU2]]</f>
        <v>6</v>
      </c>
      <c r="AS139" t="str">
        <f t="shared" si="70"/>
        <v>Neutral</v>
      </c>
      <c r="AT139" s="32">
        <f t="shared" si="71"/>
        <v>1</v>
      </c>
      <c r="AU139">
        <f>step3_validation[[#This Row],[AI_TRU3]]</f>
        <v>6</v>
      </c>
      <c r="AV139" t="str">
        <f t="shared" si="72"/>
        <v>Neutral</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4</v>
      </c>
      <c r="AZ139">
        <f>step3_validation[[#This Row],[AI_TRU4]]</f>
        <v>7</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2</v>
      </c>
      <c r="BE139">
        <f>step3_validation[[#This Row],[AI_OUT1]]</f>
        <v>8</v>
      </c>
      <c r="BF139" t="str">
        <f t="shared" si="78"/>
        <v>Support</v>
      </c>
      <c r="BG139">
        <f>survey_responses[[#This Row],[Sau khi xem xét các quyền lợi và nghĩa vụ, bạn có ủng hộ và tuân thủ chính sách mới hiện nay? - HUMAN-OUT1]]</f>
        <v>6</v>
      </c>
      <c r="BH139" t="str">
        <f t="shared" si="79"/>
        <v>Neutral</v>
      </c>
      <c r="BI139" s="32">
        <f t="shared" si="80"/>
        <v>2</v>
      </c>
    </row>
    <row r="140" spans="1:61" x14ac:dyDescent="0.45">
      <c r="A140" s="30">
        <f>step3_validation[[#This Row],[Persona_ID]]</f>
        <v>139</v>
      </c>
      <c r="B140" s="31">
        <f>step3_validation[[#This Row],[Used_Seed]]</f>
        <v>180</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146.83240846076191</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6</v>
      </c>
      <c r="R140" t="str">
        <f t="shared" si="54"/>
        <v>Neutral</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1</v>
      </c>
      <c r="V140">
        <f>step3_validation[[#This Row],[AI_ENF2]]</f>
        <v>6</v>
      </c>
      <c r="W140" t="str">
        <f t="shared" si="57"/>
        <v>Neutral</v>
      </c>
      <c r="X140">
        <f>survey_responses[[#This Row],[Tôi tin rằng Nhà nước, cơ quan thuế có đủ khả năng và công nghệ để phát hiện, xử lý nghiêm các hành vi trốn thuế. - HUMAN-ENF2]]</f>
        <v>4</v>
      </c>
      <c r="Y140" t="str">
        <f t="shared" si="58"/>
        <v>Oppose</v>
      </c>
      <c r="Z140" s="32">
        <f t="shared" si="59"/>
        <v>2</v>
      </c>
      <c r="AA140">
        <f>step3_validation[[#This Row],[AI_FAC1]]</f>
        <v>7</v>
      </c>
      <c r="AB140" t="str">
        <f t="shared" si="60"/>
        <v>Neutral</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0</v>
      </c>
      <c r="AF140">
        <f>step3_validation[[#This Row],[AI_FAC2]]</f>
        <v>9</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3</v>
      </c>
      <c r="AK140">
        <f>step3_validation[[#This Row],[AI_TRU1]]</f>
        <v>6</v>
      </c>
      <c r="AL140" t="str">
        <f t="shared" si="66"/>
        <v>Neutral</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3</v>
      </c>
      <c r="AP140">
        <f>step3_validation[[#This Row],[AI_TRU2]]</f>
        <v>8</v>
      </c>
      <c r="AQ140" t="str">
        <f t="shared" si="69"/>
        <v>Support</v>
      </c>
      <c r="AR140">
        <f>survey_responses[[#This Row],[Tôi thấy mức thuế tôi phải đóng theo phương án mới là công bằng (người thu nhập như tôi đóng mức này là hợp lý). - HUMAN-TRU2]]</f>
        <v>4</v>
      </c>
      <c r="AS140" t="str">
        <f t="shared" si="70"/>
        <v>Oppose</v>
      </c>
      <c r="AT140" s="32">
        <f t="shared" si="71"/>
        <v>4</v>
      </c>
      <c r="AU140">
        <f>step3_validation[[#This Row],[AI_TRU3]]</f>
        <v>7</v>
      </c>
      <c r="AV140" t="str">
        <f t="shared" si="72"/>
        <v>Neutral</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3</v>
      </c>
      <c r="AZ140">
        <f>step3_validation[[#This Row],[AI_TRU4]]</f>
        <v>8</v>
      </c>
      <c r="BA140" t="str">
        <f t="shared" si="75"/>
        <v>Support</v>
      </c>
      <c r="BB140">
        <f>survey_responses[[#This Row],[Tôi thấy Nhà nước đã giải thích rõ ràng, minh bạch về lý do và mục tiêu của việc sửa đổi thuế lần này. - HUMAN-TRU4]]</f>
        <v>5</v>
      </c>
      <c r="BC140" t="str">
        <f t="shared" si="76"/>
        <v>Neutral</v>
      </c>
      <c r="BD140" s="32">
        <f t="shared" si="77"/>
        <v>3</v>
      </c>
      <c r="BE140">
        <f>step3_validation[[#This Row],[AI_OUT1]]</f>
        <v>9</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4</v>
      </c>
    </row>
    <row r="141" spans="1:61" x14ac:dyDescent="0.45">
      <c r="A141" s="30">
        <f>step3_validation[[#This Row],[Persona_ID]]</f>
        <v>140</v>
      </c>
      <c r="B141" s="31">
        <f>step3_validation[[#This Row],[Used_Seed]]</f>
        <v>181</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27.096377940677293</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7</v>
      </c>
      <c r="R141" t="str">
        <f t="shared" si="54"/>
        <v>Neutral</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3</v>
      </c>
      <c r="V141">
        <f>step3_validation[[#This Row],[AI_ENF2]]</f>
        <v>6</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3</v>
      </c>
      <c r="AA141">
        <f>step3_validation[[#This Row],[AI_FAC1]]</f>
        <v>7</v>
      </c>
      <c r="AB141" t="str">
        <f t="shared" si="60"/>
        <v>Neutral</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2</v>
      </c>
      <c r="AF141">
        <f>step3_validation[[#This Row],[AI_FAC2]]</f>
        <v>9</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0</v>
      </c>
      <c r="AK141">
        <f>step3_validation[[#This Row],[AI_TRU1]]</f>
        <v>8</v>
      </c>
      <c r="AL141" t="str">
        <f t="shared" si="66"/>
        <v>Support</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0</v>
      </c>
      <c r="AP141">
        <f>step3_validation[[#This Row],[AI_TRU2]]</f>
        <v>9</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1</v>
      </c>
      <c r="AU141">
        <f>step3_validation[[#This Row],[AI_TRU3]]</f>
        <v>8</v>
      </c>
      <c r="AV141" t="str">
        <f t="shared" si="72"/>
        <v>Support</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0</v>
      </c>
      <c r="AZ141">
        <f>step3_validation[[#This Row],[AI_TRU4]]</f>
        <v>7</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1</v>
      </c>
      <c r="BE141">
        <f>step3_validation[[#This Row],[AI_OUT1]]</f>
        <v>9</v>
      </c>
      <c r="BF141" t="str">
        <f t="shared" si="78"/>
        <v>Support</v>
      </c>
      <c r="BG141">
        <f>survey_responses[[#This Row],[Sau khi xem xét các quyền lợi và nghĩa vụ, bạn có ủng hộ và tuân thủ chính sách mới hiện nay? - HUMAN-OUT1]]</f>
        <v>10</v>
      </c>
      <c r="BH141" t="str">
        <f t="shared" si="79"/>
        <v>Support</v>
      </c>
      <c r="BI141" s="32">
        <f t="shared" si="80"/>
        <v>1</v>
      </c>
    </row>
    <row r="142" spans="1:61" x14ac:dyDescent="0.45">
      <c r="A142" s="30">
        <f>step3_validation[[#This Row],[Persona_ID]]</f>
        <v>141</v>
      </c>
      <c r="B142" s="31">
        <f>step3_validation[[#This Row],[Used_Seed]]</f>
        <v>182</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28.971869558930631</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9</v>
      </c>
      <c r="R142" t="str">
        <f t="shared" si="54"/>
        <v>Support</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1</v>
      </c>
      <c r="V142">
        <f>step3_validation[[#This Row],[AI_ENF2]]</f>
        <v>8</v>
      </c>
      <c r="W142" t="str">
        <f t="shared" si="57"/>
        <v>Support</v>
      </c>
      <c r="X142">
        <f>survey_responses[[#This Row],[Tôi tin rằng Nhà nước, cơ quan thuế có đủ khả năng và công nghệ để phát hiện, xử lý nghiêm các hành vi trốn thuế. - HUMAN-ENF2]]</f>
        <v>7</v>
      </c>
      <c r="Y142" t="str">
        <f t="shared" si="58"/>
        <v>Neutral</v>
      </c>
      <c r="Z142" s="32">
        <f t="shared" si="59"/>
        <v>1</v>
      </c>
      <c r="AA142">
        <f>step3_validation[[#This Row],[AI_FAC1]]</f>
        <v>9</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3</v>
      </c>
      <c r="AF142">
        <f>step3_validation[[#This Row],[AI_FAC2]]</f>
        <v>8</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2</v>
      </c>
      <c r="AK142">
        <f>step3_validation[[#This Row],[AI_TRU1]]</f>
        <v>7</v>
      </c>
      <c r="AL142" t="str">
        <f t="shared" si="66"/>
        <v>Neutral</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2</v>
      </c>
      <c r="AP142">
        <f>step3_validation[[#This Row],[AI_TRU2]]</f>
        <v>9</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2">
        <f t="shared" si="71"/>
        <v>4</v>
      </c>
      <c r="AU142">
        <f>step3_validation[[#This Row],[AI_TRU3]]</f>
        <v>6</v>
      </c>
      <c r="AV142" t="str">
        <f t="shared" si="72"/>
        <v>Neutral</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3</v>
      </c>
      <c r="AZ142">
        <f>step3_validation[[#This Row],[AI_TRU4]]</f>
        <v>7</v>
      </c>
      <c r="BA142" t="str">
        <f t="shared" si="75"/>
        <v>Neutral</v>
      </c>
      <c r="BB142">
        <f>survey_responses[[#This Row],[Tôi thấy Nhà nước đã giải thích rõ ràng, minh bạch về lý do và mục tiêu của việc sửa đổi thuế lần này. - HUMAN-TRU4]]</f>
        <v>3</v>
      </c>
      <c r="BC142" t="str">
        <f t="shared" si="76"/>
        <v>Oppose</v>
      </c>
      <c r="BD142" s="32">
        <f t="shared" si="77"/>
        <v>4</v>
      </c>
      <c r="BE142">
        <f>step3_validation[[#This Row],[AI_OUT1]]</f>
        <v>8</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3</v>
      </c>
    </row>
    <row r="143" spans="1:61" x14ac:dyDescent="0.45">
      <c r="A143" s="30">
        <f>step3_validation[[#This Row],[Persona_ID]]</f>
        <v>142</v>
      </c>
      <c r="B143" s="31">
        <f>step3_validation[[#This Row],[Used_Seed]]</f>
        <v>183</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8</v>
      </c>
      <c r="R143" t="str">
        <f t="shared" si="54"/>
        <v>Support</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3</v>
      </c>
      <c r="V143">
        <f>step3_validation[[#This Row],[AI_ENF2]]</f>
        <v>9</v>
      </c>
      <c r="W143" t="str">
        <f t="shared" si="57"/>
        <v>Support</v>
      </c>
      <c r="X143">
        <f>survey_responses[[#This Row],[Tôi tin rằng Nhà nước, cơ quan thuế có đủ khả năng và công nghệ để phát hiện, xử lý nghiêm các hành vi trốn thuế. - HUMAN-ENF2]]</f>
        <v>6</v>
      </c>
      <c r="Y143" t="str">
        <f t="shared" si="58"/>
        <v>Neutral</v>
      </c>
      <c r="Z143" s="32">
        <f t="shared" si="59"/>
        <v>3</v>
      </c>
      <c r="AA143">
        <f>step3_validation[[#This Row],[AI_FAC1]]</f>
        <v>8</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3</v>
      </c>
      <c r="AF143">
        <f>step3_validation[[#This Row],[AI_FAC2]]</f>
        <v>9</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2</v>
      </c>
      <c r="AK143">
        <f>step3_validation[[#This Row],[AI_TRU1]]</f>
        <v>8</v>
      </c>
      <c r="AL143" t="str">
        <f t="shared" si="66"/>
        <v>Support</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2</v>
      </c>
      <c r="AP143">
        <f>step3_validation[[#This Row],[AI_TRU2]]</f>
        <v>9</v>
      </c>
      <c r="AQ143" t="str">
        <f t="shared" si="69"/>
        <v>Support</v>
      </c>
      <c r="AR143">
        <f>survey_responses[[#This Row],[Tôi thấy mức thuế tôi phải đóng theo phương án mới là công bằng (người thu nhập như tôi đóng mức này là hợp lý). - HUMAN-TRU2]]</f>
        <v>6</v>
      </c>
      <c r="AS143" t="str">
        <f t="shared" si="70"/>
        <v>Neutral</v>
      </c>
      <c r="AT143" s="32">
        <f t="shared" si="71"/>
        <v>3</v>
      </c>
      <c r="AU143">
        <f>step3_validation[[#This Row],[AI_TRU3]]</f>
        <v>8</v>
      </c>
      <c r="AV143" t="str">
        <f t="shared" si="72"/>
        <v>Support</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2</v>
      </c>
      <c r="AZ143">
        <f>step3_validation[[#This Row],[AI_TRU4]]</f>
        <v>9</v>
      </c>
      <c r="BA143" t="str">
        <f t="shared" si="75"/>
        <v>Support</v>
      </c>
      <c r="BB143">
        <f>survey_responses[[#This Row],[Tôi thấy Nhà nước đã giải thích rõ ràng, minh bạch về lý do và mục tiêu của việc sửa đổi thuế lần này. - HUMAN-TRU4]]</f>
        <v>7</v>
      </c>
      <c r="BC143" t="str">
        <f t="shared" si="76"/>
        <v>Neutral</v>
      </c>
      <c r="BD143" s="32">
        <f t="shared" si="77"/>
        <v>2</v>
      </c>
      <c r="BE143">
        <f>step3_validation[[#This Row],[AI_OUT1]]</f>
        <v>9</v>
      </c>
      <c r="BF143" t="str">
        <f t="shared" si="78"/>
        <v>Support</v>
      </c>
      <c r="BG143">
        <f>survey_responses[[#This Row],[Sau khi xem xét các quyền lợi và nghĩa vụ, bạn có ủng hộ và tuân thủ chính sách mới hiện nay? - HUMAN-OUT1]]</f>
        <v>7</v>
      </c>
      <c r="BH143" t="str">
        <f t="shared" si="79"/>
        <v>Neutral</v>
      </c>
      <c r="BI143" s="32">
        <f t="shared" si="80"/>
        <v>2</v>
      </c>
    </row>
    <row r="144" spans="1:61" x14ac:dyDescent="0.45">
      <c r="A144" s="30">
        <f>step3_validation[[#This Row],[Persona_ID]]</f>
        <v>143</v>
      </c>
      <c r="B144" s="31">
        <f>step3_validation[[#This Row],[Used_Seed]]</f>
        <v>184</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203.84268490148614</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t="str">
        <f t="shared" si="54"/>
        <v>Neutral</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6</v>
      </c>
      <c r="V144">
        <f>step3_validation[[#This Row],[AI_ENF2]]</f>
        <v>6</v>
      </c>
      <c r="W144" t="str">
        <f t="shared" si="57"/>
        <v>Neutral</v>
      </c>
      <c r="X144">
        <f>survey_responses[[#This Row],[Tôi tin rằng Nhà nước, cơ quan thuế có đủ khả năng và công nghệ để phát hiện, xử lý nghiêm các hành vi trốn thuế. - HUMAN-ENF2]]</f>
        <v>1</v>
      </c>
      <c r="Y144" t="str">
        <f t="shared" si="58"/>
        <v>Oppose</v>
      </c>
      <c r="Z144" s="32">
        <f t="shared" si="59"/>
        <v>5</v>
      </c>
      <c r="AA144">
        <f>step3_validation[[#This Row],[AI_FAC1]]</f>
        <v>9</v>
      </c>
      <c r="AB144" t="str">
        <f t="shared" si="60"/>
        <v>Support</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1</v>
      </c>
      <c r="AF144">
        <f>step3_validation[[#This Row],[AI_FAC2]]</f>
        <v>8</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0</v>
      </c>
      <c r="AK144">
        <f>step3_validation[[#This Row],[AI_TRU1]]</f>
        <v>9</v>
      </c>
      <c r="AL144" t="str">
        <f t="shared" si="66"/>
        <v>Support</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1</v>
      </c>
      <c r="AP144">
        <f>step3_validation[[#This Row],[AI_TRU2]]</f>
        <v>8</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0</v>
      </c>
      <c r="AU144">
        <f>step3_validation[[#This Row],[AI_TRU3]]</f>
        <v>9</v>
      </c>
      <c r="AV144" t="str">
        <f t="shared" si="72"/>
        <v>Support</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1</v>
      </c>
      <c r="AZ144">
        <f>step3_validation[[#This Row],[AI_TRU4]]</f>
        <v>7</v>
      </c>
      <c r="BA144" t="str">
        <f t="shared" si="75"/>
        <v>Neutral</v>
      </c>
      <c r="BB144">
        <f>survey_responses[[#This Row],[Tôi thấy Nhà nước đã giải thích rõ ràng, minh bạch về lý do và mục tiêu của việc sửa đổi thuế lần này. - HUMAN-TRU4]]</f>
        <v>8</v>
      </c>
      <c r="BC144" t="str">
        <f t="shared" si="76"/>
        <v>Support</v>
      </c>
      <c r="BD144" s="32">
        <f t="shared" si="77"/>
        <v>1</v>
      </c>
      <c r="BE144">
        <f>step3_validation[[#This Row],[AI_OUT1]]</f>
        <v>9</v>
      </c>
      <c r="BF144" t="str">
        <f t="shared" si="78"/>
        <v>Support</v>
      </c>
      <c r="BG144">
        <f>survey_responses[[#This Row],[Sau khi xem xét các quyền lợi và nghĩa vụ, bạn có ủng hộ và tuân thủ chính sách mới hiện nay? - HUMAN-OUT1]]</f>
        <v>8</v>
      </c>
      <c r="BH144" t="str">
        <f t="shared" si="79"/>
        <v>Support</v>
      </c>
      <c r="BI144" s="32">
        <f t="shared" si="80"/>
        <v>1</v>
      </c>
    </row>
    <row r="145" spans="1:61" x14ac:dyDescent="0.45">
      <c r="A145" s="30">
        <f>step3_validation[[#This Row],[Persona_ID]]</f>
        <v>144</v>
      </c>
      <c r="B145" s="31">
        <f>step3_validation[[#This Row],[Used_Seed]]</f>
        <v>185</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56.009713937760701</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9</v>
      </c>
      <c r="R145" t="str">
        <f t="shared" si="54"/>
        <v>Support</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0</v>
      </c>
      <c r="V145">
        <f>step3_validation[[#This Row],[AI_ENF2]]</f>
        <v>9</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0</v>
      </c>
      <c r="AA145">
        <f>step3_validation[[#This Row],[AI_FAC1]]</f>
        <v>8</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1</v>
      </c>
      <c r="AF145">
        <f>step3_validation[[#This Row],[AI_FAC2]]</f>
        <v>9</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0</v>
      </c>
      <c r="AK145">
        <f>step3_validation[[#This Row],[AI_TRU1]]</f>
        <v>8</v>
      </c>
      <c r="AL145" t="str">
        <f t="shared" si="66"/>
        <v>Support</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2</v>
      </c>
      <c r="AP145">
        <f>step3_validation[[#This Row],[AI_TRU2]]</f>
        <v>9</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2">
        <f t="shared" si="71"/>
        <v>4</v>
      </c>
      <c r="AU145">
        <f>step3_validation[[#This Row],[AI_TRU3]]</f>
        <v>8</v>
      </c>
      <c r="AV145" t="str">
        <f t="shared" si="72"/>
        <v>Support</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1</v>
      </c>
      <c r="AZ145">
        <f>step3_validation[[#This Row],[AI_TRU4]]</f>
        <v>9</v>
      </c>
      <c r="BA145" t="str">
        <f t="shared" si="75"/>
        <v>Support</v>
      </c>
      <c r="BB145">
        <f>survey_responses[[#This Row],[Tôi thấy Nhà nước đã giải thích rõ ràng, minh bạch về lý do và mục tiêu của việc sửa đổi thuế lần này. - HUMAN-TRU4]]</f>
        <v>9</v>
      </c>
      <c r="BC145" t="str">
        <f t="shared" si="76"/>
        <v>Support</v>
      </c>
      <c r="BD145" s="32">
        <f t="shared" si="77"/>
        <v>0</v>
      </c>
      <c r="BE145">
        <f>step3_validation[[#This Row],[AI_OUT1]]</f>
        <v>10</v>
      </c>
      <c r="BF145" t="str">
        <f t="shared" si="78"/>
        <v>Support</v>
      </c>
      <c r="BG145">
        <f>survey_responses[[#This Row],[Sau khi xem xét các quyền lợi và nghĩa vụ, bạn có ủng hộ và tuân thủ chính sách mới hiện nay? - HUMAN-OUT1]]</f>
        <v>10</v>
      </c>
      <c r="BH145" t="str">
        <f t="shared" si="79"/>
        <v>Support</v>
      </c>
      <c r="BI145" s="32">
        <f t="shared" si="80"/>
        <v>0</v>
      </c>
    </row>
    <row r="146" spans="1:61" x14ac:dyDescent="0.45">
      <c r="A146" s="30">
        <f>step3_validation[[#This Row],[Persona_ID]]</f>
        <v>145</v>
      </c>
      <c r="B146" s="31">
        <f>step3_validation[[#This Row],[Used_Seed]]</f>
        <v>186</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53.381056109162323</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5</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5</v>
      </c>
      <c r="V146">
        <f>step3_validation[[#This Row],[AI_ENF2]]</f>
        <v>6</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4</v>
      </c>
      <c r="AA146">
        <f>step3_validation[[#This Row],[AI_FAC1]]</f>
        <v>8</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1</v>
      </c>
      <c r="AF146">
        <f>step3_validation[[#This Row],[AI_FAC2]]</f>
        <v>9</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3</v>
      </c>
      <c r="AK146">
        <f>step3_validation[[#This Row],[AI_TRU1]]</f>
        <v>7</v>
      </c>
      <c r="AL146" t="str">
        <f t="shared" si="66"/>
        <v>Neutral</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1</v>
      </c>
      <c r="AP146">
        <f>step3_validation[[#This Row],[AI_TRU2]]</f>
        <v>9</v>
      </c>
      <c r="AQ146" t="str">
        <f t="shared" si="69"/>
        <v>Support</v>
      </c>
      <c r="AR146">
        <f>survey_responses[[#This Row],[Tôi thấy mức thuế tôi phải đóng theo phương án mới là công bằng (người thu nhập như tôi đóng mức này là hợp lý). - HUMAN-TRU2]]</f>
        <v>3</v>
      </c>
      <c r="AS146" t="str">
        <f t="shared" si="70"/>
        <v>Oppose</v>
      </c>
      <c r="AT146" s="32">
        <f t="shared" si="71"/>
        <v>6</v>
      </c>
      <c r="AU146">
        <f>step3_validation[[#This Row],[AI_TRU3]]</f>
        <v>8</v>
      </c>
      <c r="AV146" t="str">
        <f t="shared" si="72"/>
        <v>Support</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3</v>
      </c>
      <c r="AZ146">
        <f>step3_validation[[#This Row],[AI_TRU4]]</f>
        <v>9</v>
      </c>
      <c r="BA146" t="str">
        <f t="shared" si="75"/>
        <v>Support</v>
      </c>
      <c r="BB146">
        <f>survey_responses[[#This Row],[Tôi thấy Nhà nước đã giải thích rõ ràng, minh bạch về lý do và mục tiêu của việc sửa đổi thuế lần này. - HUMAN-TRU4]]</f>
        <v>5</v>
      </c>
      <c r="BC146" t="str">
        <f t="shared" si="76"/>
        <v>Neutral</v>
      </c>
      <c r="BD146" s="32">
        <f t="shared" si="77"/>
        <v>4</v>
      </c>
      <c r="BE146">
        <f>step3_validation[[#This Row],[AI_OUT1]]</f>
        <v>8</v>
      </c>
      <c r="BF146" t="str">
        <f t="shared" si="78"/>
        <v>Support</v>
      </c>
      <c r="BG146">
        <f>survey_responses[[#This Row],[Sau khi xem xét các quyền lợi và nghĩa vụ, bạn có ủng hộ và tuân thủ chính sách mới hiện nay? - HUMAN-OUT1]]</f>
        <v>1</v>
      </c>
      <c r="BH146" t="str">
        <f t="shared" si="79"/>
        <v>Oppose</v>
      </c>
      <c r="BI146" s="32">
        <f t="shared" si="80"/>
        <v>7</v>
      </c>
    </row>
    <row r="147" spans="1:61" x14ac:dyDescent="0.45">
      <c r="A147" s="30">
        <f>step3_validation[[#This Row],[Persona_ID]]</f>
        <v>146</v>
      </c>
      <c r="B147" s="31">
        <f>step3_validation[[#This Row],[Used_Seed]]</f>
        <v>187</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93.090341062768715</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t="str">
        <f t="shared" si="54"/>
        <v>Neutral</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1</v>
      </c>
      <c r="V147">
        <f>step3_validation[[#This Row],[AI_ENF2]]</f>
        <v>8</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2">
        <f t="shared" si="59"/>
        <v>0</v>
      </c>
      <c r="AA147">
        <f>step3_validation[[#This Row],[AI_FAC1]]</f>
        <v>6</v>
      </c>
      <c r="AB147" t="str">
        <f t="shared" si="60"/>
        <v>Neutral</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1</v>
      </c>
      <c r="AF147">
        <f>step3_validation[[#This Row],[AI_FAC2]]</f>
        <v>9</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4</v>
      </c>
      <c r="AK147">
        <f>step3_validation[[#This Row],[AI_TRU1]]</f>
        <v>7</v>
      </c>
      <c r="AL147" t="str">
        <f t="shared" si="66"/>
        <v>Neutral</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2</v>
      </c>
      <c r="AP147">
        <f>step3_validation[[#This Row],[AI_TRU2]]</f>
        <v>9</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6</v>
      </c>
      <c r="AU147">
        <f>step3_validation[[#This Row],[AI_TRU3]]</f>
        <v>7</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2</v>
      </c>
      <c r="AZ147">
        <f>step3_validation[[#This Row],[AI_TRU4]]</f>
        <v>8</v>
      </c>
      <c r="BA147" t="str">
        <f t="shared" si="75"/>
        <v>Support</v>
      </c>
      <c r="BB147">
        <f>survey_responses[[#This Row],[Tôi thấy Nhà nước đã giải thích rõ ràng, minh bạch về lý do và mục tiêu của việc sửa đổi thuế lần này. - HUMAN-TRU4]]</f>
        <v>5</v>
      </c>
      <c r="BC147" t="str">
        <f t="shared" si="76"/>
        <v>Neutral</v>
      </c>
      <c r="BD147" s="32">
        <f t="shared" si="77"/>
        <v>3</v>
      </c>
      <c r="BE147">
        <f>step3_validation[[#This Row],[AI_OUT1]]</f>
        <v>9</v>
      </c>
      <c r="BF147" t="str">
        <f t="shared" si="78"/>
        <v>Support</v>
      </c>
      <c r="BG147">
        <f>survey_responses[[#This Row],[Sau khi xem xét các quyền lợi và nghĩa vụ, bạn có ủng hộ và tuân thủ chính sách mới hiện nay? - HUMAN-OUT1]]</f>
        <v>5</v>
      </c>
      <c r="BH147" t="str">
        <f t="shared" si="79"/>
        <v>Neutral</v>
      </c>
      <c r="BI147" s="32">
        <f t="shared" si="80"/>
        <v>4</v>
      </c>
    </row>
    <row r="148" spans="1:61" x14ac:dyDescent="0.45">
      <c r="A148" s="30">
        <f>step3_validation[[#This Row],[Persona_ID]]</f>
        <v>147</v>
      </c>
      <c r="B148" s="31">
        <f>step3_validation[[#This Row],[Used_Seed]]</f>
        <v>188</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122.63747376055527</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8</v>
      </c>
      <c r="R148" t="str">
        <f t="shared" si="54"/>
        <v>Support</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1</v>
      </c>
      <c r="V148">
        <f>step3_validation[[#This Row],[AI_ENF2]]</f>
        <v>8</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1</v>
      </c>
      <c r="AA148">
        <f>step3_validation[[#This Row],[AI_FAC1]]</f>
        <v>9</v>
      </c>
      <c r="AB148" t="str">
        <f t="shared" si="60"/>
        <v>Support</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8</v>
      </c>
      <c r="AF148">
        <f>step3_validation[[#This Row],[AI_FAC2]]</f>
        <v>9</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3</v>
      </c>
      <c r="AK148">
        <f>step3_validation[[#This Row],[AI_TRU1]]</f>
        <v>8</v>
      </c>
      <c r="AL148" t="str">
        <f t="shared" si="66"/>
        <v>Support</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5</v>
      </c>
      <c r="AP148">
        <f>step3_validation[[#This Row],[AI_TRU2]]</f>
        <v>9</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4</v>
      </c>
      <c r="AU148">
        <f>step3_validation[[#This Row],[AI_TRU3]]</f>
        <v>8</v>
      </c>
      <c r="AV148" t="str">
        <f t="shared" si="72"/>
        <v>Support</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7</v>
      </c>
      <c r="AZ148">
        <f>step3_validation[[#This Row],[AI_TRU4]]</f>
        <v>9</v>
      </c>
      <c r="BA148" t="str">
        <f t="shared" si="75"/>
        <v>Support</v>
      </c>
      <c r="BB148">
        <f>survey_responses[[#This Row],[Tôi thấy Nhà nước đã giải thích rõ ràng, minh bạch về lý do và mục tiêu của việc sửa đổi thuế lần này. - HUMAN-TRU4]]</f>
        <v>4</v>
      </c>
      <c r="BC148" t="str">
        <f t="shared" si="76"/>
        <v>Oppose</v>
      </c>
      <c r="BD148" s="32">
        <f t="shared" si="77"/>
        <v>5</v>
      </c>
      <c r="BE148">
        <f>step3_validation[[#This Row],[AI_OUT1]]</f>
        <v>9</v>
      </c>
      <c r="BF148" t="str">
        <f t="shared" si="78"/>
        <v>Support</v>
      </c>
      <c r="BG148">
        <f>survey_responses[[#This Row],[Sau khi xem xét các quyền lợi và nghĩa vụ, bạn có ủng hộ và tuân thủ chính sách mới hiện nay? - HUMAN-OUT1]]</f>
        <v>5</v>
      </c>
      <c r="BH148" t="str">
        <f t="shared" si="79"/>
        <v>Neutral</v>
      </c>
      <c r="BI148" s="32">
        <f t="shared" si="80"/>
        <v>4</v>
      </c>
    </row>
    <row r="149" spans="1:61" x14ac:dyDescent="0.45">
      <c r="A149" s="30">
        <f>step3_validation[[#This Row],[Persona_ID]]</f>
        <v>148</v>
      </c>
      <c r="B149" s="31">
        <f>step3_validation[[#This Row],[Used_Seed]]</f>
        <v>189</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19.575929224705416</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9</v>
      </c>
      <c r="R149" t="str">
        <f t="shared" si="54"/>
        <v>Support</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3</v>
      </c>
      <c r="V149">
        <f>step3_validation[[#This Row],[AI_ENF2]]</f>
        <v>8</v>
      </c>
      <c r="W149" t="str">
        <f t="shared" si="57"/>
        <v>Support</v>
      </c>
      <c r="X149">
        <f>survey_responses[[#This Row],[Tôi tin rằng Nhà nước, cơ quan thuế có đủ khả năng và công nghệ để phát hiện, xử lý nghiêm các hành vi trốn thuế. - HUMAN-ENF2]]</f>
        <v>6</v>
      </c>
      <c r="Y149" t="str">
        <f t="shared" si="58"/>
        <v>Neutral</v>
      </c>
      <c r="Z149" s="32">
        <f t="shared" si="59"/>
        <v>2</v>
      </c>
      <c r="AA149">
        <f>step3_validation[[#This Row],[AI_FAC1]]</f>
        <v>9</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4</v>
      </c>
      <c r="AF149">
        <f>step3_validation[[#This Row],[AI_FAC2]]</f>
        <v>8</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1</v>
      </c>
      <c r="AK149">
        <f>step3_validation[[#This Row],[AI_TRU1]]</f>
        <v>9</v>
      </c>
      <c r="AL149" t="str">
        <f t="shared" si="66"/>
        <v>Support</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4</v>
      </c>
      <c r="AP149">
        <f>step3_validation[[#This Row],[AI_TRU2]]</f>
        <v>8</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9</v>
      </c>
      <c r="AV149" t="str">
        <f t="shared" si="72"/>
        <v>Support</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4</v>
      </c>
      <c r="AZ149">
        <f>step3_validation[[#This Row],[AI_TRU4]]</f>
        <v>8</v>
      </c>
      <c r="BA149" t="str">
        <f t="shared" si="75"/>
        <v>Support</v>
      </c>
      <c r="BB149">
        <f>survey_responses[[#This Row],[Tôi thấy Nhà nước đã giải thích rõ ràng, minh bạch về lý do và mục tiêu của việc sửa đổi thuế lần này. - HUMAN-TRU4]]</f>
        <v>6</v>
      </c>
      <c r="BC149" t="str">
        <f t="shared" si="76"/>
        <v>Neutral</v>
      </c>
      <c r="BD149" s="32">
        <f t="shared" si="77"/>
        <v>2</v>
      </c>
      <c r="BE149">
        <f>step3_validation[[#This Row],[AI_OUT1]]</f>
        <v>9</v>
      </c>
      <c r="BF149" t="str">
        <f t="shared" si="78"/>
        <v>Support</v>
      </c>
      <c r="BG149">
        <f>survey_responses[[#This Row],[Sau khi xem xét các quyền lợi và nghĩa vụ, bạn có ủng hộ và tuân thủ chính sách mới hiện nay? - HUMAN-OUT1]]</f>
        <v>7</v>
      </c>
      <c r="BH149" t="str">
        <f t="shared" si="79"/>
        <v>Neutral</v>
      </c>
      <c r="BI149" s="32">
        <f t="shared" si="80"/>
        <v>2</v>
      </c>
    </row>
    <row r="150" spans="1:61" x14ac:dyDescent="0.45">
      <c r="A150" s="30">
        <f>step3_validation[[#This Row],[Persona_ID]]</f>
        <v>149</v>
      </c>
      <c r="B150" s="31">
        <f>step3_validation[[#This Row],[Used_Seed]]</f>
        <v>190</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130.91660072990831</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6</v>
      </c>
      <c r="R150" t="str">
        <f t="shared" si="54"/>
        <v>Neutral</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4</v>
      </c>
      <c r="V150">
        <f>step3_validation[[#This Row],[AI_ENF2]]</f>
        <v>7</v>
      </c>
      <c r="W150" t="str">
        <f t="shared" si="57"/>
        <v>Neutral</v>
      </c>
      <c r="X150">
        <f>survey_responses[[#This Row],[Tôi tin rằng Nhà nước, cơ quan thuế có đủ khả năng và công nghệ để phát hiện, xử lý nghiêm các hành vi trốn thuế. - HUMAN-ENF2]]</f>
        <v>10</v>
      </c>
      <c r="Y150" t="str">
        <f t="shared" si="58"/>
        <v>Support</v>
      </c>
      <c r="Z150" s="32">
        <f t="shared" si="59"/>
        <v>3</v>
      </c>
      <c r="AA150">
        <f>step3_validation[[#This Row],[AI_FAC1]]</f>
        <v>9</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2</v>
      </c>
      <c r="AF150">
        <f>step3_validation[[#This Row],[AI_FAC2]]</f>
        <v>9</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1</v>
      </c>
      <c r="AK150">
        <f>step3_validation[[#This Row],[AI_TRU1]]</f>
        <v>8</v>
      </c>
      <c r="AL150" t="str">
        <f t="shared" si="66"/>
        <v>Support</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0</v>
      </c>
      <c r="AP150">
        <f>step3_validation[[#This Row],[AI_TRU2]]</f>
        <v>9</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2">
        <f t="shared" si="71"/>
        <v>5</v>
      </c>
      <c r="AU150">
        <f>step3_validation[[#This Row],[AI_TRU3]]</f>
        <v>8</v>
      </c>
      <c r="AV150" t="str">
        <f t="shared" si="72"/>
        <v>Support</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7</v>
      </c>
      <c r="AZ150">
        <f>step3_validation[[#This Row],[AI_TRU4]]</f>
        <v>9</v>
      </c>
      <c r="BA150" t="str">
        <f t="shared" si="75"/>
        <v>Support</v>
      </c>
      <c r="BB150">
        <f>survey_responses[[#This Row],[Tôi thấy Nhà nước đã giải thích rõ ràng, minh bạch về lý do và mục tiêu của việc sửa đổi thuế lần này. - HUMAN-TRU4]]</f>
        <v>3</v>
      </c>
      <c r="BC150" t="str">
        <f t="shared" si="76"/>
        <v>Oppose</v>
      </c>
      <c r="BD150" s="32">
        <f t="shared" si="77"/>
        <v>6</v>
      </c>
      <c r="BE150">
        <f>step3_validation[[#This Row],[AI_OUT1]]</f>
        <v>8</v>
      </c>
      <c r="BF150" t="str">
        <f t="shared" si="78"/>
        <v>Support</v>
      </c>
      <c r="BG150">
        <f>survey_responses[[#This Row],[Sau khi xem xét các quyền lợi và nghĩa vụ, bạn có ủng hộ và tuân thủ chính sách mới hiện nay? - HUMAN-OUT1]]</f>
        <v>6</v>
      </c>
      <c r="BH150" t="str">
        <f t="shared" si="79"/>
        <v>Neutral</v>
      </c>
      <c r="BI150" s="32">
        <f t="shared" si="80"/>
        <v>2</v>
      </c>
    </row>
    <row r="151" spans="1:61" x14ac:dyDescent="0.45">
      <c r="A151" s="30">
        <f>step3_validation[[#This Row],[Persona_ID]]</f>
        <v>150</v>
      </c>
      <c r="B151" s="31">
        <f>step3_validation[[#This Row],[Used_Seed]]</f>
        <v>191</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64.91024447298237</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7</v>
      </c>
      <c r="R151" t="str">
        <f t="shared" si="54"/>
        <v>Neutral</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0</v>
      </c>
      <c r="V151">
        <f>step3_validation[[#This Row],[AI_ENF2]]</f>
        <v>6</v>
      </c>
      <c r="W151" t="str">
        <f t="shared" si="57"/>
        <v>Neutral</v>
      </c>
      <c r="X151">
        <f>survey_responses[[#This Row],[Tôi tin rằng Nhà nước, cơ quan thuế có đủ khả năng và công nghệ để phát hiện, xử lý nghiêm các hành vi trốn thuế. - HUMAN-ENF2]]</f>
        <v>10</v>
      </c>
      <c r="Y151" t="str">
        <f t="shared" si="58"/>
        <v>Support</v>
      </c>
      <c r="Z151" s="32">
        <f t="shared" si="59"/>
        <v>4</v>
      </c>
      <c r="AA151">
        <f>step3_validation[[#This Row],[AI_FAC1]]</f>
        <v>8</v>
      </c>
      <c r="AB151" t="str">
        <f t="shared" si="60"/>
        <v>Support</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3</v>
      </c>
      <c r="AF151">
        <f>step3_validation[[#This Row],[AI_FAC2]]</f>
        <v>9</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2</v>
      </c>
      <c r="AK151">
        <f>step3_validation[[#This Row],[AI_TRU1]]</f>
        <v>7</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0</v>
      </c>
      <c r="AP151">
        <f>step3_validation[[#This Row],[AI_TRU2]]</f>
        <v>9</v>
      </c>
      <c r="AQ151" t="str">
        <f t="shared" si="69"/>
        <v>Support</v>
      </c>
      <c r="AR151">
        <f>survey_responses[[#This Row],[Tôi thấy mức thuế tôi phải đóng theo phương án mới là công bằng (người thu nhập như tôi đóng mức này là hợp lý). - HUMAN-TRU2]]</f>
        <v>7</v>
      </c>
      <c r="AS151" t="str">
        <f t="shared" si="70"/>
        <v>Neutral</v>
      </c>
      <c r="AT151" s="32">
        <f t="shared" si="71"/>
        <v>2</v>
      </c>
      <c r="AU151">
        <f>step3_validation[[#This Row],[AI_TRU3]]</f>
        <v>6</v>
      </c>
      <c r="AV151" t="str">
        <f t="shared" si="72"/>
        <v>Neutral</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1</v>
      </c>
      <c r="AZ151">
        <f>step3_validation[[#This Row],[AI_TRU4]]</f>
        <v>7</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0</v>
      </c>
      <c r="BE151">
        <f>step3_validation[[#This Row],[AI_OUT1]]</f>
        <v>8</v>
      </c>
      <c r="BF151" t="str">
        <f t="shared" si="78"/>
        <v>Support</v>
      </c>
      <c r="BG151">
        <f>survey_responses[[#This Row],[Sau khi xem xét các quyền lợi và nghĩa vụ, bạn có ủng hộ và tuân thủ chính sách mới hiện nay? - HUMAN-OUT1]]</f>
        <v>10</v>
      </c>
      <c r="BH151" t="str">
        <f t="shared" si="79"/>
        <v>Support</v>
      </c>
      <c r="BI151" s="32">
        <f t="shared" si="80"/>
        <v>2</v>
      </c>
    </row>
    <row r="152" spans="1:61" x14ac:dyDescent="0.45">
      <c r="A152" s="30">
        <f>step3_validation[[#This Row],[Persona_ID]]</f>
        <v>151</v>
      </c>
      <c r="B152" s="31">
        <f>step3_validation[[#This Row],[Used_Seed]]</f>
        <v>192</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99.654731348476687</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7</v>
      </c>
      <c r="R152" t="str">
        <f t="shared" si="54"/>
        <v>Neutral</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1</v>
      </c>
      <c r="V152">
        <f>step3_validation[[#This Row],[AI_ENF2]]</f>
        <v>9</v>
      </c>
      <c r="W152" t="str">
        <f t="shared" si="57"/>
        <v>Support</v>
      </c>
      <c r="X152">
        <f>survey_responses[[#This Row],[Tôi tin rằng Nhà nước, cơ quan thuế có đủ khả năng và công nghệ để phát hiện, xử lý nghiêm các hành vi trốn thuế. - HUMAN-ENF2]]</f>
        <v>8</v>
      </c>
      <c r="Y152" t="str">
        <f t="shared" si="58"/>
        <v>Support</v>
      </c>
      <c r="Z152" s="32">
        <f t="shared" si="59"/>
        <v>1</v>
      </c>
      <c r="AA152">
        <f>step3_validation[[#This Row],[AI_FAC1]]</f>
        <v>8</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0</v>
      </c>
      <c r="AF152">
        <f>step3_validation[[#This Row],[AI_FAC2]]</f>
        <v>9</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7</v>
      </c>
      <c r="AL152" t="str">
        <f t="shared" si="66"/>
        <v>Neutral</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1</v>
      </c>
      <c r="AP152">
        <f>step3_validation[[#This Row],[AI_TRU2]]</f>
        <v>8</v>
      </c>
      <c r="AQ152" t="str">
        <f t="shared" si="69"/>
        <v>Support</v>
      </c>
      <c r="AR152">
        <f>survey_responses[[#This Row],[Tôi thấy mức thuế tôi phải đóng theo phương án mới là công bằng (người thu nhập như tôi đóng mức này là hợp lý). - HUMAN-TRU2]]</f>
        <v>8</v>
      </c>
      <c r="AS152" t="str">
        <f t="shared" si="70"/>
        <v>Support</v>
      </c>
      <c r="AT152" s="32">
        <f t="shared" si="71"/>
        <v>0</v>
      </c>
      <c r="AU152">
        <f>step3_validation[[#This Row],[AI_TRU3]]</f>
        <v>6</v>
      </c>
      <c r="AV152" t="str">
        <f t="shared" si="72"/>
        <v>Neutral</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2</v>
      </c>
      <c r="AZ152">
        <f>step3_validation[[#This Row],[AI_TRU4]]</f>
        <v>9</v>
      </c>
      <c r="BA152" t="str">
        <f t="shared" si="75"/>
        <v>Support</v>
      </c>
      <c r="BB152">
        <f>survey_responses[[#This Row],[Tôi thấy Nhà nước đã giải thích rõ ràng, minh bạch về lý do và mục tiêu của việc sửa đổi thuế lần này. - HUMAN-TRU4]]</f>
        <v>8</v>
      </c>
      <c r="BC152" t="str">
        <f t="shared" si="76"/>
        <v>Support</v>
      </c>
      <c r="BD152" s="32">
        <f t="shared" si="77"/>
        <v>1</v>
      </c>
      <c r="BE152">
        <f>step3_validation[[#This Row],[AI_OUT1]]</f>
        <v>8</v>
      </c>
      <c r="BF152" t="str">
        <f t="shared" si="78"/>
        <v>Support</v>
      </c>
      <c r="BG152">
        <f>survey_responses[[#This Row],[Sau khi xem xét các quyền lợi và nghĩa vụ, bạn có ủng hộ và tuân thủ chính sách mới hiện nay? - HUMAN-OUT1]]</f>
        <v>8</v>
      </c>
      <c r="BH152" t="str">
        <f t="shared" si="79"/>
        <v>Support</v>
      </c>
      <c r="BI152" s="32">
        <f t="shared" si="80"/>
        <v>0</v>
      </c>
    </row>
    <row r="153" spans="1:61" x14ac:dyDescent="0.45">
      <c r="A153" s="30">
        <f>step3_validation[[#This Row],[Persona_ID]]</f>
        <v>152</v>
      </c>
      <c r="B153" s="31">
        <f>step3_validation[[#This Row],[Used_Seed]]</f>
        <v>193</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75.496027824512325</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6</v>
      </c>
      <c r="R153" t="str">
        <f t="shared" si="54"/>
        <v>Neutral</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4</v>
      </c>
      <c r="V153">
        <f>step3_validation[[#This Row],[AI_ENF2]]</f>
        <v>7</v>
      </c>
      <c r="W153" t="str">
        <f t="shared" si="57"/>
        <v>Neutral</v>
      </c>
      <c r="X153">
        <f>survey_responses[[#This Row],[Tôi tin rằng Nhà nước, cơ quan thuế có đủ khả năng và công nghệ để phát hiện, xử lý nghiêm các hành vi trốn thuế. - HUMAN-ENF2]]</f>
        <v>10</v>
      </c>
      <c r="Y153" t="str">
        <f t="shared" si="58"/>
        <v>Support</v>
      </c>
      <c r="Z153" s="32">
        <f t="shared" si="59"/>
        <v>3</v>
      </c>
      <c r="AA153">
        <f>step3_validation[[#This Row],[AI_FAC1]]</f>
        <v>8</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2</v>
      </c>
      <c r="AF153">
        <f>step3_validation[[#This Row],[AI_FAC2]]</f>
        <v>9</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1</v>
      </c>
      <c r="AK153">
        <f>step3_validation[[#This Row],[AI_TRU1]]</f>
        <v>8</v>
      </c>
      <c r="AL153" t="str">
        <f t="shared" si="66"/>
        <v>Support</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2</v>
      </c>
      <c r="AP153">
        <f>step3_validation[[#This Row],[AI_TRU2]]</f>
        <v>9</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1</v>
      </c>
      <c r="AU153">
        <f>step3_validation[[#This Row],[AI_TRU3]]</f>
        <v>8</v>
      </c>
      <c r="AV153" t="str">
        <f t="shared" si="72"/>
        <v>Support</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2</v>
      </c>
      <c r="AZ153">
        <f>step3_validation[[#This Row],[AI_TRU4]]</f>
        <v>7</v>
      </c>
      <c r="BA153" t="str">
        <f t="shared" si="75"/>
        <v>Neutral</v>
      </c>
      <c r="BB153">
        <f>survey_responses[[#This Row],[Tôi thấy Nhà nước đã giải thích rõ ràng, minh bạch về lý do và mục tiêu của việc sửa đổi thuế lần này. - HUMAN-TRU4]]</f>
        <v>10</v>
      </c>
      <c r="BC153" t="str">
        <f t="shared" si="76"/>
        <v>Support</v>
      </c>
      <c r="BD153" s="32">
        <f t="shared" si="77"/>
        <v>3</v>
      </c>
      <c r="BE153">
        <f>step3_validation[[#This Row],[AI_OUT1]]</f>
        <v>9</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1</v>
      </c>
    </row>
    <row r="154" spans="1:61" x14ac:dyDescent="0.45">
      <c r="A154" s="30">
        <f>step3_validation[[#This Row],[Persona_ID]]</f>
        <v>153</v>
      </c>
      <c r="B154" s="31">
        <f>step3_validation[[#This Row],[Used_Seed]]</f>
        <v>194</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10</v>
      </c>
      <c r="R154" t="str">
        <f t="shared" si="54"/>
        <v>Support</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3</v>
      </c>
      <c r="V154">
        <f>step3_validation[[#This Row],[AI_ENF2]]</f>
        <v>2</v>
      </c>
      <c r="W154" t="str">
        <f t="shared" si="57"/>
        <v>Oppose</v>
      </c>
      <c r="X154">
        <f>survey_responses[[#This Row],[Tôi tin rằng Nhà nước, cơ quan thuế có đủ khả năng và công nghệ để phát hiện, xử lý nghiêm các hành vi trốn thuế. - HUMAN-ENF2]]</f>
        <v>7</v>
      </c>
      <c r="Y154" t="str">
        <f t="shared" si="58"/>
        <v>Neutral</v>
      </c>
      <c r="Z154" s="32">
        <f t="shared" si="59"/>
        <v>5</v>
      </c>
      <c r="AA154">
        <f>step3_validation[[#This Row],[AI_FAC1]]</f>
        <v>10</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5</v>
      </c>
      <c r="AF154">
        <f>step3_validation[[#This Row],[AI_FAC2]]</f>
        <v>10</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3</v>
      </c>
      <c r="AK154">
        <f>step3_validation[[#This Row],[AI_TRU1]]</f>
        <v>10</v>
      </c>
      <c r="AL154" t="str">
        <f t="shared" si="66"/>
        <v>Support</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3</v>
      </c>
      <c r="AP154">
        <f>step3_validation[[#This Row],[AI_TRU2]]</f>
        <v>10</v>
      </c>
      <c r="AQ154" t="str">
        <f t="shared" si="69"/>
        <v>Support</v>
      </c>
      <c r="AR154">
        <f>survey_responses[[#This Row],[Tôi thấy mức thuế tôi phải đóng theo phương án mới là công bằng (người thu nhập như tôi đóng mức này là hợp lý). - HUMAN-TRU2]]</f>
        <v>7</v>
      </c>
      <c r="AS154" t="str">
        <f t="shared" si="70"/>
        <v>Neutral</v>
      </c>
      <c r="AT154" s="32">
        <f t="shared" si="71"/>
        <v>3</v>
      </c>
      <c r="AU154">
        <f>step3_validation[[#This Row],[AI_TRU3]]</f>
        <v>10</v>
      </c>
      <c r="AV154" t="str">
        <f t="shared" si="72"/>
        <v>Support</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3</v>
      </c>
      <c r="AZ154">
        <f>step3_validation[[#This Row],[AI_TRU4]]</f>
        <v>10</v>
      </c>
      <c r="BA154" t="str">
        <f t="shared" si="75"/>
        <v>Support</v>
      </c>
      <c r="BB154">
        <f>survey_responses[[#This Row],[Tôi thấy Nhà nước đã giải thích rõ ràng, minh bạch về lý do và mục tiêu của việc sửa đổi thuế lần này. - HUMAN-TRU4]]</f>
        <v>7</v>
      </c>
      <c r="BC154" t="str">
        <f t="shared" si="76"/>
        <v>Neutral</v>
      </c>
      <c r="BD154" s="32">
        <f t="shared" si="77"/>
        <v>3</v>
      </c>
      <c r="BE154">
        <f>step3_validation[[#This Row],[AI_OUT1]]</f>
        <v>10</v>
      </c>
      <c r="BF154" t="str">
        <f t="shared" si="78"/>
        <v>Support</v>
      </c>
      <c r="BG154">
        <f>survey_responses[[#This Row],[Sau khi xem xét các quyền lợi và nghĩa vụ, bạn có ủng hộ và tuân thủ chính sách mới hiện nay? - HUMAN-OUT1]]</f>
        <v>7</v>
      </c>
      <c r="BH154" t="str">
        <f t="shared" si="79"/>
        <v>Neutral</v>
      </c>
      <c r="BI154" s="32">
        <f t="shared" si="80"/>
        <v>3</v>
      </c>
    </row>
    <row r="155" spans="1:61" x14ac:dyDescent="0.45">
      <c r="A155" s="30">
        <f>step3_validation[[#This Row],[Persona_ID]]</f>
        <v>154</v>
      </c>
      <c r="B155" s="31">
        <f>step3_validation[[#This Row],[Used_Seed]]</f>
        <v>195</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6</v>
      </c>
      <c r="R155" t="str">
        <f t="shared" si="54"/>
        <v>Neutral</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1</v>
      </c>
      <c r="V155">
        <f>step3_validation[[#This Row],[AI_ENF2]]</f>
        <v>7</v>
      </c>
      <c r="W155" t="str">
        <f t="shared" si="57"/>
        <v>Neutral</v>
      </c>
      <c r="X155">
        <f>survey_responses[[#This Row],[Tôi tin rằng Nhà nước, cơ quan thuế có đủ khả năng và công nghệ để phát hiện, xử lý nghiêm các hành vi trốn thuế. - HUMAN-ENF2]]</f>
        <v>8</v>
      </c>
      <c r="Y155" t="str">
        <f t="shared" si="58"/>
        <v>Support</v>
      </c>
      <c r="Z155" s="32">
        <f t="shared" si="59"/>
        <v>1</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1</v>
      </c>
      <c r="AF155">
        <f>step3_validation[[#This Row],[AI_FAC2]]</f>
        <v>8</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0</v>
      </c>
      <c r="AK155">
        <f>step3_validation[[#This Row],[AI_TRU1]]</f>
        <v>9</v>
      </c>
      <c r="AL155" t="str">
        <f t="shared" si="66"/>
        <v>Support</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3</v>
      </c>
      <c r="AP155">
        <f>step3_validation[[#This Row],[AI_TRU2]]</f>
        <v>8</v>
      </c>
      <c r="AQ155" t="str">
        <f t="shared" si="69"/>
        <v>Support</v>
      </c>
      <c r="AR155">
        <f>survey_responses[[#This Row],[Tôi thấy mức thuế tôi phải đóng theo phương án mới là công bằng (người thu nhập như tôi đóng mức này là hợp lý). - HUMAN-TRU2]]</f>
        <v>8</v>
      </c>
      <c r="AS155" t="str">
        <f t="shared" si="70"/>
        <v>Support</v>
      </c>
      <c r="AT155" s="32">
        <f t="shared" si="71"/>
        <v>0</v>
      </c>
      <c r="AU155">
        <f>step3_validation[[#This Row],[AI_TRU3]]</f>
        <v>9</v>
      </c>
      <c r="AV155" t="str">
        <f t="shared" si="72"/>
        <v>Support</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4</v>
      </c>
      <c r="AZ155">
        <f>step3_validation[[#This Row],[AI_TRU4]]</f>
        <v>8</v>
      </c>
      <c r="BA155" t="str">
        <f t="shared" si="75"/>
        <v>Support</v>
      </c>
      <c r="BB155">
        <f>survey_responses[[#This Row],[Tôi thấy Nhà nước đã giải thích rõ ràng, minh bạch về lý do và mục tiêu của việc sửa đổi thuế lần này. - HUMAN-TRU4]]</f>
        <v>8</v>
      </c>
      <c r="BC155" t="str">
        <f t="shared" si="76"/>
        <v>Support</v>
      </c>
      <c r="BD155" s="32">
        <f t="shared" si="77"/>
        <v>0</v>
      </c>
      <c r="BE155">
        <f>step3_validation[[#This Row],[AI_OUT1]]</f>
        <v>9</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1</v>
      </c>
    </row>
    <row r="156" spans="1:61" x14ac:dyDescent="0.45">
      <c r="A156" s="30">
        <f>step3_validation[[#This Row],[Persona_ID]]</f>
        <v>155</v>
      </c>
      <c r="B156" s="31">
        <f>step3_validation[[#This Row],[Used_Seed]]</f>
        <v>196</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49.56805591050923</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3</v>
      </c>
      <c r="V156">
        <f>step3_validation[[#This Row],[AI_ENF2]]</f>
        <v>8</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2">
        <f t="shared" si="59"/>
        <v>2</v>
      </c>
      <c r="AA156">
        <f>step3_validation[[#This Row],[AI_FAC1]]</f>
        <v>7</v>
      </c>
      <c r="AB156" t="str">
        <f t="shared" si="60"/>
        <v>Neutral</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3</v>
      </c>
      <c r="AF156">
        <f>step3_validation[[#This Row],[AI_FAC2]]</f>
        <v>9</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1</v>
      </c>
      <c r="AK156">
        <f>step3_validation[[#This Row],[AI_TRU1]]</f>
        <v>6</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4</v>
      </c>
      <c r="AP156">
        <f>step3_validation[[#This Row],[AI_TRU2]]</f>
        <v>8</v>
      </c>
      <c r="AQ156" t="str">
        <f t="shared" si="69"/>
        <v>Support</v>
      </c>
      <c r="AR156">
        <f>survey_responses[[#This Row],[Tôi thấy mức thuế tôi phải đóng theo phương án mới là công bằng (người thu nhập như tôi đóng mức này là hợp lý). - HUMAN-TRU2]]</f>
        <v>10</v>
      </c>
      <c r="AS156" t="str">
        <f t="shared" si="70"/>
        <v>Support</v>
      </c>
      <c r="AT156" s="32">
        <f t="shared" si="71"/>
        <v>2</v>
      </c>
      <c r="AU156">
        <f>step3_validation[[#This Row],[AI_TRU3]]</f>
        <v>6</v>
      </c>
      <c r="AV156" t="str">
        <f t="shared" si="72"/>
        <v>Neutral</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4</v>
      </c>
      <c r="AZ156">
        <f>step3_validation[[#This Row],[AI_TRU4]]</f>
        <v>7</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3</v>
      </c>
      <c r="BE156">
        <f>step3_validation[[#This Row],[AI_OUT1]]</f>
        <v>8</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2</v>
      </c>
    </row>
    <row r="157" spans="1:61" x14ac:dyDescent="0.45">
      <c r="A157" s="30">
        <f>step3_validation[[#This Row],[Persona_ID]]</f>
        <v>156</v>
      </c>
      <c r="B157" s="31">
        <f>step3_validation[[#This Row],[Used_Seed]]</f>
        <v>197</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25.572093263662541</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7</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3</v>
      </c>
      <c r="V157">
        <f>step3_validation[[#This Row],[AI_ENF2]]</f>
        <v>6</v>
      </c>
      <c r="W157" t="str">
        <f t="shared" si="57"/>
        <v>Neutral</v>
      </c>
      <c r="X157">
        <f>survey_responses[[#This Row],[Tôi tin rằng Nhà nước, cơ quan thuế có đủ khả năng và công nghệ để phát hiện, xử lý nghiêm các hành vi trốn thuế. - HUMAN-ENF2]]</f>
        <v>10</v>
      </c>
      <c r="Y157" t="str">
        <f t="shared" si="58"/>
        <v>Support</v>
      </c>
      <c r="Z157" s="32">
        <f t="shared" si="59"/>
        <v>4</v>
      </c>
      <c r="AA157">
        <f>step3_validation[[#This Row],[AI_FAC1]]</f>
        <v>8</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2</v>
      </c>
      <c r="AF157">
        <f>step3_validation[[#This Row],[AI_FAC2]]</f>
        <v>9</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1</v>
      </c>
      <c r="AK157">
        <f>step3_validation[[#This Row],[AI_TRU1]]</f>
        <v>8</v>
      </c>
      <c r="AL157" t="str">
        <f t="shared" si="66"/>
        <v>Support</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2</v>
      </c>
      <c r="AP157">
        <f>step3_validation[[#This Row],[AI_TRU2]]</f>
        <v>9</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1</v>
      </c>
      <c r="AU157">
        <f>step3_validation[[#This Row],[AI_TRU3]]</f>
        <v>8</v>
      </c>
      <c r="AV157" t="str">
        <f t="shared" si="72"/>
        <v>Support</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2</v>
      </c>
      <c r="AZ157">
        <f>step3_validation[[#This Row],[AI_TRU4]]</f>
        <v>7</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2">
        <f t="shared" si="77"/>
        <v>3</v>
      </c>
      <c r="BE157">
        <f>step3_validation[[#This Row],[AI_OUT1]]</f>
        <v>9</v>
      </c>
      <c r="BF157" t="str">
        <f t="shared" si="78"/>
        <v>Support</v>
      </c>
      <c r="BG157">
        <f>survey_responses[[#This Row],[Sau khi xem xét các quyền lợi và nghĩa vụ, bạn có ủng hộ và tuân thủ chính sách mới hiện nay? - HUMAN-OUT1]]</f>
        <v>10</v>
      </c>
      <c r="BH157" t="str">
        <f t="shared" si="79"/>
        <v>Support</v>
      </c>
      <c r="BI157" s="32">
        <f t="shared" si="80"/>
        <v>1</v>
      </c>
    </row>
    <row r="158" spans="1:61" x14ac:dyDescent="0.45">
      <c r="A158" s="30">
        <f>step3_validation[[#This Row],[Persona_ID]]</f>
        <v>157</v>
      </c>
      <c r="B158" s="31">
        <f>step3_validation[[#This Row],[Used_Seed]]</f>
        <v>198</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97.632638972926856</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3</v>
      </c>
      <c r="V158">
        <f>step3_validation[[#This Row],[AI_ENF2]]</f>
        <v>8</v>
      </c>
      <c r="W158" t="str">
        <f t="shared" si="57"/>
        <v>Support</v>
      </c>
      <c r="X158">
        <f>survey_responses[[#This Row],[Tôi tin rằng Nhà nước, cơ quan thuế có đủ khả năng và công nghệ để phát hiện, xử lý nghiêm các hành vi trốn thuế. - HUMAN-ENF2]]</f>
        <v>10</v>
      </c>
      <c r="Y158" t="str">
        <f t="shared" si="58"/>
        <v>Support</v>
      </c>
      <c r="Z158" s="32">
        <f t="shared" si="59"/>
        <v>2</v>
      </c>
      <c r="AA158">
        <f>step3_validation[[#This Row],[AI_FAC1]]</f>
        <v>7</v>
      </c>
      <c r="AB158" t="str">
        <f t="shared" si="60"/>
        <v>Neutral</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6</v>
      </c>
      <c r="AF158">
        <f>step3_validation[[#This Row],[AI_FAC2]]</f>
        <v>9</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1</v>
      </c>
      <c r="AK158">
        <f>step3_validation[[#This Row],[AI_TRU1]]</f>
        <v>8</v>
      </c>
      <c r="AL158" t="str">
        <f t="shared" si="66"/>
        <v>Support</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7</v>
      </c>
      <c r="AP158">
        <f>step3_validation[[#This Row],[AI_TRU2]]</f>
        <v>9</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8</v>
      </c>
      <c r="AU158">
        <f>step3_validation[[#This Row],[AI_TRU3]]</f>
        <v>8</v>
      </c>
      <c r="AV158" t="str">
        <f t="shared" si="72"/>
        <v>Support</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7</v>
      </c>
      <c r="AZ158">
        <f>step3_validation[[#This Row],[AI_TRU4]]</f>
        <v>9</v>
      </c>
      <c r="BA158" t="str">
        <f t="shared" si="75"/>
        <v>Support</v>
      </c>
      <c r="BB158">
        <f>survey_responses[[#This Row],[Tôi thấy Nhà nước đã giải thích rõ ràng, minh bạch về lý do và mục tiêu của việc sửa đổi thuế lần này. - HUMAN-TRU4]]</f>
        <v>1</v>
      </c>
      <c r="BC158" t="str">
        <f t="shared" si="76"/>
        <v>Oppose</v>
      </c>
      <c r="BD158" s="32">
        <f t="shared" si="77"/>
        <v>8</v>
      </c>
      <c r="BE158">
        <f>step3_validation[[#This Row],[AI_OUT1]]</f>
        <v>8</v>
      </c>
      <c r="BF158" t="str">
        <f t="shared" si="78"/>
        <v>Support</v>
      </c>
      <c r="BG158">
        <f>survey_responses[[#This Row],[Sau khi xem xét các quyền lợi và nghĩa vụ, bạn có ủng hộ và tuân thủ chính sách mới hiện nay? - HUMAN-OUT1]]</f>
        <v>6</v>
      </c>
      <c r="BH158" t="str">
        <f t="shared" si="79"/>
        <v>Neutral</v>
      </c>
      <c r="BI158" s="32">
        <f t="shared" si="80"/>
        <v>2</v>
      </c>
    </row>
    <row r="159" spans="1:61" x14ac:dyDescent="0.45">
      <c r="A159" s="30">
        <f>step3_validation[[#This Row],[Persona_ID]]</f>
        <v>158</v>
      </c>
      <c r="B159" s="31">
        <f>step3_validation[[#This Row],[Used_Seed]]</f>
        <v>199</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97.283298324113588</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7</v>
      </c>
      <c r="R159" t="str">
        <f t="shared" si="54"/>
        <v>Neutral</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0</v>
      </c>
      <c r="V159">
        <f>step3_validation[[#This Row],[AI_ENF2]]</f>
        <v>6</v>
      </c>
      <c r="W159" t="str">
        <f t="shared" si="57"/>
        <v>Neutral</v>
      </c>
      <c r="X159">
        <f>survey_responses[[#This Row],[Tôi tin rằng Nhà nước, cơ quan thuế có đủ khả năng và công nghệ để phát hiện, xử lý nghiêm các hành vi trốn thuế. - HUMAN-ENF2]]</f>
        <v>8</v>
      </c>
      <c r="Y159" t="str">
        <f t="shared" si="58"/>
        <v>Support</v>
      </c>
      <c r="Z159" s="32">
        <f t="shared" si="59"/>
        <v>2</v>
      </c>
      <c r="AA159">
        <f>step3_validation[[#This Row],[AI_FAC1]]</f>
        <v>8</v>
      </c>
      <c r="AB159" t="str">
        <f t="shared" si="60"/>
        <v>Support</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2</v>
      </c>
      <c r="AF159">
        <f>step3_validation[[#This Row],[AI_FAC2]]</f>
        <v>9</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3</v>
      </c>
      <c r="AK159">
        <f>step3_validation[[#This Row],[AI_TRU1]]</f>
        <v>7</v>
      </c>
      <c r="AL159" t="str">
        <f t="shared" si="66"/>
        <v>Neutral</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0</v>
      </c>
      <c r="AP159">
        <f>step3_validation[[#This Row],[AI_TRU2]]</f>
        <v>8</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2">
        <f t="shared" si="71"/>
        <v>3</v>
      </c>
      <c r="AU159">
        <f>step3_validation[[#This Row],[AI_TRU3]]</f>
        <v>7</v>
      </c>
      <c r="AV159" t="str">
        <f t="shared" si="72"/>
        <v>Neutral</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1</v>
      </c>
      <c r="AZ159">
        <f>step3_validation[[#This Row],[AI_TRU4]]</f>
        <v>6</v>
      </c>
      <c r="BA159" t="str">
        <f t="shared" si="75"/>
        <v>Neutral</v>
      </c>
      <c r="BB159">
        <f>survey_responses[[#This Row],[Tôi thấy Nhà nước đã giải thích rõ ràng, minh bạch về lý do và mục tiêu của việc sửa đổi thuế lần này. - HUMAN-TRU4]]</f>
        <v>7</v>
      </c>
      <c r="BC159" t="str">
        <f t="shared" si="76"/>
        <v>Neutral</v>
      </c>
      <c r="BD159" s="32">
        <f t="shared" si="77"/>
        <v>1</v>
      </c>
      <c r="BE159">
        <f>step3_validation[[#This Row],[AI_OUT1]]</f>
        <v>9</v>
      </c>
      <c r="BF159" t="str">
        <f t="shared" si="78"/>
        <v>Support</v>
      </c>
      <c r="BG159">
        <f>survey_responses[[#This Row],[Sau khi xem xét các quyền lợi và nghĩa vụ, bạn có ủng hộ và tuân thủ chính sách mới hiện nay? - HUMAN-OUT1]]</f>
        <v>7</v>
      </c>
      <c r="BH159" t="str">
        <f t="shared" si="79"/>
        <v>Neutral</v>
      </c>
      <c r="BI159" s="32">
        <f t="shared" si="80"/>
        <v>2</v>
      </c>
    </row>
    <row r="160" spans="1:61" x14ac:dyDescent="0.45">
      <c r="A160" s="30">
        <f>step3_validation[[#This Row],[Persona_ID]]</f>
        <v>159</v>
      </c>
      <c r="B160" s="31">
        <f>step3_validation[[#This Row],[Used_Seed]]</f>
        <v>200</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38.827297441976498</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8</v>
      </c>
      <c r="R160" t="str">
        <f t="shared" si="54"/>
        <v>Support</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6</v>
      </c>
      <c r="V160">
        <f>step3_validation[[#This Row],[AI_ENF2]]</f>
        <v>8</v>
      </c>
      <c r="W160" t="str">
        <f t="shared" si="57"/>
        <v>Support</v>
      </c>
      <c r="X160">
        <f>survey_responses[[#This Row],[Tôi tin rằng Nhà nước, cơ quan thuế có đủ khả năng và công nghệ để phát hiện, xử lý nghiêm các hành vi trốn thuế. - HUMAN-ENF2]]</f>
        <v>7</v>
      </c>
      <c r="Y160" t="str">
        <f t="shared" si="58"/>
        <v>Neutral</v>
      </c>
      <c r="Z160" s="32">
        <f t="shared" si="59"/>
        <v>1</v>
      </c>
      <c r="AA160">
        <f>step3_validation[[#This Row],[AI_FAC1]]</f>
        <v>9</v>
      </c>
      <c r="AB160" t="str">
        <f t="shared" si="60"/>
        <v>Support</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1</v>
      </c>
      <c r="AF160">
        <f>step3_validation[[#This Row],[AI_FAC2]]</f>
        <v>9</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7</v>
      </c>
      <c r="AK160">
        <f>step3_validation[[#This Row],[AI_TRU1]]</f>
        <v>8</v>
      </c>
      <c r="AL160" t="str">
        <f t="shared" si="66"/>
        <v>Support</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2</v>
      </c>
      <c r="AP160">
        <f>step3_validation[[#This Row],[AI_TRU2]]</f>
        <v>9</v>
      </c>
      <c r="AQ160" t="str">
        <f t="shared" si="69"/>
        <v>Support</v>
      </c>
      <c r="AR160">
        <f>survey_responses[[#This Row],[Tôi thấy mức thuế tôi phải đóng theo phương án mới là công bằng (người thu nhập như tôi đóng mức này là hợp lý). - HUMAN-TRU2]]</f>
        <v>5</v>
      </c>
      <c r="AS160" t="str">
        <f t="shared" si="70"/>
        <v>Neutral</v>
      </c>
      <c r="AT160" s="32">
        <f t="shared" si="71"/>
        <v>4</v>
      </c>
      <c r="AU160">
        <f>step3_validation[[#This Row],[AI_TRU3]]</f>
        <v>8</v>
      </c>
      <c r="AV160" t="str">
        <f t="shared" si="72"/>
        <v>Support</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2</v>
      </c>
      <c r="AZ160">
        <f>step3_validation[[#This Row],[AI_TRU4]]</f>
        <v>9</v>
      </c>
      <c r="BA160" t="str">
        <f t="shared" si="75"/>
        <v>Support</v>
      </c>
      <c r="BB160">
        <f>survey_responses[[#This Row],[Tôi thấy Nhà nước đã giải thích rõ ràng, minh bạch về lý do và mục tiêu của việc sửa đổi thuế lần này. - HUMAN-TRU4]]</f>
        <v>3</v>
      </c>
      <c r="BC160" t="str">
        <f t="shared" si="76"/>
        <v>Oppose</v>
      </c>
      <c r="BD160" s="32">
        <f t="shared" si="77"/>
        <v>6</v>
      </c>
      <c r="BE160">
        <f>step3_validation[[#This Row],[AI_OUT1]]</f>
        <v>8</v>
      </c>
      <c r="BF160" t="str">
        <f t="shared" si="78"/>
        <v>Support</v>
      </c>
      <c r="BG160">
        <f>survey_responses[[#This Row],[Sau khi xem xét các quyền lợi và nghĩa vụ, bạn có ủng hộ và tuân thủ chính sách mới hiện nay? - HUMAN-OUT1]]</f>
        <v>3</v>
      </c>
      <c r="BH160" t="str">
        <f t="shared" si="79"/>
        <v>Oppose</v>
      </c>
      <c r="BI160" s="32">
        <f t="shared" si="80"/>
        <v>5</v>
      </c>
    </row>
    <row r="161" spans="1:61" x14ac:dyDescent="0.45">
      <c r="A161" s="30">
        <f>step3_validation[[#This Row],[Persona_ID]]</f>
        <v>160</v>
      </c>
      <c r="B161" s="31">
        <f>step3_validation[[#This Row],[Used_Seed]]</f>
        <v>201</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40.738305352137964</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7</v>
      </c>
      <c r="R161" t="str">
        <f t="shared" si="54"/>
        <v>Neutral</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2</v>
      </c>
      <c r="V161">
        <f>step3_validation[[#This Row],[AI_ENF2]]</f>
        <v>6</v>
      </c>
      <c r="W161" t="str">
        <f t="shared" si="57"/>
        <v>Neutral</v>
      </c>
      <c r="X161">
        <f>survey_responses[[#This Row],[Tôi tin rằng Nhà nước, cơ quan thuế có đủ khả năng và công nghệ để phát hiện, xử lý nghiêm các hành vi trốn thuế. - HUMAN-ENF2]]</f>
        <v>9</v>
      </c>
      <c r="Y161" t="str">
        <f t="shared" si="58"/>
        <v>Support</v>
      </c>
      <c r="Z161" s="32">
        <f t="shared" si="59"/>
        <v>3</v>
      </c>
      <c r="AA161">
        <f>step3_validation[[#This Row],[AI_FAC1]]</f>
        <v>8</v>
      </c>
      <c r="AB161" t="str">
        <f t="shared" si="60"/>
        <v>Support</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2</v>
      </c>
      <c r="AF161">
        <f>step3_validation[[#This Row],[AI_FAC2]]</f>
        <v>9</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7</v>
      </c>
      <c r="AK161">
        <f>step3_validation[[#This Row],[AI_TRU1]]</f>
        <v>8</v>
      </c>
      <c r="AL161" t="str">
        <f t="shared" si="66"/>
        <v>Support</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1</v>
      </c>
      <c r="AP161">
        <f>step3_validation[[#This Row],[AI_TRU2]]</f>
        <v>9</v>
      </c>
      <c r="AQ161" t="str">
        <f t="shared" si="69"/>
        <v>Support</v>
      </c>
      <c r="AR161">
        <f>survey_responses[[#This Row],[Tôi thấy mức thuế tôi phải đóng theo phương án mới là công bằng (người thu nhập như tôi đóng mức này là hợp lý). - HUMAN-TRU2]]</f>
        <v>9</v>
      </c>
      <c r="AS161" t="str">
        <f t="shared" si="70"/>
        <v>Support</v>
      </c>
      <c r="AT161" s="32">
        <f t="shared" si="71"/>
        <v>0</v>
      </c>
      <c r="AU161">
        <f>step3_validation[[#This Row],[AI_TRU3]]</f>
        <v>8</v>
      </c>
      <c r="AV161" t="str">
        <f t="shared" si="72"/>
        <v>Support</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2</v>
      </c>
      <c r="AZ161">
        <f>step3_validation[[#This Row],[AI_TRU4]]</f>
        <v>9</v>
      </c>
      <c r="BA161" t="str">
        <f t="shared" si="75"/>
        <v>Support</v>
      </c>
      <c r="BB161">
        <f>survey_responses[[#This Row],[Tôi thấy Nhà nước đã giải thích rõ ràng, minh bạch về lý do và mục tiêu của việc sửa đổi thuế lần này. - HUMAN-TRU4]]</f>
        <v>8</v>
      </c>
      <c r="BC161" t="str">
        <f t="shared" si="76"/>
        <v>Support</v>
      </c>
      <c r="BD161" s="32">
        <f t="shared" si="77"/>
        <v>1</v>
      </c>
      <c r="BE161">
        <f>step3_validation[[#This Row],[AI_OUT1]]</f>
        <v>9</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1</v>
      </c>
    </row>
    <row r="162" spans="1:61" x14ac:dyDescent="0.45">
      <c r="A162" s="30">
        <f>step3_validation[[#This Row],[Persona_ID]]</f>
        <v>161</v>
      </c>
      <c r="B162" s="31">
        <f>step3_validation[[#This Row],[Used_Seed]]</f>
        <v>202</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16.63015973239985</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0</v>
      </c>
      <c r="V162">
        <f>step3_validation[[#This Row],[AI_ENF2]]</f>
        <v>8</v>
      </c>
      <c r="W162" t="str">
        <f t="shared" si="57"/>
        <v>Support</v>
      </c>
      <c r="X162">
        <f>survey_responses[[#This Row],[Tôi tin rằng Nhà nước, cơ quan thuế có đủ khả năng và công nghệ để phát hiện, xử lý nghiêm các hành vi trốn thuế. - HUMAN-ENF2]]</f>
        <v>5</v>
      </c>
      <c r="Y162" t="str">
        <f t="shared" si="58"/>
        <v>Neutral</v>
      </c>
      <c r="Z162" s="32">
        <f t="shared" si="59"/>
        <v>3</v>
      </c>
      <c r="AA162">
        <f>step3_validation[[#This Row],[AI_FAC1]]</f>
        <v>9</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2</v>
      </c>
      <c r="AF162">
        <f>step3_validation[[#This Row],[AI_FAC2]]</f>
        <v>8</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3</v>
      </c>
      <c r="AK162">
        <f>step3_validation[[#This Row],[AI_TRU1]]</f>
        <v>9</v>
      </c>
      <c r="AL162" t="str">
        <f t="shared" si="66"/>
        <v>Support</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6</v>
      </c>
      <c r="AP162">
        <f>step3_validation[[#This Row],[AI_TRU2]]</f>
        <v>9</v>
      </c>
      <c r="AQ162" t="str">
        <f t="shared" si="69"/>
        <v>Support</v>
      </c>
      <c r="AR162">
        <f>survey_responses[[#This Row],[Tôi thấy mức thuế tôi phải đóng theo phương án mới là công bằng (người thu nhập như tôi đóng mức này là hợp lý). - HUMAN-TRU2]]</f>
        <v>4</v>
      </c>
      <c r="AS162" t="str">
        <f t="shared" si="70"/>
        <v>Oppose</v>
      </c>
      <c r="AT162" s="32">
        <f t="shared" si="71"/>
        <v>5</v>
      </c>
      <c r="AU162">
        <f>step3_validation[[#This Row],[AI_TRU3]]</f>
        <v>9</v>
      </c>
      <c r="AV162" t="str">
        <f t="shared" si="72"/>
        <v>Support</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8</v>
      </c>
      <c r="AZ162">
        <f>step3_validation[[#This Row],[AI_TRU4]]</f>
        <v>9</v>
      </c>
      <c r="BA162" t="str">
        <f t="shared" si="75"/>
        <v>Support</v>
      </c>
      <c r="BB162">
        <f>survey_responses[[#This Row],[Tôi thấy Nhà nước đã giải thích rõ ràng, minh bạch về lý do và mục tiêu của việc sửa đổi thuế lần này. - HUMAN-TRU4]]</f>
        <v>5</v>
      </c>
      <c r="BC162" t="str">
        <f t="shared" si="76"/>
        <v>Neutral</v>
      </c>
      <c r="BD162" s="32">
        <f t="shared" si="77"/>
        <v>4</v>
      </c>
      <c r="BE162">
        <f>step3_validation[[#This Row],[AI_OUT1]]</f>
        <v>9</v>
      </c>
      <c r="BF162" t="str">
        <f t="shared" si="78"/>
        <v>Support</v>
      </c>
      <c r="BG162">
        <f>survey_responses[[#This Row],[Sau khi xem xét các quyền lợi và nghĩa vụ, bạn có ủng hộ và tuân thủ chính sách mới hiện nay? - HUMAN-OUT1]]</f>
        <v>5</v>
      </c>
      <c r="BH162" t="str">
        <f t="shared" si="79"/>
        <v>Neutral</v>
      </c>
      <c r="BI162" s="32">
        <f t="shared" si="80"/>
        <v>4</v>
      </c>
    </row>
    <row r="163" spans="1:61" x14ac:dyDescent="0.45">
      <c r="A163" s="30">
        <f>step3_validation[[#This Row],[Persona_ID]]</f>
        <v>162</v>
      </c>
      <c r="B163" s="31">
        <f>step3_validation[[#This Row],[Used_Seed]]</f>
        <v>203</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8</v>
      </c>
      <c r="R163" t="str">
        <f t="shared" si="54"/>
        <v>Support</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5</v>
      </c>
      <c r="V163">
        <f>step3_validation[[#This Row],[AI_ENF2]]</f>
        <v>8</v>
      </c>
      <c r="W163" t="str">
        <f t="shared" si="57"/>
        <v>Support</v>
      </c>
      <c r="X163">
        <f>survey_responses[[#This Row],[Tôi tin rằng Nhà nước, cơ quan thuế có đủ khả năng và công nghệ để phát hiện, xử lý nghiêm các hành vi trốn thuế. - HUMAN-ENF2]]</f>
        <v>8</v>
      </c>
      <c r="Y163" t="str">
        <f t="shared" si="58"/>
        <v>Support</v>
      </c>
      <c r="Z163" s="32">
        <f t="shared" si="59"/>
        <v>0</v>
      </c>
      <c r="AA163">
        <f>step3_validation[[#This Row],[AI_FAC1]]</f>
        <v>9</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5</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4</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3</v>
      </c>
      <c r="AP163">
        <f>step3_validation[[#This Row],[AI_TRU2]]</f>
        <v>9</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2">
        <f t="shared" si="71"/>
        <v>4</v>
      </c>
      <c r="AU163">
        <f>step3_validation[[#This Row],[AI_TRU3]]</f>
        <v>8</v>
      </c>
      <c r="AV163" t="str">
        <f t="shared" si="72"/>
        <v>Support</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3</v>
      </c>
      <c r="AZ163">
        <f>step3_validation[[#This Row],[AI_TRU4]]</f>
        <v>9</v>
      </c>
      <c r="BA163" t="str">
        <f t="shared" si="75"/>
        <v>Support</v>
      </c>
      <c r="BB163">
        <f>survey_responses[[#This Row],[Tôi thấy Nhà nước đã giải thích rõ ràng, minh bạch về lý do và mục tiêu của việc sửa đổi thuế lần này. - HUMAN-TRU4]]</f>
        <v>5</v>
      </c>
      <c r="BC163" t="str">
        <f t="shared" si="76"/>
        <v>Neutral</v>
      </c>
      <c r="BD163" s="32">
        <f t="shared" si="77"/>
        <v>4</v>
      </c>
      <c r="BE163">
        <f>step3_validation[[#This Row],[AI_OUT1]]</f>
        <v>8</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3</v>
      </c>
    </row>
    <row r="164" spans="1:61" x14ac:dyDescent="0.45">
      <c r="A164" s="30">
        <f>step3_validation[[#This Row],[Persona_ID]]</f>
        <v>163</v>
      </c>
      <c r="B164" s="31">
        <f>step3_validation[[#This Row],[Used_Seed]]</f>
        <v>204</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15.86806195917138</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8</v>
      </c>
      <c r="R164" t="str">
        <f t="shared" si="54"/>
        <v>Support</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2</v>
      </c>
      <c r="V164">
        <f>step3_validation[[#This Row],[AI_ENF2]]</f>
        <v>7</v>
      </c>
      <c r="W164" t="str">
        <f t="shared" si="57"/>
        <v>Neutral</v>
      </c>
      <c r="X164">
        <f>survey_responses[[#This Row],[Tôi tin rằng Nhà nước, cơ quan thuế có đủ khả năng và công nghệ để phát hiện, xử lý nghiêm các hành vi trốn thuế. - HUMAN-ENF2]]</f>
        <v>10</v>
      </c>
      <c r="Y164" t="str">
        <f t="shared" si="58"/>
        <v>Support</v>
      </c>
      <c r="Z164" s="32">
        <f t="shared" si="59"/>
        <v>3</v>
      </c>
      <c r="AA164">
        <f>step3_validation[[#This Row],[AI_FAC1]]</f>
        <v>9</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1</v>
      </c>
      <c r="AF164">
        <f>step3_validation[[#This Row],[AI_FAC2]]</f>
        <v>9</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1</v>
      </c>
      <c r="AK164">
        <f>step3_validation[[#This Row],[AI_TRU1]]</f>
        <v>8</v>
      </c>
      <c r="AL164" t="str">
        <f t="shared" si="66"/>
        <v>Support</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2</v>
      </c>
      <c r="AP164">
        <f>step3_validation[[#This Row],[AI_TRU2]]</f>
        <v>9</v>
      </c>
      <c r="AQ164" t="str">
        <f t="shared" si="69"/>
        <v>Support</v>
      </c>
      <c r="AR164">
        <f>survey_responses[[#This Row],[Tôi thấy mức thuế tôi phải đóng theo phương án mới là công bằng (người thu nhập như tôi đóng mức này là hợp lý). - HUMAN-TRU2]]</f>
        <v>10</v>
      </c>
      <c r="AS164" t="str">
        <f t="shared" si="70"/>
        <v>Support</v>
      </c>
      <c r="AT164" s="32">
        <f t="shared" si="71"/>
        <v>1</v>
      </c>
      <c r="AU164">
        <f>step3_validation[[#This Row],[AI_TRU3]]</f>
        <v>8</v>
      </c>
      <c r="AV164" t="str">
        <f t="shared" si="72"/>
        <v>Support</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2</v>
      </c>
      <c r="AZ164">
        <f>step3_validation[[#This Row],[AI_TRU4]]</f>
        <v>9</v>
      </c>
      <c r="BA164" t="str">
        <f t="shared" si="75"/>
        <v>Support</v>
      </c>
      <c r="BB164">
        <f>survey_responses[[#This Row],[Tôi thấy Nhà nước đã giải thích rõ ràng, minh bạch về lý do và mục tiêu của việc sửa đổi thuế lần này. - HUMAN-TRU4]]</f>
        <v>10</v>
      </c>
      <c r="BC164" t="str">
        <f t="shared" si="76"/>
        <v>Support</v>
      </c>
      <c r="BD164" s="32">
        <f t="shared" si="77"/>
        <v>1</v>
      </c>
      <c r="BE164">
        <f>step3_validation[[#This Row],[AI_OUT1]]</f>
        <v>8</v>
      </c>
      <c r="BF164" t="str">
        <f t="shared" si="78"/>
        <v>Support</v>
      </c>
      <c r="BG164">
        <f>survey_responses[[#This Row],[Sau khi xem xét các quyền lợi và nghĩa vụ, bạn có ủng hộ và tuân thủ chính sách mới hiện nay? - HUMAN-OUT1]]</f>
        <v>10</v>
      </c>
      <c r="BH164" t="str">
        <f t="shared" si="79"/>
        <v>Support</v>
      </c>
      <c r="BI164" s="32">
        <f t="shared" si="80"/>
        <v>2</v>
      </c>
    </row>
    <row r="165" spans="1:61" x14ac:dyDescent="0.45">
      <c r="A165" s="30">
        <f>step3_validation[[#This Row],[Persona_ID]]</f>
        <v>164</v>
      </c>
      <c r="B165" s="31">
        <f>step3_validation[[#This Row],[Used_Seed]]</f>
        <v>205</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41.885458473778684</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7</v>
      </c>
      <c r="R165" t="str">
        <f t="shared" si="54"/>
        <v>Neutral</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1</v>
      </c>
      <c r="V165">
        <f>step3_validation[[#This Row],[AI_ENF2]]</f>
        <v>6</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2">
        <f t="shared" si="59"/>
        <v>3</v>
      </c>
      <c r="AA165">
        <f>step3_validation[[#This Row],[AI_FAC1]]</f>
        <v>8</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1</v>
      </c>
      <c r="AF165">
        <f>step3_validation[[#This Row],[AI_FAC2]]</f>
        <v>9</v>
      </c>
      <c r="AG165" t="str">
        <f t="shared" si="63"/>
        <v>Support</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0</v>
      </c>
      <c r="AK165">
        <f>step3_validation[[#This Row],[AI_TRU1]]</f>
        <v>8</v>
      </c>
      <c r="AL165" t="str">
        <f t="shared" si="66"/>
        <v>Support</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3</v>
      </c>
      <c r="AP165">
        <f>step3_validation[[#This Row],[AI_TRU2]]</f>
        <v>9</v>
      </c>
      <c r="AQ165" t="str">
        <f t="shared" si="69"/>
        <v>Support</v>
      </c>
      <c r="AR165">
        <f>survey_responses[[#This Row],[Tôi thấy mức thuế tôi phải đóng theo phương án mới là công bằng (người thu nhập như tôi đóng mức này là hợp lý). - HUMAN-TRU2]]</f>
        <v>7</v>
      </c>
      <c r="AS165" t="str">
        <f t="shared" si="70"/>
        <v>Neutral</v>
      </c>
      <c r="AT165" s="32">
        <f t="shared" si="71"/>
        <v>2</v>
      </c>
      <c r="AU165">
        <f>step3_validation[[#This Row],[AI_TRU3]]</f>
        <v>8</v>
      </c>
      <c r="AV165" t="str">
        <f t="shared" si="72"/>
        <v>Support</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3</v>
      </c>
      <c r="AZ165">
        <f>step3_validation[[#This Row],[AI_TRU4]]</f>
        <v>7</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0</v>
      </c>
      <c r="BE165">
        <f>step3_validation[[#This Row],[AI_OUT1]]</f>
        <v>8</v>
      </c>
      <c r="BF165" t="str">
        <f t="shared" si="78"/>
        <v>Support</v>
      </c>
      <c r="BG165">
        <f>survey_responses[[#This Row],[Sau khi xem xét các quyền lợi và nghĩa vụ, bạn có ủng hộ và tuân thủ chính sách mới hiện nay? - HUMAN-OUT1]]</f>
        <v>7</v>
      </c>
      <c r="BH165" t="str">
        <f t="shared" si="79"/>
        <v>Neutral</v>
      </c>
      <c r="BI165" s="32">
        <f t="shared" si="80"/>
        <v>1</v>
      </c>
    </row>
    <row r="166" spans="1:61" x14ac:dyDescent="0.45">
      <c r="A166" s="30">
        <f>step3_validation[[#This Row],[Persona_ID]]</f>
        <v>165</v>
      </c>
      <c r="B166" s="31">
        <f>step3_validation[[#This Row],[Used_Seed]]</f>
        <v>206</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38.429560461167455</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2</v>
      </c>
      <c r="R166" t="str">
        <f t="shared" si="54"/>
        <v>Oppose</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3</v>
      </c>
      <c r="V166">
        <f>step3_validation[[#This Row],[AI_ENF2]]</f>
        <v>3</v>
      </c>
      <c r="W166" t="str">
        <f t="shared" si="57"/>
        <v>Oppose</v>
      </c>
      <c r="X166">
        <f>survey_responses[[#This Row],[Tôi tin rằng Nhà nước, cơ quan thuế có đủ khả năng và công nghệ để phát hiện, xử lý nghiêm các hành vi trốn thuế. - HUMAN-ENF2]]</f>
        <v>5</v>
      </c>
      <c r="Y166" t="str">
        <f t="shared" si="58"/>
        <v>Neutral</v>
      </c>
      <c r="Z166" s="32">
        <f t="shared" si="59"/>
        <v>2</v>
      </c>
      <c r="AA166">
        <f>step3_validation[[#This Row],[AI_FAC1]]</f>
        <v>7</v>
      </c>
      <c r="AB166" t="str">
        <f t="shared" si="60"/>
        <v>Neutral</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1</v>
      </c>
      <c r="AF166">
        <f>step3_validation[[#This Row],[AI_FAC2]]</f>
        <v>9</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3</v>
      </c>
      <c r="AK166">
        <f>step3_validation[[#This Row],[AI_TRU1]]</f>
        <v>6</v>
      </c>
      <c r="AL166" t="str">
        <f t="shared" si="66"/>
        <v>Neutral</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0</v>
      </c>
      <c r="AP166">
        <f>step3_validation[[#This Row],[AI_TRU2]]</f>
        <v>9</v>
      </c>
      <c r="AQ166" t="str">
        <f t="shared" si="69"/>
        <v>Support</v>
      </c>
      <c r="AR166">
        <f>survey_responses[[#This Row],[Tôi thấy mức thuế tôi phải đóng theo phương án mới là công bằng (người thu nhập như tôi đóng mức này là hợp lý). - HUMAN-TRU2]]</f>
        <v>6</v>
      </c>
      <c r="AS166" t="str">
        <f t="shared" si="70"/>
        <v>Neutral</v>
      </c>
      <c r="AT166" s="32">
        <f t="shared" si="71"/>
        <v>3</v>
      </c>
      <c r="AU166">
        <f>step3_validation[[#This Row],[AI_TRU3]]</f>
        <v>7</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2</v>
      </c>
      <c r="AZ166">
        <f>step3_validation[[#This Row],[AI_TRU4]]</f>
        <v>8</v>
      </c>
      <c r="BA166" t="str">
        <f t="shared" si="75"/>
        <v>Support</v>
      </c>
      <c r="BB166">
        <f>survey_responses[[#This Row],[Tôi thấy Nhà nước đã giải thích rõ ràng, minh bạch về lý do và mục tiêu của việc sửa đổi thuế lần này. - HUMAN-TRU4]]</f>
        <v>7</v>
      </c>
      <c r="BC166" t="str">
        <f t="shared" si="76"/>
        <v>Neutral</v>
      </c>
      <c r="BD166" s="32">
        <f t="shared" si="77"/>
        <v>1</v>
      </c>
      <c r="BE166">
        <f>step3_validation[[#This Row],[AI_OUT1]]</f>
        <v>9</v>
      </c>
      <c r="BF166" t="str">
        <f t="shared" si="78"/>
        <v>Support</v>
      </c>
      <c r="BG166">
        <f>survey_responses[[#This Row],[Sau khi xem xét các quyền lợi và nghĩa vụ, bạn có ủng hộ và tuân thủ chính sách mới hiện nay? - HUMAN-OUT1]]</f>
        <v>8</v>
      </c>
      <c r="BH166" t="str">
        <f t="shared" si="79"/>
        <v>Support</v>
      </c>
      <c r="BI166" s="32">
        <f t="shared" si="80"/>
        <v>1</v>
      </c>
    </row>
    <row r="167" spans="1:61" x14ac:dyDescent="0.45">
      <c r="A167" s="30">
        <f>step3_validation[[#This Row],[Persona_ID]]</f>
        <v>166</v>
      </c>
      <c r="B167" s="31">
        <f>step3_validation[[#This Row],[Used_Seed]]</f>
        <v>207</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33.145320198862713</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8</v>
      </c>
      <c r="R167" t="str">
        <f t="shared" si="54"/>
        <v>Support</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2</v>
      </c>
      <c r="V167">
        <f>step3_validation[[#This Row],[AI_ENF2]]</f>
        <v>9</v>
      </c>
      <c r="W167" t="str">
        <f t="shared" si="57"/>
        <v>Support</v>
      </c>
      <c r="X167">
        <f>survey_responses[[#This Row],[Tôi tin rằng Nhà nước, cơ quan thuế có đủ khả năng và công nghệ để phát hiện, xử lý nghiêm các hành vi trốn thuế. - HUMAN-ENF2]]</f>
        <v>8</v>
      </c>
      <c r="Y167" t="str">
        <f t="shared" si="58"/>
        <v>Support</v>
      </c>
      <c r="Z167" s="32">
        <f t="shared" si="59"/>
        <v>1</v>
      </c>
      <c r="AA167">
        <f>step3_validation[[#This Row],[AI_FAC1]]</f>
        <v>9</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1</v>
      </c>
      <c r="AF167">
        <f>step3_validation[[#This Row],[AI_FAC2]]</f>
        <v>8</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2</v>
      </c>
      <c r="AK167">
        <f>step3_validation[[#This Row],[AI_TRU1]]</f>
        <v>9</v>
      </c>
      <c r="AL167" t="str">
        <f t="shared" si="66"/>
        <v>Support</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1</v>
      </c>
      <c r="AP167">
        <f>step3_validation[[#This Row],[AI_TRU2]]</f>
        <v>8</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2</v>
      </c>
      <c r="AU167">
        <f>step3_validation[[#This Row],[AI_TRU3]]</f>
        <v>9</v>
      </c>
      <c r="AV167" t="str">
        <f t="shared" si="72"/>
        <v>Support</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1</v>
      </c>
      <c r="AZ167">
        <f>step3_validation[[#This Row],[AI_TRU4]]</f>
        <v>8</v>
      </c>
      <c r="BA167" t="str">
        <f t="shared" si="75"/>
        <v>Support</v>
      </c>
      <c r="BB167">
        <f>survey_responses[[#This Row],[Tôi thấy Nhà nước đã giải thích rõ ràng, minh bạch về lý do và mục tiêu của việc sửa đổi thuế lần này. - HUMAN-TRU4]]</f>
        <v>10</v>
      </c>
      <c r="BC167" t="str">
        <f t="shared" si="76"/>
        <v>Support</v>
      </c>
      <c r="BD167" s="32">
        <f t="shared" si="77"/>
        <v>2</v>
      </c>
      <c r="BE167">
        <f>step3_validation[[#This Row],[AI_OUT1]]</f>
        <v>8</v>
      </c>
      <c r="BF167" t="str">
        <f t="shared" si="78"/>
        <v>Support</v>
      </c>
      <c r="BG167">
        <f>survey_responses[[#This Row],[Sau khi xem xét các quyền lợi và nghĩa vụ, bạn có ủng hộ và tuân thủ chính sách mới hiện nay? - HUMAN-OUT1]]</f>
        <v>8</v>
      </c>
      <c r="BH167" t="str">
        <f t="shared" si="79"/>
        <v>Support</v>
      </c>
      <c r="BI167" s="32">
        <f t="shared" si="80"/>
        <v>0</v>
      </c>
    </row>
    <row r="168" spans="1:61" x14ac:dyDescent="0.45">
      <c r="A168" s="30">
        <f>step3_validation[[#This Row],[Persona_ID]]</f>
        <v>167</v>
      </c>
      <c r="B168" s="31">
        <f>step3_validation[[#This Row],[Used_Seed]]</f>
        <v>208</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73.373727280298127</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2</v>
      </c>
      <c r="V168">
        <f>step3_validation[[#This Row],[AI_ENF2]]</f>
        <v>6</v>
      </c>
      <c r="W168" t="str">
        <f t="shared" si="57"/>
        <v>Neutral</v>
      </c>
      <c r="X168">
        <f>survey_responses[[#This Row],[Tôi tin rằng Nhà nước, cơ quan thuế có đủ khả năng và công nghệ để phát hiện, xử lý nghiêm các hành vi trốn thuế. - HUMAN-ENF2]]</f>
        <v>8</v>
      </c>
      <c r="Y168" t="str">
        <f t="shared" si="58"/>
        <v>Support</v>
      </c>
      <c r="Z168" s="32">
        <f t="shared" si="59"/>
        <v>2</v>
      </c>
      <c r="AA168">
        <f>step3_validation[[#This Row],[AI_FAC1]]</f>
        <v>8</v>
      </c>
      <c r="AB168" t="str">
        <f t="shared" si="60"/>
        <v>Support</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3</v>
      </c>
      <c r="AF168">
        <f>step3_validation[[#This Row],[AI_FAC2]]</f>
        <v>9</v>
      </c>
      <c r="AG168" t="str">
        <f t="shared" si="63"/>
        <v>Support</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1</v>
      </c>
      <c r="AK168">
        <f>step3_validation[[#This Row],[AI_TRU1]]</f>
        <v>7</v>
      </c>
      <c r="AL168" t="str">
        <f t="shared" si="66"/>
        <v>Neutral</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3</v>
      </c>
      <c r="AP168">
        <f>step3_validation[[#This Row],[AI_TRU2]]</f>
        <v>9</v>
      </c>
      <c r="AQ168" t="str">
        <f t="shared" si="69"/>
        <v>Support</v>
      </c>
      <c r="AR168">
        <f>survey_responses[[#This Row],[Tôi thấy mức thuế tôi phải đóng theo phương án mới là công bằng (người thu nhập như tôi đóng mức này là hợp lý). - HUMAN-TRU2]]</f>
        <v>5</v>
      </c>
      <c r="AS168" t="str">
        <f t="shared" si="70"/>
        <v>Neutral</v>
      </c>
      <c r="AT168" s="32">
        <f t="shared" si="71"/>
        <v>4</v>
      </c>
      <c r="AU168">
        <f>step3_validation[[#This Row],[AI_TRU3]]</f>
        <v>7</v>
      </c>
      <c r="AV168" t="str">
        <f t="shared" si="72"/>
        <v>Neutral</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6</v>
      </c>
      <c r="AZ168">
        <f>step3_validation[[#This Row],[AI_TRU4]]</f>
        <v>8</v>
      </c>
      <c r="BA168" t="str">
        <f t="shared" si="75"/>
        <v>Support</v>
      </c>
      <c r="BB168">
        <f>survey_responses[[#This Row],[Tôi thấy Nhà nước đã giải thích rõ ràng, minh bạch về lý do và mục tiêu của việc sửa đổi thuế lần này. - HUMAN-TRU4]]</f>
        <v>5</v>
      </c>
      <c r="BC168" t="str">
        <f t="shared" si="76"/>
        <v>Neutral</v>
      </c>
      <c r="BD168" s="32">
        <f t="shared" si="77"/>
        <v>3</v>
      </c>
      <c r="BE168">
        <f>step3_validation[[#This Row],[AI_OUT1]]</f>
        <v>9</v>
      </c>
      <c r="BF168" t="str">
        <f t="shared" si="78"/>
        <v>Support</v>
      </c>
      <c r="BG168">
        <f>survey_responses[[#This Row],[Sau khi xem xét các quyền lợi và nghĩa vụ, bạn có ủng hộ và tuân thủ chính sách mới hiện nay? - HUMAN-OUT1]]</f>
        <v>5</v>
      </c>
      <c r="BH168" t="str">
        <f t="shared" si="79"/>
        <v>Neutral</v>
      </c>
      <c r="BI168" s="32">
        <f t="shared" si="80"/>
        <v>4</v>
      </c>
    </row>
    <row r="169" spans="1:61" x14ac:dyDescent="0.45">
      <c r="A169" s="30">
        <f>step3_validation[[#This Row],[Persona_ID]]</f>
        <v>168</v>
      </c>
      <c r="B169" s="31">
        <f>step3_validation[[#This Row],[Used_Seed]]</f>
        <v>209</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20.655452261962822</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5</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2</v>
      </c>
      <c r="V169">
        <f>step3_validation[[#This Row],[AI_ENF2]]</f>
        <v>6</v>
      </c>
      <c r="W169" t="str">
        <f t="shared" si="57"/>
        <v>Neutral</v>
      </c>
      <c r="X169">
        <f>survey_responses[[#This Row],[Tôi tin rằng Nhà nước, cơ quan thuế có đủ khả năng và công nghệ để phát hiện, xử lý nghiêm các hành vi trốn thuế. - HUMAN-ENF2]]</f>
        <v>7</v>
      </c>
      <c r="Y169" t="str">
        <f t="shared" si="58"/>
        <v>Neutral</v>
      </c>
      <c r="Z169" s="32">
        <f t="shared" si="59"/>
        <v>1</v>
      </c>
      <c r="AA169">
        <f>step3_validation[[#This Row],[AI_FAC1]]</f>
        <v>8</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0</v>
      </c>
      <c r="AF169">
        <f>step3_validation[[#This Row],[AI_FAC2]]</f>
        <v>9</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1</v>
      </c>
      <c r="AK169">
        <f>step3_validation[[#This Row],[AI_TRU1]]</f>
        <v>8</v>
      </c>
      <c r="AL169" t="str">
        <f t="shared" si="66"/>
        <v>Support</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1</v>
      </c>
      <c r="AP169">
        <f>step3_validation[[#This Row],[AI_TRU2]]</f>
        <v>9</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2">
        <f t="shared" si="71"/>
        <v>1</v>
      </c>
      <c r="AU169">
        <f>step3_validation[[#This Row],[AI_TRU3]]</f>
        <v>8</v>
      </c>
      <c r="AV169" t="str">
        <f t="shared" si="72"/>
        <v>Support</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0</v>
      </c>
      <c r="AZ169">
        <f>step3_validation[[#This Row],[AI_TRU4]]</f>
        <v>7</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1</v>
      </c>
      <c r="BE169">
        <f>step3_validation[[#This Row],[AI_OUT1]]</f>
        <v>9</v>
      </c>
      <c r="BF169" t="str">
        <f t="shared" si="78"/>
        <v>Support</v>
      </c>
      <c r="BG169">
        <f>survey_responses[[#This Row],[Sau khi xem xét các quyền lợi và nghĩa vụ, bạn có ủng hộ và tuân thủ chính sách mới hiện nay? - HUMAN-OUT1]]</f>
        <v>9</v>
      </c>
      <c r="BH169" t="str">
        <f t="shared" si="79"/>
        <v>Support</v>
      </c>
      <c r="BI169" s="32">
        <f t="shared" si="80"/>
        <v>0</v>
      </c>
    </row>
    <row r="170" spans="1:61" x14ac:dyDescent="0.45">
      <c r="A170" s="30">
        <f>step3_validation[[#This Row],[Persona_ID]]</f>
        <v>169</v>
      </c>
      <c r="B170" s="31">
        <f>step3_validation[[#This Row],[Used_Seed]]</f>
        <v>210</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36.237678039537457</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0</v>
      </c>
      <c r="V170">
        <f>step3_validation[[#This Row],[AI_ENF2]]</f>
        <v>8</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0</v>
      </c>
      <c r="AA170">
        <f>step3_validation[[#This Row],[AI_FAC1]]</f>
        <v>9</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2</v>
      </c>
      <c r="AF170">
        <f>step3_validation[[#This Row],[AI_FAC2]]</f>
        <v>9</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1</v>
      </c>
      <c r="AK170">
        <f>step3_validation[[#This Row],[AI_TRU1]]</f>
        <v>8</v>
      </c>
      <c r="AL170" t="str">
        <f t="shared" si="66"/>
        <v>Support</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1</v>
      </c>
      <c r="AP170">
        <f>step3_validation[[#This Row],[AI_TRU2]]</f>
        <v>9</v>
      </c>
      <c r="AQ170" t="str">
        <f t="shared" si="69"/>
        <v>Support</v>
      </c>
      <c r="AR170">
        <f>survey_responses[[#This Row],[Tôi thấy mức thuế tôi phải đóng theo phương án mới là công bằng (người thu nhập như tôi đóng mức này là hợp lý). - HUMAN-TRU2]]</f>
        <v>7</v>
      </c>
      <c r="AS170" t="str">
        <f t="shared" si="70"/>
        <v>Neutral</v>
      </c>
      <c r="AT170" s="32">
        <f t="shared" si="71"/>
        <v>2</v>
      </c>
      <c r="AU170">
        <f>step3_validation[[#This Row],[AI_TRU3]]</f>
        <v>8</v>
      </c>
      <c r="AV170" t="str">
        <f t="shared" si="72"/>
        <v>Support</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1</v>
      </c>
      <c r="AZ170">
        <f>step3_validation[[#This Row],[AI_TRU4]]</f>
        <v>8</v>
      </c>
      <c r="BA170" t="str">
        <f t="shared" si="75"/>
        <v>Support</v>
      </c>
      <c r="BB170">
        <f>survey_responses[[#This Row],[Tôi thấy Nhà nước đã giải thích rõ ràng, minh bạch về lý do và mục tiêu của việc sửa đổi thuế lần này. - HUMAN-TRU4]]</f>
        <v>8</v>
      </c>
      <c r="BC170" t="str">
        <f t="shared" si="76"/>
        <v>Support</v>
      </c>
      <c r="BD170" s="32">
        <f t="shared" si="77"/>
        <v>0</v>
      </c>
      <c r="BE170">
        <f>step3_validation[[#This Row],[AI_OUT1]]</f>
        <v>9</v>
      </c>
      <c r="BF170" t="str">
        <f t="shared" si="78"/>
        <v>Support</v>
      </c>
      <c r="BG170">
        <f>survey_responses[[#This Row],[Sau khi xem xét các quyền lợi và nghĩa vụ, bạn có ủng hộ và tuân thủ chính sách mới hiện nay? - HUMAN-OUT1]]</f>
        <v>8</v>
      </c>
      <c r="BH170" t="str">
        <f t="shared" si="79"/>
        <v>Support</v>
      </c>
      <c r="BI170" s="32">
        <f t="shared" si="80"/>
        <v>1</v>
      </c>
    </row>
    <row r="171" spans="1:61" x14ac:dyDescent="0.45">
      <c r="A171" s="30">
        <f>step3_validation[[#This Row],[Persona_ID]]</f>
        <v>170</v>
      </c>
      <c r="B171" s="31">
        <f>step3_validation[[#This Row],[Used_Seed]]</f>
        <v>211</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16.832813501636757</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6</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1</v>
      </c>
      <c r="V171">
        <f>step3_validation[[#This Row],[AI_ENF2]]</f>
        <v>8</v>
      </c>
      <c r="W171" t="str">
        <f t="shared" si="57"/>
        <v>Support</v>
      </c>
      <c r="X171">
        <f>survey_responses[[#This Row],[Tôi tin rằng Nhà nước, cơ quan thuế có đủ khả năng và công nghệ để phát hiện, xử lý nghiêm các hành vi trốn thuế. - HUMAN-ENF2]]</f>
        <v>8</v>
      </c>
      <c r="Y171" t="str">
        <f t="shared" si="58"/>
        <v>Support</v>
      </c>
      <c r="Z171" s="32">
        <f t="shared" si="59"/>
        <v>0</v>
      </c>
      <c r="AA171">
        <f>step3_validation[[#This Row],[AI_FAC1]]</f>
        <v>9</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2</v>
      </c>
      <c r="AF171">
        <f>step3_validation[[#This Row],[AI_FAC2]]</f>
        <v>8</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0</v>
      </c>
      <c r="AK171">
        <f>step3_validation[[#This Row],[AI_TRU1]]</f>
        <v>7</v>
      </c>
      <c r="AL171" t="str">
        <f t="shared" si="66"/>
        <v>Neutral</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6</v>
      </c>
      <c r="AP171">
        <f>step3_validation[[#This Row],[AI_TRU2]]</f>
        <v>9</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7</v>
      </c>
      <c r="AU171">
        <f>step3_validation[[#This Row],[AI_TRU3]]</f>
        <v>7</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4</v>
      </c>
      <c r="AZ171">
        <f>step3_validation[[#This Row],[AI_TRU4]]</f>
        <v>8</v>
      </c>
      <c r="BA171" t="str">
        <f t="shared" si="75"/>
        <v>Support</v>
      </c>
      <c r="BB171">
        <f>survey_responses[[#This Row],[Tôi thấy Nhà nước đã giải thích rõ ràng, minh bạch về lý do và mục tiêu của việc sửa đổi thuế lần này. - HUMAN-TRU4]]</f>
        <v>3</v>
      </c>
      <c r="BC171" t="str">
        <f t="shared" si="76"/>
        <v>Oppose</v>
      </c>
      <c r="BD171" s="32">
        <f t="shared" si="77"/>
        <v>5</v>
      </c>
      <c r="BE171">
        <f>step3_validation[[#This Row],[AI_OUT1]]</f>
        <v>9</v>
      </c>
      <c r="BF171" t="str">
        <f t="shared" si="78"/>
        <v>Support</v>
      </c>
      <c r="BG171">
        <f>survey_responses[[#This Row],[Sau khi xem xét các quyền lợi và nghĩa vụ, bạn có ủng hộ và tuân thủ chính sách mới hiện nay? - HUMAN-OUT1]]</f>
        <v>7</v>
      </c>
      <c r="BH171" t="str">
        <f t="shared" si="79"/>
        <v>Neutral</v>
      </c>
      <c r="BI171" s="32">
        <f t="shared" si="80"/>
        <v>2</v>
      </c>
    </row>
    <row r="172" spans="1:61" x14ac:dyDescent="0.45">
      <c r="A172" s="30">
        <f>step3_validation[[#This Row],[Persona_ID]]</f>
        <v>171</v>
      </c>
      <c r="B172" s="31">
        <f>step3_validation[[#This Row],[Used_Seed]]</f>
        <v>212</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6</v>
      </c>
      <c r="R172" t="str">
        <f t="shared" si="54"/>
        <v>Neutral</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0</v>
      </c>
      <c r="V172">
        <f>step3_validation[[#This Row],[AI_ENF2]]</f>
        <v>8</v>
      </c>
      <c r="W172" t="str">
        <f t="shared" si="57"/>
        <v>Support</v>
      </c>
      <c r="X172">
        <f>survey_responses[[#This Row],[Tôi tin rằng Nhà nước, cơ quan thuế có đủ khả năng và công nghệ để phát hiện, xử lý nghiêm các hành vi trốn thuế. - HUMAN-ENF2]]</f>
        <v>7</v>
      </c>
      <c r="Y172" t="str">
        <f t="shared" si="58"/>
        <v>Neutral</v>
      </c>
      <c r="Z172" s="32">
        <f t="shared" si="59"/>
        <v>1</v>
      </c>
      <c r="AA172">
        <f>step3_validation[[#This Row],[AI_FAC1]]</f>
        <v>7</v>
      </c>
      <c r="AB172" t="str">
        <f t="shared" si="60"/>
        <v>Neutral</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2</v>
      </c>
      <c r="AF172">
        <f>step3_validation[[#This Row],[AI_FAC2]]</f>
        <v>9</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2</v>
      </c>
      <c r="AK172">
        <f>step3_validation[[#This Row],[AI_TRU1]]</f>
        <v>8</v>
      </c>
      <c r="AL172" t="str">
        <f t="shared" si="66"/>
        <v>Support</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1</v>
      </c>
      <c r="AP172">
        <f>step3_validation[[#This Row],[AI_TRU2]]</f>
        <v>7</v>
      </c>
      <c r="AQ172" t="str">
        <f t="shared" si="69"/>
        <v>Neutral</v>
      </c>
      <c r="AR172">
        <f>survey_responses[[#This Row],[Tôi thấy mức thuế tôi phải đóng theo phương án mới là công bằng (người thu nhập như tôi đóng mức này là hợp lý). - HUMAN-TRU2]]</f>
        <v>7</v>
      </c>
      <c r="AS172" t="str">
        <f t="shared" si="70"/>
        <v>Neutral</v>
      </c>
      <c r="AT172" s="32">
        <f t="shared" si="71"/>
        <v>0</v>
      </c>
      <c r="AU172">
        <f>step3_validation[[#This Row],[AI_TRU3]]</f>
        <v>8</v>
      </c>
      <c r="AV172" t="str">
        <f t="shared" si="72"/>
        <v>Support</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3</v>
      </c>
      <c r="AZ172">
        <f>step3_validation[[#This Row],[AI_TRU4]]</f>
        <v>7</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2">
        <f t="shared" si="77"/>
        <v>0</v>
      </c>
      <c r="BE172">
        <f>step3_validation[[#This Row],[AI_OUT1]]</f>
        <v>9</v>
      </c>
      <c r="BF172" t="str">
        <f t="shared" si="78"/>
        <v>Support</v>
      </c>
      <c r="BG172">
        <f>survey_responses[[#This Row],[Sau khi xem xét các quyền lợi và nghĩa vụ, bạn có ủng hộ và tuân thủ chính sách mới hiện nay? - HUMAN-OUT1]]</f>
        <v>7</v>
      </c>
      <c r="BH172" t="str">
        <f t="shared" si="79"/>
        <v>Neutral</v>
      </c>
      <c r="BI172" s="32">
        <f t="shared" si="80"/>
        <v>2</v>
      </c>
    </row>
    <row r="173" spans="1:61" x14ac:dyDescent="0.45">
      <c r="A173" s="30">
        <f>step3_validation[[#This Row],[Persona_ID]]</f>
        <v>172</v>
      </c>
      <c r="B173" s="31">
        <f>step3_validation[[#This Row],[Used_Seed]]</f>
        <v>213</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167.27835404196111</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7</v>
      </c>
      <c r="R173" t="str">
        <f t="shared" si="54"/>
        <v>Neutral</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1</v>
      </c>
      <c r="V173">
        <f>step3_validation[[#This Row],[AI_ENF2]]</f>
        <v>6</v>
      </c>
      <c r="W173" t="str">
        <f t="shared" si="57"/>
        <v>Neutral</v>
      </c>
      <c r="X173">
        <f>survey_responses[[#This Row],[Tôi tin rằng Nhà nước, cơ quan thuế có đủ khả năng và công nghệ để phát hiện, xử lý nghiêm các hành vi trốn thuế. - HUMAN-ENF2]]</f>
        <v>8</v>
      </c>
      <c r="Y173" t="str">
        <f t="shared" si="58"/>
        <v>Support</v>
      </c>
      <c r="Z173" s="32">
        <f t="shared" si="59"/>
        <v>2</v>
      </c>
      <c r="AA173">
        <f>step3_validation[[#This Row],[AI_FAC1]]</f>
        <v>7</v>
      </c>
      <c r="AB173" t="str">
        <f t="shared" si="60"/>
        <v>Neutral</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1</v>
      </c>
      <c r="AF173">
        <f>step3_validation[[#This Row],[AI_FAC2]]</f>
        <v>8</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1</v>
      </c>
      <c r="AK173">
        <f>step3_validation[[#This Row],[AI_TRU1]]</f>
        <v>6</v>
      </c>
      <c r="AL173" t="str">
        <f t="shared" si="66"/>
        <v>Neutral</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3</v>
      </c>
      <c r="AP173">
        <f>step3_validation[[#This Row],[AI_TRU2]]</f>
        <v>9</v>
      </c>
      <c r="AQ173" t="str">
        <f t="shared" si="69"/>
        <v>Support</v>
      </c>
      <c r="AR173">
        <f>survey_responses[[#This Row],[Tôi thấy mức thuế tôi phải đóng theo phương án mới là công bằng (người thu nhập như tôi đóng mức này là hợp lý). - HUMAN-TRU2]]</f>
        <v>5</v>
      </c>
      <c r="AS173" t="str">
        <f t="shared" si="70"/>
        <v>Neutral</v>
      </c>
      <c r="AT173" s="32">
        <f t="shared" si="71"/>
        <v>4</v>
      </c>
      <c r="AU173">
        <f>step3_validation[[#This Row],[AI_TRU3]]</f>
        <v>8</v>
      </c>
      <c r="AV173" t="str">
        <f t="shared" si="72"/>
        <v>Support</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3</v>
      </c>
      <c r="AZ173">
        <f>step3_validation[[#This Row],[AI_TRU4]]</f>
        <v>7</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1</v>
      </c>
      <c r="BE173">
        <f>step3_validation[[#This Row],[AI_OUT1]]</f>
        <v>9</v>
      </c>
      <c r="BF173" t="str">
        <f t="shared" si="78"/>
        <v>Support</v>
      </c>
      <c r="BG173">
        <f>survey_responses[[#This Row],[Sau khi xem xét các quyền lợi và nghĩa vụ, bạn có ủng hộ và tuân thủ chính sách mới hiện nay? - HUMAN-OUT1]]</f>
        <v>6</v>
      </c>
      <c r="BH173" t="str">
        <f t="shared" si="79"/>
        <v>Neutral</v>
      </c>
      <c r="BI173" s="32">
        <f t="shared" si="80"/>
        <v>3</v>
      </c>
    </row>
    <row r="174" spans="1:61" x14ac:dyDescent="0.45">
      <c r="A174" s="30">
        <f>step3_validation[[#This Row],[Persona_ID]]</f>
        <v>173</v>
      </c>
      <c r="B174" s="31">
        <f>step3_validation[[#This Row],[Used_Seed]]</f>
        <v>214</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88.032191317746083</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9</v>
      </c>
      <c r="R174" t="str">
        <f t="shared" si="54"/>
        <v>Support</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4</v>
      </c>
      <c r="V174">
        <f>step3_validation[[#This Row],[AI_ENF2]]</f>
        <v>8</v>
      </c>
      <c r="W174" t="str">
        <f t="shared" si="57"/>
        <v>Support</v>
      </c>
      <c r="X174">
        <f>survey_responses[[#This Row],[Tôi tin rằng Nhà nước, cơ quan thuế có đủ khả năng và công nghệ để phát hiện, xử lý nghiêm các hành vi trốn thuế. - HUMAN-ENF2]]</f>
        <v>5</v>
      </c>
      <c r="Y174" t="str">
        <f t="shared" si="58"/>
        <v>Neutral</v>
      </c>
      <c r="Z174" s="32">
        <f t="shared" si="59"/>
        <v>3</v>
      </c>
      <c r="AA174">
        <f>step3_validation[[#This Row],[AI_FAC1]]</f>
        <v>9</v>
      </c>
      <c r="AB174" t="str">
        <f t="shared" si="60"/>
        <v>Support</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5</v>
      </c>
      <c r="AF174">
        <f>step3_validation[[#This Row],[AI_FAC2]]</f>
        <v>8</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2</v>
      </c>
      <c r="AK174">
        <f>step3_validation[[#This Row],[AI_TRU1]]</f>
        <v>9</v>
      </c>
      <c r="AL174" t="str">
        <f t="shared" si="66"/>
        <v>Support</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4</v>
      </c>
      <c r="AP174">
        <f>step3_validation[[#This Row],[AI_TRU2]]</f>
        <v>8</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2">
        <f t="shared" si="71"/>
        <v>4</v>
      </c>
      <c r="AU174">
        <f>step3_validation[[#This Row],[AI_TRU3]]</f>
        <v>9</v>
      </c>
      <c r="AV174" t="str">
        <f t="shared" si="72"/>
        <v>Support</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5</v>
      </c>
      <c r="AZ174">
        <f>step3_validation[[#This Row],[AI_TRU4]]</f>
        <v>8</v>
      </c>
      <c r="BA174" t="str">
        <f t="shared" si="75"/>
        <v>Support</v>
      </c>
      <c r="BB174">
        <f>survey_responses[[#This Row],[Tôi thấy Nhà nước đã giải thích rõ ràng, minh bạch về lý do và mục tiêu của việc sửa đổi thuế lần này. - HUMAN-TRU4]]</f>
        <v>5</v>
      </c>
      <c r="BC174" t="str">
        <f t="shared" si="76"/>
        <v>Neutral</v>
      </c>
      <c r="BD174" s="32">
        <f t="shared" si="77"/>
        <v>3</v>
      </c>
      <c r="BE174">
        <f>step3_validation[[#This Row],[AI_OUT1]]</f>
        <v>9</v>
      </c>
      <c r="BF174" t="str">
        <f t="shared" si="78"/>
        <v>Support</v>
      </c>
      <c r="BG174">
        <f>survey_responses[[#This Row],[Sau khi xem xét các quyền lợi và nghĩa vụ, bạn có ủng hộ và tuân thủ chính sách mới hiện nay? - HUMAN-OUT1]]</f>
        <v>5</v>
      </c>
      <c r="BH174" t="str">
        <f t="shared" si="79"/>
        <v>Neutral</v>
      </c>
      <c r="BI174" s="32">
        <f t="shared" si="80"/>
        <v>4</v>
      </c>
    </row>
    <row r="175" spans="1:61" x14ac:dyDescent="0.45">
      <c r="A175" s="30">
        <f>step3_validation[[#This Row],[Persona_ID]]</f>
        <v>174</v>
      </c>
      <c r="B175" s="31">
        <f>step3_validation[[#This Row],[Used_Seed]]</f>
        <v>215</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36.664878031042349</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6</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0</v>
      </c>
      <c r="V175">
        <f>step3_validation[[#This Row],[AI_ENF2]]</f>
        <v>7</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2">
        <f t="shared" si="59"/>
        <v>1</v>
      </c>
      <c r="AA175">
        <f>step3_validation[[#This Row],[AI_FAC1]]</f>
        <v>8</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2</v>
      </c>
      <c r="AF175">
        <f>step3_validation[[#This Row],[AI_FAC2]]</f>
        <v>9</v>
      </c>
      <c r="AG175" t="str">
        <f t="shared" si="63"/>
        <v>Support</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3</v>
      </c>
      <c r="AK175">
        <f>step3_validation[[#This Row],[AI_TRU1]]</f>
        <v>7</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0</v>
      </c>
      <c r="AP175">
        <f>step3_validation[[#This Row],[AI_TRU2]]</f>
        <v>9</v>
      </c>
      <c r="AQ175" t="str">
        <f t="shared" si="69"/>
        <v>Support</v>
      </c>
      <c r="AR175">
        <f>survey_responses[[#This Row],[Tôi thấy mức thuế tôi phải đóng theo phương án mới là công bằng (người thu nhập như tôi đóng mức này là hợp lý). - HUMAN-TRU2]]</f>
        <v>7</v>
      </c>
      <c r="AS175" t="str">
        <f t="shared" si="70"/>
        <v>Neutral</v>
      </c>
      <c r="AT175" s="32">
        <f t="shared" si="71"/>
        <v>2</v>
      </c>
      <c r="AU175">
        <f>step3_validation[[#This Row],[AI_TRU3]]</f>
        <v>8</v>
      </c>
      <c r="AV175" t="str">
        <f t="shared" si="72"/>
        <v>Support</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3</v>
      </c>
      <c r="AZ175">
        <f>step3_validation[[#This Row],[AI_TRU4]]</f>
        <v>9</v>
      </c>
      <c r="BA175" t="str">
        <f t="shared" si="75"/>
        <v>Support</v>
      </c>
      <c r="BB175">
        <f>survey_responses[[#This Row],[Tôi thấy Nhà nước đã giải thích rõ ràng, minh bạch về lý do và mục tiêu của việc sửa đổi thuế lần này. - HUMAN-TRU4]]</f>
        <v>7</v>
      </c>
      <c r="BC175" t="str">
        <f t="shared" si="76"/>
        <v>Neutral</v>
      </c>
      <c r="BD175" s="32">
        <f t="shared" si="77"/>
        <v>2</v>
      </c>
      <c r="BE175">
        <f>step3_validation[[#This Row],[AI_OUT1]]</f>
        <v>8</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2</v>
      </c>
    </row>
    <row r="176" spans="1:61" x14ac:dyDescent="0.45">
      <c r="A176" s="30">
        <f>step3_validation[[#This Row],[Persona_ID]]</f>
        <v>175</v>
      </c>
      <c r="B176" s="31">
        <f>step3_validation[[#This Row],[Used_Seed]]</f>
        <v>216</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164.9346824019967</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6</v>
      </c>
      <c r="R176" t="str">
        <f t="shared" si="54"/>
        <v>Neutral</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2</v>
      </c>
      <c r="V176">
        <f>step3_validation[[#This Row],[AI_ENF2]]</f>
        <v>7</v>
      </c>
      <c r="W176" t="str">
        <f t="shared" si="57"/>
        <v>Neutral</v>
      </c>
      <c r="X176">
        <f>survey_responses[[#This Row],[Tôi tin rằng Nhà nước, cơ quan thuế có đủ khả năng và công nghệ để phát hiện, xử lý nghiêm các hành vi trốn thuế. - HUMAN-ENF2]]</f>
        <v>5</v>
      </c>
      <c r="Y176" t="str">
        <f t="shared" si="58"/>
        <v>Neutral</v>
      </c>
      <c r="Z176" s="32">
        <f t="shared" si="59"/>
        <v>2</v>
      </c>
      <c r="AA176">
        <f>step3_validation[[#This Row],[AI_FAC1]]</f>
        <v>8</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4</v>
      </c>
      <c r="AF176">
        <f>step3_validation[[#This Row],[AI_FAC2]]</f>
        <v>9</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3</v>
      </c>
      <c r="AK176">
        <f>step3_validation[[#This Row],[AI_TRU1]]</f>
        <v>7</v>
      </c>
      <c r="AL176" t="str">
        <f t="shared" si="66"/>
        <v>Neutral</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3</v>
      </c>
      <c r="AP176">
        <f>step3_validation[[#This Row],[AI_TRU2]]</f>
        <v>9</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5</v>
      </c>
      <c r="AU176">
        <f>step3_validation[[#This Row],[AI_TRU3]]</f>
        <v>8</v>
      </c>
      <c r="AV176" t="str">
        <f t="shared" si="72"/>
        <v>Support</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4</v>
      </c>
      <c r="AZ176">
        <f>step3_validation[[#This Row],[AI_TRU4]]</f>
        <v>9</v>
      </c>
      <c r="BA176" t="str">
        <f t="shared" si="75"/>
        <v>Support</v>
      </c>
      <c r="BB176">
        <f>survey_responses[[#This Row],[Tôi thấy Nhà nước đã giải thích rõ ràng, minh bạch về lý do và mục tiêu của việc sửa đổi thuế lần này. - HUMAN-TRU4]]</f>
        <v>5</v>
      </c>
      <c r="BC176" t="str">
        <f t="shared" si="76"/>
        <v>Neutral</v>
      </c>
      <c r="BD176" s="32">
        <f t="shared" si="77"/>
        <v>4</v>
      </c>
      <c r="BE176">
        <f>step3_validation[[#This Row],[AI_OUT1]]</f>
        <v>9</v>
      </c>
      <c r="BF176" t="str">
        <f t="shared" si="78"/>
        <v>Support</v>
      </c>
      <c r="BG176">
        <f>survey_responses[[#This Row],[Sau khi xem xét các quyền lợi và nghĩa vụ, bạn có ủng hộ và tuân thủ chính sách mới hiện nay? - HUMAN-OUT1]]</f>
        <v>4</v>
      </c>
      <c r="BH176" t="str">
        <f t="shared" si="79"/>
        <v>Oppose</v>
      </c>
      <c r="BI176" s="32">
        <f t="shared" si="80"/>
        <v>5</v>
      </c>
    </row>
    <row r="177" spans="1:61" x14ac:dyDescent="0.45">
      <c r="A177" s="30">
        <f>step3_validation[[#This Row],[Persona_ID]]</f>
        <v>176</v>
      </c>
      <c r="B177" s="31">
        <f>step3_validation[[#This Row],[Used_Seed]]</f>
        <v>217</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200.91230723985751</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7</v>
      </c>
      <c r="R177" t="str">
        <f t="shared" si="54"/>
        <v>Neutral</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5</v>
      </c>
      <c r="V177">
        <f>step3_validation[[#This Row],[AI_ENF2]]</f>
        <v>8</v>
      </c>
      <c r="W177" t="str">
        <f t="shared" si="57"/>
        <v>Support</v>
      </c>
      <c r="X177">
        <f>survey_responses[[#This Row],[Tôi tin rằng Nhà nước, cơ quan thuế có đủ khả năng và công nghệ để phát hiện, xử lý nghiêm các hành vi trốn thuế. - HUMAN-ENF2]]</f>
        <v>4</v>
      </c>
      <c r="Y177" t="str">
        <f t="shared" si="58"/>
        <v>Oppose</v>
      </c>
      <c r="Z177" s="32">
        <f t="shared" si="59"/>
        <v>4</v>
      </c>
      <c r="AA177">
        <f>step3_validation[[#This Row],[AI_FAC1]]</f>
        <v>9</v>
      </c>
      <c r="AB177" t="str">
        <f t="shared" si="60"/>
        <v>Support</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6</v>
      </c>
      <c r="AF177">
        <f>step3_validation[[#This Row],[AI_FAC2]]</f>
        <v>8</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3</v>
      </c>
      <c r="AK177">
        <f>step3_validation[[#This Row],[AI_TRU1]]</f>
        <v>9</v>
      </c>
      <c r="AL177" t="str">
        <f t="shared" si="66"/>
        <v>Support</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5</v>
      </c>
      <c r="AP177">
        <f>step3_validation[[#This Row],[AI_TRU2]]</f>
        <v>8</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7</v>
      </c>
      <c r="AU177">
        <f>step3_validation[[#This Row],[AI_TRU3]]</f>
        <v>9</v>
      </c>
      <c r="AV177" t="str">
        <f t="shared" si="72"/>
        <v>Support</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8</v>
      </c>
      <c r="AZ177">
        <f>step3_validation[[#This Row],[AI_TRU4]]</f>
        <v>7</v>
      </c>
      <c r="BA177" t="str">
        <f t="shared" si="75"/>
        <v>Neutral</v>
      </c>
      <c r="BB177">
        <f>survey_responses[[#This Row],[Tôi thấy Nhà nước đã giải thích rõ ràng, minh bạch về lý do và mục tiêu của việc sửa đổi thuế lần này. - HUMAN-TRU4]]</f>
        <v>4</v>
      </c>
      <c r="BC177" t="str">
        <f t="shared" si="76"/>
        <v>Oppose</v>
      </c>
      <c r="BD177" s="32">
        <f t="shared" si="77"/>
        <v>3</v>
      </c>
      <c r="BE177">
        <f>step3_validation[[#This Row],[AI_OUT1]]</f>
        <v>9</v>
      </c>
      <c r="BF177" t="str">
        <f t="shared" si="78"/>
        <v>Support</v>
      </c>
      <c r="BG177">
        <f>survey_responses[[#This Row],[Sau khi xem xét các quyền lợi và nghĩa vụ, bạn có ủng hộ và tuân thủ chính sách mới hiện nay? - HUMAN-OUT1]]</f>
        <v>4</v>
      </c>
      <c r="BH177" t="str">
        <f t="shared" si="79"/>
        <v>Oppose</v>
      </c>
      <c r="BI177" s="32">
        <f t="shared" si="80"/>
        <v>5</v>
      </c>
    </row>
    <row r="178" spans="1:61" x14ac:dyDescent="0.45">
      <c r="A178" s="30">
        <f>step3_validation[[#This Row],[Persona_ID]]</f>
        <v>177</v>
      </c>
      <c r="B178" s="31">
        <f>step3_validation[[#This Row],[Used_Seed]]</f>
        <v>218</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87.086821540864065</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6</v>
      </c>
      <c r="R178" t="str">
        <f t="shared" si="54"/>
        <v>Neutral</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2</v>
      </c>
      <c r="V178">
        <f>step3_validation[[#This Row],[AI_ENF2]]</f>
        <v>7</v>
      </c>
      <c r="W178" t="str">
        <f t="shared" si="57"/>
        <v>Neutral</v>
      </c>
      <c r="X178">
        <f>survey_responses[[#This Row],[Tôi tin rằng Nhà nước, cơ quan thuế có đủ khả năng và công nghệ để phát hiện, xử lý nghiêm các hành vi trốn thuế. - HUMAN-ENF2]]</f>
        <v>4</v>
      </c>
      <c r="Y178" t="str">
        <f t="shared" si="58"/>
        <v>Oppose</v>
      </c>
      <c r="Z178" s="32">
        <f t="shared" si="59"/>
        <v>3</v>
      </c>
      <c r="AA178">
        <f>step3_validation[[#This Row],[AI_FAC1]]</f>
        <v>8</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5</v>
      </c>
      <c r="AF178">
        <f>step3_validation[[#This Row],[AI_FAC2]]</f>
        <v>9</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4</v>
      </c>
      <c r="AK178">
        <f>step3_validation[[#This Row],[AI_TRU1]]</f>
        <v>6</v>
      </c>
      <c r="AL178" t="str">
        <f t="shared" si="66"/>
        <v>Neutral</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3</v>
      </c>
      <c r="AP178">
        <f>step3_validation[[#This Row],[AI_TRU2]]</f>
        <v>9</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7</v>
      </c>
      <c r="AU178">
        <f>step3_validation[[#This Row],[AI_TRU3]]</f>
        <v>7</v>
      </c>
      <c r="AV178" t="str">
        <f t="shared" si="72"/>
        <v>Neutral</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6</v>
      </c>
      <c r="AZ178">
        <f>step3_validation[[#This Row],[AI_TRU4]]</f>
        <v>6</v>
      </c>
      <c r="BA178" t="str">
        <f t="shared" si="75"/>
        <v>Neutral</v>
      </c>
      <c r="BB178">
        <f>survey_responses[[#This Row],[Tôi thấy Nhà nước đã giải thích rõ ràng, minh bạch về lý do và mục tiêu của việc sửa đổi thuế lần này. - HUMAN-TRU4]]</f>
        <v>1</v>
      </c>
      <c r="BC178" t="str">
        <f t="shared" si="76"/>
        <v>Oppose</v>
      </c>
      <c r="BD178" s="32">
        <f t="shared" si="77"/>
        <v>5</v>
      </c>
      <c r="BE178">
        <f>step3_validation[[#This Row],[AI_OUT1]]</f>
        <v>9</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8</v>
      </c>
    </row>
    <row r="179" spans="1:61" x14ac:dyDescent="0.45">
      <c r="A179" s="30">
        <f>step3_validation[[#This Row],[Persona_ID]]</f>
        <v>178</v>
      </c>
      <c r="B179" s="31">
        <f>step3_validation[[#This Row],[Used_Seed]]</f>
        <v>219</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44.822563117470658</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6</v>
      </c>
      <c r="R179" t="str">
        <f t="shared" si="54"/>
        <v>Neutral</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0</v>
      </c>
      <c r="V179">
        <f>step3_validation[[#This Row],[AI_ENF2]]</f>
        <v>6</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1</v>
      </c>
      <c r="AA179">
        <f>step3_validation[[#This Row],[AI_FAC1]]</f>
        <v>7</v>
      </c>
      <c r="AB179" t="str">
        <f t="shared" si="60"/>
        <v>Neutral</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1</v>
      </c>
      <c r="AF179">
        <f>step3_validation[[#This Row],[AI_FAC2]]</f>
        <v>8</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2</v>
      </c>
      <c r="AK179">
        <f>step3_validation[[#This Row],[AI_TRU1]]</f>
        <v>9</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3</v>
      </c>
      <c r="AP179">
        <f>step3_validation[[#This Row],[AI_TRU2]]</f>
        <v>9</v>
      </c>
      <c r="AQ179" t="str">
        <f t="shared" si="69"/>
        <v>Support</v>
      </c>
      <c r="AR179">
        <f>survey_responses[[#This Row],[Tôi thấy mức thuế tôi phải đóng theo phương án mới là công bằng (người thu nhập như tôi đóng mức này là hợp lý). - HUMAN-TRU2]]</f>
        <v>7</v>
      </c>
      <c r="AS179" t="str">
        <f t="shared" si="70"/>
        <v>Neutral</v>
      </c>
      <c r="AT179" s="32">
        <f t="shared" si="71"/>
        <v>2</v>
      </c>
      <c r="AU179">
        <f>step3_validation[[#This Row],[AI_TRU3]]</f>
        <v>9</v>
      </c>
      <c r="AV179" t="str">
        <f t="shared" si="72"/>
        <v>Support</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4</v>
      </c>
      <c r="AZ179">
        <f>step3_validation[[#This Row],[AI_TRU4]]</f>
        <v>8</v>
      </c>
      <c r="BA179" t="str">
        <f t="shared" si="75"/>
        <v>Support</v>
      </c>
      <c r="BB179">
        <f>survey_responses[[#This Row],[Tôi thấy Nhà nước đã giải thích rõ ràng, minh bạch về lý do và mục tiêu của việc sửa đổi thuế lần này. - HUMAN-TRU4]]</f>
        <v>6</v>
      </c>
      <c r="BC179" t="str">
        <f t="shared" si="76"/>
        <v>Neutral</v>
      </c>
      <c r="BD179" s="32">
        <f t="shared" si="77"/>
        <v>2</v>
      </c>
      <c r="BE179">
        <f>step3_validation[[#This Row],[AI_OUT1]]</f>
        <v>9</v>
      </c>
      <c r="BF179" t="str">
        <f t="shared" si="78"/>
        <v>Support</v>
      </c>
      <c r="BG179">
        <f>survey_responses[[#This Row],[Sau khi xem xét các quyền lợi và nghĩa vụ, bạn có ủng hộ và tuân thủ chính sách mới hiện nay? - HUMAN-OUT1]]</f>
        <v>7</v>
      </c>
      <c r="BH179" t="str">
        <f t="shared" si="79"/>
        <v>Neutral</v>
      </c>
      <c r="BI179" s="32">
        <f t="shared" si="80"/>
        <v>2</v>
      </c>
    </row>
    <row r="180" spans="1:61" x14ac:dyDescent="0.45">
      <c r="A180" s="30">
        <f>step3_validation[[#This Row],[Persona_ID]]</f>
        <v>179</v>
      </c>
      <c r="B180" s="31">
        <f>step3_validation[[#This Row],[Used_Seed]]</f>
        <v>220</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26.706149250357065</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0</v>
      </c>
      <c r="V180">
        <f>step3_validation[[#This Row],[AI_ENF2]]</f>
        <v>8</v>
      </c>
      <c r="W180" t="str">
        <f t="shared" si="57"/>
        <v>Support</v>
      </c>
      <c r="X180">
        <f>survey_responses[[#This Row],[Tôi tin rằng Nhà nước, cơ quan thuế có đủ khả năng và công nghệ để phát hiện, xử lý nghiêm các hành vi trốn thuế. - HUMAN-ENF2]]</f>
        <v>7</v>
      </c>
      <c r="Y180" t="str">
        <f t="shared" si="58"/>
        <v>Neutral</v>
      </c>
      <c r="Z180" s="32">
        <f t="shared" si="59"/>
        <v>1</v>
      </c>
      <c r="AA180">
        <f>step3_validation[[#This Row],[AI_FAC1]]</f>
        <v>6</v>
      </c>
      <c r="AB180" t="str">
        <f t="shared" si="60"/>
        <v>Neutral</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1</v>
      </c>
      <c r="AF180">
        <f>step3_validation[[#This Row],[AI_FAC2]]</f>
        <v>9</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1</v>
      </c>
      <c r="AK180">
        <f>step3_validation[[#This Row],[AI_TRU1]]</f>
        <v>7</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0</v>
      </c>
      <c r="AP180">
        <f>step3_validation[[#This Row],[AI_TRU2]]</f>
        <v>8</v>
      </c>
      <c r="AQ180" t="str">
        <f t="shared" si="69"/>
        <v>Support</v>
      </c>
      <c r="AR180">
        <f>survey_responses[[#This Row],[Tôi thấy mức thuế tôi phải đóng theo phương án mới là công bằng (người thu nhập như tôi đóng mức này là hợp lý). - HUMAN-TRU2]]</f>
        <v>8</v>
      </c>
      <c r="AS180" t="str">
        <f t="shared" si="70"/>
        <v>Support</v>
      </c>
      <c r="AT180" s="32">
        <f t="shared" si="71"/>
        <v>0</v>
      </c>
      <c r="AU180">
        <f>step3_validation[[#This Row],[AI_TRU3]]</f>
        <v>8</v>
      </c>
      <c r="AV180" t="str">
        <f t="shared" si="72"/>
        <v>Support</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1</v>
      </c>
      <c r="AZ180">
        <f>step3_validation[[#This Row],[AI_TRU4]]</f>
        <v>7</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0</v>
      </c>
      <c r="BE180">
        <f>step3_validation[[#This Row],[AI_OUT1]]</f>
        <v>8</v>
      </c>
      <c r="BF180" t="str">
        <f t="shared" si="78"/>
        <v>Support</v>
      </c>
      <c r="BG180">
        <f>survey_responses[[#This Row],[Sau khi xem xét các quyền lợi và nghĩa vụ, bạn có ủng hộ và tuân thủ chính sách mới hiện nay? - HUMAN-OUT1]]</f>
        <v>8</v>
      </c>
      <c r="BH180" t="str">
        <f t="shared" si="79"/>
        <v>Support</v>
      </c>
      <c r="BI180" s="32">
        <f t="shared" si="80"/>
        <v>0</v>
      </c>
    </row>
    <row r="181" spans="1:61" x14ac:dyDescent="0.45">
      <c r="A181" s="30">
        <f>step3_validation[[#This Row],[Persona_ID]]</f>
        <v>180</v>
      </c>
      <c r="B181" s="31">
        <f>step3_validation[[#This Row],[Used_Seed]]</f>
        <v>221</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62.297021569555554</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6</v>
      </c>
      <c r="R181" t="str">
        <f t="shared" si="54"/>
        <v>Neutral</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1</v>
      </c>
      <c r="V181">
        <f>step3_validation[[#This Row],[AI_ENF2]]</f>
        <v>7</v>
      </c>
      <c r="W181" t="str">
        <f t="shared" si="57"/>
        <v>Neutral</v>
      </c>
      <c r="X181">
        <f>survey_responses[[#This Row],[Tôi tin rằng Nhà nước, cơ quan thuế có đủ khả năng và công nghệ để phát hiện, xử lý nghiêm các hành vi trốn thuế. - HUMAN-ENF2]]</f>
        <v>5</v>
      </c>
      <c r="Y181" t="str">
        <f t="shared" si="58"/>
        <v>Neutral</v>
      </c>
      <c r="Z181" s="32">
        <f t="shared" si="59"/>
        <v>2</v>
      </c>
      <c r="AA181">
        <f>step3_validation[[#This Row],[AI_FAC1]]</f>
        <v>9</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4</v>
      </c>
      <c r="AF181">
        <f>step3_validation[[#This Row],[AI_FAC2]]</f>
        <v>8</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1</v>
      </c>
      <c r="AK181">
        <f>step3_validation[[#This Row],[AI_TRU1]]</f>
        <v>7</v>
      </c>
      <c r="AL181" t="str">
        <f t="shared" si="66"/>
        <v>Neutral</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2</v>
      </c>
      <c r="AP181">
        <f>step3_validation[[#This Row],[AI_TRU2]]</f>
        <v>9</v>
      </c>
      <c r="AQ181" t="str">
        <f t="shared" si="69"/>
        <v>Support</v>
      </c>
      <c r="AR181">
        <f>survey_responses[[#This Row],[Tôi thấy mức thuế tôi phải đóng theo phương án mới là công bằng (người thu nhập như tôi đóng mức này là hợp lý). - HUMAN-TRU2]]</f>
        <v>6</v>
      </c>
      <c r="AS181" t="str">
        <f t="shared" si="70"/>
        <v>Neutral</v>
      </c>
      <c r="AT181" s="32">
        <f t="shared" si="71"/>
        <v>3</v>
      </c>
      <c r="AU181">
        <f>step3_validation[[#This Row],[AI_TRU3]]</f>
        <v>8</v>
      </c>
      <c r="AV181" t="str">
        <f t="shared" si="72"/>
        <v>Support</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3</v>
      </c>
      <c r="AZ181">
        <f>step3_validation[[#This Row],[AI_TRU4]]</f>
        <v>7</v>
      </c>
      <c r="BA181" t="str">
        <f t="shared" si="75"/>
        <v>Neutral</v>
      </c>
      <c r="BB181">
        <f>survey_responses[[#This Row],[Tôi thấy Nhà nước đã giải thích rõ ràng, minh bạch về lý do và mục tiêu của việc sửa đổi thuế lần này. - HUMAN-TRU4]]</f>
        <v>7</v>
      </c>
      <c r="BC181" t="str">
        <f t="shared" si="76"/>
        <v>Neutral</v>
      </c>
      <c r="BD181" s="32">
        <f t="shared" si="77"/>
        <v>0</v>
      </c>
      <c r="BE181">
        <f>step3_validation[[#This Row],[AI_OUT1]]</f>
        <v>8</v>
      </c>
      <c r="BF181" t="str">
        <f t="shared" si="78"/>
        <v>Support</v>
      </c>
      <c r="BG181">
        <f>survey_responses[[#This Row],[Sau khi xem xét các quyền lợi và nghĩa vụ, bạn có ủng hộ và tuân thủ chính sách mới hiện nay? - HUMAN-OUT1]]</f>
        <v>7</v>
      </c>
      <c r="BH181" t="str">
        <f t="shared" si="79"/>
        <v>Neutral</v>
      </c>
      <c r="BI181" s="32">
        <f t="shared" si="80"/>
        <v>1</v>
      </c>
    </row>
    <row r="182" spans="1:61" x14ac:dyDescent="0.45">
      <c r="A182" s="30">
        <f>step3_validation[[#This Row],[Persona_ID]]</f>
        <v>181</v>
      </c>
      <c r="B182" s="31">
        <f>step3_validation[[#This Row],[Used_Seed]]</f>
        <v>222</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66.381772253002708</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8</v>
      </c>
      <c r="R182" t="str">
        <f t="shared" si="54"/>
        <v>Support</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2</v>
      </c>
      <c r="V182">
        <f>step3_validation[[#This Row],[AI_ENF2]]</f>
        <v>8</v>
      </c>
      <c r="W182" t="str">
        <f t="shared" si="57"/>
        <v>Support</v>
      </c>
      <c r="X182">
        <f>survey_responses[[#This Row],[Tôi tin rằng Nhà nước, cơ quan thuế có đủ khả năng và công nghệ để phát hiện, xử lý nghiêm các hành vi trốn thuế. - HUMAN-ENF2]]</f>
        <v>7</v>
      </c>
      <c r="Y182" t="str">
        <f t="shared" si="58"/>
        <v>Neutral</v>
      </c>
      <c r="Z182" s="32">
        <f t="shared" si="59"/>
        <v>1</v>
      </c>
      <c r="AA182">
        <f>step3_validation[[#This Row],[AI_FAC1]]</f>
        <v>7</v>
      </c>
      <c r="AB182" t="str">
        <f t="shared" si="60"/>
        <v>Neutral</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0</v>
      </c>
      <c r="AF182">
        <f>step3_validation[[#This Row],[AI_FAC2]]</f>
        <v>9</v>
      </c>
      <c r="AG182" t="str">
        <f t="shared" si="63"/>
        <v>Support</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1</v>
      </c>
      <c r="AK182">
        <f>step3_validation[[#This Row],[AI_TRU1]]</f>
        <v>8</v>
      </c>
      <c r="AL182" t="str">
        <f t="shared" si="66"/>
        <v>Support</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0</v>
      </c>
      <c r="AP182">
        <f>step3_validation[[#This Row],[AI_TRU2]]</f>
        <v>9</v>
      </c>
      <c r="AQ182" t="str">
        <f t="shared" si="69"/>
        <v>Support</v>
      </c>
      <c r="AR182">
        <f>survey_responses[[#This Row],[Tôi thấy mức thuế tôi phải đóng theo phương án mới là công bằng (người thu nhập như tôi đóng mức này là hợp lý). - HUMAN-TRU2]]</f>
        <v>7</v>
      </c>
      <c r="AS182" t="str">
        <f t="shared" si="70"/>
        <v>Neutral</v>
      </c>
      <c r="AT182" s="32">
        <f t="shared" si="71"/>
        <v>2</v>
      </c>
      <c r="AU182">
        <f>step3_validation[[#This Row],[AI_TRU3]]</f>
        <v>8</v>
      </c>
      <c r="AV182" t="str">
        <f t="shared" si="72"/>
        <v>Support</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3</v>
      </c>
      <c r="AZ182">
        <f>step3_validation[[#This Row],[AI_TRU4]]</f>
        <v>7</v>
      </c>
      <c r="BA182" t="str">
        <f t="shared" si="75"/>
        <v>Neutral</v>
      </c>
      <c r="BB182">
        <f>survey_responses[[#This Row],[Tôi thấy Nhà nước đã giải thích rõ ràng, minh bạch về lý do và mục tiêu của việc sửa đổi thuế lần này. - HUMAN-TRU4]]</f>
        <v>7</v>
      </c>
      <c r="BC182" t="str">
        <f t="shared" si="76"/>
        <v>Neutral</v>
      </c>
      <c r="BD182" s="32">
        <f t="shared" si="77"/>
        <v>0</v>
      </c>
      <c r="BE182">
        <f>step3_validation[[#This Row],[AI_OUT1]]</f>
        <v>9</v>
      </c>
      <c r="BF182" t="str">
        <f t="shared" si="78"/>
        <v>Support</v>
      </c>
      <c r="BG182">
        <f>survey_responses[[#This Row],[Sau khi xem xét các quyền lợi và nghĩa vụ, bạn có ủng hộ và tuân thủ chính sách mới hiện nay? - HUMAN-OUT1]]</f>
        <v>7</v>
      </c>
      <c r="BH182" t="str">
        <f t="shared" si="79"/>
        <v>Neutral</v>
      </c>
      <c r="BI182" s="32">
        <f t="shared" si="80"/>
        <v>2</v>
      </c>
    </row>
    <row r="183" spans="1:61" x14ac:dyDescent="0.45">
      <c r="A183" s="30">
        <f>step3_validation[[#This Row],[Persona_ID]]</f>
        <v>182</v>
      </c>
      <c r="B183" s="31">
        <f>step3_validation[[#This Row],[Used_Seed]]</f>
        <v>223</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29.04912485721059</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1</v>
      </c>
      <c r="V183">
        <f>step3_validation[[#This Row],[AI_ENF2]]</f>
        <v>6</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2</v>
      </c>
      <c r="AA183">
        <f>step3_validation[[#This Row],[AI_FAC1]]</f>
        <v>8</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3</v>
      </c>
      <c r="AF183">
        <f>step3_validation[[#This Row],[AI_FAC2]]</f>
        <v>9</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1</v>
      </c>
      <c r="AK183">
        <f>step3_validation[[#This Row],[AI_TRU1]]</f>
        <v>8</v>
      </c>
      <c r="AL183" t="str">
        <f t="shared" si="66"/>
        <v>Support</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2</v>
      </c>
      <c r="AP183">
        <f>step3_validation[[#This Row],[AI_TRU2]]</f>
        <v>9</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2">
        <f t="shared" si="71"/>
        <v>1</v>
      </c>
      <c r="AU183">
        <f>step3_validation[[#This Row],[AI_TRU3]]</f>
        <v>8</v>
      </c>
      <c r="AV183" t="str">
        <f t="shared" si="72"/>
        <v>Support</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2</v>
      </c>
      <c r="AZ183">
        <f>step3_validation[[#This Row],[AI_TRU4]]</f>
        <v>6</v>
      </c>
      <c r="BA183" t="str">
        <f t="shared" si="75"/>
        <v>Neutral</v>
      </c>
      <c r="BB183">
        <f>survey_responses[[#This Row],[Tôi thấy Nhà nước đã giải thích rõ ràng, minh bạch về lý do và mục tiêu của việc sửa đổi thuế lần này. - HUMAN-TRU4]]</f>
        <v>7</v>
      </c>
      <c r="BC183" t="str">
        <f t="shared" si="76"/>
        <v>Neutral</v>
      </c>
      <c r="BD183" s="32">
        <f t="shared" si="77"/>
        <v>1</v>
      </c>
      <c r="BE183">
        <f>step3_validation[[#This Row],[AI_OUT1]]</f>
        <v>9</v>
      </c>
      <c r="BF183" t="str">
        <f t="shared" si="78"/>
        <v>Support</v>
      </c>
      <c r="BG183">
        <f>survey_responses[[#This Row],[Sau khi xem xét các quyền lợi và nghĩa vụ, bạn có ủng hộ và tuân thủ chính sách mới hiện nay? - HUMAN-OUT1]]</f>
        <v>7</v>
      </c>
      <c r="BH183" t="str">
        <f t="shared" si="79"/>
        <v>Neutral</v>
      </c>
      <c r="BI183" s="32">
        <f t="shared" si="80"/>
        <v>2</v>
      </c>
    </row>
    <row r="184" spans="1:61" x14ac:dyDescent="0.45">
      <c r="A184" s="30">
        <f>step3_validation[[#This Row],[Persona_ID]]</f>
        <v>183</v>
      </c>
      <c r="B184" s="31">
        <f>step3_validation[[#This Row],[Used_Seed]]</f>
        <v>224</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103.07788778142726</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9</v>
      </c>
      <c r="R184" t="str">
        <f t="shared" si="54"/>
        <v>Support</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7</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3</v>
      </c>
      <c r="AA184">
        <f>step3_validation[[#This Row],[AI_FAC1]]</f>
        <v>9</v>
      </c>
      <c r="AB184" t="str">
        <f t="shared" si="60"/>
        <v>Support</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6</v>
      </c>
      <c r="AF184">
        <f>step3_validation[[#This Row],[AI_FAC2]]</f>
        <v>8</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3</v>
      </c>
      <c r="AK184">
        <f>step3_validation[[#This Row],[AI_TRU1]]</f>
        <v>9</v>
      </c>
      <c r="AL184" t="str">
        <f t="shared" si="66"/>
        <v>Support</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6</v>
      </c>
      <c r="AP184">
        <f>step3_validation[[#This Row],[AI_TRU2]]</f>
        <v>8</v>
      </c>
      <c r="AQ184" t="str">
        <f t="shared" si="69"/>
        <v>Support</v>
      </c>
      <c r="AR184">
        <f>survey_responses[[#This Row],[Tôi thấy mức thuế tôi phải đóng theo phương án mới là công bằng (người thu nhập như tôi đóng mức này là hợp lý). - HUMAN-TRU2]]</f>
        <v>2</v>
      </c>
      <c r="AS184" t="str">
        <f t="shared" si="70"/>
        <v>Oppose</v>
      </c>
      <c r="AT184" s="32">
        <f t="shared" si="71"/>
        <v>6</v>
      </c>
      <c r="AU184">
        <f>step3_validation[[#This Row],[AI_TRU3]]</f>
        <v>9</v>
      </c>
      <c r="AV184" t="str">
        <f t="shared" si="72"/>
        <v>Support</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8</v>
      </c>
      <c r="AZ184">
        <f>step3_validation[[#This Row],[AI_TRU4]]</f>
        <v>8</v>
      </c>
      <c r="BA184" t="str">
        <f t="shared" si="75"/>
        <v>Support</v>
      </c>
      <c r="BB184">
        <f>survey_responses[[#This Row],[Tôi thấy Nhà nước đã giải thích rõ ràng, minh bạch về lý do và mục tiêu của việc sửa đổi thuế lần này. - HUMAN-TRU4]]</f>
        <v>5</v>
      </c>
      <c r="BC184" t="str">
        <f t="shared" si="76"/>
        <v>Neutral</v>
      </c>
      <c r="BD184" s="32">
        <f t="shared" si="77"/>
        <v>3</v>
      </c>
      <c r="BE184">
        <f>step3_validation[[#This Row],[AI_OUT1]]</f>
        <v>9</v>
      </c>
      <c r="BF184" t="str">
        <f t="shared" si="78"/>
        <v>Support</v>
      </c>
      <c r="BG184">
        <f>survey_responses[[#This Row],[Sau khi xem xét các quyền lợi và nghĩa vụ, bạn có ủng hộ và tuân thủ chính sách mới hiện nay? - HUMAN-OUT1]]</f>
        <v>5</v>
      </c>
      <c r="BH184" t="str">
        <f t="shared" si="79"/>
        <v>Neutral</v>
      </c>
      <c r="BI184" s="32">
        <f t="shared" si="80"/>
        <v>4</v>
      </c>
    </row>
    <row r="185" spans="1:61" x14ac:dyDescent="0.45">
      <c r="A185" s="30">
        <f>step3_validation[[#This Row],[Persona_ID]]</f>
        <v>184</v>
      </c>
      <c r="B185" s="31">
        <f>step3_validation[[#This Row],[Used_Seed]]</f>
        <v>225</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13.118534696209883</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7</v>
      </c>
      <c r="R185" t="str">
        <f t="shared" si="54"/>
        <v>Neutral</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1</v>
      </c>
      <c r="V185">
        <f>step3_validation[[#This Row],[AI_ENF2]]</f>
        <v>6</v>
      </c>
      <c r="W185" t="str">
        <f t="shared" si="57"/>
        <v>Neutral</v>
      </c>
      <c r="X185">
        <f>survey_responses[[#This Row],[Tôi tin rằng Nhà nước, cơ quan thuế có đủ khả năng và công nghệ để phát hiện, xử lý nghiêm các hành vi trốn thuế. - HUMAN-ENF2]]</f>
        <v>6</v>
      </c>
      <c r="Y185" t="str">
        <f t="shared" si="58"/>
        <v>Neutral</v>
      </c>
      <c r="Z185" s="32">
        <f t="shared" si="59"/>
        <v>0</v>
      </c>
      <c r="AA185">
        <f>step3_validation[[#This Row],[AI_FAC1]]</f>
        <v>8</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3</v>
      </c>
      <c r="AF185">
        <f>step3_validation[[#This Row],[AI_FAC2]]</f>
        <v>8</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1</v>
      </c>
      <c r="AK185">
        <f>step3_validation[[#This Row],[AI_TRU1]]</f>
        <v>9</v>
      </c>
      <c r="AL185" t="str">
        <f t="shared" si="66"/>
        <v>Support</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2</v>
      </c>
      <c r="AP185">
        <f>step3_validation[[#This Row],[AI_TRU2]]</f>
        <v>8</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2">
        <f t="shared" si="71"/>
        <v>0</v>
      </c>
      <c r="AU185">
        <f>step3_validation[[#This Row],[AI_TRU3]]</f>
        <v>9</v>
      </c>
      <c r="AV185" t="str">
        <f t="shared" si="72"/>
        <v>Support</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4</v>
      </c>
      <c r="AZ185">
        <f>step3_validation[[#This Row],[AI_TRU4]]</f>
        <v>8</v>
      </c>
      <c r="BA185" t="str">
        <f t="shared" si="75"/>
        <v>Support</v>
      </c>
      <c r="BB185">
        <f>survey_responses[[#This Row],[Tôi thấy Nhà nước đã giải thích rõ ràng, minh bạch về lý do và mục tiêu của việc sửa đổi thuế lần này. - HUMAN-TRU4]]</f>
        <v>7</v>
      </c>
      <c r="BC185" t="str">
        <f t="shared" si="76"/>
        <v>Neutral</v>
      </c>
      <c r="BD185" s="32">
        <f t="shared" si="77"/>
        <v>1</v>
      </c>
      <c r="BE185">
        <f>step3_validation[[#This Row],[AI_OUT1]]</f>
        <v>9</v>
      </c>
      <c r="BF185" t="str">
        <f t="shared" si="78"/>
        <v>Support</v>
      </c>
      <c r="BG185">
        <f>survey_responses[[#This Row],[Sau khi xem xét các quyền lợi và nghĩa vụ, bạn có ủng hộ và tuân thủ chính sách mới hiện nay? - HUMAN-OUT1]]</f>
        <v>7</v>
      </c>
      <c r="BH185" t="str">
        <f t="shared" si="79"/>
        <v>Neutral</v>
      </c>
      <c r="BI185" s="32">
        <f t="shared" si="80"/>
        <v>2</v>
      </c>
    </row>
    <row r="186" spans="1:61" x14ac:dyDescent="0.45">
      <c r="A186" s="30">
        <f>step3_validation[[#This Row],[Persona_ID]]</f>
        <v>185</v>
      </c>
      <c r="B186" s="31">
        <f>step3_validation[[#This Row],[Used_Seed]]</f>
        <v>226</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39.81870042598301</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6</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1</v>
      </c>
      <c r="V186">
        <f>step3_validation[[#This Row],[AI_ENF2]]</f>
        <v>8</v>
      </c>
      <c r="W186" t="str">
        <f t="shared" si="57"/>
        <v>Support</v>
      </c>
      <c r="X186">
        <f>survey_responses[[#This Row],[Tôi tin rằng Nhà nước, cơ quan thuế có đủ khả năng và công nghệ để phát hiện, xử lý nghiêm các hành vi trốn thuế. - HUMAN-ENF2]]</f>
        <v>7</v>
      </c>
      <c r="Y186" t="str">
        <f t="shared" si="58"/>
        <v>Neutral</v>
      </c>
      <c r="Z186" s="32">
        <f t="shared" si="59"/>
        <v>1</v>
      </c>
      <c r="AA186">
        <f>step3_validation[[#This Row],[AI_FAC1]]</f>
        <v>9</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3</v>
      </c>
      <c r="AF186">
        <f>step3_validation[[#This Row],[AI_FAC2]]</f>
        <v>8</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0</v>
      </c>
      <c r="AK186">
        <f>step3_validation[[#This Row],[AI_TRU1]]</f>
        <v>7</v>
      </c>
      <c r="AL186" t="str">
        <f t="shared" si="66"/>
        <v>Neutral</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2</v>
      </c>
      <c r="AP186">
        <f>step3_validation[[#This Row],[AI_TRU2]]</f>
        <v>8</v>
      </c>
      <c r="AQ186" t="str">
        <f t="shared" si="69"/>
        <v>Support</v>
      </c>
      <c r="AR186">
        <f>survey_responses[[#This Row],[Tôi thấy mức thuế tôi phải đóng theo phương án mới là công bằng (người thu nhập như tôi đóng mức này là hợp lý). - HUMAN-TRU2]]</f>
        <v>5</v>
      </c>
      <c r="AS186" t="str">
        <f t="shared" si="70"/>
        <v>Neutral</v>
      </c>
      <c r="AT186" s="32">
        <f t="shared" si="71"/>
        <v>3</v>
      </c>
      <c r="AU186">
        <f>step3_validation[[#This Row],[AI_TRU3]]</f>
        <v>7</v>
      </c>
      <c r="AV186" t="str">
        <f t="shared" si="72"/>
        <v>Neutral</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2</v>
      </c>
      <c r="AZ186">
        <f>step3_validation[[#This Row],[AI_TRU4]]</f>
        <v>8</v>
      </c>
      <c r="BA186" t="str">
        <f t="shared" si="75"/>
        <v>Support</v>
      </c>
      <c r="BB186">
        <f>survey_responses[[#This Row],[Tôi thấy Nhà nước đã giải thích rõ ràng, minh bạch về lý do và mục tiêu của việc sửa đổi thuế lần này. - HUMAN-TRU4]]</f>
        <v>6</v>
      </c>
      <c r="BC186" t="str">
        <f t="shared" si="76"/>
        <v>Neutral</v>
      </c>
      <c r="BD186" s="32">
        <f t="shared" si="77"/>
        <v>2</v>
      </c>
      <c r="BE186">
        <f>step3_validation[[#This Row],[AI_OUT1]]</f>
        <v>7</v>
      </c>
      <c r="BF186" t="str">
        <f t="shared" si="78"/>
        <v>Neutral</v>
      </c>
      <c r="BG186">
        <f>survey_responses[[#This Row],[Sau khi xem xét các quyền lợi và nghĩa vụ, bạn có ủng hộ và tuân thủ chính sách mới hiện nay? - HUMAN-OUT1]]</f>
        <v>5</v>
      </c>
      <c r="BH186" t="str">
        <f t="shared" si="79"/>
        <v>Neutral</v>
      </c>
      <c r="BI186" s="32">
        <f t="shared" si="80"/>
        <v>2</v>
      </c>
    </row>
    <row r="187" spans="1:61" x14ac:dyDescent="0.45">
      <c r="A187" s="30">
        <f>step3_validation[[#This Row],[Persona_ID]]</f>
        <v>186</v>
      </c>
      <c r="B187" s="31">
        <f>step3_validation[[#This Row],[Used_Seed]]</f>
        <v>227</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15.283385198639611</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5</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2</v>
      </c>
      <c r="V187">
        <f>step3_validation[[#This Row],[AI_ENF2]]</f>
        <v>6</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1</v>
      </c>
      <c r="AA187">
        <f>step3_validation[[#This Row],[AI_FAC1]]</f>
        <v>8</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3</v>
      </c>
      <c r="AF187">
        <f>step3_validation[[#This Row],[AI_FAC2]]</f>
        <v>9</v>
      </c>
      <c r="AG187" t="str">
        <f t="shared" si="63"/>
        <v>Support</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2</v>
      </c>
      <c r="AK187">
        <f>step3_validation[[#This Row],[AI_TRU1]]</f>
        <v>7</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2</v>
      </c>
      <c r="AP187">
        <f>step3_validation[[#This Row],[AI_TRU2]]</f>
        <v>9</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4</v>
      </c>
      <c r="AU187">
        <f>step3_validation[[#This Row],[AI_TRU3]]</f>
        <v>8</v>
      </c>
      <c r="AV187" t="str">
        <f t="shared" si="72"/>
        <v>Support</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3</v>
      </c>
      <c r="AZ187">
        <f>step3_validation[[#This Row],[AI_TRU4]]</f>
        <v>7</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2</v>
      </c>
      <c r="BE187">
        <f>step3_validation[[#This Row],[AI_OUT1]]</f>
        <v>9</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3</v>
      </c>
    </row>
    <row r="188" spans="1:61" x14ac:dyDescent="0.45">
      <c r="A188" s="30">
        <f>step3_validation[[#This Row],[Persona_ID]]</f>
        <v>187</v>
      </c>
      <c r="B188" s="31">
        <f>step3_validation[[#This Row],[Used_Seed]]</f>
        <v>228</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46.93172428703781</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6</v>
      </c>
      <c r="W188" t="str">
        <f t="shared" si="57"/>
        <v>Neutral</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8</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2</v>
      </c>
      <c r="AF188">
        <f>step3_validation[[#This Row],[AI_FAC2]]</f>
        <v>9</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2</v>
      </c>
      <c r="AK188">
        <f>step3_validation[[#This Row],[AI_TRU1]]</f>
        <v>8</v>
      </c>
      <c r="AL188" t="str">
        <f t="shared" si="66"/>
        <v>Support</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2</v>
      </c>
      <c r="AP188">
        <f>step3_validation[[#This Row],[AI_TRU2]]</f>
        <v>9</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2">
        <f t="shared" si="71"/>
        <v>3</v>
      </c>
      <c r="AU188">
        <f>step3_validation[[#This Row],[AI_TRU3]]</f>
        <v>8</v>
      </c>
      <c r="AV188" t="str">
        <f t="shared" si="72"/>
        <v>Support</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3</v>
      </c>
      <c r="AZ188">
        <f>step3_validation[[#This Row],[AI_TRU4]]</f>
        <v>7</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2</v>
      </c>
      <c r="BE188">
        <f>step3_validation[[#This Row],[AI_OUT1]]</f>
        <v>9</v>
      </c>
      <c r="BF188" t="str">
        <f t="shared" si="78"/>
        <v>Support</v>
      </c>
      <c r="BG188">
        <f>survey_responses[[#This Row],[Sau khi xem xét các quyền lợi và nghĩa vụ, bạn có ủng hộ và tuân thủ chính sách mới hiện nay? - HUMAN-OUT1]]</f>
        <v>6</v>
      </c>
      <c r="BH188" t="str">
        <f t="shared" si="79"/>
        <v>Neutral</v>
      </c>
      <c r="BI188" s="32">
        <f t="shared" si="80"/>
        <v>3</v>
      </c>
    </row>
    <row r="189" spans="1:61" x14ac:dyDescent="0.45">
      <c r="A189" s="30">
        <f>step3_validation[[#This Row],[Persona_ID]]</f>
        <v>188</v>
      </c>
      <c r="B189" s="31">
        <f>step3_validation[[#This Row],[Used_Seed]]</f>
        <v>229</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23.279394241536629</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8</v>
      </c>
      <c r="R189" t="str">
        <f t="shared" si="54"/>
        <v>Support</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3</v>
      </c>
      <c r="V189">
        <f>step3_validation[[#This Row],[AI_ENF2]]</f>
        <v>9</v>
      </c>
      <c r="W189" t="str">
        <f t="shared" si="57"/>
        <v>Support</v>
      </c>
      <c r="X189">
        <f>survey_responses[[#This Row],[Tôi tin rằng Nhà nước, cơ quan thuế có đủ khả năng và công nghệ để phát hiện, xử lý nghiêm các hành vi trốn thuế. - HUMAN-ENF2]]</f>
        <v>5</v>
      </c>
      <c r="Y189" t="str">
        <f t="shared" si="58"/>
        <v>Neutral</v>
      </c>
      <c r="Z189" s="32">
        <f t="shared" si="59"/>
        <v>4</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4</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3</v>
      </c>
      <c r="AK189">
        <f>step3_validation[[#This Row],[AI_TRU1]]</f>
        <v>8</v>
      </c>
      <c r="AL189" t="str">
        <f t="shared" si="66"/>
        <v>Support</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3</v>
      </c>
      <c r="AP189">
        <f>step3_validation[[#This Row],[AI_TRU2]]</f>
        <v>9</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2">
        <f t="shared" si="71"/>
        <v>4</v>
      </c>
      <c r="AU189">
        <f>step3_validation[[#This Row],[AI_TRU3]]</f>
        <v>8</v>
      </c>
      <c r="AV189" t="str">
        <f t="shared" si="72"/>
        <v>Support</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3</v>
      </c>
      <c r="AZ189">
        <f>step3_validation[[#This Row],[AI_TRU4]]</f>
        <v>9</v>
      </c>
      <c r="BA189" t="str">
        <f t="shared" si="75"/>
        <v>Support</v>
      </c>
      <c r="BB189">
        <f>survey_responses[[#This Row],[Tôi thấy Nhà nước đã giải thích rõ ràng, minh bạch về lý do và mục tiêu của việc sửa đổi thuế lần này. - HUMAN-TRU4]]</f>
        <v>5</v>
      </c>
      <c r="BC189" t="str">
        <f t="shared" si="76"/>
        <v>Neutral</v>
      </c>
      <c r="BD189" s="32">
        <f t="shared" si="77"/>
        <v>4</v>
      </c>
      <c r="BE189">
        <f>step3_validation[[#This Row],[AI_OUT1]]</f>
        <v>9</v>
      </c>
      <c r="BF189" t="str">
        <f t="shared" si="78"/>
        <v>Support</v>
      </c>
      <c r="BG189">
        <f>survey_responses[[#This Row],[Sau khi xem xét các quyền lợi và nghĩa vụ, bạn có ủng hộ và tuân thủ chính sách mới hiện nay? - HUMAN-OUT1]]</f>
        <v>5</v>
      </c>
      <c r="BH189" t="str">
        <f t="shared" si="79"/>
        <v>Neutral</v>
      </c>
      <c r="BI189" s="32">
        <f t="shared" si="80"/>
        <v>4</v>
      </c>
    </row>
    <row r="190" spans="1:61" x14ac:dyDescent="0.45">
      <c r="A190" s="30">
        <f>step3_validation[[#This Row],[Persona_ID]]</f>
        <v>189</v>
      </c>
      <c r="B190" s="31">
        <f>step3_validation[[#This Row],[Used_Seed]]</f>
        <v>230</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48.639861751403579</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6</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2</v>
      </c>
      <c r="V190">
        <f>step3_validation[[#This Row],[AI_ENF2]]</f>
        <v>7</v>
      </c>
      <c r="W190" t="str">
        <f t="shared" si="57"/>
        <v>Neutral</v>
      </c>
      <c r="X190">
        <f>survey_responses[[#This Row],[Tôi tin rằng Nhà nước, cơ quan thuế có đủ khả năng và công nghệ để phát hiện, xử lý nghiêm các hành vi trốn thuế. - HUMAN-ENF2]]</f>
        <v>8</v>
      </c>
      <c r="Y190" t="str">
        <f t="shared" si="58"/>
        <v>Support</v>
      </c>
      <c r="Z190" s="32">
        <f t="shared" si="59"/>
        <v>1</v>
      </c>
      <c r="AA190">
        <f>step3_validation[[#This Row],[AI_FAC1]]</f>
        <v>8</v>
      </c>
      <c r="AB190" t="str">
        <f t="shared" si="60"/>
        <v>Support</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3</v>
      </c>
      <c r="AF190">
        <f>step3_validation[[#This Row],[AI_FAC2]]</f>
        <v>9</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2</v>
      </c>
      <c r="AK190">
        <f>step3_validation[[#This Row],[AI_TRU1]]</f>
        <v>8</v>
      </c>
      <c r="AL190" t="str">
        <f t="shared" si="66"/>
        <v>Support</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2</v>
      </c>
      <c r="AP190">
        <f>step3_validation[[#This Row],[AI_TRU2]]</f>
        <v>9</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2">
        <f t="shared" si="71"/>
        <v>1</v>
      </c>
      <c r="AU190">
        <f>step3_validation[[#This Row],[AI_TRU3]]</f>
        <v>7</v>
      </c>
      <c r="AV190" t="str">
        <f t="shared" si="72"/>
        <v>Neutral</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2</v>
      </c>
      <c r="AZ190">
        <f>step3_validation[[#This Row],[AI_TRU4]]</f>
        <v>8</v>
      </c>
      <c r="BA190" t="str">
        <f t="shared" si="75"/>
        <v>Support</v>
      </c>
      <c r="BB190">
        <f>survey_responses[[#This Row],[Tôi thấy Nhà nước đã giải thích rõ ràng, minh bạch về lý do và mục tiêu của việc sửa đổi thuế lần này. - HUMAN-TRU4]]</f>
        <v>7</v>
      </c>
      <c r="BC190" t="str">
        <f t="shared" si="76"/>
        <v>Neutral</v>
      </c>
      <c r="BD190" s="32">
        <f t="shared" si="77"/>
        <v>1</v>
      </c>
      <c r="BE190">
        <f>step3_validation[[#This Row],[AI_OUT1]]</f>
        <v>9</v>
      </c>
      <c r="BF190" t="str">
        <f t="shared" si="78"/>
        <v>Support</v>
      </c>
      <c r="BG190">
        <f>survey_responses[[#This Row],[Sau khi xem xét các quyền lợi và nghĩa vụ, bạn có ủng hộ và tuân thủ chính sách mới hiện nay? - HUMAN-OUT1]]</f>
        <v>8</v>
      </c>
      <c r="BH190" t="str">
        <f t="shared" si="79"/>
        <v>Support</v>
      </c>
      <c r="BI190" s="32">
        <f t="shared" si="80"/>
        <v>1</v>
      </c>
    </row>
    <row r="191" spans="1:61" x14ac:dyDescent="0.45">
      <c r="A191" s="30">
        <f>step3_validation[[#This Row],[Persona_ID]]</f>
        <v>190</v>
      </c>
      <c r="B191" s="31">
        <f>step3_validation[[#This Row],[Used_Seed]]</f>
        <v>231</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30.116307536128566</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7</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0</v>
      </c>
      <c r="V191">
        <f>step3_validation[[#This Row],[AI_ENF2]]</f>
        <v>6</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1</v>
      </c>
      <c r="AA191">
        <f>step3_validation[[#This Row],[AI_FAC1]]</f>
        <v>8</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1</v>
      </c>
      <c r="AF191">
        <f>step3_validation[[#This Row],[AI_FAC2]]</f>
        <v>7</v>
      </c>
      <c r="AG191" t="str">
        <f t="shared" si="63"/>
        <v>Neutral</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1</v>
      </c>
      <c r="AK191">
        <f>step3_validation[[#This Row],[AI_TRU1]]</f>
        <v>9</v>
      </c>
      <c r="AL191" t="str">
        <f t="shared" si="66"/>
        <v>Support</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6</v>
      </c>
      <c r="AP191">
        <f>step3_validation[[#This Row],[AI_TRU2]]</f>
        <v>8</v>
      </c>
      <c r="AQ191" t="str">
        <f t="shared" si="69"/>
        <v>Support</v>
      </c>
      <c r="AR191">
        <f>survey_responses[[#This Row],[Tôi thấy mức thuế tôi phải đóng theo phương án mới là công bằng (người thu nhập như tôi đóng mức này là hợp lý). - HUMAN-TRU2]]</f>
        <v>3</v>
      </c>
      <c r="AS191" t="str">
        <f t="shared" si="70"/>
        <v>Oppose</v>
      </c>
      <c r="AT191" s="32">
        <f t="shared" si="71"/>
        <v>5</v>
      </c>
      <c r="AU191">
        <f>step3_validation[[#This Row],[AI_TRU3]]</f>
        <v>9</v>
      </c>
      <c r="AV191" t="str">
        <f t="shared" si="72"/>
        <v>Support</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7</v>
      </c>
      <c r="AZ191">
        <f>step3_validation[[#This Row],[AI_TRU4]]</f>
        <v>7</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4</v>
      </c>
      <c r="BE191">
        <f>step3_validation[[#This Row],[AI_OUT1]]</f>
        <v>9</v>
      </c>
      <c r="BF191" t="str">
        <f t="shared" si="78"/>
        <v>Support</v>
      </c>
      <c r="BG191">
        <f>survey_responses[[#This Row],[Sau khi xem xét các quyền lợi và nghĩa vụ, bạn có ủng hộ và tuân thủ chính sách mới hiện nay? - HUMAN-OUT1]]</f>
        <v>8</v>
      </c>
      <c r="BH191" t="str">
        <f t="shared" si="79"/>
        <v>Support</v>
      </c>
      <c r="BI191" s="32">
        <f t="shared" si="80"/>
        <v>1</v>
      </c>
    </row>
    <row r="192" spans="1:61" x14ac:dyDescent="0.45">
      <c r="A192" s="30">
        <f>step3_validation[[#This Row],[Persona_ID]]</f>
        <v>191</v>
      </c>
      <c r="B192" s="31">
        <f>step3_validation[[#This Row],[Used_Seed]]</f>
        <v>232</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68.771751337108086</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8</v>
      </c>
      <c r="R192" t="str">
        <f t="shared" si="54"/>
        <v>Support</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1</v>
      </c>
      <c r="V192">
        <f>step3_validation[[#This Row],[AI_ENF2]]</f>
        <v>7</v>
      </c>
      <c r="W192" t="str">
        <f t="shared" si="57"/>
        <v>Neutral</v>
      </c>
      <c r="X192">
        <f>survey_responses[[#This Row],[Tôi tin rằng Nhà nước, cơ quan thuế có đủ khả năng và công nghệ để phát hiện, xử lý nghiêm các hành vi trốn thuế. - HUMAN-ENF2]]</f>
        <v>7</v>
      </c>
      <c r="Y192" t="str">
        <f t="shared" si="58"/>
        <v>Neutral</v>
      </c>
      <c r="Z192" s="32">
        <f t="shared" si="59"/>
        <v>0</v>
      </c>
      <c r="AA192">
        <f>step3_validation[[#This Row],[AI_FAC1]]</f>
        <v>9</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3</v>
      </c>
      <c r="AF192">
        <f>step3_validation[[#This Row],[AI_FAC2]]</f>
        <v>8</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0</v>
      </c>
      <c r="AK192">
        <f>step3_validation[[#This Row],[AI_TRU1]]</f>
        <v>9</v>
      </c>
      <c r="AL192" t="str">
        <f t="shared" si="66"/>
        <v>Support</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2</v>
      </c>
      <c r="AP192">
        <f>step3_validation[[#This Row],[AI_TRU2]]</f>
        <v>8</v>
      </c>
      <c r="AQ192" t="str">
        <f t="shared" si="69"/>
        <v>Support</v>
      </c>
      <c r="AR192">
        <f>survey_responses[[#This Row],[Tôi thấy mức thuế tôi phải đóng theo phương án mới là công bằng (người thu nhập như tôi đóng mức này là hợp lý). - HUMAN-TRU2]]</f>
        <v>8</v>
      </c>
      <c r="AS192" t="str">
        <f t="shared" si="70"/>
        <v>Support</v>
      </c>
      <c r="AT192" s="32">
        <f t="shared" si="71"/>
        <v>0</v>
      </c>
      <c r="AU192">
        <f>step3_validation[[#This Row],[AI_TRU3]]</f>
        <v>9</v>
      </c>
      <c r="AV192" t="str">
        <f t="shared" si="72"/>
        <v>Support</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2</v>
      </c>
      <c r="AZ192">
        <f>step3_validation[[#This Row],[AI_TRU4]]</f>
        <v>7</v>
      </c>
      <c r="BA192" t="str">
        <f t="shared" si="75"/>
        <v>Neutral</v>
      </c>
      <c r="BB192">
        <f>survey_responses[[#This Row],[Tôi thấy Nhà nước đã giải thích rõ ràng, minh bạch về lý do và mục tiêu của việc sửa đổi thuế lần này. - HUMAN-TRU4]]</f>
        <v>7</v>
      </c>
      <c r="BC192" t="str">
        <f t="shared" si="76"/>
        <v>Neutral</v>
      </c>
      <c r="BD192" s="32">
        <f t="shared" si="77"/>
        <v>0</v>
      </c>
      <c r="BE192">
        <f>step3_validation[[#This Row],[AI_OUT1]]</f>
        <v>9</v>
      </c>
      <c r="BF192" t="str">
        <f t="shared" si="78"/>
        <v>Support</v>
      </c>
      <c r="BG192">
        <f>survey_responses[[#This Row],[Sau khi xem xét các quyền lợi và nghĩa vụ, bạn có ủng hộ và tuân thủ chính sách mới hiện nay? - HUMAN-OUT1]]</f>
        <v>7</v>
      </c>
      <c r="BH192" t="str">
        <f t="shared" si="79"/>
        <v>Neutral</v>
      </c>
      <c r="BI192" s="32">
        <f t="shared" si="80"/>
        <v>2</v>
      </c>
    </row>
    <row r="193" spans="1:61" x14ac:dyDescent="0.45">
      <c r="A193" s="30">
        <f>step3_validation[[#This Row],[Persona_ID]]</f>
        <v>192</v>
      </c>
      <c r="B193" s="31">
        <f>step3_validation[[#This Row],[Used_Seed]]</f>
        <v>233</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18.636331126654493</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7</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1</v>
      </c>
      <c r="V193">
        <f>step3_validation[[#This Row],[AI_ENF2]]</f>
        <v>6</v>
      </c>
      <c r="W193" t="str">
        <f t="shared" si="57"/>
        <v>Neutral</v>
      </c>
      <c r="X193">
        <f>survey_responses[[#This Row],[Tôi tin rằng Nhà nước, cơ quan thuế có đủ khả năng và công nghệ để phát hiện, xử lý nghiêm các hành vi trốn thuế. - HUMAN-ENF2]]</f>
        <v>8</v>
      </c>
      <c r="Y193" t="str">
        <f t="shared" si="58"/>
        <v>Support</v>
      </c>
      <c r="Z193" s="32">
        <f t="shared" si="59"/>
        <v>2</v>
      </c>
      <c r="AA193">
        <f>step3_validation[[#This Row],[AI_FAC1]]</f>
        <v>9</v>
      </c>
      <c r="AB193" t="str">
        <f t="shared" si="60"/>
        <v>Support</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0</v>
      </c>
      <c r="AF193">
        <f>step3_validation[[#This Row],[AI_FAC2]]</f>
        <v>8</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1</v>
      </c>
      <c r="AK193">
        <f>step3_validation[[#This Row],[AI_TRU1]]</f>
        <v>9</v>
      </c>
      <c r="AL193" t="str">
        <f t="shared" si="66"/>
        <v>Support</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0</v>
      </c>
      <c r="AP193">
        <f>step3_validation[[#This Row],[AI_TRU2]]</f>
        <v>10</v>
      </c>
      <c r="AQ193" t="str">
        <f t="shared" si="69"/>
        <v>Support</v>
      </c>
      <c r="AR193">
        <f>survey_responses[[#This Row],[Tôi thấy mức thuế tôi phải đóng theo phương án mới là công bằng (người thu nhập như tôi đóng mức này là hợp lý). - HUMAN-TRU2]]</f>
        <v>9</v>
      </c>
      <c r="AS193" t="str">
        <f t="shared" si="70"/>
        <v>Support</v>
      </c>
      <c r="AT193" s="32">
        <f t="shared" si="71"/>
        <v>1</v>
      </c>
      <c r="AU193">
        <f>step3_validation[[#This Row],[AI_TRU3]]</f>
        <v>9</v>
      </c>
      <c r="AV193" t="str">
        <f t="shared" si="72"/>
        <v>Support</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1</v>
      </c>
      <c r="AZ193">
        <f>step3_validation[[#This Row],[AI_TRU4]]</f>
        <v>8</v>
      </c>
      <c r="BA193" t="str">
        <f t="shared" si="75"/>
        <v>Support</v>
      </c>
      <c r="BB193">
        <f>survey_responses[[#This Row],[Tôi thấy Nhà nước đã giải thích rõ ràng, minh bạch về lý do và mục tiêu của việc sửa đổi thuế lần này. - HUMAN-TRU4]]</f>
        <v>8</v>
      </c>
      <c r="BC193" t="str">
        <f t="shared" si="76"/>
        <v>Support</v>
      </c>
      <c r="BD193" s="32">
        <f t="shared" si="77"/>
        <v>0</v>
      </c>
      <c r="BE193">
        <f>step3_validation[[#This Row],[AI_OUT1]]</f>
        <v>9</v>
      </c>
      <c r="BF193" t="str">
        <f t="shared" si="78"/>
        <v>Support</v>
      </c>
      <c r="BG193">
        <f>survey_responses[[#This Row],[Sau khi xem xét các quyền lợi và nghĩa vụ, bạn có ủng hộ và tuân thủ chính sách mới hiện nay? - HUMAN-OUT1]]</f>
        <v>9</v>
      </c>
      <c r="BH193" t="str">
        <f t="shared" si="79"/>
        <v>Support</v>
      </c>
      <c r="BI193" s="32">
        <f t="shared" si="80"/>
        <v>0</v>
      </c>
    </row>
    <row r="194" spans="1:61" x14ac:dyDescent="0.45">
      <c r="A194" s="30">
        <f>step3_validation[[#This Row],[Persona_ID]]</f>
        <v>193</v>
      </c>
      <c r="B194" s="31">
        <f>step3_validation[[#This Row],[Used_Seed]]</f>
        <v>234</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27.825111441310725</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t="str">
        <f t="shared" si="54"/>
        <v>Neutral</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5</v>
      </c>
      <c r="V194">
        <f>step3_validation[[#This Row],[AI_ENF2]]</f>
        <v>7</v>
      </c>
      <c r="W194" t="str">
        <f t="shared" si="57"/>
        <v>Neutral</v>
      </c>
      <c r="X194">
        <f>survey_responses[[#This Row],[Tôi tin rằng Nhà nước, cơ quan thuế có đủ khả năng và công nghệ để phát hiện, xử lý nghiêm các hành vi trốn thuế. - HUMAN-ENF2]]</f>
        <v>1</v>
      </c>
      <c r="Y194" t="str">
        <f t="shared" si="58"/>
        <v>Oppose</v>
      </c>
      <c r="Z194" s="32">
        <f t="shared" si="59"/>
        <v>6</v>
      </c>
      <c r="AA194">
        <f>step3_validation[[#This Row],[AI_FAC1]]</f>
        <v>9</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2</v>
      </c>
      <c r="AF194">
        <f>step3_validation[[#This Row],[AI_FAC2]]</f>
        <v>8</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3</v>
      </c>
      <c r="AK194">
        <f>step3_validation[[#This Row],[AI_TRU1]]</f>
        <v>7</v>
      </c>
      <c r="AL194" t="str">
        <f t="shared" si="66"/>
        <v>Neutral</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2</v>
      </c>
      <c r="AP194">
        <f>step3_validation[[#This Row],[AI_TRU2]]</f>
        <v>9</v>
      </c>
      <c r="AQ194" t="str">
        <f t="shared" si="69"/>
        <v>Support</v>
      </c>
      <c r="AR194">
        <f>survey_responses[[#This Row],[Tôi thấy mức thuế tôi phải đóng theo phương án mới là công bằng (người thu nhập như tôi đóng mức này là hợp lý). - HUMAN-TRU2]]</f>
        <v>7</v>
      </c>
      <c r="AS194" t="str">
        <f t="shared" si="70"/>
        <v>Neutral</v>
      </c>
      <c r="AT194" s="32">
        <f t="shared" si="71"/>
        <v>2</v>
      </c>
      <c r="AU194">
        <f>step3_validation[[#This Row],[AI_TRU3]]</f>
        <v>6</v>
      </c>
      <c r="AV194" t="str">
        <f t="shared" si="72"/>
        <v>Neutral</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4</v>
      </c>
      <c r="AZ194">
        <f>step3_validation[[#This Row],[AI_TRU4]]</f>
        <v>8</v>
      </c>
      <c r="BA194" t="str">
        <f t="shared" si="75"/>
        <v>Support</v>
      </c>
      <c r="BB194">
        <f>survey_responses[[#This Row],[Tôi thấy Nhà nước đã giải thích rõ ràng, minh bạch về lý do và mục tiêu của việc sửa đổi thuế lần này. - HUMAN-TRU4]]</f>
        <v>5</v>
      </c>
      <c r="BC194" t="str">
        <f t="shared" si="76"/>
        <v>Neutral</v>
      </c>
      <c r="BD194" s="32">
        <f t="shared" si="77"/>
        <v>3</v>
      </c>
      <c r="BE194">
        <f>step3_validation[[#This Row],[AI_OUT1]]</f>
        <v>9</v>
      </c>
      <c r="BF194" t="str">
        <f t="shared" si="78"/>
        <v>Support</v>
      </c>
      <c r="BG194">
        <f>survey_responses[[#This Row],[Sau khi xem xét các quyền lợi và nghĩa vụ, bạn có ủng hộ và tuân thủ chính sách mới hiện nay? - HUMAN-OUT1]]</f>
        <v>5</v>
      </c>
      <c r="BH194" t="str">
        <f t="shared" si="79"/>
        <v>Neutral</v>
      </c>
      <c r="BI194" s="32">
        <f t="shared" si="80"/>
        <v>4</v>
      </c>
    </row>
    <row r="195" spans="1:61" x14ac:dyDescent="0.45">
      <c r="A195" s="30">
        <f>step3_validation[[#This Row],[Persona_ID]]</f>
        <v>194</v>
      </c>
      <c r="B195" s="31">
        <f>step3_validation[[#This Row],[Used_Seed]]</f>
        <v>235</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18.082461690557448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5</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5</v>
      </c>
      <c r="V195">
        <f>step3_validation[[#This Row],[AI_ENF2]]</f>
        <v>7</v>
      </c>
      <c r="W195" t="str">
        <f t="shared" ref="W195:W258" si="84">IF(AND(V195&gt;=1,V195&lt;5),"Oppose",IF(AND(V195&gt;=5,V195&lt;8),"Neutral",IF(AND(V195&gt;=8,V195&lt;=10),"Support","")))</f>
        <v>Neutral</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3</v>
      </c>
      <c r="AA195">
        <f>step3_validation[[#This Row],[AI_FAC1]]</f>
        <v>9</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3</v>
      </c>
      <c r="AF195">
        <f>step3_validation[[#This Row],[AI_FAC2]]</f>
        <v>9</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5</v>
      </c>
      <c r="AK195">
        <f>step3_validation[[#This Row],[AI_TRU1]]</f>
        <v>8</v>
      </c>
      <c r="AL195" t="str">
        <f t="shared" ref="AL195:AL258" si="93">IF(AND(AK195&gt;=1,AK195&lt;5),"Oppose",IF(AND(AK195&gt;=5,AK195&lt;8),"Neutral",IF(AND(AK195&gt;=8,AK195&lt;=10),"Support","")))</f>
        <v>Support</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0</v>
      </c>
      <c r="AP195">
        <f>step3_validation[[#This Row],[AI_TRU2]]</f>
        <v>9</v>
      </c>
      <c r="AQ195" t="str">
        <f t="shared" ref="AQ195:AQ258" si="96">IF(AND(AP195&gt;=1,AP195&lt;5),"Oppose",IF(AND(AP195&gt;=5,AP195&lt;8),"Neutral",IF(AND(AP195&gt;=8,AP195&lt;=10),"Support","")))</f>
        <v>Support</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6</v>
      </c>
      <c r="AU195">
        <f>step3_validation[[#This Row],[AI_TRU3]]</f>
        <v>8</v>
      </c>
      <c r="AV195" t="str">
        <f t="shared" ref="AV195:AV258" si="99">IF(AND(AU195&gt;=1,AU195&lt;5),"Oppose",IF(AND(AU195&gt;=5,AU195&lt;8),"Neutral",IF(AND(AU195&gt;=8,AU195&lt;=10),"Support","")))</f>
        <v>Support</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2</v>
      </c>
      <c r="AZ195">
        <f>step3_validation[[#This Row],[AI_TRU4]]</f>
        <v>9</v>
      </c>
      <c r="BA195" t="str">
        <f t="shared" ref="BA195:BA258" si="102">IF(AND(AZ195&gt;=1,AZ195&lt;5),"Oppose",IF(AND(AZ195&gt;=5,AZ195&lt;8),"Neutral",IF(AND(AZ195&gt;=8,AZ195&lt;=10),"Support","")))</f>
        <v>Support</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1</v>
      </c>
      <c r="BE195">
        <f>step3_validation[[#This Row],[AI_OUT1]]</f>
        <v>8</v>
      </c>
      <c r="BF195" t="str">
        <f t="shared" ref="BF195:BF258" si="105">IF(AND(BE195&gt;=1,BE195&lt;5),"Oppose",IF(AND(BE195&gt;=5,BE195&lt;8),"Neutral",IF(AND(BE195&gt;=8,BE195&lt;=10),"Support","")))</f>
        <v>Support</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2</v>
      </c>
    </row>
    <row r="196" spans="1:61" x14ac:dyDescent="0.45">
      <c r="A196" s="30">
        <f>step3_validation[[#This Row],[Persona_ID]]</f>
        <v>195</v>
      </c>
      <c r="B196" s="31">
        <f>step3_validation[[#This Row],[Used_Seed]]</f>
        <v>236</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14.025094621683548</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8</v>
      </c>
      <c r="R196" t="str">
        <f t="shared" si="81"/>
        <v>Support</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1</v>
      </c>
      <c r="V196">
        <f>step3_validation[[#This Row],[AI_ENF2]]</f>
        <v>9</v>
      </c>
      <c r="W196" t="str">
        <f t="shared" si="84"/>
        <v>Support</v>
      </c>
      <c r="X196">
        <f>survey_responses[[#This Row],[Tôi tin rằng Nhà nước, cơ quan thuế có đủ khả năng và công nghệ để phát hiện, xử lý nghiêm các hành vi trốn thuế. - HUMAN-ENF2]]</f>
        <v>9</v>
      </c>
      <c r="Y196" t="str">
        <f t="shared" si="85"/>
        <v>Support</v>
      </c>
      <c r="Z196" s="32">
        <f t="shared" si="86"/>
        <v>0</v>
      </c>
      <c r="AA196">
        <f>step3_validation[[#This Row],[AI_FAC1]]</f>
        <v>8</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3</v>
      </c>
      <c r="AF196">
        <f>step3_validation[[#This Row],[AI_FAC2]]</f>
        <v>9</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4</v>
      </c>
      <c r="AK196">
        <f>step3_validation[[#This Row],[AI_TRU1]]</f>
        <v>8</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1</v>
      </c>
      <c r="AP196">
        <f>step3_validation[[#This Row],[AI_TRU2]]</f>
        <v>9</v>
      </c>
      <c r="AQ196" t="str">
        <f t="shared" si="96"/>
        <v>Support</v>
      </c>
      <c r="AR196">
        <f>survey_responses[[#This Row],[Tôi thấy mức thuế tôi phải đóng theo phương án mới là công bằng (người thu nhập như tôi đóng mức này là hợp lý). - HUMAN-TRU2]]</f>
        <v>7</v>
      </c>
      <c r="AS196" t="str">
        <f t="shared" si="97"/>
        <v>Neutral</v>
      </c>
      <c r="AT196" s="32">
        <f t="shared" si="98"/>
        <v>2</v>
      </c>
      <c r="AU196">
        <f>step3_validation[[#This Row],[AI_TRU3]]</f>
        <v>8</v>
      </c>
      <c r="AV196" t="str">
        <f t="shared" si="99"/>
        <v>Support</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0</v>
      </c>
      <c r="AZ196">
        <f>step3_validation[[#This Row],[AI_TRU4]]</f>
        <v>9</v>
      </c>
      <c r="BA196" t="str">
        <f t="shared" si="102"/>
        <v>Support</v>
      </c>
      <c r="BB196">
        <f>survey_responses[[#This Row],[Tôi thấy Nhà nước đã giải thích rõ ràng, minh bạch về lý do và mục tiêu của việc sửa đổi thuế lần này. - HUMAN-TRU4]]</f>
        <v>8</v>
      </c>
      <c r="BC196" t="str">
        <f t="shared" si="103"/>
        <v>Support</v>
      </c>
      <c r="BD196" s="32">
        <f t="shared" si="104"/>
        <v>1</v>
      </c>
      <c r="BE196">
        <f>step3_validation[[#This Row],[AI_OUT1]]</f>
        <v>9</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1</v>
      </c>
    </row>
    <row r="197" spans="1:61" x14ac:dyDescent="0.45">
      <c r="A197" s="30">
        <f>step3_validation[[#This Row],[Persona_ID]]</f>
        <v>196</v>
      </c>
      <c r="B197" s="31">
        <f>step3_validation[[#This Row],[Used_Seed]]</f>
        <v>237</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16.550863679909991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6</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3</v>
      </c>
      <c r="V197">
        <f>step3_validation[[#This Row],[AI_ENF2]]</f>
        <v>8</v>
      </c>
      <c r="W197" t="str">
        <f t="shared" si="84"/>
        <v>Support</v>
      </c>
      <c r="X197">
        <f>survey_responses[[#This Row],[Tôi tin rằng Nhà nước, cơ quan thuế có đủ khả năng và công nghệ để phát hiện, xử lý nghiêm các hành vi trốn thuế. - HUMAN-ENF2]]</f>
        <v>9</v>
      </c>
      <c r="Y197" t="str">
        <f t="shared" si="85"/>
        <v>Support</v>
      </c>
      <c r="Z197" s="32">
        <f t="shared" si="86"/>
        <v>1</v>
      </c>
      <c r="AA197">
        <f>step3_validation[[#This Row],[AI_FAC1]]</f>
        <v>7</v>
      </c>
      <c r="AB197" t="str">
        <f t="shared" si="87"/>
        <v>Neutral</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2</v>
      </c>
      <c r="AF197">
        <f>step3_validation[[#This Row],[AI_FAC2]]</f>
        <v>9</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0</v>
      </c>
      <c r="AK197">
        <f>step3_validation[[#This Row],[AI_TRU1]]</f>
        <v>8</v>
      </c>
      <c r="AL197" t="str">
        <f t="shared" si="93"/>
        <v>Support</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1</v>
      </c>
      <c r="AP197">
        <f>step3_validation[[#This Row],[AI_TRU2]]</f>
        <v>9</v>
      </c>
      <c r="AQ197" t="str">
        <f t="shared" si="96"/>
        <v>Support</v>
      </c>
      <c r="AR197">
        <f>survey_responses[[#This Row],[Tôi thấy mức thuế tôi phải đóng theo phương án mới là công bằng (người thu nhập như tôi đóng mức này là hợp lý). - HUMAN-TRU2]]</f>
        <v>9</v>
      </c>
      <c r="AS197" t="str">
        <f t="shared" si="97"/>
        <v>Support</v>
      </c>
      <c r="AT197" s="32">
        <f t="shared" si="98"/>
        <v>0</v>
      </c>
      <c r="AU197">
        <f>step3_validation[[#This Row],[AI_TRU3]]</f>
        <v>8</v>
      </c>
      <c r="AV197" t="str">
        <f t="shared" si="99"/>
        <v>Support</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1</v>
      </c>
      <c r="AZ197">
        <f>step3_validation[[#This Row],[AI_TRU4]]</f>
        <v>9</v>
      </c>
      <c r="BA197" t="str">
        <f t="shared" si="102"/>
        <v>Support</v>
      </c>
      <c r="BB197">
        <f>survey_responses[[#This Row],[Tôi thấy Nhà nước đã giải thích rõ ràng, minh bạch về lý do và mục tiêu của việc sửa đổi thuế lần này. - HUMAN-TRU4]]</f>
        <v>9</v>
      </c>
      <c r="BC197" t="str">
        <f t="shared" si="103"/>
        <v>Support</v>
      </c>
      <c r="BD197" s="32">
        <f t="shared" si="104"/>
        <v>0</v>
      </c>
      <c r="BE197">
        <f>step3_validation[[#This Row],[AI_OUT1]]</f>
        <v>8</v>
      </c>
      <c r="BF197" t="str">
        <f t="shared" si="105"/>
        <v>Support</v>
      </c>
      <c r="BG197">
        <f>survey_responses[[#This Row],[Sau khi xem xét các quyền lợi và nghĩa vụ, bạn có ủng hộ và tuân thủ chính sách mới hiện nay? - HUMAN-OUT1]]</f>
        <v>9</v>
      </c>
      <c r="BH197" t="str">
        <f t="shared" si="106"/>
        <v>Support</v>
      </c>
      <c r="BI197" s="32">
        <f t="shared" si="107"/>
        <v>1</v>
      </c>
    </row>
    <row r="198" spans="1:61" x14ac:dyDescent="0.45">
      <c r="A198" s="30">
        <f>step3_validation[[#This Row],[Persona_ID]]</f>
        <v>197</v>
      </c>
      <c r="B198" s="31">
        <f>step3_validation[[#This Row],[Used_Seed]]</f>
        <v>238</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13.432072342390809</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9</v>
      </c>
      <c r="R198" t="str">
        <f t="shared" si="81"/>
        <v>Support</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0</v>
      </c>
      <c r="V198">
        <f>step3_validation[[#This Row],[AI_ENF2]]</f>
        <v>8</v>
      </c>
      <c r="W198" t="str">
        <f t="shared" si="84"/>
        <v>Support</v>
      </c>
      <c r="X198">
        <f>survey_responses[[#This Row],[Tôi tin rằng Nhà nước, cơ quan thuế có đủ khả năng và công nghệ để phát hiện, xử lý nghiêm các hành vi trốn thuế. - HUMAN-ENF2]]</f>
        <v>10</v>
      </c>
      <c r="Y198" t="str">
        <f t="shared" si="85"/>
        <v>Support</v>
      </c>
      <c r="Z198" s="32">
        <f t="shared" si="86"/>
        <v>2</v>
      </c>
      <c r="AA198">
        <f>step3_validation[[#This Row],[AI_FAC1]]</f>
        <v>9</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1</v>
      </c>
      <c r="AF198">
        <f>step3_validation[[#This Row],[AI_FAC2]]</f>
        <v>9</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0</v>
      </c>
      <c r="AK198">
        <f>step3_validation[[#This Row],[AI_TRU1]]</f>
        <v>8</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2</v>
      </c>
      <c r="AP198">
        <f>step3_validation[[#This Row],[AI_TRU2]]</f>
        <v>9</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1</v>
      </c>
      <c r="AU198">
        <f>step3_validation[[#This Row],[AI_TRU3]]</f>
        <v>8</v>
      </c>
      <c r="AV198" t="str">
        <f t="shared" si="99"/>
        <v>Support</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2</v>
      </c>
      <c r="AZ198">
        <f>step3_validation[[#This Row],[AI_TRU4]]</f>
        <v>9</v>
      </c>
      <c r="BA198" t="str">
        <f t="shared" si="102"/>
        <v>Support</v>
      </c>
      <c r="BB198">
        <f>survey_responses[[#This Row],[Tôi thấy Nhà nước đã giải thích rõ ràng, minh bạch về lý do và mục tiêu của việc sửa đổi thuế lần này. - HUMAN-TRU4]]</f>
        <v>9</v>
      </c>
      <c r="BC198" t="str">
        <f t="shared" si="103"/>
        <v>Support</v>
      </c>
      <c r="BD198" s="32">
        <f t="shared" si="104"/>
        <v>0</v>
      </c>
      <c r="BE198">
        <f>step3_validation[[#This Row],[AI_OUT1]]</f>
        <v>8</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2</v>
      </c>
    </row>
    <row r="199" spans="1:61" x14ac:dyDescent="0.45">
      <c r="A199" s="30">
        <f>step3_validation[[#This Row],[Persona_ID]]</f>
        <v>198</v>
      </c>
      <c r="B199" s="31">
        <f>step3_validation[[#This Row],[Used_Seed]]</f>
        <v>239</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15.39142868056393</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9</v>
      </c>
      <c r="R199" t="str">
        <f t="shared" si="81"/>
        <v>Support</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4</v>
      </c>
      <c r="V199">
        <f>step3_validation[[#This Row],[AI_ENF2]]</f>
        <v>8</v>
      </c>
      <c r="W199" t="str">
        <f t="shared" si="84"/>
        <v>Support</v>
      </c>
      <c r="X199">
        <f>survey_responses[[#This Row],[Tôi tin rằng Nhà nước, cơ quan thuế có đủ khả năng và công nghệ để phát hiện, xử lý nghiêm các hành vi trốn thuế. - HUMAN-ENF2]]</f>
        <v>5</v>
      </c>
      <c r="Y199" t="str">
        <f t="shared" si="85"/>
        <v>Neutral</v>
      </c>
      <c r="Z199" s="32">
        <f t="shared" si="86"/>
        <v>3</v>
      </c>
      <c r="AA199">
        <f>step3_validation[[#This Row],[AI_FAC1]]</f>
        <v>7</v>
      </c>
      <c r="AB199" t="str">
        <f t="shared" si="87"/>
        <v>Neutral</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2</v>
      </c>
      <c r="AF199">
        <f>step3_validation[[#This Row],[AI_FAC2]]</f>
        <v>8</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3</v>
      </c>
      <c r="AK199">
        <f>step3_validation[[#This Row],[AI_TRU1]]</f>
        <v>9</v>
      </c>
      <c r="AL199" t="str">
        <f t="shared" si="93"/>
        <v>Support</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4</v>
      </c>
      <c r="AP199">
        <f>step3_validation[[#This Row],[AI_TRU2]]</f>
        <v>8</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2">
        <f t="shared" si="98"/>
        <v>3</v>
      </c>
      <c r="AU199">
        <f>step3_validation[[#This Row],[AI_TRU3]]</f>
        <v>9</v>
      </c>
      <c r="AV199" t="str">
        <f t="shared" si="99"/>
        <v>Support</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4</v>
      </c>
      <c r="AZ199">
        <f>step3_validation[[#This Row],[AI_TRU4]]</f>
        <v>8</v>
      </c>
      <c r="BA199" t="str">
        <f t="shared" si="102"/>
        <v>Support</v>
      </c>
      <c r="BB199">
        <f>survey_responses[[#This Row],[Tôi thấy Nhà nước đã giải thích rõ ràng, minh bạch về lý do và mục tiêu của việc sửa đổi thuế lần này. - HUMAN-TRU4]]</f>
        <v>4</v>
      </c>
      <c r="BC199" t="str">
        <f t="shared" si="103"/>
        <v>Oppose</v>
      </c>
      <c r="BD199" s="32">
        <f t="shared" si="104"/>
        <v>4</v>
      </c>
      <c r="BE199">
        <f>step3_validation[[#This Row],[AI_OUT1]]</f>
        <v>9</v>
      </c>
      <c r="BF199" t="str">
        <f t="shared" si="105"/>
        <v>Support</v>
      </c>
      <c r="BG199">
        <f>survey_responses[[#This Row],[Sau khi xem xét các quyền lợi và nghĩa vụ, bạn có ủng hộ và tuân thủ chính sách mới hiện nay? - HUMAN-OUT1]]</f>
        <v>5</v>
      </c>
      <c r="BH199" t="str">
        <f t="shared" si="106"/>
        <v>Neutral</v>
      </c>
      <c r="BI199" s="32">
        <f t="shared" si="107"/>
        <v>4</v>
      </c>
    </row>
    <row r="200" spans="1:61" x14ac:dyDescent="0.45">
      <c r="A200" s="30">
        <f>step3_validation[[#This Row],[Persona_ID]]</f>
        <v>199</v>
      </c>
      <c r="B200" s="31">
        <f>step3_validation[[#This Row],[Used_Seed]]</f>
        <v>240</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8</v>
      </c>
      <c r="R200" t="str">
        <f t="shared" si="81"/>
        <v>Support</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1</v>
      </c>
      <c r="V200">
        <f>step3_validation[[#This Row],[AI_ENF2]]</f>
        <v>7</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1</v>
      </c>
      <c r="AA200">
        <f>step3_validation[[#This Row],[AI_FAC1]]</f>
        <v>9</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0</v>
      </c>
      <c r="AF200">
        <f>step3_validation[[#This Row],[AI_FAC2]]</f>
        <v>8</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1</v>
      </c>
      <c r="AK200">
        <f>step3_validation[[#This Row],[AI_TRU1]]</f>
        <v>9</v>
      </c>
      <c r="AL200" t="str">
        <f t="shared" si="93"/>
        <v>Support</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1</v>
      </c>
      <c r="AP200">
        <f>step3_validation[[#This Row],[AI_TRU2]]</f>
        <v>8</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2">
        <f t="shared" si="98"/>
        <v>1</v>
      </c>
      <c r="AU200">
        <f>step3_validation[[#This Row],[AI_TRU3]]</f>
        <v>7</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3</v>
      </c>
      <c r="AZ200">
        <f>step3_validation[[#This Row],[AI_TRU4]]</f>
        <v>6</v>
      </c>
      <c r="BA200" t="str">
        <f t="shared" si="102"/>
        <v>Neutral</v>
      </c>
      <c r="BB200">
        <f>survey_responses[[#This Row],[Tôi thấy Nhà nước đã giải thích rõ ràng, minh bạch về lý do và mục tiêu của việc sửa đổi thuế lần này. - HUMAN-TRU4]]</f>
        <v>9</v>
      </c>
      <c r="BC200" t="str">
        <f t="shared" si="103"/>
        <v>Support</v>
      </c>
      <c r="BD200" s="32">
        <f t="shared" si="104"/>
        <v>3</v>
      </c>
      <c r="BE200">
        <f>step3_validation[[#This Row],[AI_OUT1]]</f>
        <v>8</v>
      </c>
      <c r="BF200" t="str">
        <f t="shared" si="105"/>
        <v>Support</v>
      </c>
      <c r="BG200">
        <f>survey_responses[[#This Row],[Sau khi xem xét các quyền lợi và nghĩa vụ, bạn có ủng hộ và tuân thủ chính sách mới hiện nay? - HUMAN-OUT1]]</f>
        <v>10</v>
      </c>
      <c r="BH200" t="str">
        <f t="shared" si="106"/>
        <v>Support</v>
      </c>
      <c r="BI200" s="32">
        <f t="shared" si="107"/>
        <v>2</v>
      </c>
    </row>
    <row r="201" spans="1:61" x14ac:dyDescent="0.45">
      <c r="A201" s="30">
        <f>step3_validation[[#This Row],[Persona_ID]]</f>
        <v>200</v>
      </c>
      <c r="B201" s="31">
        <f>step3_validation[[#This Row],[Used_Seed]]</f>
        <v>241</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96.639919317847458</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9</v>
      </c>
      <c r="R201" t="str">
        <f t="shared" si="81"/>
        <v>Support</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5</v>
      </c>
      <c r="V201">
        <f>step3_validation[[#This Row],[AI_ENF2]]</f>
        <v>8</v>
      </c>
      <c r="W201" t="str">
        <f t="shared" si="84"/>
        <v>Support</v>
      </c>
      <c r="X201">
        <f>survey_responses[[#This Row],[Tôi tin rằng Nhà nước, cơ quan thuế có đủ khả năng và công nghệ để phát hiện, xử lý nghiêm các hành vi trốn thuế. - HUMAN-ENF2]]</f>
        <v>4</v>
      </c>
      <c r="Y201" t="str">
        <f t="shared" si="85"/>
        <v>Oppose</v>
      </c>
      <c r="Z201" s="32">
        <f t="shared" si="86"/>
        <v>4</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6</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3</v>
      </c>
      <c r="AK201">
        <f>step3_validation[[#This Row],[AI_TRU1]]</f>
        <v>9</v>
      </c>
      <c r="AL201" t="str">
        <f t="shared" si="93"/>
        <v>Support</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5</v>
      </c>
      <c r="AP201">
        <f>step3_validation[[#This Row],[AI_TRU2]]</f>
        <v>8</v>
      </c>
      <c r="AQ201" t="str">
        <f t="shared" si="96"/>
        <v>Support</v>
      </c>
      <c r="AR201">
        <f>survey_responses[[#This Row],[Tôi thấy mức thuế tôi phải đóng theo phương án mới là công bằng (người thu nhập như tôi đóng mức này là hợp lý). - HUMAN-TRU2]]</f>
        <v>5</v>
      </c>
      <c r="AS201" t="str">
        <f t="shared" si="97"/>
        <v>Neutral</v>
      </c>
      <c r="AT201" s="32">
        <f t="shared" si="98"/>
        <v>3</v>
      </c>
      <c r="AU201">
        <f>step3_validation[[#This Row],[AI_TRU3]]</f>
        <v>9</v>
      </c>
      <c r="AV201" t="str">
        <f t="shared" si="99"/>
        <v>Support</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8</v>
      </c>
      <c r="AZ201">
        <f>step3_validation[[#This Row],[AI_TRU4]]</f>
        <v>8</v>
      </c>
      <c r="BA201" t="str">
        <f t="shared" si="102"/>
        <v>Support</v>
      </c>
      <c r="BB201">
        <f>survey_responses[[#This Row],[Tôi thấy Nhà nước đã giải thích rõ ràng, minh bạch về lý do và mục tiêu của việc sửa đổi thuế lần này. - HUMAN-TRU4]]</f>
        <v>5</v>
      </c>
      <c r="BC201" t="str">
        <f t="shared" si="103"/>
        <v>Neutral</v>
      </c>
      <c r="BD201" s="32">
        <f t="shared" si="104"/>
        <v>3</v>
      </c>
      <c r="BE201">
        <f>step3_validation[[#This Row],[AI_OUT1]]</f>
        <v>9</v>
      </c>
      <c r="BF201" t="str">
        <f t="shared" si="105"/>
        <v>Support</v>
      </c>
      <c r="BG201">
        <f>survey_responses[[#This Row],[Sau khi xem xét các quyền lợi và nghĩa vụ, bạn có ủng hộ và tuân thủ chính sách mới hiện nay? - HUMAN-OUT1]]</f>
        <v>5</v>
      </c>
      <c r="BH201" t="str">
        <f t="shared" si="106"/>
        <v>Neutral</v>
      </c>
      <c r="BI201" s="32">
        <f t="shared" si="107"/>
        <v>4</v>
      </c>
    </row>
    <row r="202" spans="1:61" x14ac:dyDescent="0.45">
      <c r="A202" s="30">
        <f>step3_validation[[#This Row],[Persona_ID]]</f>
        <v>201</v>
      </c>
      <c r="B202" s="31">
        <f>step3_validation[[#This Row],[Used_Seed]]</f>
        <v>242</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53.180528659307889</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6</v>
      </c>
      <c r="R202" t="str">
        <f t="shared" si="81"/>
        <v>Neutral</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1</v>
      </c>
      <c r="V202">
        <f>step3_validation[[#This Row],[AI_ENF2]]</f>
        <v>5</v>
      </c>
      <c r="W202" t="str">
        <f t="shared" si="84"/>
        <v>Neutral</v>
      </c>
      <c r="X202">
        <f>survey_responses[[#This Row],[Tôi tin rằng Nhà nước, cơ quan thuế có đủ khả năng và công nghệ để phát hiện, xử lý nghiêm các hành vi trốn thuế. - HUMAN-ENF2]]</f>
        <v>5</v>
      </c>
      <c r="Y202" t="str">
        <f t="shared" si="85"/>
        <v>Neutral</v>
      </c>
      <c r="Z202" s="32">
        <f t="shared" si="86"/>
        <v>0</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9</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4</v>
      </c>
      <c r="AK202">
        <f>step3_validation[[#This Row],[AI_TRU1]]</f>
        <v>7</v>
      </c>
      <c r="AL202" t="str">
        <f t="shared" si="93"/>
        <v>Neutral</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3</v>
      </c>
      <c r="AP202">
        <f>step3_validation[[#This Row],[AI_TRU2]]</f>
        <v>8</v>
      </c>
      <c r="AQ202" t="str">
        <f t="shared" si="96"/>
        <v>Support</v>
      </c>
      <c r="AR202">
        <f>survey_responses[[#This Row],[Tôi thấy mức thuế tôi phải đóng theo phương án mới là công bằng (người thu nhập như tôi đóng mức này là hợp lý). - HUMAN-TRU2]]</f>
        <v>2</v>
      </c>
      <c r="AS202" t="str">
        <f t="shared" si="97"/>
        <v>Oppose</v>
      </c>
      <c r="AT202" s="32">
        <f t="shared" si="98"/>
        <v>6</v>
      </c>
      <c r="AU202">
        <f>step3_validation[[#This Row],[AI_TRU3]]</f>
        <v>7</v>
      </c>
      <c r="AV202" t="str">
        <f t="shared" si="99"/>
        <v>Neutral</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5</v>
      </c>
      <c r="AZ202">
        <f>step3_validation[[#This Row],[AI_TRU4]]</f>
        <v>6</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1</v>
      </c>
      <c r="BE202">
        <f>step3_validation[[#This Row],[AI_OUT1]]</f>
        <v>9</v>
      </c>
      <c r="BF202" t="str">
        <f t="shared" si="105"/>
        <v>Support</v>
      </c>
      <c r="BG202">
        <f>survey_responses[[#This Row],[Sau khi xem xét các quyền lợi và nghĩa vụ, bạn có ủng hộ và tuân thủ chính sách mới hiện nay? - HUMAN-OUT1]]</f>
        <v>4</v>
      </c>
      <c r="BH202" t="str">
        <f t="shared" si="106"/>
        <v>Oppose</v>
      </c>
      <c r="BI202" s="32">
        <f t="shared" si="107"/>
        <v>5</v>
      </c>
    </row>
    <row r="203" spans="1:61" x14ac:dyDescent="0.45">
      <c r="A203" s="30">
        <f>step3_validation[[#This Row],[Persona_ID]]</f>
        <v>202</v>
      </c>
      <c r="B203" s="31">
        <f>step3_validation[[#This Row],[Used_Seed]]</f>
        <v>243</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81.766804428251689</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8</v>
      </c>
      <c r="W203" t="str">
        <f t="shared" si="84"/>
        <v>Support</v>
      </c>
      <c r="X203">
        <f>survey_responses[[#This Row],[Tôi tin rằng Nhà nước, cơ quan thuế có đủ khả năng và công nghệ để phát hiện, xử lý nghiêm các hành vi trốn thuế. - HUMAN-ENF2]]</f>
        <v>8</v>
      </c>
      <c r="Y203" t="str">
        <f t="shared" si="85"/>
        <v>Support</v>
      </c>
      <c r="Z203" s="32">
        <f t="shared" si="86"/>
        <v>0</v>
      </c>
      <c r="AA203">
        <f>step3_validation[[#This Row],[AI_FAC1]]</f>
        <v>9</v>
      </c>
      <c r="AB203" t="str">
        <f t="shared" si="87"/>
        <v>Support</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1</v>
      </c>
      <c r="AF203">
        <f>step3_validation[[#This Row],[AI_FAC2]]</f>
        <v>10</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1</v>
      </c>
      <c r="AK203">
        <f>step3_validation[[#This Row],[AI_TRU1]]</f>
        <v>9</v>
      </c>
      <c r="AL203" t="str">
        <f t="shared" si="93"/>
        <v>Support</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2</v>
      </c>
      <c r="AP203">
        <f>step3_validation[[#This Row],[AI_TRU2]]</f>
        <v>8</v>
      </c>
      <c r="AQ203" t="str">
        <f t="shared" si="96"/>
        <v>Support</v>
      </c>
      <c r="AR203">
        <f>survey_responses[[#This Row],[Tôi thấy mức thuế tôi phải đóng theo phương án mới là công bằng (người thu nhập như tôi đóng mức này là hợp lý). - HUMAN-TRU2]]</f>
        <v>7</v>
      </c>
      <c r="AS203" t="str">
        <f t="shared" si="97"/>
        <v>Neutral</v>
      </c>
      <c r="AT203" s="32">
        <f t="shared" si="98"/>
        <v>1</v>
      </c>
      <c r="AU203">
        <f>step3_validation[[#This Row],[AI_TRU3]]</f>
        <v>9</v>
      </c>
      <c r="AV203" t="str">
        <f t="shared" si="99"/>
        <v>Support</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2</v>
      </c>
      <c r="AZ203">
        <f>step3_validation[[#This Row],[AI_TRU4]]</f>
        <v>8</v>
      </c>
      <c r="BA203" t="str">
        <f t="shared" si="102"/>
        <v>Support</v>
      </c>
      <c r="BB203">
        <f>survey_responses[[#This Row],[Tôi thấy Nhà nước đã giải thích rõ ràng, minh bạch về lý do và mục tiêu của việc sửa đổi thuế lần này. - HUMAN-TRU4]]</f>
        <v>8</v>
      </c>
      <c r="BC203" t="str">
        <f t="shared" si="103"/>
        <v>Support</v>
      </c>
      <c r="BD203" s="32">
        <f t="shared" si="104"/>
        <v>0</v>
      </c>
      <c r="BE203">
        <f>step3_validation[[#This Row],[AI_OUT1]]</f>
        <v>9</v>
      </c>
      <c r="BF203" t="str">
        <f t="shared" si="105"/>
        <v>Support</v>
      </c>
      <c r="BG203">
        <f>survey_responses[[#This Row],[Sau khi xem xét các quyền lợi và nghĩa vụ, bạn có ủng hộ và tuân thủ chính sách mới hiện nay? - HUMAN-OUT1]]</f>
        <v>8</v>
      </c>
      <c r="BH203" t="str">
        <f t="shared" si="106"/>
        <v>Support</v>
      </c>
      <c r="BI203" s="32">
        <f t="shared" si="107"/>
        <v>1</v>
      </c>
    </row>
    <row r="204" spans="1:61" x14ac:dyDescent="0.45">
      <c r="A204" s="30">
        <f>step3_validation[[#This Row],[Persona_ID]]</f>
        <v>203</v>
      </c>
      <c r="B204" s="31">
        <f>step3_validation[[#This Row],[Used_Seed]]</f>
        <v>244</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108.41927328505672</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8</v>
      </c>
      <c r="R204" t="str">
        <f t="shared" si="81"/>
        <v>Support</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3</v>
      </c>
      <c r="V204">
        <f>step3_validation[[#This Row],[AI_ENF2]]</f>
        <v>8</v>
      </c>
      <c r="W204" t="str">
        <f t="shared" si="84"/>
        <v>Support</v>
      </c>
      <c r="X204">
        <f>survey_responses[[#This Row],[Tôi tin rằng Nhà nước, cơ quan thuế có đủ khả năng và công nghệ để phát hiện, xử lý nghiêm các hành vi trốn thuế. - HUMAN-ENF2]]</f>
        <v>5</v>
      </c>
      <c r="Y204" t="str">
        <f t="shared" si="85"/>
        <v>Neutral</v>
      </c>
      <c r="Z204" s="32">
        <f t="shared" si="86"/>
        <v>3</v>
      </c>
      <c r="AA204">
        <f>step3_validation[[#This Row],[AI_FAC1]]</f>
        <v>9</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4</v>
      </c>
      <c r="AF204">
        <f>step3_validation[[#This Row],[AI_FAC2]]</f>
        <v>9</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4</v>
      </c>
      <c r="AK204">
        <f>step3_validation[[#This Row],[AI_TRU1]]</f>
        <v>8</v>
      </c>
      <c r="AL204" t="str">
        <f t="shared" si="93"/>
        <v>Support</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3</v>
      </c>
      <c r="AP204">
        <f>step3_validation[[#This Row],[AI_TRU2]]</f>
        <v>9</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4</v>
      </c>
      <c r="AU204">
        <f>step3_validation[[#This Row],[AI_TRU3]]</f>
        <v>8</v>
      </c>
      <c r="AV204" t="str">
        <f t="shared" si="99"/>
        <v>Support</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3</v>
      </c>
      <c r="AZ204">
        <f>step3_validation[[#This Row],[AI_TRU4]]</f>
        <v>7</v>
      </c>
      <c r="BA204" t="str">
        <f t="shared" si="102"/>
        <v>Neutral</v>
      </c>
      <c r="BB204">
        <f>survey_responses[[#This Row],[Tôi thấy Nhà nước đã giải thích rõ ràng, minh bạch về lý do và mục tiêu của việc sửa đổi thuế lần này. - HUMAN-TRU4]]</f>
        <v>5</v>
      </c>
      <c r="BC204" t="str">
        <f t="shared" si="103"/>
        <v>Neutral</v>
      </c>
      <c r="BD204" s="32">
        <f t="shared" si="104"/>
        <v>2</v>
      </c>
      <c r="BE204">
        <f>step3_validation[[#This Row],[AI_OUT1]]</f>
        <v>9</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4</v>
      </c>
    </row>
    <row r="205" spans="1:61" x14ac:dyDescent="0.45">
      <c r="A205" s="30">
        <f>step3_validation[[#This Row],[Persona_ID]]</f>
        <v>204</v>
      </c>
      <c r="B205" s="31">
        <f>step3_validation[[#This Row],[Used_Seed]]</f>
        <v>245</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38.764103884941036</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8</v>
      </c>
      <c r="R205" t="str">
        <f t="shared" si="81"/>
        <v>Support</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1</v>
      </c>
      <c r="V205">
        <f>step3_validation[[#This Row],[AI_ENF2]]</f>
        <v>9</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2">
        <f t="shared" si="86"/>
        <v>2</v>
      </c>
      <c r="AA205">
        <f>step3_validation[[#This Row],[AI_FAC1]]</f>
        <v>8</v>
      </c>
      <c r="AB205" t="str">
        <f t="shared" si="87"/>
        <v>Support</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1</v>
      </c>
      <c r="AF205">
        <f>step3_validation[[#This Row],[AI_FAC2]]</f>
        <v>9</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1</v>
      </c>
      <c r="AK205">
        <f>step3_validation[[#This Row],[AI_TRU1]]</f>
        <v>8</v>
      </c>
      <c r="AL205" t="str">
        <f t="shared" si="93"/>
        <v>Support</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1</v>
      </c>
      <c r="AP205">
        <f>step3_validation[[#This Row],[AI_TRU2]]</f>
        <v>9</v>
      </c>
      <c r="AQ205" t="str">
        <f t="shared" si="96"/>
        <v>Support</v>
      </c>
      <c r="AR205">
        <f>survey_responses[[#This Row],[Tôi thấy mức thuế tôi phải đóng theo phương án mới là công bằng (người thu nhập như tôi đóng mức này là hợp lý). - HUMAN-TRU2]]</f>
        <v>7</v>
      </c>
      <c r="AS205" t="str">
        <f t="shared" si="97"/>
        <v>Neutral</v>
      </c>
      <c r="AT205" s="32">
        <f t="shared" si="98"/>
        <v>2</v>
      </c>
      <c r="AU205">
        <f>step3_validation[[#This Row],[AI_TRU3]]</f>
        <v>8</v>
      </c>
      <c r="AV205" t="str">
        <f t="shared" si="99"/>
        <v>Support</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1</v>
      </c>
      <c r="AZ205">
        <f>step3_validation[[#This Row],[AI_TRU4]]</f>
        <v>9</v>
      </c>
      <c r="BA205" t="str">
        <f t="shared" si="102"/>
        <v>Support</v>
      </c>
      <c r="BB205">
        <f>survey_responses[[#This Row],[Tôi thấy Nhà nước đã giải thích rõ ràng, minh bạch về lý do và mục tiêu của việc sửa đổi thuế lần này. - HUMAN-TRU4]]</f>
        <v>7</v>
      </c>
      <c r="BC205" t="str">
        <f t="shared" si="103"/>
        <v>Neutral</v>
      </c>
      <c r="BD205" s="32">
        <f t="shared" si="104"/>
        <v>2</v>
      </c>
      <c r="BE205">
        <f>step3_validation[[#This Row],[AI_OUT1]]</f>
        <v>10</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3</v>
      </c>
    </row>
    <row r="206" spans="1:61" x14ac:dyDescent="0.45">
      <c r="A206" s="30">
        <f>step3_validation[[#This Row],[Persona_ID]]</f>
        <v>205</v>
      </c>
      <c r="B206" s="31">
        <f>step3_validation[[#This Row],[Used_Seed]]</f>
        <v>246</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25.324684121839315</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9</v>
      </c>
      <c r="R206" t="str">
        <f t="shared" si="81"/>
        <v>Support</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6</v>
      </c>
      <c r="V206">
        <f>step3_validation[[#This Row],[AI_ENF2]]</f>
        <v>8</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2">
        <f t="shared" si="86"/>
        <v>7</v>
      </c>
      <c r="AA206">
        <f>step3_validation[[#This Row],[AI_FAC1]]</f>
        <v>9</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8</v>
      </c>
      <c r="AF206">
        <f>step3_validation[[#This Row],[AI_FAC2]]</f>
        <v>8</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3</v>
      </c>
      <c r="AK206">
        <f>step3_validation[[#This Row],[AI_TRU1]]</f>
        <v>9</v>
      </c>
      <c r="AL206" t="str">
        <f t="shared" si="93"/>
        <v>Support</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8</v>
      </c>
      <c r="AP206">
        <f>step3_validation[[#This Row],[AI_TRU2]]</f>
        <v>8</v>
      </c>
      <c r="AQ206" t="str">
        <f t="shared" si="96"/>
        <v>Support</v>
      </c>
      <c r="AR206">
        <f>survey_responses[[#This Row],[Tôi thấy mức thuế tôi phải đóng theo phương án mới là công bằng (người thu nhập như tôi đóng mức này là hợp lý). - HUMAN-TRU2]]</f>
        <v>1</v>
      </c>
      <c r="AS206" t="str">
        <f t="shared" si="97"/>
        <v>Oppose</v>
      </c>
      <c r="AT206" s="32">
        <f t="shared" si="98"/>
        <v>7</v>
      </c>
      <c r="AU206">
        <f>step3_validation[[#This Row],[AI_TRU3]]</f>
        <v>9</v>
      </c>
      <c r="AV206" t="str">
        <f t="shared" si="99"/>
        <v>Support</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8</v>
      </c>
      <c r="AZ206">
        <f>step3_validation[[#This Row],[AI_TRU4]]</f>
        <v>8</v>
      </c>
      <c r="BA206" t="str">
        <f t="shared" si="102"/>
        <v>Support</v>
      </c>
      <c r="BB206">
        <f>survey_responses[[#This Row],[Tôi thấy Nhà nước đã giải thích rõ ràng, minh bạch về lý do và mục tiêu của việc sửa đổi thuế lần này. - HUMAN-TRU4]]</f>
        <v>4</v>
      </c>
      <c r="BC206" t="str">
        <f t="shared" si="103"/>
        <v>Oppose</v>
      </c>
      <c r="BD206" s="32">
        <f t="shared" si="104"/>
        <v>4</v>
      </c>
      <c r="BE206">
        <f>step3_validation[[#This Row],[AI_OUT1]]</f>
        <v>9</v>
      </c>
      <c r="BF206" t="str">
        <f t="shared" si="105"/>
        <v>Support</v>
      </c>
      <c r="BG206">
        <f>survey_responses[[#This Row],[Sau khi xem xét các quyền lợi và nghĩa vụ, bạn có ủng hộ và tuân thủ chính sách mới hiện nay? - HUMAN-OUT1]]</f>
        <v>5</v>
      </c>
      <c r="BH206" t="str">
        <f t="shared" si="106"/>
        <v>Neutral</v>
      </c>
      <c r="BI206" s="32">
        <f t="shared" si="107"/>
        <v>4</v>
      </c>
    </row>
    <row r="207" spans="1:61" x14ac:dyDescent="0.45">
      <c r="A207" s="30">
        <f>step3_validation[[#This Row],[Persona_ID]]</f>
        <v>206</v>
      </c>
      <c r="B207" s="31">
        <f>step3_validation[[#This Row],[Used_Seed]]</f>
        <v>247</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64.590091265394577</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t="str">
        <f t="shared" si="81"/>
        <v>Neutral</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1</v>
      </c>
      <c r="V207">
        <f>step3_validation[[#This Row],[AI_ENF2]]</f>
        <v>7</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1</v>
      </c>
      <c r="AA207">
        <f>step3_validation[[#This Row],[AI_FAC1]]</f>
        <v>6</v>
      </c>
      <c r="AB207" t="str">
        <f t="shared" si="87"/>
        <v>Neutral</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1</v>
      </c>
      <c r="AF207">
        <f>step3_validation[[#This Row],[AI_FAC2]]</f>
        <v>8</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1</v>
      </c>
      <c r="AK207">
        <f>step3_validation[[#This Row],[AI_TRU1]]</f>
        <v>6</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1</v>
      </c>
      <c r="AP207">
        <f>step3_validation[[#This Row],[AI_TRU2]]</f>
        <v>8</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2">
        <f t="shared" si="98"/>
        <v>2</v>
      </c>
      <c r="AU207">
        <f>step3_validation[[#This Row],[AI_TRU3]]</f>
        <v>5</v>
      </c>
      <c r="AV207" t="str">
        <f t="shared" si="99"/>
        <v>Neutral</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1</v>
      </c>
      <c r="AZ207">
        <f>step3_validation[[#This Row],[AI_TRU4]]</f>
        <v>7</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0</v>
      </c>
      <c r="BE207">
        <f>step3_validation[[#This Row],[AI_OUT1]]</f>
        <v>8</v>
      </c>
      <c r="BF207" t="str">
        <f t="shared" si="105"/>
        <v>Support</v>
      </c>
      <c r="BG207">
        <f>survey_responses[[#This Row],[Sau khi xem xét các quyền lợi và nghĩa vụ, bạn có ủng hộ và tuân thủ chính sách mới hiện nay? - HUMAN-OUT1]]</f>
        <v>7</v>
      </c>
      <c r="BH207" t="str">
        <f t="shared" si="106"/>
        <v>Neutral</v>
      </c>
      <c r="BI207" s="32">
        <f t="shared" si="107"/>
        <v>1</v>
      </c>
    </row>
    <row r="208" spans="1:61" x14ac:dyDescent="0.45">
      <c r="A208" s="30">
        <f>step3_validation[[#This Row],[Persona_ID]]</f>
        <v>207</v>
      </c>
      <c r="B208" s="31">
        <f>step3_validation[[#This Row],[Used_Seed]]</f>
        <v>248</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54.220899937770611</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6</v>
      </c>
      <c r="R208" t="str">
        <f t="shared" si="81"/>
        <v>Neutral</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2</v>
      </c>
      <c r="V208">
        <f>step3_validation[[#This Row],[AI_ENF2]]</f>
        <v>5</v>
      </c>
      <c r="W208" t="str">
        <f t="shared" si="84"/>
        <v>Neutral</v>
      </c>
      <c r="X208">
        <f>survey_responses[[#This Row],[Tôi tin rằng Nhà nước, cơ quan thuế có đủ khả năng và công nghệ để phát hiện, xử lý nghiêm các hành vi trốn thuế. - HUMAN-ENF2]]</f>
        <v>3</v>
      </c>
      <c r="Y208" t="str">
        <f t="shared" si="85"/>
        <v>Oppose</v>
      </c>
      <c r="Z208" s="32">
        <f t="shared" si="86"/>
        <v>2</v>
      </c>
      <c r="AA208">
        <f>step3_validation[[#This Row],[AI_FAC1]]</f>
        <v>9</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8</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6</v>
      </c>
      <c r="AK208">
        <f>step3_validation[[#This Row],[AI_TRU1]]</f>
        <v>7</v>
      </c>
      <c r="AL208" t="str">
        <f t="shared" si="93"/>
        <v>Neutral</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6</v>
      </c>
      <c r="AP208">
        <f>step3_validation[[#This Row],[AI_TRU2]]</f>
        <v>8</v>
      </c>
      <c r="AQ208" t="str">
        <f t="shared" si="96"/>
        <v>Support</v>
      </c>
      <c r="AR208">
        <f>survey_responses[[#This Row],[Tôi thấy mức thuế tôi phải đóng theo phương án mới là công bằng (người thu nhập như tôi đóng mức này là hợp lý). - HUMAN-TRU2]]</f>
        <v>1</v>
      </c>
      <c r="AS208" t="str">
        <f t="shared" si="97"/>
        <v>Oppose</v>
      </c>
      <c r="AT208" s="32">
        <f t="shared" si="98"/>
        <v>7</v>
      </c>
      <c r="AU208">
        <f>step3_validation[[#This Row],[AI_TRU3]]</f>
        <v>7</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6</v>
      </c>
      <c r="AZ208">
        <f>step3_validation[[#This Row],[AI_TRU4]]</f>
        <v>6</v>
      </c>
      <c r="BA208" t="str">
        <f t="shared" si="102"/>
        <v>Neutral</v>
      </c>
      <c r="BB208">
        <f>survey_responses[[#This Row],[Tôi thấy Nhà nước đã giải thích rõ ràng, minh bạch về lý do và mục tiêu của việc sửa đổi thuế lần này. - HUMAN-TRU4]]</f>
        <v>4</v>
      </c>
      <c r="BC208" t="str">
        <f t="shared" si="103"/>
        <v>Oppose</v>
      </c>
      <c r="BD208" s="32">
        <f t="shared" si="104"/>
        <v>2</v>
      </c>
      <c r="BE208">
        <f>step3_validation[[#This Row],[AI_OUT1]]</f>
        <v>8</v>
      </c>
      <c r="BF208" t="str">
        <f t="shared" si="105"/>
        <v>Support</v>
      </c>
      <c r="BG208">
        <f>survey_responses[[#This Row],[Sau khi xem xét các quyền lợi và nghĩa vụ, bạn có ủng hộ và tuân thủ chính sách mới hiện nay? - HUMAN-OUT1]]</f>
        <v>2</v>
      </c>
      <c r="BH208" t="str">
        <f t="shared" si="106"/>
        <v>Oppose</v>
      </c>
      <c r="BI208" s="32">
        <f t="shared" si="107"/>
        <v>6</v>
      </c>
    </row>
    <row r="209" spans="1:61" x14ac:dyDescent="0.45">
      <c r="A209" s="30">
        <f>step3_validation[[#This Row],[Persona_ID]]</f>
        <v>208</v>
      </c>
      <c r="B209" s="31">
        <f>step3_validation[[#This Row],[Used_Seed]]</f>
        <v>249</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46.749827958630028</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6</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1</v>
      </c>
      <c r="V209">
        <f>step3_validation[[#This Row],[AI_ENF2]]</f>
        <v>6</v>
      </c>
      <c r="W209" t="str">
        <f t="shared" si="84"/>
        <v>Neutral</v>
      </c>
      <c r="X209">
        <f>survey_responses[[#This Row],[Tôi tin rằng Nhà nước, cơ quan thuế có đủ khả năng và công nghệ để phát hiện, xử lý nghiêm các hành vi trốn thuế. - HUMAN-ENF2]]</f>
        <v>8</v>
      </c>
      <c r="Y209" t="str">
        <f t="shared" si="85"/>
        <v>Support</v>
      </c>
      <c r="Z209" s="32">
        <f t="shared" si="86"/>
        <v>2</v>
      </c>
      <c r="AA209">
        <f>step3_validation[[#This Row],[AI_FAC1]]</f>
        <v>8</v>
      </c>
      <c r="AB209" t="str">
        <f t="shared" si="87"/>
        <v>Support</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2</v>
      </c>
      <c r="AF209">
        <f>step3_validation[[#This Row],[AI_FAC2]]</f>
        <v>9</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2</v>
      </c>
      <c r="AK209">
        <f>step3_validation[[#This Row],[AI_TRU1]]</f>
        <v>7</v>
      </c>
      <c r="AL209" t="str">
        <f t="shared" si="93"/>
        <v>Neutral</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1</v>
      </c>
      <c r="AP209">
        <f>step3_validation[[#This Row],[AI_TRU2]]</f>
        <v>8</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2">
        <f t="shared" si="98"/>
        <v>1</v>
      </c>
      <c r="AU209">
        <f>step3_validation[[#This Row],[AI_TRU3]]</f>
        <v>7</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1</v>
      </c>
      <c r="AZ209">
        <f>step3_validation[[#This Row],[AI_TRU4]]</f>
        <v>8</v>
      </c>
      <c r="BA209" t="str">
        <f t="shared" si="102"/>
        <v>Support</v>
      </c>
      <c r="BB209">
        <f>survey_responses[[#This Row],[Tôi thấy Nhà nước đã giải thích rõ ràng, minh bạch về lý do và mục tiêu của việc sửa đổi thuế lần này. - HUMAN-TRU4]]</f>
        <v>6</v>
      </c>
      <c r="BC209" t="str">
        <f t="shared" si="103"/>
        <v>Neutral</v>
      </c>
      <c r="BD209" s="32">
        <f t="shared" si="104"/>
        <v>2</v>
      </c>
      <c r="BE209">
        <f>step3_validation[[#This Row],[AI_OUT1]]</f>
        <v>7</v>
      </c>
      <c r="BF209" t="str">
        <f t="shared" si="105"/>
        <v>Neutral</v>
      </c>
      <c r="BG209">
        <f>survey_responses[[#This Row],[Sau khi xem xét các quyền lợi và nghĩa vụ, bạn có ủng hộ và tuân thủ chính sách mới hiện nay? - HUMAN-OUT1]]</f>
        <v>6</v>
      </c>
      <c r="BH209" t="str">
        <f t="shared" si="106"/>
        <v>Neutral</v>
      </c>
      <c r="BI209" s="32">
        <f t="shared" si="107"/>
        <v>1</v>
      </c>
    </row>
    <row r="210" spans="1:61" x14ac:dyDescent="0.45">
      <c r="A210" s="30">
        <f>step3_validation[[#This Row],[Persona_ID]]</f>
        <v>209</v>
      </c>
      <c r="B210" s="31">
        <f>step3_validation[[#This Row],[Used_Seed]]</f>
        <v>250</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36.637211591419891</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6</v>
      </c>
      <c r="W210" t="str">
        <f t="shared" si="84"/>
        <v>Neutral</v>
      </c>
      <c r="X210">
        <f>survey_responses[[#This Row],[Tôi tin rằng Nhà nước, cơ quan thuế có đủ khả năng và công nghệ để phát hiện, xử lý nghiêm các hành vi trốn thuế. - HUMAN-ENF2]]</f>
        <v>6</v>
      </c>
      <c r="Y210" t="str">
        <f t="shared" si="85"/>
        <v>Neutral</v>
      </c>
      <c r="Z210" s="32">
        <f t="shared" si="86"/>
        <v>0</v>
      </c>
      <c r="AA210">
        <f>step3_validation[[#This Row],[AI_FAC1]]</f>
        <v>9</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3</v>
      </c>
      <c r="AF210">
        <f>step3_validation[[#This Row],[AI_FAC2]]</f>
        <v>8</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2</v>
      </c>
      <c r="AK210">
        <f>step3_validation[[#This Row],[AI_TRU1]]</f>
        <v>9</v>
      </c>
      <c r="AL210" t="str">
        <f t="shared" si="93"/>
        <v>Support</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3</v>
      </c>
      <c r="AP210">
        <f>step3_validation[[#This Row],[AI_TRU2]]</f>
        <v>8</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2">
        <f t="shared" si="98"/>
        <v>3</v>
      </c>
      <c r="AU210">
        <f>step3_validation[[#This Row],[AI_TRU3]]</f>
        <v>7</v>
      </c>
      <c r="AV210" t="str">
        <f t="shared" si="99"/>
        <v>Neutral</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1</v>
      </c>
      <c r="AZ210">
        <f>step3_validation[[#This Row],[AI_TRU4]]</f>
        <v>8</v>
      </c>
      <c r="BA210" t="str">
        <f t="shared" si="102"/>
        <v>Support</v>
      </c>
      <c r="BB210">
        <f>survey_responses[[#This Row],[Tôi thấy Nhà nước đã giải thích rõ ràng, minh bạch về lý do và mục tiêu của việc sửa đổi thuế lần này. - HUMAN-TRU4]]</f>
        <v>6</v>
      </c>
      <c r="BC210" t="str">
        <f t="shared" si="103"/>
        <v>Neutral</v>
      </c>
      <c r="BD210" s="32">
        <f t="shared" si="104"/>
        <v>2</v>
      </c>
      <c r="BE210">
        <f>step3_validation[[#This Row],[AI_OUT1]]</f>
        <v>9</v>
      </c>
      <c r="BF210" t="str">
        <f t="shared" si="105"/>
        <v>Support</v>
      </c>
      <c r="BG210">
        <f>survey_responses[[#This Row],[Sau khi xem xét các quyền lợi và nghĩa vụ, bạn có ủng hộ và tuân thủ chính sách mới hiện nay? - HUMAN-OUT1]]</f>
        <v>6</v>
      </c>
      <c r="BH210" t="str">
        <f t="shared" si="106"/>
        <v>Neutral</v>
      </c>
      <c r="BI210" s="32">
        <f t="shared" si="107"/>
        <v>3</v>
      </c>
    </row>
    <row r="211" spans="1:61" x14ac:dyDescent="0.45">
      <c r="A211" s="30">
        <f>step3_validation[[#This Row],[Persona_ID]]</f>
        <v>210</v>
      </c>
      <c r="B211" s="31">
        <f>step3_validation[[#This Row],[Used_Seed]]</f>
        <v>251</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30.077696527376691</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t="str">
        <f t="shared" si="81"/>
        <v>Neutral</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0</v>
      </c>
      <c r="V211">
        <f>step3_validation[[#This Row],[AI_ENF2]]</f>
        <v>7</v>
      </c>
      <c r="W211" t="str">
        <f t="shared" si="84"/>
        <v>Neutral</v>
      </c>
      <c r="X211">
        <f>survey_responses[[#This Row],[Tôi tin rằng Nhà nước, cơ quan thuế có đủ khả năng và công nghệ để phát hiện, xử lý nghiêm các hành vi trốn thuế. - HUMAN-ENF2]]</f>
        <v>7</v>
      </c>
      <c r="Y211" t="str">
        <f t="shared" si="85"/>
        <v>Neutral</v>
      </c>
      <c r="Z211" s="32">
        <f t="shared" si="86"/>
        <v>0</v>
      </c>
      <c r="AA211">
        <f>step3_validation[[#This Row],[AI_FAC1]]</f>
        <v>9</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1</v>
      </c>
      <c r="AF211">
        <f>step3_validation[[#This Row],[AI_FAC2]]</f>
        <v>8</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0</v>
      </c>
      <c r="AK211">
        <f>step3_validation[[#This Row],[AI_TRU1]]</f>
        <v>9</v>
      </c>
      <c r="AL211" t="str">
        <f t="shared" si="93"/>
        <v>Support</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1</v>
      </c>
      <c r="AP211">
        <f>step3_validation[[#This Row],[AI_TRU2]]</f>
        <v>8</v>
      </c>
      <c r="AQ211" t="str">
        <f t="shared" si="96"/>
        <v>Support</v>
      </c>
      <c r="AR211">
        <f>survey_responses[[#This Row],[Tôi thấy mức thuế tôi phải đóng theo phương án mới là công bằng (người thu nhập như tôi đóng mức này là hợp lý). - HUMAN-TRU2]]</f>
        <v>9</v>
      </c>
      <c r="AS211" t="str">
        <f t="shared" si="97"/>
        <v>Support</v>
      </c>
      <c r="AT211" s="32">
        <f t="shared" si="98"/>
        <v>1</v>
      </c>
      <c r="AU211">
        <f>step3_validation[[#This Row],[AI_TRU3]]</f>
        <v>9</v>
      </c>
      <c r="AV211" t="str">
        <f t="shared" si="99"/>
        <v>Support</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1</v>
      </c>
      <c r="AZ211">
        <f>step3_validation[[#This Row],[AI_TRU4]]</f>
        <v>7</v>
      </c>
      <c r="BA211" t="str">
        <f t="shared" si="102"/>
        <v>Neutral</v>
      </c>
      <c r="BB211">
        <f>survey_responses[[#This Row],[Tôi thấy Nhà nước đã giải thích rõ ràng, minh bạch về lý do và mục tiêu của việc sửa đổi thuế lần này. - HUMAN-TRU4]]</f>
        <v>8</v>
      </c>
      <c r="BC211" t="str">
        <f t="shared" si="103"/>
        <v>Support</v>
      </c>
      <c r="BD211" s="32">
        <f t="shared" si="104"/>
        <v>1</v>
      </c>
      <c r="BE211">
        <f>step3_validation[[#This Row],[AI_OUT1]]</f>
        <v>8</v>
      </c>
      <c r="BF211" t="str">
        <f t="shared" si="105"/>
        <v>Support</v>
      </c>
      <c r="BG211">
        <f>survey_responses[[#This Row],[Sau khi xem xét các quyền lợi và nghĩa vụ, bạn có ủng hộ và tuân thủ chính sách mới hiện nay? - HUMAN-OUT1]]</f>
        <v>8</v>
      </c>
      <c r="BH211" t="str">
        <f t="shared" si="106"/>
        <v>Support</v>
      </c>
      <c r="BI211" s="32">
        <f t="shared" si="107"/>
        <v>0</v>
      </c>
    </row>
    <row r="212" spans="1:61" x14ac:dyDescent="0.45">
      <c r="A212" s="30">
        <f>step3_validation[[#This Row],[Persona_ID]]</f>
        <v>211</v>
      </c>
      <c r="B212" s="31">
        <f>step3_validation[[#This Row],[Used_Seed]]</f>
        <v>252</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56.552895816583046</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8</v>
      </c>
      <c r="R212" t="str">
        <f t="shared" si="81"/>
        <v>Support</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1</v>
      </c>
      <c r="V212">
        <f>step3_validation[[#This Row],[AI_ENF2]]</f>
        <v>9</v>
      </c>
      <c r="W212" t="str">
        <f t="shared" si="84"/>
        <v>Support</v>
      </c>
      <c r="X212">
        <f>survey_responses[[#This Row],[Tôi tin rằng Nhà nước, cơ quan thuế có đủ khả năng và công nghệ để phát hiện, xử lý nghiêm các hành vi trốn thuế. - HUMAN-ENF2]]</f>
        <v>7</v>
      </c>
      <c r="Y212" t="str">
        <f t="shared" si="85"/>
        <v>Neutral</v>
      </c>
      <c r="Z212" s="32">
        <f t="shared" si="86"/>
        <v>2</v>
      </c>
      <c r="AA212">
        <f>step3_validation[[#This Row],[AI_FAC1]]</f>
        <v>8</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1</v>
      </c>
      <c r="AF212">
        <f>step3_validation[[#This Row],[AI_FAC2]]</f>
        <v>9</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2</v>
      </c>
      <c r="AK212">
        <f>step3_validation[[#This Row],[AI_TRU1]]</f>
        <v>8</v>
      </c>
      <c r="AL212" t="str">
        <f t="shared" si="93"/>
        <v>Support</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1</v>
      </c>
      <c r="AP212">
        <f>step3_validation[[#This Row],[AI_TRU2]]</f>
        <v>9</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2</v>
      </c>
      <c r="AU212">
        <f>step3_validation[[#This Row],[AI_TRU3]]</f>
        <v>8</v>
      </c>
      <c r="AV212" t="str">
        <f t="shared" si="99"/>
        <v>Support</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1</v>
      </c>
      <c r="AZ212">
        <f>step3_validation[[#This Row],[AI_TRU4]]</f>
        <v>9</v>
      </c>
      <c r="BA212" t="str">
        <f t="shared" si="102"/>
        <v>Support</v>
      </c>
      <c r="BB212">
        <f>survey_responses[[#This Row],[Tôi thấy Nhà nước đã giải thích rõ ràng, minh bạch về lý do và mục tiêu của việc sửa đổi thuế lần này. - HUMAN-TRU4]]</f>
        <v>7</v>
      </c>
      <c r="BC212" t="str">
        <f t="shared" si="103"/>
        <v>Neutral</v>
      </c>
      <c r="BD212" s="32">
        <f t="shared" si="104"/>
        <v>2</v>
      </c>
      <c r="BE212">
        <f>step3_validation[[#This Row],[AI_OUT1]]</f>
        <v>8</v>
      </c>
      <c r="BF212" t="str">
        <f t="shared" si="105"/>
        <v>Support</v>
      </c>
      <c r="BG212">
        <f>survey_responses[[#This Row],[Sau khi xem xét các quyền lợi và nghĩa vụ, bạn có ủng hộ và tuân thủ chính sách mới hiện nay? - HUMAN-OUT1]]</f>
        <v>7</v>
      </c>
      <c r="BH212" t="str">
        <f t="shared" si="106"/>
        <v>Neutral</v>
      </c>
      <c r="BI212" s="32">
        <f t="shared" si="107"/>
        <v>1</v>
      </c>
    </row>
    <row r="213" spans="1:61" x14ac:dyDescent="0.45">
      <c r="A213" s="30">
        <f>step3_validation[[#This Row],[Persona_ID]]</f>
        <v>212</v>
      </c>
      <c r="B213" s="31">
        <f>step3_validation[[#This Row],[Used_Seed]]</f>
        <v>253</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48.306115542435258</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2</v>
      </c>
      <c r="V213">
        <f>step3_validation[[#This Row],[AI_ENF2]]</f>
        <v>8</v>
      </c>
      <c r="W213" t="str">
        <f t="shared" si="84"/>
        <v>Support</v>
      </c>
      <c r="X213">
        <f>survey_responses[[#This Row],[Tôi tin rằng Nhà nước, cơ quan thuế có đủ khả năng và công nghệ để phát hiện, xử lý nghiêm các hành vi trốn thuế. - HUMAN-ENF2]]</f>
        <v>5</v>
      </c>
      <c r="Y213" t="str">
        <f t="shared" si="85"/>
        <v>Neutral</v>
      </c>
      <c r="Z213" s="32">
        <f t="shared" si="86"/>
        <v>3</v>
      </c>
      <c r="AA213">
        <f>step3_validation[[#This Row],[AI_FAC1]]</f>
        <v>6</v>
      </c>
      <c r="AB213" t="str">
        <f t="shared" si="87"/>
        <v>Neutral</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5</v>
      </c>
      <c r="AF213">
        <f>step3_validation[[#This Row],[AI_FAC2]]</f>
        <v>9</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4</v>
      </c>
      <c r="AK213">
        <f>step3_validation[[#This Row],[AI_TRU1]]</f>
        <v>7</v>
      </c>
      <c r="AL213" t="str">
        <f t="shared" si="93"/>
        <v>Neutral</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2</v>
      </c>
      <c r="AP213">
        <f>step3_validation[[#This Row],[AI_TRU2]]</f>
        <v>9</v>
      </c>
      <c r="AQ213" t="str">
        <f t="shared" si="96"/>
        <v>Support</v>
      </c>
      <c r="AR213">
        <f>survey_responses[[#This Row],[Tôi thấy mức thuế tôi phải đóng theo phương án mới là công bằng (người thu nhập như tôi đóng mức này là hợp lý). - HUMAN-TRU2]]</f>
        <v>5</v>
      </c>
      <c r="AS213" t="str">
        <f t="shared" si="97"/>
        <v>Neutral</v>
      </c>
      <c r="AT213" s="32">
        <f t="shared" si="98"/>
        <v>4</v>
      </c>
      <c r="AU213">
        <f>step3_validation[[#This Row],[AI_TRU3]]</f>
        <v>8</v>
      </c>
      <c r="AV213" t="str">
        <f t="shared" si="99"/>
        <v>Support</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4</v>
      </c>
      <c r="AZ213">
        <f>step3_validation[[#This Row],[AI_TRU4]]</f>
        <v>7</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2</v>
      </c>
      <c r="BE213">
        <f>step3_validation[[#This Row],[AI_OUT1]]</f>
        <v>6</v>
      </c>
      <c r="BF213" t="str">
        <f t="shared" si="105"/>
        <v>Neutral</v>
      </c>
      <c r="BG213">
        <f>survey_responses[[#This Row],[Sau khi xem xét các quyền lợi và nghĩa vụ, bạn có ủng hộ và tuân thủ chính sách mới hiện nay? - HUMAN-OUT1]]</f>
        <v>5</v>
      </c>
      <c r="BH213" t="str">
        <f t="shared" si="106"/>
        <v>Neutral</v>
      </c>
      <c r="BI213" s="32">
        <f t="shared" si="107"/>
        <v>1</v>
      </c>
    </row>
    <row r="214" spans="1:61" x14ac:dyDescent="0.45">
      <c r="A214" s="30">
        <f>step3_validation[[#This Row],[Persona_ID]]</f>
        <v>213</v>
      </c>
      <c r="B214" s="31">
        <f>step3_validation[[#This Row],[Used_Seed]]</f>
        <v>254</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54.024649723285115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6</v>
      </c>
      <c r="R214" t="str">
        <f t="shared" si="81"/>
        <v>Neutral</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1</v>
      </c>
      <c r="V214">
        <f>step3_validation[[#This Row],[AI_ENF2]]</f>
        <v>7</v>
      </c>
      <c r="W214" t="str">
        <f t="shared" si="84"/>
        <v>Neutral</v>
      </c>
      <c r="X214">
        <f>survey_responses[[#This Row],[Tôi tin rằng Nhà nước, cơ quan thuế có đủ khả năng và công nghệ để phát hiện, xử lý nghiêm các hành vi trốn thuế. - HUMAN-ENF2]]</f>
        <v>8</v>
      </c>
      <c r="Y214" t="str">
        <f t="shared" si="85"/>
        <v>Support</v>
      </c>
      <c r="Z214" s="32">
        <f t="shared" si="86"/>
        <v>1</v>
      </c>
      <c r="AA214">
        <f>step3_validation[[#This Row],[AI_FAC1]]</f>
        <v>9</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1</v>
      </c>
      <c r="AF214">
        <f>step3_validation[[#This Row],[AI_FAC2]]</f>
        <v>8</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0</v>
      </c>
      <c r="AK214">
        <f>step3_validation[[#This Row],[AI_TRU1]]</f>
        <v>7</v>
      </c>
      <c r="AL214" t="str">
        <f t="shared" si="93"/>
        <v>Neutral</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1</v>
      </c>
      <c r="AP214">
        <f>step3_validation[[#This Row],[AI_TRU2]]</f>
        <v>9</v>
      </c>
      <c r="AQ214" t="str">
        <f t="shared" si="96"/>
        <v>Support</v>
      </c>
      <c r="AR214">
        <f>survey_responses[[#This Row],[Tôi thấy mức thuế tôi phải đóng theo phương án mới là công bằng (người thu nhập như tôi đóng mức này là hợp lý). - HUMAN-TRU2]]</f>
        <v>8</v>
      </c>
      <c r="AS214" t="str">
        <f t="shared" si="97"/>
        <v>Support</v>
      </c>
      <c r="AT214" s="32">
        <f t="shared" si="98"/>
        <v>1</v>
      </c>
      <c r="AU214">
        <f>step3_validation[[#This Row],[AI_TRU3]]</f>
        <v>7</v>
      </c>
      <c r="AV214" t="str">
        <f t="shared" si="99"/>
        <v>Neutral</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1</v>
      </c>
      <c r="AZ214">
        <f>step3_validation[[#This Row],[AI_TRU4]]</f>
        <v>8</v>
      </c>
      <c r="BA214" t="str">
        <f t="shared" si="102"/>
        <v>Support</v>
      </c>
      <c r="BB214">
        <f>survey_responses[[#This Row],[Tôi thấy Nhà nước đã giải thích rõ ràng, minh bạch về lý do và mục tiêu của việc sửa đổi thuế lần này. - HUMAN-TRU4]]</f>
        <v>8</v>
      </c>
      <c r="BC214" t="str">
        <f t="shared" si="103"/>
        <v>Support</v>
      </c>
      <c r="BD214" s="32">
        <f t="shared" si="104"/>
        <v>0</v>
      </c>
      <c r="BE214">
        <f>step3_validation[[#This Row],[AI_OUT1]]</f>
        <v>9</v>
      </c>
      <c r="BF214" t="str">
        <f t="shared" si="105"/>
        <v>Support</v>
      </c>
      <c r="BG214">
        <f>survey_responses[[#This Row],[Sau khi xem xét các quyền lợi và nghĩa vụ, bạn có ủng hộ và tuân thủ chính sách mới hiện nay? - HUMAN-OUT1]]</f>
        <v>8</v>
      </c>
      <c r="BH214" t="str">
        <f t="shared" si="106"/>
        <v>Support</v>
      </c>
      <c r="BI214" s="32">
        <f t="shared" si="107"/>
        <v>1</v>
      </c>
    </row>
    <row r="215" spans="1:61" x14ac:dyDescent="0.45">
      <c r="A215" s="30">
        <f>step3_validation[[#This Row],[Persona_ID]]</f>
        <v>214</v>
      </c>
      <c r="B215" s="31">
        <f>step3_validation[[#This Row],[Used_Seed]]</f>
        <v>255</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53.821389581260028</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6</v>
      </c>
      <c r="W215" t="str">
        <f t="shared" si="84"/>
        <v>Neutral</v>
      </c>
      <c r="X215">
        <f>survey_responses[[#This Row],[Tôi tin rằng Nhà nước, cơ quan thuế có đủ khả năng và công nghệ để phát hiện, xử lý nghiêm các hành vi trốn thuế. - HUMAN-ENF2]]</f>
        <v>9</v>
      </c>
      <c r="Y215" t="str">
        <f t="shared" si="85"/>
        <v>Support</v>
      </c>
      <c r="Z215" s="32">
        <f t="shared" si="86"/>
        <v>3</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0</v>
      </c>
      <c r="AF215">
        <f>step3_validation[[#This Row],[AI_FAC2]]</f>
        <v>8</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1</v>
      </c>
      <c r="AK215">
        <f>step3_validation[[#This Row],[AI_TRU1]]</f>
        <v>7</v>
      </c>
      <c r="AL215" t="str">
        <f t="shared" si="93"/>
        <v>Neutral</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2</v>
      </c>
      <c r="AP215">
        <f>step3_validation[[#This Row],[AI_TRU2]]</f>
        <v>8</v>
      </c>
      <c r="AQ215" t="str">
        <f t="shared" si="96"/>
        <v>Support</v>
      </c>
      <c r="AR215">
        <f>survey_responses[[#This Row],[Tôi thấy mức thuế tôi phải đóng theo phương án mới là công bằng (người thu nhập như tôi đóng mức này là hợp lý). - HUMAN-TRU2]]</f>
        <v>9</v>
      </c>
      <c r="AS215" t="str">
        <f t="shared" si="97"/>
        <v>Support</v>
      </c>
      <c r="AT215" s="32">
        <f t="shared" si="98"/>
        <v>1</v>
      </c>
      <c r="AU215">
        <f>step3_validation[[#This Row],[AI_TRU3]]</f>
        <v>6</v>
      </c>
      <c r="AV215" t="str">
        <f t="shared" si="99"/>
        <v>Neutral</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3</v>
      </c>
      <c r="AZ215">
        <f>step3_validation[[#This Row],[AI_TRU4]]</f>
        <v>8</v>
      </c>
      <c r="BA215" t="str">
        <f t="shared" si="102"/>
        <v>Support</v>
      </c>
      <c r="BB215">
        <f>survey_responses[[#This Row],[Tôi thấy Nhà nước đã giải thích rõ ràng, minh bạch về lý do và mục tiêu của việc sửa đổi thuế lần này. - HUMAN-TRU4]]</f>
        <v>9</v>
      </c>
      <c r="BC215" t="str">
        <f t="shared" si="103"/>
        <v>Support</v>
      </c>
      <c r="BD215" s="32">
        <f t="shared" si="104"/>
        <v>1</v>
      </c>
      <c r="BE215">
        <f>step3_validation[[#This Row],[AI_OUT1]]</f>
        <v>9</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0</v>
      </c>
    </row>
    <row r="216" spans="1:61" x14ac:dyDescent="0.45">
      <c r="A216" s="30">
        <f>step3_validation[[#This Row],[Persona_ID]]</f>
        <v>215</v>
      </c>
      <c r="B216" s="31">
        <f>step3_validation[[#This Row],[Used_Seed]]</f>
        <v>256</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18.719199146531313</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7</v>
      </c>
      <c r="R216" t="str">
        <f t="shared" si="81"/>
        <v>Neutral</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2</v>
      </c>
      <c r="V216">
        <f>step3_validation[[#This Row],[AI_ENF2]]</f>
        <v>8</v>
      </c>
      <c r="W216" t="str">
        <f t="shared" si="84"/>
        <v>Support</v>
      </c>
      <c r="X216">
        <f>survey_responses[[#This Row],[Tôi tin rằng Nhà nước, cơ quan thuế có đủ khả năng và công nghệ để phát hiện, xử lý nghiêm các hành vi trốn thuế. - HUMAN-ENF2]]</f>
        <v>5</v>
      </c>
      <c r="Y216" t="str">
        <f t="shared" si="85"/>
        <v>Neutral</v>
      </c>
      <c r="Z216" s="32">
        <f t="shared" si="86"/>
        <v>3</v>
      </c>
      <c r="AA216">
        <f>step3_validation[[#This Row],[AI_FAC1]]</f>
        <v>9</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4</v>
      </c>
      <c r="AF216">
        <f>step3_validation[[#This Row],[AI_FAC2]]</f>
        <v>10</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5</v>
      </c>
      <c r="AK216">
        <f>step3_validation[[#This Row],[AI_TRU1]]</f>
        <v>9</v>
      </c>
      <c r="AL216" t="str">
        <f t="shared" si="93"/>
        <v>Support</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4</v>
      </c>
      <c r="AP216">
        <f>step3_validation[[#This Row],[AI_TRU2]]</f>
        <v>9</v>
      </c>
      <c r="AQ216" t="str">
        <f t="shared" si="96"/>
        <v>Support</v>
      </c>
      <c r="AR216">
        <f>survey_responses[[#This Row],[Tôi thấy mức thuế tôi phải đóng theo phương án mới là công bằng (người thu nhập như tôi đóng mức này là hợp lý). - HUMAN-TRU2]]</f>
        <v>5</v>
      </c>
      <c r="AS216" t="str">
        <f t="shared" si="97"/>
        <v>Neutral</v>
      </c>
      <c r="AT216" s="32">
        <f t="shared" si="98"/>
        <v>4</v>
      </c>
      <c r="AU216">
        <f>step3_validation[[#This Row],[AI_TRU3]]</f>
        <v>8</v>
      </c>
      <c r="AV216" t="str">
        <f t="shared" si="99"/>
        <v>Support</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3</v>
      </c>
      <c r="AZ216">
        <f>step3_validation[[#This Row],[AI_TRU4]]</f>
        <v>7</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2</v>
      </c>
      <c r="BE216">
        <f>step3_validation[[#This Row],[AI_OUT1]]</f>
        <v>9</v>
      </c>
      <c r="BF216" t="str">
        <f t="shared" si="105"/>
        <v>Support</v>
      </c>
      <c r="BG216">
        <f>survey_responses[[#This Row],[Sau khi xem xét các quyền lợi và nghĩa vụ, bạn có ủng hộ và tuân thủ chính sách mới hiện nay? - HUMAN-OUT1]]</f>
        <v>5</v>
      </c>
      <c r="BH216" t="str">
        <f t="shared" si="106"/>
        <v>Neutral</v>
      </c>
      <c r="BI216" s="32">
        <f t="shared" si="107"/>
        <v>4</v>
      </c>
    </row>
    <row r="217" spans="1:61" x14ac:dyDescent="0.45">
      <c r="A217" s="30">
        <f>step3_validation[[#This Row],[Persona_ID]]</f>
        <v>216</v>
      </c>
      <c r="B217" s="31">
        <f>step3_validation[[#This Row],[Used_Seed]]</f>
        <v>257</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42.400212876494244</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6</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0</v>
      </c>
      <c r="V217">
        <f>step3_validation[[#This Row],[AI_ENF2]]</f>
        <v>7</v>
      </c>
      <c r="W217" t="str">
        <f t="shared" si="84"/>
        <v>Neutral</v>
      </c>
      <c r="X217">
        <f>survey_responses[[#This Row],[Tôi tin rằng Nhà nước, cơ quan thuế có đủ khả năng và công nghệ để phát hiện, xử lý nghiêm các hành vi trốn thuế. - HUMAN-ENF2]]</f>
        <v>7</v>
      </c>
      <c r="Y217" t="str">
        <f t="shared" si="85"/>
        <v>Neutral</v>
      </c>
      <c r="Z217" s="32">
        <f t="shared" si="86"/>
        <v>0</v>
      </c>
      <c r="AA217">
        <f>step3_validation[[#This Row],[AI_FAC1]]</f>
        <v>9</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2</v>
      </c>
      <c r="AF217">
        <f>step3_validation[[#This Row],[AI_FAC2]]</f>
        <v>8</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1</v>
      </c>
      <c r="AK217">
        <f>step3_validation[[#This Row],[AI_TRU1]]</f>
        <v>7</v>
      </c>
      <c r="AL217" t="str">
        <f t="shared" si="93"/>
        <v>Neutral</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1</v>
      </c>
      <c r="AP217">
        <f>step3_validation[[#This Row],[AI_TRU2]]</f>
        <v>9</v>
      </c>
      <c r="AQ217" t="str">
        <f t="shared" si="96"/>
        <v>Support</v>
      </c>
      <c r="AR217">
        <f>survey_responses[[#This Row],[Tôi thấy mức thuế tôi phải đóng theo phương án mới là công bằng (người thu nhập như tôi đóng mức này là hợp lý). - HUMAN-TRU2]]</f>
        <v>7</v>
      </c>
      <c r="AS217" t="str">
        <f t="shared" si="97"/>
        <v>Neutral</v>
      </c>
      <c r="AT217" s="32">
        <f t="shared" si="98"/>
        <v>2</v>
      </c>
      <c r="AU217">
        <f>step3_validation[[#This Row],[AI_TRU3]]</f>
        <v>7</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0</v>
      </c>
      <c r="AZ217">
        <f>step3_validation[[#This Row],[AI_TRU4]]</f>
        <v>8</v>
      </c>
      <c r="BA217" t="str">
        <f t="shared" si="102"/>
        <v>Support</v>
      </c>
      <c r="BB217">
        <f>survey_responses[[#This Row],[Tôi thấy Nhà nước đã giải thích rõ ràng, minh bạch về lý do và mục tiêu của việc sửa đổi thuế lần này. - HUMAN-TRU4]]</f>
        <v>7</v>
      </c>
      <c r="BC217" t="str">
        <f t="shared" si="103"/>
        <v>Neutral</v>
      </c>
      <c r="BD217" s="32">
        <f t="shared" si="104"/>
        <v>1</v>
      </c>
      <c r="BE217">
        <f>step3_validation[[#This Row],[AI_OUT1]]</f>
        <v>9</v>
      </c>
      <c r="BF217" t="str">
        <f t="shared" si="105"/>
        <v>Support</v>
      </c>
      <c r="BG217">
        <f>survey_responses[[#This Row],[Sau khi xem xét các quyền lợi và nghĩa vụ, bạn có ủng hộ và tuân thủ chính sách mới hiện nay? - HUMAN-OUT1]]</f>
        <v>7</v>
      </c>
      <c r="BH217" t="str">
        <f t="shared" si="106"/>
        <v>Neutral</v>
      </c>
      <c r="BI217" s="32">
        <f t="shared" si="107"/>
        <v>2</v>
      </c>
    </row>
    <row r="218" spans="1:61" x14ac:dyDescent="0.45">
      <c r="A218" s="30">
        <f>step3_validation[[#This Row],[Persona_ID]]</f>
        <v>217</v>
      </c>
      <c r="B218" s="31">
        <f>step3_validation[[#This Row],[Used_Seed]]</f>
        <v>258</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38.912910617398488</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5</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0</v>
      </c>
      <c r="V218">
        <f>step3_validation[[#This Row],[AI_ENF2]]</f>
        <v>5</v>
      </c>
      <c r="W218" t="str">
        <f t="shared" si="84"/>
        <v>Neutral</v>
      </c>
      <c r="X218">
        <f>survey_responses[[#This Row],[Tôi tin rằng Nhà nước, cơ quan thuế có đủ khả năng và công nghệ để phát hiện, xử lý nghiêm các hành vi trốn thuế. - HUMAN-ENF2]]</f>
        <v>5</v>
      </c>
      <c r="Y218" t="str">
        <f t="shared" si="85"/>
        <v>Neutral</v>
      </c>
      <c r="Z218" s="32">
        <f t="shared" si="86"/>
        <v>0</v>
      </c>
      <c r="AA218">
        <f>step3_validation[[#This Row],[AI_FAC1]]</f>
        <v>8</v>
      </c>
      <c r="AB218" t="str">
        <f t="shared" si="87"/>
        <v>Support</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3</v>
      </c>
      <c r="AF218">
        <f>step3_validation[[#This Row],[AI_FAC2]]</f>
        <v>9</v>
      </c>
      <c r="AG218" t="str">
        <f t="shared" si="90"/>
        <v>Support</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3</v>
      </c>
      <c r="AK218">
        <f>step3_validation[[#This Row],[AI_TRU1]]</f>
        <v>7</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2</v>
      </c>
      <c r="AP218">
        <f>step3_validation[[#This Row],[AI_TRU2]]</f>
        <v>9</v>
      </c>
      <c r="AQ218" t="str">
        <f t="shared" si="96"/>
        <v>Support</v>
      </c>
      <c r="AR218">
        <f>survey_responses[[#This Row],[Tôi thấy mức thuế tôi phải đóng theo phương án mới là công bằng (người thu nhập như tôi đóng mức này là hợp lý). - HUMAN-TRU2]]</f>
        <v>5</v>
      </c>
      <c r="AS218" t="str">
        <f t="shared" si="97"/>
        <v>Neutral</v>
      </c>
      <c r="AT218" s="32">
        <f t="shared" si="98"/>
        <v>4</v>
      </c>
      <c r="AU218">
        <f>step3_validation[[#This Row],[AI_TRU3]]</f>
        <v>6</v>
      </c>
      <c r="AV218" t="str">
        <f t="shared" si="99"/>
        <v>Neutral</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1</v>
      </c>
      <c r="AZ218">
        <f>step3_validation[[#This Row],[AI_TRU4]]</f>
        <v>7</v>
      </c>
      <c r="BA218" t="str">
        <f t="shared" si="102"/>
        <v>Neutral</v>
      </c>
      <c r="BB218">
        <f>survey_responses[[#This Row],[Tôi thấy Nhà nước đã giải thích rõ ràng, minh bạch về lý do và mục tiêu của việc sửa đổi thuế lần này. - HUMAN-TRU4]]</f>
        <v>5</v>
      </c>
      <c r="BC218" t="str">
        <f t="shared" si="103"/>
        <v>Neutral</v>
      </c>
      <c r="BD218" s="32">
        <f t="shared" si="104"/>
        <v>2</v>
      </c>
      <c r="BE218">
        <f>step3_validation[[#This Row],[AI_OUT1]]</f>
        <v>9</v>
      </c>
      <c r="BF218" t="str">
        <f t="shared" si="105"/>
        <v>Support</v>
      </c>
      <c r="BG218">
        <f>survey_responses[[#This Row],[Sau khi xem xét các quyền lợi và nghĩa vụ, bạn có ủng hộ và tuân thủ chính sách mới hiện nay? - HUMAN-OUT1]]</f>
        <v>5</v>
      </c>
      <c r="BH218" t="str">
        <f t="shared" si="106"/>
        <v>Neutral</v>
      </c>
      <c r="BI218" s="32">
        <f t="shared" si="107"/>
        <v>4</v>
      </c>
    </row>
    <row r="219" spans="1:61" x14ac:dyDescent="0.45">
      <c r="A219" s="30">
        <f>step3_validation[[#This Row],[Persona_ID]]</f>
        <v>218</v>
      </c>
      <c r="B219" s="31">
        <f>step3_validation[[#This Row],[Used_Seed]]</f>
        <v>259</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67.90424664424836</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7</v>
      </c>
      <c r="R219" t="str">
        <f t="shared" si="81"/>
        <v>Neutral</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1</v>
      </c>
      <c r="V219">
        <f>step3_validation[[#This Row],[AI_ENF2]]</f>
        <v>8</v>
      </c>
      <c r="W219" t="str">
        <f t="shared" si="84"/>
        <v>Support</v>
      </c>
      <c r="X219">
        <f>survey_responses[[#This Row],[Tôi tin rằng Nhà nước, cơ quan thuế có đủ khả năng và công nghệ để phát hiện, xử lý nghiêm các hành vi trốn thuế. - HUMAN-ENF2]]</f>
        <v>7</v>
      </c>
      <c r="Y219" t="str">
        <f t="shared" si="85"/>
        <v>Neutral</v>
      </c>
      <c r="Z219" s="32">
        <f t="shared" si="86"/>
        <v>1</v>
      </c>
      <c r="AA219">
        <f>step3_validation[[#This Row],[AI_FAC1]]</f>
        <v>9</v>
      </c>
      <c r="AB219" t="str">
        <f t="shared" si="87"/>
        <v>Support</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2</v>
      </c>
      <c r="AF219">
        <f>step3_validation[[#This Row],[AI_FAC2]]</f>
        <v>9</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2</v>
      </c>
      <c r="AK219">
        <f>step3_validation[[#This Row],[AI_TRU1]]</f>
        <v>10</v>
      </c>
      <c r="AL219" t="str">
        <f t="shared" si="93"/>
        <v>Support</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3</v>
      </c>
      <c r="AP219">
        <f>step3_validation[[#This Row],[AI_TRU2]]</f>
        <v>9</v>
      </c>
      <c r="AQ219" t="str">
        <f t="shared" si="96"/>
        <v>Support</v>
      </c>
      <c r="AR219">
        <f>survey_responses[[#This Row],[Tôi thấy mức thuế tôi phải đóng theo phương án mới là công bằng (người thu nhập như tôi đóng mức này là hợp lý). - HUMAN-TRU2]]</f>
        <v>7</v>
      </c>
      <c r="AS219" t="str">
        <f t="shared" si="97"/>
        <v>Neutral</v>
      </c>
      <c r="AT219" s="32">
        <f t="shared" si="98"/>
        <v>2</v>
      </c>
      <c r="AU219">
        <f>step3_validation[[#This Row],[AI_TRU3]]</f>
        <v>10</v>
      </c>
      <c r="AV219" t="str">
        <f t="shared" si="99"/>
        <v>Support</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3</v>
      </c>
      <c r="AZ219">
        <f>step3_validation[[#This Row],[AI_TRU4]]</f>
        <v>8</v>
      </c>
      <c r="BA219" t="str">
        <f t="shared" si="102"/>
        <v>Support</v>
      </c>
      <c r="BB219">
        <f>survey_responses[[#This Row],[Tôi thấy Nhà nước đã giải thích rõ ràng, minh bạch về lý do và mục tiêu của việc sửa đổi thuế lần này. - HUMAN-TRU4]]</f>
        <v>7</v>
      </c>
      <c r="BC219" t="str">
        <f t="shared" si="103"/>
        <v>Neutral</v>
      </c>
      <c r="BD219" s="32">
        <f t="shared" si="104"/>
        <v>1</v>
      </c>
      <c r="BE219">
        <f>step3_validation[[#This Row],[AI_OUT1]]</f>
        <v>10</v>
      </c>
      <c r="BF219" t="str">
        <f t="shared" si="105"/>
        <v>Support</v>
      </c>
      <c r="BG219">
        <f>survey_responses[[#This Row],[Sau khi xem xét các quyền lợi và nghĩa vụ, bạn có ủng hộ và tuân thủ chính sách mới hiện nay? - HUMAN-OUT1]]</f>
        <v>7</v>
      </c>
      <c r="BH219" t="str">
        <f t="shared" si="106"/>
        <v>Neutral</v>
      </c>
      <c r="BI219" s="32">
        <f t="shared" si="107"/>
        <v>3</v>
      </c>
    </row>
    <row r="220" spans="1:61" x14ac:dyDescent="0.45">
      <c r="A220" s="30">
        <f>step3_validation[[#This Row],[Persona_ID]]</f>
        <v>219</v>
      </c>
      <c r="B220" s="31">
        <f>step3_validation[[#This Row],[Used_Seed]]</f>
        <v>260</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182.21574814922121</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5</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2</v>
      </c>
      <c r="V220">
        <f>step3_validation[[#This Row],[AI_ENF2]]</f>
        <v>6</v>
      </c>
      <c r="W220" t="str">
        <f t="shared" si="84"/>
        <v>Neutral</v>
      </c>
      <c r="X220">
        <f>survey_responses[[#This Row],[Tôi tin rằng Nhà nước, cơ quan thuế có đủ khả năng và công nghệ để phát hiện, xử lý nghiêm các hành vi trốn thuế. - HUMAN-ENF2]]</f>
        <v>8</v>
      </c>
      <c r="Y220" t="str">
        <f t="shared" si="85"/>
        <v>Support</v>
      </c>
      <c r="Z220" s="32">
        <f t="shared" si="86"/>
        <v>2</v>
      </c>
      <c r="AA220">
        <f>step3_validation[[#This Row],[AI_FAC1]]</f>
        <v>8</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0</v>
      </c>
      <c r="AF220">
        <f>step3_validation[[#This Row],[AI_FAC2]]</f>
        <v>9</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1</v>
      </c>
      <c r="AK220">
        <f>step3_validation[[#This Row],[AI_TRU1]]</f>
        <v>7</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1</v>
      </c>
      <c r="AP220">
        <f>step3_validation[[#This Row],[AI_TRU2]]</f>
        <v>9</v>
      </c>
      <c r="AQ220" t="str">
        <f t="shared" si="96"/>
        <v>Support</v>
      </c>
      <c r="AR220">
        <f>survey_responses[[#This Row],[Tôi thấy mức thuế tôi phải đóng theo phương án mới là công bằng (người thu nhập như tôi đóng mức này là hợp lý). - HUMAN-TRU2]]</f>
        <v>5</v>
      </c>
      <c r="AS220" t="str">
        <f t="shared" si="97"/>
        <v>Neutral</v>
      </c>
      <c r="AT220" s="32">
        <f t="shared" si="98"/>
        <v>4</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2</v>
      </c>
      <c r="AZ220">
        <f>step3_validation[[#This Row],[AI_TRU4]]</f>
        <v>6</v>
      </c>
      <c r="BA220" t="str">
        <f t="shared" si="102"/>
        <v>Neutral</v>
      </c>
      <c r="BB220">
        <f>survey_responses[[#This Row],[Tôi thấy Nhà nước đã giải thích rõ ràng, minh bạch về lý do và mục tiêu của việc sửa đổi thuế lần này. - HUMAN-TRU4]]</f>
        <v>7</v>
      </c>
      <c r="BC220" t="str">
        <f t="shared" si="103"/>
        <v>Neutral</v>
      </c>
      <c r="BD220" s="32">
        <f t="shared" si="104"/>
        <v>1</v>
      </c>
      <c r="BE220">
        <f>step3_validation[[#This Row],[AI_OUT1]]</f>
        <v>9</v>
      </c>
      <c r="BF220" t="str">
        <f t="shared" si="105"/>
        <v>Support</v>
      </c>
      <c r="BG220">
        <f>survey_responses[[#This Row],[Sau khi xem xét các quyền lợi và nghĩa vụ, bạn có ủng hộ và tuân thủ chính sách mới hiện nay? - HUMAN-OUT1]]</f>
        <v>6</v>
      </c>
      <c r="BH220" t="str">
        <f t="shared" si="106"/>
        <v>Neutral</v>
      </c>
      <c r="BI220" s="32">
        <f t="shared" si="107"/>
        <v>3</v>
      </c>
    </row>
    <row r="221" spans="1:61" x14ac:dyDescent="0.45">
      <c r="A221" s="30">
        <f>step3_validation[[#This Row],[Persona_ID]]</f>
        <v>220</v>
      </c>
      <c r="B221" s="31">
        <f>step3_validation[[#This Row],[Used_Seed]]</f>
        <v>261</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116.72238938428899</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7</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3</v>
      </c>
      <c r="V221">
        <f>step3_validation[[#This Row],[AI_ENF2]]</f>
        <v>6</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4</v>
      </c>
      <c r="AA221">
        <f>step3_validation[[#This Row],[AI_FAC1]]</f>
        <v>8</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2</v>
      </c>
      <c r="AF221">
        <f>step3_validation[[#This Row],[AI_FAC2]]</f>
        <v>9</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0</v>
      </c>
      <c r="AK221">
        <f>step3_validation[[#This Row],[AI_TRU1]]</f>
        <v>7</v>
      </c>
      <c r="AL221" t="str">
        <f t="shared" si="93"/>
        <v>Neutral</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2</v>
      </c>
      <c r="AP221">
        <f>step3_validation[[#This Row],[AI_TRU2]]</f>
        <v>8</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2">
        <f t="shared" si="98"/>
        <v>1</v>
      </c>
      <c r="AU221">
        <f>step3_validation[[#This Row],[AI_TRU3]]</f>
        <v>6</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3</v>
      </c>
      <c r="AZ221">
        <f>step3_validation[[#This Row],[AI_TRU4]]</f>
        <v>7</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1</v>
      </c>
      <c r="BE221">
        <f>step3_validation[[#This Row],[AI_OUT1]]</f>
        <v>9</v>
      </c>
      <c r="BF221" t="str">
        <f t="shared" si="105"/>
        <v>Support</v>
      </c>
      <c r="BG221">
        <f>survey_responses[[#This Row],[Sau khi xem xét các quyền lợi và nghĩa vụ, bạn có ủng hộ và tuân thủ chính sách mới hiện nay? - HUMAN-OUT1]]</f>
        <v>8</v>
      </c>
      <c r="BH221" t="str">
        <f t="shared" si="106"/>
        <v>Support</v>
      </c>
      <c r="BI221" s="32">
        <f t="shared" si="107"/>
        <v>1</v>
      </c>
    </row>
    <row r="222" spans="1:61" x14ac:dyDescent="0.45">
      <c r="A222" s="30">
        <f>step3_validation[[#This Row],[Persona_ID]]</f>
        <v>221</v>
      </c>
      <c r="B222" s="31">
        <f>step3_validation[[#This Row],[Used_Seed]]</f>
        <v>262</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55.158825873441579</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7</v>
      </c>
      <c r="R222" t="str">
        <f t="shared" si="81"/>
        <v>Neutral</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3</v>
      </c>
      <c r="V222">
        <f>step3_validation[[#This Row],[AI_ENF2]]</f>
        <v>8</v>
      </c>
      <c r="W222" t="str">
        <f t="shared" si="84"/>
        <v>Support</v>
      </c>
      <c r="X222">
        <f>survey_responses[[#This Row],[Tôi tin rằng Nhà nước, cơ quan thuế có đủ khả năng và công nghệ để phát hiện, xử lý nghiêm các hành vi trốn thuế. - HUMAN-ENF2]]</f>
        <v>4</v>
      </c>
      <c r="Y222" t="str">
        <f t="shared" si="85"/>
        <v>Oppose</v>
      </c>
      <c r="Z222" s="32">
        <f t="shared" si="86"/>
        <v>4</v>
      </c>
      <c r="AA222">
        <f>step3_validation[[#This Row],[AI_FAC1]]</f>
        <v>6</v>
      </c>
      <c r="AB222" t="str">
        <f t="shared" si="87"/>
        <v>Neutral</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2</v>
      </c>
      <c r="AF222">
        <f>step3_validation[[#This Row],[AI_FAC2]]</f>
        <v>9</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3</v>
      </c>
      <c r="AK222">
        <f>step3_validation[[#This Row],[AI_TRU1]]</f>
        <v>7</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2</v>
      </c>
      <c r="AP222">
        <f>step3_validation[[#This Row],[AI_TRU2]]</f>
        <v>8</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2</v>
      </c>
      <c r="AU222">
        <f>step3_validation[[#This Row],[AI_TRU3]]</f>
        <v>7</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2</v>
      </c>
      <c r="AZ222">
        <f>step3_validation[[#This Row],[AI_TRU4]]</f>
        <v>6</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2">
        <f t="shared" si="104"/>
        <v>0</v>
      </c>
      <c r="BE222">
        <f>step3_validation[[#This Row],[AI_OUT1]]</f>
        <v>8</v>
      </c>
      <c r="BF222" t="str">
        <f t="shared" si="105"/>
        <v>Support</v>
      </c>
      <c r="BG222">
        <f>survey_responses[[#This Row],[Sau khi xem xét các quyền lợi và nghĩa vụ, bạn có ủng hộ và tuân thủ chính sách mới hiện nay? - HUMAN-OUT1]]</f>
        <v>5</v>
      </c>
      <c r="BH222" t="str">
        <f t="shared" si="106"/>
        <v>Neutral</v>
      </c>
      <c r="BI222" s="32">
        <f t="shared" si="107"/>
        <v>3</v>
      </c>
    </row>
    <row r="223" spans="1:61" x14ac:dyDescent="0.45">
      <c r="A223" s="30">
        <f>step3_validation[[#This Row],[Persona_ID]]</f>
        <v>222</v>
      </c>
      <c r="B223" s="31">
        <f>step3_validation[[#This Row],[Used_Seed]]</f>
        <v>263</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55.998308302406855</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8</v>
      </c>
      <c r="R223" t="str">
        <f t="shared" si="81"/>
        <v>Support</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4</v>
      </c>
      <c r="V223">
        <f>step3_validation[[#This Row],[AI_ENF2]]</f>
        <v>8</v>
      </c>
      <c r="W223" t="str">
        <f t="shared" si="84"/>
        <v>Support</v>
      </c>
      <c r="X223">
        <f>survey_responses[[#This Row],[Tôi tin rằng Nhà nước, cơ quan thuế có đủ khả năng và công nghệ để phát hiện, xử lý nghiêm các hành vi trốn thuế. - HUMAN-ENF2]]</f>
        <v>5</v>
      </c>
      <c r="Y223" t="str">
        <f t="shared" si="85"/>
        <v>Neutral</v>
      </c>
      <c r="Z223" s="32">
        <f t="shared" si="86"/>
        <v>3</v>
      </c>
      <c r="AA223">
        <f>step3_validation[[#This Row],[AI_FAC1]]</f>
        <v>7</v>
      </c>
      <c r="AB223" t="str">
        <f t="shared" si="87"/>
        <v>Neutral</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3</v>
      </c>
      <c r="AF223">
        <f>step3_validation[[#This Row],[AI_FAC2]]</f>
        <v>9</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4</v>
      </c>
      <c r="AK223">
        <f>step3_validation[[#This Row],[AI_TRU1]]</f>
        <v>6</v>
      </c>
      <c r="AL223" t="str">
        <f t="shared" si="93"/>
        <v>Neutral</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1</v>
      </c>
      <c r="AP223">
        <f>step3_validation[[#This Row],[AI_TRU2]]</f>
        <v>7</v>
      </c>
      <c r="AQ223" t="str">
        <f t="shared" si="96"/>
        <v>Neutral</v>
      </c>
      <c r="AR223">
        <f>survey_responses[[#This Row],[Tôi thấy mức thuế tôi phải đóng theo phương án mới là công bằng (người thu nhập như tôi đóng mức này là hợp lý). - HUMAN-TRU2]]</f>
        <v>5</v>
      </c>
      <c r="AS223" t="str">
        <f t="shared" si="97"/>
        <v>Neutral</v>
      </c>
      <c r="AT223" s="32">
        <f t="shared" si="98"/>
        <v>2</v>
      </c>
      <c r="AU223">
        <f>step3_validation[[#This Row],[AI_TRU3]]</f>
        <v>6</v>
      </c>
      <c r="AV223" t="str">
        <f t="shared" si="99"/>
        <v>Neutral</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1</v>
      </c>
      <c r="AZ223">
        <f>step3_validation[[#This Row],[AI_TRU4]]</f>
        <v>7</v>
      </c>
      <c r="BA223" t="str">
        <f t="shared" si="102"/>
        <v>Neutral</v>
      </c>
      <c r="BB223">
        <f>survey_responses[[#This Row],[Tôi thấy Nhà nước đã giải thích rõ ràng, minh bạch về lý do và mục tiêu của việc sửa đổi thuế lần này. - HUMAN-TRU4]]</f>
        <v>5</v>
      </c>
      <c r="BC223" t="str">
        <f t="shared" si="103"/>
        <v>Neutral</v>
      </c>
      <c r="BD223" s="32">
        <f t="shared" si="104"/>
        <v>2</v>
      </c>
      <c r="BE223">
        <f>step3_validation[[#This Row],[AI_OUT1]]</f>
        <v>8</v>
      </c>
      <c r="BF223" t="str">
        <f t="shared" si="105"/>
        <v>Support</v>
      </c>
      <c r="BG223">
        <f>survey_responses[[#This Row],[Sau khi xem xét các quyền lợi và nghĩa vụ, bạn có ủng hộ và tuân thủ chính sách mới hiện nay? - HUMAN-OUT1]]</f>
        <v>5</v>
      </c>
      <c r="BH223" t="str">
        <f t="shared" si="106"/>
        <v>Neutral</v>
      </c>
      <c r="BI223" s="32">
        <f t="shared" si="107"/>
        <v>3</v>
      </c>
    </row>
    <row r="224" spans="1:61" x14ac:dyDescent="0.45">
      <c r="A224" s="30">
        <f>step3_validation[[#This Row],[Persona_ID]]</f>
        <v>223</v>
      </c>
      <c r="B224" s="31">
        <f>step3_validation[[#This Row],[Used_Seed]]</f>
        <v>264</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55.459135160250725</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9</v>
      </c>
      <c r="R224" t="str">
        <f t="shared" si="81"/>
        <v>Support</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3</v>
      </c>
      <c r="V224">
        <f>step3_validation[[#This Row],[AI_ENF2]]</f>
        <v>8</v>
      </c>
      <c r="W224" t="str">
        <f t="shared" si="84"/>
        <v>Support</v>
      </c>
      <c r="X224">
        <f>survey_responses[[#This Row],[Tôi tin rằng Nhà nước, cơ quan thuế có đủ khả năng và công nghệ để phát hiện, xử lý nghiêm các hành vi trốn thuế. - HUMAN-ENF2]]</f>
        <v>6</v>
      </c>
      <c r="Y224" t="str">
        <f t="shared" si="85"/>
        <v>Neutral</v>
      </c>
      <c r="Z224" s="32">
        <f t="shared" si="86"/>
        <v>2</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9</v>
      </c>
      <c r="AL224" t="str">
        <f t="shared" si="93"/>
        <v>Support</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3</v>
      </c>
      <c r="AP224">
        <f>step3_validation[[#This Row],[AI_TRU2]]</f>
        <v>8</v>
      </c>
      <c r="AQ224" t="str">
        <f t="shared" si="96"/>
        <v>Support</v>
      </c>
      <c r="AR224">
        <f>survey_responses[[#This Row],[Tôi thấy mức thuế tôi phải đóng theo phương án mới là công bằng (người thu nhập như tôi đóng mức này là hợp lý). - HUMAN-TRU2]]</f>
        <v>6</v>
      </c>
      <c r="AS224" t="str">
        <f t="shared" si="97"/>
        <v>Neutral</v>
      </c>
      <c r="AT224" s="32">
        <f t="shared" si="98"/>
        <v>2</v>
      </c>
      <c r="AU224">
        <f>step3_validation[[#This Row],[AI_TRU3]]</f>
        <v>9</v>
      </c>
      <c r="AV224" t="str">
        <f t="shared" si="99"/>
        <v>Support</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1</v>
      </c>
      <c r="AZ224">
        <f>step3_validation[[#This Row],[AI_TRU4]]</f>
        <v>8</v>
      </c>
      <c r="BA224" t="str">
        <f t="shared" si="102"/>
        <v>Support</v>
      </c>
      <c r="BB224">
        <f>survey_responses[[#This Row],[Tôi thấy Nhà nước đã giải thích rõ ràng, minh bạch về lý do và mục tiêu của việc sửa đổi thuế lần này. - HUMAN-TRU4]]</f>
        <v>8</v>
      </c>
      <c r="BC224" t="str">
        <f t="shared" si="103"/>
        <v>Support</v>
      </c>
      <c r="BD224" s="32">
        <f t="shared" si="104"/>
        <v>0</v>
      </c>
      <c r="BE224">
        <f>step3_validation[[#This Row],[AI_OUT1]]</f>
        <v>9</v>
      </c>
      <c r="BF224" t="str">
        <f t="shared" si="105"/>
        <v>Support</v>
      </c>
      <c r="BG224">
        <f>survey_responses[[#This Row],[Sau khi xem xét các quyền lợi và nghĩa vụ, bạn có ủng hộ và tuân thủ chính sách mới hiện nay? - HUMAN-OUT1]]</f>
        <v>7</v>
      </c>
      <c r="BH224" t="str">
        <f t="shared" si="106"/>
        <v>Neutral</v>
      </c>
      <c r="BI224" s="32">
        <f t="shared" si="107"/>
        <v>2</v>
      </c>
    </row>
    <row r="225" spans="1:61" x14ac:dyDescent="0.45">
      <c r="A225" s="30">
        <f>step3_validation[[#This Row],[Persona_ID]]</f>
        <v>224</v>
      </c>
      <c r="B225" s="31">
        <f>step3_validation[[#This Row],[Used_Seed]]</f>
        <v>265</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63.207315378130382</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9</v>
      </c>
      <c r="R225" t="str">
        <f t="shared" si="81"/>
        <v>Support</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2</v>
      </c>
      <c r="V225">
        <f>step3_validation[[#This Row],[AI_ENF2]]</f>
        <v>8</v>
      </c>
      <c r="W225" t="str">
        <f t="shared" si="84"/>
        <v>Support</v>
      </c>
      <c r="X225">
        <f>survey_responses[[#This Row],[Tôi tin rằng Nhà nước, cơ quan thuế có đủ khả năng và công nghệ để phát hiện, xử lý nghiêm các hành vi trốn thuế. - HUMAN-ENF2]]</f>
        <v>7</v>
      </c>
      <c r="Y225" t="str">
        <f t="shared" si="85"/>
        <v>Neutral</v>
      </c>
      <c r="Z225" s="32">
        <f t="shared" si="86"/>
        <v>1</v>
      </c>
      <c r="AA225">
        <f>step3_validation[[#This Row],[AI_FAC1]]</f>
        <v>9</v>
      </c>
      <c r="AB225" t="str">
        <f t="shared" si="87"/>
        <v>Support</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2</v>
      </c>
      <c r="AF225">
        <f>step3_validation[[#This Row],[AI_FAC2]]</f>
        <v>8</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1</v>
      </c>
      <c r="AK225">
        <f>step3_validation[[#This Row],[AI_TRU1]]</f>
        <v>9</v>
      </c>
      <c r="AL225" t="str">
        <f t="shared" si="93"/>
        <v>Support</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2</v>
      </c>
      <c r="AP225">
        <f>step3_validation[[#This Row],[AI_TRU2]]</f>
        <v>8</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2">
        <f t="shared" si="98"/>
        <v>1</v>
      </c>
      <c r="AU225">
        <f>step3_validation[[#This Row],[AI_TRU3]]</f>
        <v>9</v>
      </c>
      <c r="AV225" t="str">
        <f t="shared" si="99"/>
        <v>Support</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2</v>
      </c>
      <c r="AZ225">
        <f>step3_validation[[#This Row],[AI_TRU4]]</f>
        <v>8</v>
      </c>
      <c r="BA225" t="str">
        <f t="shared" si="102"/>
        <v>Support</v>
      </c>
      <c r="BB225">
        <f>survey_responses[[#This Row],[Tôi thấy Nhà nước đã giải thích rõ ràng, minh bạch về lý do và mục tiêu của việc sửa đổi thuế lần này. - HUMAN-TRU4]]</f>
        <v>7</v>
      </c>
      <c r="BC225" t="str">
        <f t="shared" si="103"/>
        <v>Neutral</v>
      </c>
      <c r="BD225" s="32">
        <f t="shared" si="104"/>
        <v>1</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266</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46.305800017053741</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7</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1</v>
      </c>
      <c r="V226">
        <f>step3_validation[[#This Row],[AI_ENF2]]</f>
        <v>8</v>
      </c>
      <c r="W226" t="str">
        <f t="shared" si="84"/>
        <v>Support</v>
      </c>
      <c r="X226">
        <f>survey_responses[[#This Row],[Tôi tin rằng Nhà nước, cơ quan thuế có đủ khả năng và công nghệ để phát hiện, xử lý nghiêm các hành vi trốn thuế. - HUMAN-ENF2]]</f>
        <v>6</v>
      </c>
      <c r="Y226" t="str">
        <f t="shared" si="85"/>
        <v>Neutral</v>
      </c>
      <c r="Z226" s="32">
        <f t="shared" si="86"/>
        <v>2</v>
      </c>
      <c r="AA226">
        <f>step3_validation[[#This Row],[AI_FAC1]]</f>
        <v>6</v>
      </c>
      <c r="AB226" t="str">
        <f t="shared" si="87"/>
        <v>Neutral</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2</v>
      </c>
      <c r="AK226">
        <f>step3_validation[[#This Row],[AI_TRU1]]</f>
        <v>7</v>
      </c>
      <c r="AL226" t="str">
        <f t="shared" si="93"/>
        <v>Neutral</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2</v>
      </c>
      <c r="AP226">
        <f>step3_validation[[#This Row],[AI_TRU2]]</f>
        <v>8</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2">
        <f t="shared" si="98"/>
        <v>2</v>
      </c>
      <c r="AU226">
        <f>step3_validation[[#This Row],[AI_TRU3]]</f>
        <v>7</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1</v>
      </c>
      <c r="AZ226">
        <f>step3_validation[[#This Row],[AI_TRU4]]</f>
        <v>8</v>
      </c>
      <c r="BA226" t="str">
        <f t="shared" si="102"/>
        <v>Support</v>
      </c>
      <c r="BB226">
        <f>survey_responses[[#This Row],[Tôi thấy Nhà nước đã giải thích rõ ràng, minh bạch về lý do và mục tiêu của việc sửa đổi thuế lần này. - HUMAN-TRU4]]</f>
        <v>6</v>
      </c>
      <c r="BC226" t="str">
        <f t="shared" si="103"/>
        <v>Neutral</v>
      </c>
      <c r="BD226" s="32">
        <f t="shared" si="104"/>
        <v>2</v>
      </c>
      <c r="BE226">
        <f>step3_validation[[#This Row],[AI_OUT1]]</f>
        <v>9</v>
      </c>
      <c r="BF226" t="str">
        <f t="shared" si="105"/>
        <v>Support</v>
      </c>
      <c r="BG226">
        <f>survey_responses[[#This Row],[Sau khi xem xét các quyền lợi và nghĩa vụ, bạn có ủng hộ và tuân thủ chính sách mới hiện nay? - HUMAN-OUT1]]</f>
        <v>7</v>
      </c>
      <c r="BH226" t="str">
        <f t="shared" si="106"/>
        <v>Neutral</v>
      </c>
      <c r="BI226" s="32">
        <f t="shared" si="107"/>
        <v>2</v>
      </c>
    </row>
    <row r="227" spans="1:61" x14ac:dyDescent="0.45">
      <c r="A227" s="30">
        <f>step3_validation[[#This Row],[Persona_ID]]</f>
        <v>226</v>
      </c>
      <c r="B227" s="31">
        <f>step3_validation[[#This Row],[Used_Seed]]</f>
        <v>267</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86.845017367414869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7</v>
      </c>
      <c r="R227" t="str">
        <f t="shared" si="81"/>
        <v>Neutral</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0</v>
      </c>
      <c r="V227">
        <f>step3_validation[[#This Row],[AI_ENF2]]</f>
        <v>8</v>
      </c>
      <c r="W227" t="str">
        <f t="shared" si="84"/>
        <v>Support</v>
      </c>
      <c r="X227">
        <f>survey_responses[[#This Row],[Tôi tin rằng Nhà nước, cơ quan thuế có đủ khả năng và công nghệ để phát hiện, xử lý nghiêm các hành vi trốn thuế. - HUMAN-ENF2]]</f>
        <v>7</v>
      </c>
      <c r="Y227" t="str">
        <f t="shared" si="85"/>
        <v>Neutral</v>
      </c>
      <c r="Z227" s="32">
        <f t="shared" si="86"/>
        <v>1</v>
      </c>
      <c r="AA227">
        <f>step3_validation[[#This Row],[AI_FAC1]]</f>
        <v>9</v>
      </c>
      <c r="AB227" t="str">
        <f t="shared" si="87"/>
        <v>Support</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3</v>
      </c>
      <c r="AF227">
        <f>step3_validation[[#This Row],[AI_FAC2]]</f>
        <v>9</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2</v>
      </c>
      <c r="AK227">
        <f>step3_validation[[#This Row],[AI_TRU1]]</f>
        <v>8</v>
      </c>
      <c r="AL227" t="str">
        <f t="shared" si="93"/>
        <v>Support</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1</v>
      </c>
      <c r="AP227">
        <f>step3_validation[[#This Row],[AI_TRU2]]</f>
        <v>9</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2</v>
      </c>
      <c r="AU227">
        <f>step3_validation[[#This Row],[AI_TRU3]]</f>
        <v>8</v>
      </c>
      <c r="AV227" t="str">
        <f t="shared" si="99"/>
        <v>Support</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1</v>
      </c>
      <c r="AZ227">
        <f>step3_validation[[#This Row],[AI_TRU4]]</f>
        <v>7</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2">
        <f t="shared" si="104"/>
        <v>0</v>
      </c>
      <c r="BE227">
        <f>step3_validation[[#This Row],[AI_OUT1]]</f>
        <v>9</v>
      </c>
      <c r="BF227" t="str">
        <f t="shared" si="105"/>
        <v>Support</v>
      </c>
      <c r="BG227">
        <f>survey_responses[[#This Row],[Sau khi xem xét các quyền lợi và nghĩa vụ, bạn có ủng hộ và tuân thủ chính sách mới hiện nay? - HUMAN-OUT1]]</f>
        <v>7</v>
      </c>
      <c r="BH227" t="str">
        <f t="shared" si="106"/>
        <v>Neutral</v>
      </c>
      <c r="BI227" s="32">
        <f t="shared" si="107"/>
        <v>2</v>
      </c>
    </row>
    <row r="228" spans="1:61" x14ac:dyDescent="0.45">
      <c r="A228" s="30">
        <f>step3_validation[[#This Row],[Persona_ID]]</f>
        <v>227</v>
      </c>
      <c r="B228" s="31">
        <f>step3_validation[[#This Row],[Used_Seed]]</f>
        <v>268</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30.204689012446956</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9</v>
      </c>
      <c r="R228" t="str">
        <f t="shared" si="81"/>
        <v>Support</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3</v>
      </c>
      <c r="V228">
        <f>step3_validation[[#This Row],[AI_ENF2]]</f>
        <v>8</v>
      </c>
      <c r="W228" t="str">
        <f t="shared" si="84"/>
        <v>Support</v>
      </c>
      <c r="X228">
        <f>survey_responses[[#This Row],[Tôi tin rằng Nhà nước, cơ quan thuế có đủ khả năng và công nghệ để phát hiện, xử lý nghiêm các hành vi trốn thuế. - HUMAN-ENF2]]</f>
        <v>6</v>
      </c>
      <c r="Y228" t="str">
        <f t="shared" si="85"/>
        <v>Neutral</v>
      </c>
      <c r="Z228" s="32">
        <f t="shared" si="86"/>
        <v>2</v>
      </c>
      <c r="AA228">
        <f>step3_validation[[#This Row],[AI_FAC1]]</f>
        <v>9</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3</v>
      </c>
      <c r="AF228">
        <f>step3_validation[[#This Row],[AI_FAC2]]</f>
        <v>8</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2</v>
      </c>
      <c r="AK228">
        <f>step3_validation[[#This Row],[AI_TRU1]]</f>
        <v>9</v>
      </c>
      <c r="AL228" t="str">
        <f t="shared" si="93"/>
        <v>Support</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3</v>
      </c>
      <c r="AP228">
        <f>step3_validation[[#This Row],[AI_TRU2]]</f>
        <v>8</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2">
        <f t="shared" si="98"/>
        <v>2</v>
      </c>
      <c r="AU228">
        <f>step3_validation[[#This Row],[AI_TRU3]]</f>
        <v>9</v>
      </c>
      <c r="AV228" t="str">
        <f t="shared" si="99"/>
        <v>Support</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3</v>
      </c>
      <c r="AZ228">
        <f>step3_validation[[#This Row],[AI_TRU4]]</f>
        <v>8</v>
      </c>
      <c r="BA228" t="str">
        <f t="shared" si="102"/>
        <v>Support</v>
      </c>
      <c r="BB228">
        <f>survey_responses[[#This Row],[Tôi thấy Nhà nước đã giải thích rõ ràng, minh bạch về lý do và mục tiêu của việc sửa đổi thuế lần này. - HUMAN-TRU4]]</f>
        <v>6</v>
      </c>
      <c r="BC228" t="str">
        <f t="shared" si="103"/>
        <v>Neutral</v>
      </c>
      <c r="BD228" s="32">
        <f t="shared" si="104"/>
        <v>2</v>
      </c>
      <c r="BE228">
        <f>step3_validation[[#This Row],[AI_OUT1]]</f>
        <v>9</v>
      </c>
      <c r="BF228" t="str">
        <f t="shared" si="105"/>
        <v>Support</v>
      </c>
      <c r="BG228">
        <f>survey_responses[[#This Row],[Sau khi xem xét các quyền lợi và nghĩa vụ, bạn có ủng hộ và tuân thủ chính sách mới hiện nay? - HUMAN-OUT1]]</f>
        <v>6</v>
      </c>
      <c r="BH228" t="str">
        <f t="shared" si="106"/>
        <v>Neutral</v>
      </c>
      <c r="BI228" s="32">
        <f t="shared" si="107"/>
        <v>3</v>
      </c>
    </row>
    <row r="229" spans="1:61" x14ac:dyDescent="0.45">
      <c r="A229" s="30">
        <f>step3_validation[[#This Row],[Persona_ID]]</f>
        <v>228</v>
      </c>
      <c r="B229" s="31">
        <f>step3_validation[[#This Row],[Used_Seed]]</f>
        <v>269</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20.883093601344491</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t="str">
        <f t="shared" si="81"/>
        <v>Neutral</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1</v>
      </c>
      <c r="V229">
        <f>step3_validation[[#This Row],[AI_ENF2]]</f>
        <v>8</v>
      </c>
      <c r="W229" t="str">
        <f t="shared" si="84"/>
        <v>Support</v>
      </c>
      <c r="X229">
        <f>survey_responses[[#This Row],[Tôi tin rằng Nhà nước, cơ quan thuế có đủ khả năng và công nghệ để phát hiện, xử lý nghiêm các hành vi trốn thuế. - HUMAN-ENF2]]</f>
        <v>9</v>
      </c>
      <c r="Y229" t="str">
        <f t="shared" si="85"/>
        <v>Support</v>
      </c>
      <c r="Z229" s="32">
        <f t="shared" si="86"/>
        <v>1</v>
      </c>
      <c r="AA229">
        <f>step3_validation[[#This Row],[AI_FAC1]]</f>
        <v>9</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2</v>
      </c>
      <c r="AF229">
        <f>step3_validation[[#This Row],[AI_FAC2]]</f>
        <v>9</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1</v>
      </c>
      <c r="AK229">
        <f>step3_validation[[#This Row],[AI_TRU1]]</f>
        <v>8</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1</v>
      </c>
      <c r="AP229">
        <f>step3_validation[[#This Row],[AI_TRU2]]</f>
        <v>9</v>
      </c>
      <c r="AQ229" t="str">
        <f t="shared" si="96"/>
        <v>Support</v>
      </c>
      <c r="AR229">
        <f>survey_responses[[#This Row],[Tôi thấy mức thuế tôi phải đóng theo phương án mới là công bằng (người thu nhập như tôi đóng mức này là hợp lý). - HUMAN-TRU2]]</f>
        <v>8</v>
      </c>
      <c r="AS229" t="str">
        <f t="shared" si="97"/>
        <v>Support</v>
      </c>
      <c r="AT229" s="32">
        <f t="shared" si="98"/>
        <v>1</v>
      </c>
      <c r="AU229">
        <f>step3_validation[[#This Row],[AI_TRU3]]</f>
        <v>8</v>
      </c>
      <c r="AV229" t="str">
        <f t="shared" si="99"/>
        <v>Support</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0</v>
      </c>
      <c r="AZ229">
        <f>step3_validation[[#This Row],[AI_TRU4]]</f>
        <v>7</v>
      </c>
      <c r="BA229" t="str">
        <f t="shared" si="102"/>
        <v>Neutral</v>
      </c>
      <c r="BB229">
        <f>survey_responses[[#This Row],[Tôi thấy Nhà nước đã giải thích rõ ràng, minh bạch về lý do và mục tiêu của việc sửa đổi thuế lần này. - HUMAN-TRU4]]</f>
        <v>8</v>
      </c>
      <c r="BC229" t="str">
        <f t="shared" si="103"/>
        <v>Support</v>
      </c>
      <c r="BD229" s="32">
        <f t="shared" si="104"/>
        <v>1</v>
      </c>
      <c r="BE229">
        <f>step3_validation[[#This Row],[AI_OUT1]]</f>
        <v>9</v>
      </c>
      <c r="BF229" t="str">
        <f t="shared" si="105"/>
        <v>Support</v>
      </c>
      <c r="BG229">
        <f>survey_responses[[#This Row],[Sau khi xem xét các quyền lợi và nghĩa vụ, bạn có ủng hộ và tuân thủ chính sách mới hiện nay? - HUMAN-OUT1]]</f>
        <v>8</v>
      </c>
      <c r="BH229" t="str">
        <f t="shared" si="106"/>
        <v>Support</v>
      </c>
      <c r="BI229" s="32">
        <f t="shared" si="107"/>
        <v>1</v>
      </c>
    </row>
    <row r="230" spans="1:61" x14ac:dyDescent="0.45">
      <c r="A230" s="30">
        <f>step3_validation[[#This Row],[Persona_ID]]</f>
        <v>229</v>
      </c>
      <c r="B230" s="31">
        <f>step3_validation[[#This Row],[Used_Seed]]</f>
        <v>270</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58.570001333168669</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7</v>
      </c>
      <c r="R230" t="str">
        <f t="shared" si="81"/>
        <v>Neutral</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1</v>
      </c>
      <c r="V230">
        <f>step3_validation[[#This Row],[AI_ENF2]]</f>
        <v>8</v>
      </c>
      <c r="W230" t="str">
        <f t="shared" si="84"/>
        <v>Support</v>
      </c>
      <c r="X230">
        <f>survey_responses[[#This Row],[Tôi tin rằng Nhà nước, cơ quan thuế có đủ khả năng và công nghệ để phát hiện, xử lý nghiêm các hành vi trốn thuế. - HUMAN-ENF2]]</f>
        <v>6</v>
      </c>
      <c r="Y230" t="str">
        <f t="shared" si="85"/>
        <v>Neutral</v>
      </c>
      <c r="Z230" s="32">
        <f t="shared" si="86"/>
        <v>2</v>
      </c>
      <c r="AA230">
        <f>step3_validation[[#This Row],[AI_FAC1]]</f>
        <v>9</v>
      </c>
      <c r="AB230" t="str">
        <f t="shared" si="87"/>
        <v>Support</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3</v>
      </c>
      <c r="AF230">
        <f>step3_validation[[#This Row],[AI_FAC2]]</f>
        <v>9</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3</v>
      </c>
      <c r="AK230">
        <f>step3_validation[[#This Row],[AI_TRU1]]</f>
        <v>8</v>
      </c>
      <c r="AL230" t="str">
        <f t="shared" si="93"/>
        <v>Support</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2</v>
      </c>
      <c r="AP230">
        <f>step3_validation[[#This Row],[AI_TRU2]]</f>
        <v>9</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2</v>
      </c>
      <c r="AU230">
        <f>step3_validation[[#This Row],[AI_TRU3]]</f>
        <v>8</v>
      </c>
      <c r="AV230" t="str">
        <f t="shared" si="99"/>
        <v>Support</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2</v>
      </c>
      <c r="AZ230">
        <f>step3_validation[[#This Row],[AI_TRU4]]</f>
        <v>9</v>
      </c>
      <c r="BA230" t="str">
        <f t="shared" si="102"/>
        <v>Support</v>
      </c>
      <c r="BB230">
        <f>survey_responses[[#This Row],[Tôi thấy Nhà nước đã giải thích rõ ràng, minh bạch về lý do và mục tiêu của việc sửa đổi thuế lần này. - HUMAN-TRU4]]</f>
        <v>6</v>
      </c>
      <c r="BC230" t="str">
        <f t="shared" si="103"/>
        <v>Neutral</v>
      </c>
      <c r="BD230" s="32">
        <f t="shared" si="104"/>
        <v>3</v>
      </c>
      <c r="BE230">
        <f>step3_validation[[#This Row],[AI_OUT1]]</f>
        <v>10</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3</v>
      </c>
    </row>
    <row r="231" spans="1:61" x14ac:dyDescent="0.45">
      <c r="A231" s="30">
        <f>step3_validation[[#This Row],[Persona_ID]]</f>
        <v>230</v>
      </c>
      <c r="B231" s="31">
        <f>step3_validation[[#This Row],[Used_Seed]]</f>
        <v>271</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74.057443540925746</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8</v>
      </c>
      <c r="R231" t="str">
        <f t="shared" si="81"/>
        <v>Support</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4</v>
      </c>
      <c r="V231">
        <f>step3_validation[[#This Row],[AI_ENF2]]</f>
        <v>8</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2">
        <f t="shared" si="86"/>
        <v>3</v>
      </c>
      <c r="AA231">
        <f>step3_validation[[#This Row],[AI_FAC1]]</f>
        <v>9</v>
      </c>
      <c r="AB231" t="str">
        <f t="shared" si="87"/>
        <v>Support</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8</v>
      </c>
      <c r="AF231">
        <f>step3_validation[[#This Row],[AI_FAC2]]</f>
        <v>10</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4</v>
      </c>
      <c r="AK231">
        <f>step3_validation[[#This Row],[AI_TRU1]]</f>
        <v>9</v>
      </c>
      <c r="AL231" t="str">
        <f t="shared" si="93"/>
        <v>Support</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5</v>
      </c>
      <c r="AP231">
        <f>step3_validation[[#This Row],[AI_TRU2]]</f>
        <v>9</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5</v>
      </c>
      <c r="AU231">
        <f>step3_validation[[#This Row],[AI_TRU3]]</f>
        <v>8</v>
      </c>
      <c r="AV231" t="str">
        <f t="shared" si="99"/>
        <v>Support</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3</v>
      </c>
      <c r="AZ231">
        <f>step3_validation[[#This Row],[AI_TRU4]]</f>
        <v>9</v>
      </c>
      <c r="BA231" t="str">
        <f t="shared" si="102"/>
        <v>Support</v>
      </c>
      <c r="BB231">
        <f>survey_responses[[#This Row],[Tôi thấy Nhà nước đã giải thích rõ ràng, minh bạch về lý do và mục tiêu của việc sửa đổi thuế lần này. - HUMAN-TRU4]]</f>
        <v>5</v>
      </c>
      <c r="BC231" t="str">
        <f t="shared" si="103"/>
        <v>Neutral</v>
      </c>
      <c r="BD231" s="32">
        <f t="shared" si="104"/>
        <v>4</v>
      </c>
      <c r="BE231">
        <f>step3_validation[[#This Row],[AI_OUT1]]</f>
        <v>9</v>
      </c>
      <c r="BF231" t="str">
        <f t="shared" si="105"/>
        <v>Support</v>
      </c>
      <c r="BG231">
        <f>survey_responses[[#This Row],[Sau khi xem xét các quyền lợi và nghĩa vụ, bạn có ủng hộ và tuân thủ chính sách mới hiện nay? - HUMAN-OUT1]]</f>
        <v>5</v>
      </c>
      <c r="BH231" t="str">
        <f t="shared" si="106"/>
        <v>Neutral</v>
      </c>
      <c r="BI231" s="32">
        <f t="shared" si="107"/>
        <v>4</v>
      </c>
    </row>
    <row r="232" spans="1:61" x14ac:dyDescent="0.45">
      <c r="A232" s="30">
        <f>step3_validation[[#This Row],[Persona_ID]]</f>
        <v>231</v>
      </c>
      <c r="B232" s="31">
        <f>step3_validation[[#This Row],[Used_Seed]]</f>
        <v>272</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147.5407463784199</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t="str">
        <f t="shared" si="81"/>
        <v>Neutral</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7</v>
      </c>
      <c r="W232" t="str">
        <f t="shared" si="84"/>
        <v>Neutral</v>
      </c>
      <c r="X232">
        <f>survey_responses[[#This Row],[Tôi tin rằng Nhà nước, cơ quan thuế có đủ khả năng và công nghệ để phát hiện, xử lý nghiêm các hành vi trốn thuế. - HUMAN-ENF2]]</f>
        <v>8</v>
      </c>
      <c r="Y232" t="str">
        <f t="shared" si="85"/>
        <v>Support</v>
      </c>
      <c r="Z232" s="32">
        <f t="shared" si="86"/>
        <v>1</v>
      </c>
      <c r="AA232">
        <f>step3_validation[[#This Row],[AI_FAC1]]</f>
        <v>6</v>
      </c>
      <c r="AB232" t="str">
        <f t="shared" si="87"/>
        <v>Neutral</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2</v>
      </c>
      <c r="AF232">
        <f>step3_validation[[#This Row],[AI_FAC2]]</f>
        <v>9</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1</v>
      </c>
      <c r="AK232">
        <f>step3_validation[[#This Row],[AI_TRU1]]</f>
        <v>7</v>
      </c>
      <c r="AL232" t="str">
        <f t="shared" si="93"/>
        <v>Neutral</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0</v>
      </c>
      <c r="AP232">
        <f>step3_validation[[#This Row],[AI_TRU2]]</f>
        <v>9</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2</v>
      </c>
      <c r="AU232">
        <f>step3_validation[[#This Row],[AI_TRU3]]</f>
        <v>7</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1</v>
      </c>
      <c r="AZ232">
        <f>step3_validation[[#This Row],[AI_TRU4]]</f>
        <v>8</v>
      </c>
      <c r="BA232" t="str">
        <f t="shared" si="102"/>
        <v>Support</v>
      </c>
      <c r="BB232">
        <f>survey_responses[[#This Row],[Tôi thấy Nhà nước đã giải thích rõ ràng, minh bạch về lý do và mục tiêu của việc sửa đổi thuế lần này. - HUMAN-TRU4]]</f>
        <v>7</v>
      </c>
      <c r="BC232" t="str">
        <f t="shared" si="103"/>
        <v>Neutral</v>
      </c>
      <c r="BD232" s="32">
        <f t="shared" si="104"/>
        <v>1</v>
      </c>
      <c r="BE232">
        <f>step3_validation[[#This Row],[AI_OUT1]]</f>
        <v>9</v>
      </c>
      <c r="BF232" t="str">
        <f t="shared" si="105"/>
        <v>Support</v>
      </c>
      <c r="BG232">
        <f>survey_responses[[#This Row],[Sau khi xem xét các quyền lợi và nghĩa vụ, bạn có ủng hộ và tuân thủ chính sách mới hiện nay? - HUMAN-OUT1]]</f>
        <v>8</v>
      </c>
      <c r="BH232" t="str">
        <f t="shared" si="106"/>
        <v>Support</v>
      </c>
      <c r="BI232" s="32">
        <f t="shared" si="107"/>
        <v>1</v>
      </c>
    </row>
    <row r="233" spans="1:61" x14ac:dyDescent="0.45">
      <c r="A233" s="30">
        <f>step3_validation[[#This Row],[Persona_ID]]</f>
        <v>232</v>
      </c>
      <c r="B233" s="31">
        <f>step3_validation[[#This Row],[Used_Seed]]</f>
        <v>273</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67.508547023844386</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1</v>
      </c>
      <c r="V233">
        <f>step3_validation[[#This Row],[AI_ENF2]]</f>
        <v>8</v>
      </c>
      <c r="W233" t="str">
        <f t="shared" si="84"/>
        <v>Support</v>
      </c>
      <c r="X233">
        <f>survey_responses[[#This Row],[Tôi tin rằng Nhà nước, cơ quan thuế có đủ khả năng và công nghệ để phát hiện, xử lý nghiêm các hành vi trốn thuế. - HUMAN-ENF2]]</f>
        <v>6</v>
      </c>
      <c r="Y233" t="str">
        <f t="shared" si="85"/>
        <v>Neutral</v>
      </c>
      <c r="Z233" s="32">
        <f t="shared" si="86"/>
        <v>2</v>
      </c>
      <c r="AA233">
        <f>step3_validation[[#This Row],[AI_FAC1]]</f>
        <v>9</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3</v>
      </c>
      <c r="AF233">
        <f>step3_validation[[#This Row],[AI_FAC2]]</f>
        <v>9</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3</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8</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2</v>
      </c>
      <c r="AU233">
        <f>step3_validation[[#This Row],[AI_TRU3]]</f>
        <v>7</v>
      </c>
      <c r="AV233" t="str">
        <f t="shared" si="99"/>
        <v>Neutral</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1</v>
      </c>
      <c r="AZ233">
        <f>step3_validation[[#This Row],[AI_TRU4]]</f>
        <v>6</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2">
        <f t="shared" si="104"/>
        <v>0</v>
      </c>
      <c r="BE233">
        <f>step3_validation[[#This Row],[AI_OUT1]]</f>
        <v>8</v>
      </c>
      <c r="BF233" t="str">
        <f t="shared" si="105"/>
        <v>Support</v>
      </c>
      <c r="BG233">
        <f>survey_responses[[#This Row],[Sau khi xem xét các quyền lợi và nghĩa vụ, bạn có ủng hộ và tuân thủ chính sách mới hiện nay? - HUMAN-OUT1]]</f>
        <v>6</v>
      </c>
      <c r="BH233" t="str">
        <f t="shared" si="106"/>
        <v>Neutral</v>
      </c>
      <c r="BI233" s="32">
        <f t="shared" si="107"/>
        <v>2</v>
      </c>
    </row>
    <row r="234" spans="1:61" x14ac:dyDescent="0.45">
      <c r="A234" s="30">
        <f>step3_validation[[#This Row],[Persona_ID]]</f>
        <v>233</v>
      </c>
      <c r="B234" s="31">
        <f>step3_validation[[#This Row],[Used_Seed]]</f>
        <v>274</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15.235367395272302</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3</v>
      </c>
      <c r="R234" t="str">
        <f t="shared" si="81"/>
        <v>Oppose</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5</v>
      </c>
      <c r="V234">
        <f>step3_validation[[#This Row],[AI_ENF2]]</f>
        <v>4</v>
      </c>
      <c r="W234" t="str">
        <f t="shared" si="84"/>
        <v>Oppose</v>
      </c>
      <c r="X234">
        <f>survey_responses[[#This Row],[Tôi tin rằng Nhà nước, cơ quan thuế có đủ khả năng và công nghệ để phát hiện, xử lý nghiêm các hành vi trốn thuế. - HUMAN-ENF2]]</f>
        <v>8</v>
      </c>
      <c r="Y234" t="str">
        <f t="shared" si="85"/>
        <v>Support</v>
      </c>
      <c r="Z234" s="32">
        <f t="shared" si="86"/>
        <v>4</v>
      </c>
      <c r="AA234">
        <f>step3_validation[[#This Row],[AI_FAC1]]</f>
        <v>7</v>
      </c>
      <c r="AB234" t="str">
        <f t="shared" si="87"/>
        <v>Neutral</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1</v>
      </c>
      <c r="AF234">
        <f>step3_validation[[#This Row],[AI_FAC2]]</f>
        <v>9</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1</v>
      </c>
      <c r="AK234">
        <f>step3_validation[[#This Row],[AI_TRU1]]</f>
        <v>8</v>
      </c>
      <c r="AL234" t="str">
        <f t="shared" si="93"/>
        <v>Support</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1</v>
      </c>
      <c r="AP234">
        <f>step3_validation[[#This Row],[AI_TRU2]]</f>
        <v>7</v>
      </c>
      <c r="AQ234" t="str">
        <f t="shared" si="96"/>
        <v>Neutral</v>
      </c>
      <c r="AR234">
        <f>survey_responses[[#This Row],[Tôi thấy mức thuế tôi phải đóng theo phương án mới là công bằng (người thu nhập như tôi đóng mức này là hợp lý). - HUMAN-TRU2]]</f>
        <v>8</v>
      </c>
      <c r="AS234" t="str">
        <f t="shared" si="97"/>
        <v>Support</v>
      </c>
      <c r="AT234" s="32">
        <f t="shared" si="98"/>
        <v>1</v>
      </c>
      <c r="AU234">
        <f>step3_validation[[#This Row],[AI_TRU3]]</f>
        <v>8</v>
      </c>
      <c r="AV234" t="str">
        <f t="shared" si="99"/>
        <v>Support</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0</v>
      </c>
      <c r="AZ234">
        <f>step3_validation[[#This Row],[AI_TRU4]]</f>
        <v>6</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2</v>
      </c>
      <c r="BE234">
        <f>step3_validation[[#This Row],[AI_OUT1]]</f>
        <v>9</v>
      </c>
      <c r="BF234" t="str">
        <f t="shared" si="105"/>
        <v>Support</v>
      </c>
      <c r="BG234">
        <f>survey_responses[[#This Row],[Sau khi xem xét các quyền lợi và nghĩa vụ, bạn có ủng hộ và tuân thủ chính sách mới hiện nay? - HUMAN-OUT1]]</f>
        <v>10</v>
      </c>
      <c r="BH234" t="str">
        <f t="shared" si="106"/>
        <v>Support</v>
      </c>
      <c r="BI234" s="32">
        <f t="shared" si="107"/>
        <v>1</v>
      </c>
    </row>
    <row r="235" spans="1:61" x14ac:dyDescent="0.45">
      <c r="A235" s="30">
        <f>step3_validation[[#This Row],[Persona_ID]]</f>
        <v>234</v>
      </c>
      <c r="B235" s="31">
        <f>step3_validation[[#This Row],[Used_Seed]]</f>
        <v>275</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94.931469239853527</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6</v>
      </c>
      <c r="R235" t="str">
        <f t="shared" si="81"/>
        <v>Neutral</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2</v>
      </c>
      <c r="V235">
        <f>step3_validation[[#This Row],[AI_ENF2]]</f>
        <v>7</v>
      </c>
      <c r="W235" t="str">
        <f t="shared" si="84"/>
        <v>Neutral</v>
      </c>
      <c r="X235">
        <f>survey_responses[[#This Row],[Tôi tin rằng Nhà nước, cơ quan thuế có đủ khả năng và công nghệ để phát hiện, xử lý nghiêm các hành vi trốn thuế. - HUMAN-ENF2]]</f>
        <v>4</v>
      </c>
      <c r="Y235" t="str">
        <f t="shared" si="85"/>
        <v>Oppose</v>
      </c>
      <c r="Z235" s="32">
        <f t="shared" si="86"/>
        <v>3</v>
      </c>
      <c r="AA235">
        <f>step3_validation[[#This Row],[AI_FAC1]]</f>
        <v>9</v>
      </c>
      <c r="AB235" t="str">
        <f t="shared" si="87"/>
        <v>Support</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5</v>
      </c>
      <c r="AF235">
        <f>step3_validation[[#This Row],[AI_FAC2]]</f>
        <v>10</v>
      </c>
      <c r="AG235" t="str">
        <f t="shared" si="90"/>
        <v>Support</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6</v>
      </c>
      <c r="AK235">
        <f>step3_validation[[#This Row],[AI_TRU1]]</f>
        <v>8</v>
      </c>
      <c r="AL235" t="str">
        <f t="shared" si="93"/>
        <v>Support</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7</v>
      </c>
      <c r="AP235">
        <f>step3_validation[[#This Row],[AI_TRU2]]</f>
        <v>9</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2">
        <f t="shared" si="98"/>
        <v>6</v>
      </c>
      <c r="AU235">
        <f>step3_validation[[#This Row],[AI_TRU3]]</f>
        <v>8</v>
      </c>
      <c r="AV235" t="str">
        <f t="shared" si="99"/>
        <v>Support</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7</v>
      </c>
      <c r="AZ235">
        <f>step3_validation[[#This Row],[AI_TRU4]]</f>
        <v>7</v>
      </c>
      <c r="BA235" t="str">
        <f t="shared" si="102"/>
        <v>Neutral</v>
      </c>
      <c r="BB235">
        <f>survey_responses[[#This Row],[Tôi thấy Nhà nước đã giải thích rõ ràng, minh bạch về lý do và mục tiêu của việc sửa đổi thuế lần này. - HUMAN-TRU4]]</f>
        <v>1</v>
      </c>
      <c r="BC235" t="str">
        <f t="shared" si="103"/>
        <v>Oppose</v>
      </c>
      <c r="BD235" s="32">
        <f t="shared" si="104"/>
        <v>6</v>
      </c>
      <c r="BE235">
        <f>step3_validation[[#This Row],[AI_OUT1]]</f>
        <v>9</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8</v>
      </c>
    </row>
    <row r="236" spans="1:61" x14ac:dyDescent="0.45">
      <c r="A236" s="30">
        <f>step3_validation[[#This Row],[Persona_ID]]</f>
        <v>235</v>
      </c>
      <c r="B236" s="31">
        <f>step3_validation[[#This Row],[Used_Seed]]</f>
        <v>276</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35.208684615393793</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1</v>
      </c>
      <c r="V236">
        <f>step3_validation[[#This Row],[AI_ENF2]]</f>
        <v>8</v>
      </c>
      <c r="W236" t="str">
        <f t="shared" si="84"/>
        <v>Support</v>
      </c>
      <c r="X236">
        <f>survey_responses[[#This Row],[Tôi tin rằng Nhà nước, cơ quan thuế có đủ khả năng và công nghệ để phát hiện, xử lý nghiêm các hành vi trốn thuế. - HUMAN-ENF2]]</f>
        <v>6</v>
      </c>
      <c r="Y236" t="str">
        <f t="shared" si="85"/>
        <v>Neutral</v>
      </c>
      <c r="Z236" s="32">
        <f t="shared" si="86"/>
        <v>2</v>
      </c>
      <c r="AA236">
        <f>step3_validation[[#This Row],[AI_FAC1]]</f>
        <v>7</v>
      </c>
      <c r="AB236" t="str">
        <f t="shared" si="87"/>
        <v>Neutral</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6</v>
      </c>
      <c r="AF236">
        <f>step3_validation[[#This Row],[AI_FAC2]]</f>
        <v>9</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3</v>
      </c>
      <c r="AK236">
        <f>step3_validation[[#This Row],[AI_TRU1]]</f>
        <v>8</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3</v>
      </c>
      <c r="AP236">
        <f>step3_validation[[#This Row],[AI_TRU2]]</f>
        <v>9</v>
      </c>
      <c r="AQ236" t="str">
        <f t="shared" si="96"/>
        <v>Support</v>
      </c>
      <c r="AR236">
        <f>survey_responses[[#This Row],[Tôi thấy mức thuế tôi phải đóng theo phương án mới là công bằng (người thu nhập như tôi đóng mức này là hợp lý). - HUMAN-TRU2]]</f>
        <v>6</v>
      </c>
      <c r="AS236" t="str">
        <f t="shared" si="97"/>
        <v>Neutral</v>
      </c>
      <c r="AT236" s="32">
        <f t="shared" si="98"/>
        <v>3</v>
      </c>
      <c r="AU236">
        <f>step3_validation[[#This Row],[AI_TRU3]]</f>
        <v>8</v>
      </c>
      <c r="AV236" t="str">
        <f t="shared" si="99"/>
        <v>Support</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3</v>
      </c>
      <c r="AZ236">
        <f>step3_validation[[#This Row],[AI_TRU4]]</f>
        <v>7</v>
      </c>
      <c r="BA236" t="str">
        <f t="shared" si="102"/>
        <v>Neutral</v>
      </c>
      <c r="BB236">
        <f>survey_responses[[#This Row],[Tôi thấy Nhà nước đã giải thích rõ ràng, minh bạch về lý do và mục tiêu của việc sửa đổi thuế lần này. - HUMAN-TRU4]]</f>
        <v>6</v>
      </c>
      <c r="BC236" t="str">
        <f t="shared" si="103"/>
        <v>Neutral</v>
      </c>
      <c r="BD236" s="32">
        <f t="shared" si="104"/>
        <v>1</v>
      </c>
      <c r="BE236">
        <f>step3_validation[[#This Row],[AI_OUT1]]</f>
        <v>9</v>
      </c>
      <c r="BF236" t="str">
        <f t="shared" si="105"/>
        <v>Support</v>
      </c>
      <c r="BG236">
        <f>survey_responses[[#This Row],[Sau khi xem xét các quyền lợi và nghĩa vụ, bạn có ủng hộ và tuân thủ chính sách mới hiện nay? - HUMAN-OUT1]]</f>
        <v>6</v>
      </c>
      <c r="BH236" t="str">
        <f t="shared" si="106"/>
        <v>Neutral</v>
      </c>
      <c r="BI236" s="32">
        <f t="shared" si="107"/>
        <v>3</v>
      </c>
    </row>
    <row r="237" spans="1:61" x14ac:dyDescent="0.45">
      <c r="A237" s="30">
        <f>step3_validation[[#This Row],[Persona_ID]]</f>
        <v>236</v>
      </c>
      <c r="B237" s="31">
        <f>step3_validation[[#This Row],[Used_Seed]]</f>
        <v>277</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49.143140403078377</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7</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0</v>
      </c>
      <c r="V237">
        <f>step3_validation[[#This Row],[AI_ENF2]]</f>
        <v>8</v>
      </c>
      <c r="W237" t="str">
        <f t="shared" si="84"/>
        <v>Support</v>
      </c>
      <c r="X237">
        <f>survey_responses[[#This Row],[Tôi tin rằng Nhà nước, cơ quan thuế có đủ khả năng và công nghệ để phát hiện, xử lý nghiêm các hành vi trốn thuế. - HUMAN-ENF2]]</f>
        <v>7</v>
      </c>
      <c r="Y237" t="str">
        <f t="shared" si="85"/>
        <v>Neutral</v>
      </c>
      <c r="Z237" s="32">
        <f t="shared" si="86"/>
        <v>1</v>
      </c>
      <c r="AA237">
        <f>step3_validation[[#This Row],[AI_FAC1]]</f>
        <v>9</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2</v>
      </c>
      <c r="AF237">
        <f>step3_validation[[#This Row],[AI_FAC2]]</f>
        <v>9</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2</v>
      </c>
      <c r="AK237">
        <f>step3_validation[[#This Row],[AI_TRU1]]</f>
        <v>9</v>
      </c>
      <c r="AL237" t="str">
        <f t="shared" si="93"/>
        <v>Support</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2</v>
      </c>
      <c r="AP237">
        <f>step3_validation[[#This Row],[AI_TRU2]]</f>
        <v>9</v>
      </c>
      <c r="AQ237" t="str">
        <f t="shared" si="96"/>
        <v>Support</v>
      </c>
      <c r="AR237">
        <f>survey_responses[[#This Row],[Tôi thấy mức thuế tôi phải đóng theo phương án mới là công bằng (người thu nhập như tôi đóng mức này là hợp lý). - HUMAN-TRU2]]</f>
        <v>7</v>
      </c>
      <c r="AS237" t="str">
        <f t="shared" si="97"/>
        <v>Neutral</v>
      </c>
      <c r="AT237" s="32">
        <f t="shared" si="98"/>
        <v>2</v>
      </c>
      <c r="AU237">
        <f>step3_validation[[#This Row],[AI_TRU3]]</f>
        <v>8</v>
      </c>
      <c r="AV237" t="str">
        <f t="shared" si="99"/>
        <v>Support</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1</v>
      </c>
      <c r="AZ237">
        <f>step3_validation[[#This Row],[AI_TRU4]]</f>
        <v>9</v>
      </c>
      <c r="BA237" t="str">
        <f t="shared" si="102"/>
        <v>Support</v>
      </c>
      <c r="BB237">
        <f>survey_responses[[#This Row],[Tôi thấy Nhà nước đã giải thích rõ ràng, minh bạch về lý do và mục tiêu của việc sửa đổi thuế lần này. - HUMAN-TRU4]]</f>
        <v>7</v>
      </c>
      <c r="BC237" t="str">
        <f t="shared" si="103"/>
        <v>Neutral</v>
      </c>
      <c r="BD237" s="32">
        <f t="shared" si="104"/>
        <v>2</v>
      </c>
      <c r="BE237">
        <f>step3_validation[[#This Row],[AI_OUT1]]</f>
        <v>9</v>
      </c>
      <c r="BF237" t="str">
        <f t="shared" si="105"/>
        <v>Support</v>
      </c>
      <c r="BG237">
        <f>survey_responses[[#This Row],[Sau khi xem xét các quyền lợi và nghĩa vụ, bạn có ủng hộ và tuân thủ chính sách mới hiện nay? - HUMAN-OUT1]]</f>
        <v>7</v>
      </c>
      <c r="BH237" t="str">
        <f t="shared" si="106"/>
        <v>Neutral</v>
      </c>
      <c r="BI237" s="32">
        <f t="shared" si="107"/>
        <v>2</v>
      </c>
    </row>
    <row r="238" spans="1:61" x14ac:dyDescent="0.45">
      <c r="A238" s="30">
        <f>step3_validation[[#This Row],[Persona_ID]]</f>
        <v>237</v>
      </c>
      <c r="B238" s="31">
        <f>step3_validation[[#This Row],[Used_Seed]]</f>
        <v>278</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12.923979842089576</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6</v>
      </c>
      <c r="R238" t="str">
        <f t="shared" si="81"/>
        <v>Neutral</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4</v>
      </c>
      <c r="V238">
        <f>step3_validation[[#This Row],[AI_ENF2]]</f>
        <v>7</v>
      </c>
      <c r="W238" t="str">
        <f t="shared" si="84"/>
        <v>Neutral</v>
      </c>
      <c r="X238">
        <f>survey_responses[[#This Row],[Tôi tin rằng Nhà nước, cơ quan thuế có đủ khả năng và công nghệ để phát hiện, xử lý nghiêm các hành vi trốn thuế. - HUMAN-ENF2]]</f>
        <v>10</v>
      </c>
      <c r="Y238" t="str">
        <f t="shared" si="85"/>
        <v>Support</v>
      </c>
      <c r="Z238" s="32">
        <f t="shared" si="86"/>
        <v>3</v>
      </c>
      <c r="AA238">
        <f>step3_validation[[#This Row],[AI_FAC1]]</f>
        <v>6</v>
      </c>
      <c r="AB238" t="str">
        <f t="shared" si="87"/>
        <v>Neutral</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2</v>
      </c>
      <c r="AF238">
        <f>step3_validation[[#This Row],[AI_FAC2]]</f>
        <v>7</v>
      </c>
      <c r="AG238" t="str">
        <f t="shared" si="90"/>
        <v>Neutral</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1</v>
      </c>
      <c r="AK238">
        <f>step3_validation[[#This Row],[AI_TRU1]]</f>
        <v>6</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3</v>
      </c>
      <c r="AP238">
        <f>step3_validation[[#This Row],[AI_TRU2]]</f>
        <v>8</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2">
        <f t="shared" si="98"/>
        <v>7</v>
      </c>
      <c r="AU238">
        <f>step3_validation[[#This Row],[AI_TRU3]]</f>
        <v>6</v>
      </c>
      <c r="AV238" t="str">
        <f t="shared" si="99"/>
        <v>Neutral</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5</v>
      </c>
      <c r="AZ238">
        <f>step3_validation[[#This Row],[AI_TRU4]]</f>
        <v>7</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4</v>
      </c>
      <c r="BE238">
        <f>step3_validation[[#This Row],[AI_OUT1]]</f>
        <v>8</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7</v>
      </c>
    </row>
    <row r="239" spans="1:61" x14ac:dyDescent="0.45">
      <c r="A239" s="30">
        <f>step3_validation[[#This Row],[Persona_ID]]</f>
        <v>238</v>
      </c>
      <c r="B239" s="31">
        <f>step3_validation[[#This Row],[Used_Seed]]</f>
        <v>279</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25.252542564087936</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6</v>
      </c>
      <c r="R239" t="str">
        <f t="shared" si="81"/>
        <v>Neutral</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2</v>
      </c>
      <c r="V239">
        <f>step3_validation[[#This Row],[AI_ENF2]]</f>
        <v>8</v>
      </c>
      <c r="W239" t="str">
        <f t="shared" si="84"/>
        <v>Support</v>
      </c>
      <c r="X239">
        <f>survey_responses[[#This Row],[Tôi tin rằng Nhà nước, cơ quan thuế có đủ khả năng và công nghệ để phát hiện, xử lý nghiêm các hành vi trốn thuế. - HUMAN-ENF2]]</f>
        <v>10</v>
      </c>
      <c r="Y239" t="str">
        <f t="shared" si="85"/>
        <v>Support</v>
      </c>
      <c r="Z239" s="32">
        <f t="shared" si="86"/>
        <v>2</v>
      </c>
      <c r="AA239">
        <f>step3_validation[[#This Row],[AI_FAC1]]</f>
        <v>9</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1</v>
      </c>
      <c r="AF239">
        <f>step3_validation[[#This Row],[AI_FAC2]]</f>
        <v>8</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2</v>
      </c>
      <c r="AK239">
        <f>step3_validation[[#This Row],[AI_TRU1]]</f>
        <v>7</v>
      </c>
      <c r="AL239" t="str">
        <f t="shared" si="93"/>
        <v>Neutral</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2</v>
      </c>
      <c r="AP239">
        <f>step3_validation[[#This Row],[AI_TRU2]]</f>
        <v>9</v>
      </c>
      <c r="AQ239" t="str">
        <f t="shared" si="96"/>
        <v>Support</v>
      </c>
      <c r="AR239">
        <f>survey_responses[[#This Row],[Tôi thấy mức thuế tôi phải đóng theo phương án mới là công bằng (người thu nhập như tôi đóng mức này là hợp lý). - HUMAN-TRU2]]</f>
        <v>8</v>
      </c>
      <c r="AS239" t="str">
        <f t="shared" si="97"/>
        <v>Support</v>
      </c>
      <c r="AT239" s="32">
        <f t="shared" si="98"/>
        <v>1</v>
      </c>
      <c r="AU239">
        <f>step3_validation[[#This Row],[AI_TRU3]]</f>
        <v>7</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0</v>
      </c>
      <c r="AZ239">
        <f>step3_validation[[#This Row],[AI_TRU4]]</f>
        <v>6</v>
      </c>
      <c r="BA239" t="str">
        <f t="shared" si="102"/>
        <v>Neutral</v>
      </c>
      <c r="BB239">
        <f>survey_responses[[#This Row],[Tôi thấy Nhà nước đã giải thích rõ ràng, minh bạch về lý do và mục tiêu của việc sửa đổi thuế lần này. - HUMAN-TRU4]]</f>
        <v>9</v>
      </c>
      <c r="BC239" t="str">
        <f t="shared" si="103"/>
        <v>Support</v>
      </c>
      <c r="BD239" s="32">
        <f t="shared" si="104"/>
        <v>3</v>
      </c>
      <c r="BE239">
        <f>step3_validation[[#This Row],[AI_OUT1]]</f>
        <v>9</v>
      </c>
      <c r="BF239" t="str">
        <f t="shared" si="105"/>
        <v>Support</v>
      </c>
      <c r="BG239">
        <f>survey_responses[[#This Row],[Sau khi xem xét các quyền lợi và nghĩa vụ, bạn có ủng hộ và tuân thủ chính sách mới hiện nay? - HUMAN-OUT1]]</f>
        <v>9</v>
      </c>
      <c r="BH239" t="str">
        <f t="shared" si="106"/>
        <v>Support</v>
      </c>
      <c r="BI239" s="32">
        <f t="shared" si="107"/>
        <v>0</v>
      </c>
    </row>
    <row r="240" spans="1:61" x14ac:dyDescent="0.45">
      <c r="A240" s="30">
        <f>step3_validation[[#This Row],[Persona_ID]]</f>
        <v>239</v>
      </c>
      <c r="B240" s="31">
        <f>step3_validation[[#This Row],[Used_Seed]]</f>
        <v>280</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98.207445840656391</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6</v>
      </c>
      <c r="R240" t="str">
        <f t="shared" si="81"/>
        <v>Neutral</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0</v>
      </c>
      <c r="V240">
        <f>step3_validation[[#This Row],[AI_ENF2]]</f>
        <v>8</v>
      </c>
      <c r="W240" t="str">
        <f t="shared" si="84"/>
        <v>Support</v>
      </c>
      <c r="X240">
        <f>survey_responses[[#This Row],[Tôi tin rằng Nhà nước, cơ quan thuế có đủ khả năng và công nghệ để phát hiện, xử lý nghiêm các hành vi trốn thuế. - HUMAN-ENF2]]</f>
        <v>6</v>
      </c>
      <c r="Y240" t="str">
        <f t="shared" si="85"/>
        <v>Neutral</v>
      </c>
      <c r="Z240" s="32">
        <f t="shared" si="86"/>
        <v>2</v>
      </c>
      <c r="AA240">
        <f>step3_validation[[#This Row],[AI_FAC1]]</f>
        <v>7</v>
      </c>
      <c r="AB240" t="str">
        <f t="shared" si="87"/>
        <v>Neutral</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1</v>
      </c>
      <c r="AF240">
        <f>step3_validation[[#This Row],[AI_FAC2]]</f>
        <v>9</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3</v>
      </c>
      <c r="AK240">
        <f>step3_validation[[#This Row],[AI_TRU1]]</f>
        <v>7</v>
      </c>
      <c r="AL240" t="str">
        <f t="shared" si="93"/>
        <v>Neutral</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1</v>
      </c>
      <c r="AP240">
        <f>step3_validation[[#This Row],[AI_TRU2]]</f>
        <v>7</v>
      </c>
      <c r="AQ240" t="str">
        <f t="shared" si="96"/>
        <v>Neutral</v>
      </c>
      <c r="AR240">
        <f>survey_responses[[#This Row],[Tôi thấy mức thuế tôi phải đóng theo phương án mới là công bằng (người thu nhập như tôi đóng mức này là hợp lý). - HUMAN-TRU2]]</f>
        <v>6</v>
      </c>
      <c r="AS240" t="str">
        <f t="shared" si="97"/>
        <v>Neutral</v>
      </c>
      <c r="AT240" s="32">
        <f t="shared" si="98"/>
        <v>1</v>
      </c>
      <c r="AU240">
        <f>step3_validation[[#This Row],[AI_TRU3]]</f>
        <v>6</v>
      </c>
      <c r="AV240" t="str">
        <f t="shared" si="99"/>
        <v>Neutral</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0</v>
      </c>
      <c r="AZ240">
        <f>step3_validation[[#This Row],[AI_TRU4]]</f>
        <v>7</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0</v>
      </c>
      <c r="BE240">
        <f>step3_validation[[#This Row],[AI_OUT1]]</f>
        <v>9</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3</v>
      </c>
    </row>
    <row r="241" spans="1:61" x14ac:dyDescent="0.45">
      <c r="A241" s="30">
        <f>step3_validation[[#This Row],[Persona_ID]]</f>
        <v>240</v>
      </c>
      <c r="B241" s="31">
        <f>step3_validation[[#This Row],[Used_Seed]]</f>
        <v>281</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62.752585483471158</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7</v>
      </c>
      <c r="R241" t="str">
        <f t="shared" si="81"/>
        <v>Neutral</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1</v>
      </c>
      <c r="V241">
        <f>step3_validation[[#This Row],[AI_ENF2]]</f>
        <v>8</v>
      </c>
      <c r="W241" t="str">
        <f t="shared" si="84"/>
        <v>Support</v>
      </c>
      <c r="X241">
        <f>survey_responses[[#This Row],[Tôi tin rằng Nhà nước, cơ quan thuế có đủ khả năng và công nghệ để phát hiện, xử lý nghiêm các hành vi trốn thuế. - HUMAN-ENF2]]</f>
        <v>8</v>
      </c>
      <c r="Y241" t="str">
        <f t="shared" si="85"/>
        <v>Support</v>
      </c>
      <c r="Z241" s="32">
        <f t="shared" si="86"/>
        <v>0</v>
      </c>
      <c r="AA241">
        <f>step3_validation[[#This Row],[AI_FAC1]]</f>
        <v>9</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1</v>
      </c>
      <c r="AF241">
        <f>step3_validation[[#This Row],[AI_FAC2]]</f>
        <v>9</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8</v>
      </c>
      <c r="AL241" t="str">
        <f t="shared" si="93"/>
        <v>Support</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0</v>
      </c>
      <c r="AP241">
        <f>step3_validation[[#This Row],[AI_TRU2]]</f>
        <v>9</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1</v>
      </c>
      <c r="AU241">
        <f>step3_validation[[#This Row],[AI_TRU3]]</f>
        <v>8</v>
      </c>
      <c r="AV241" t="str">
        <f t="shared" si="99"/>
        <v>Support</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0</v>
      </c>
      <c r="AZ241">
        <f>step3_validation[[#This Row],[AI_TRU4]]</f>
        <v>7</v>
      </c>
      <c r="BA241" t="str">
        <f t="shared" si="102"/>
        <v>Neutral</v>
      </c>
      <c r="BB241">
        <f>survey_responses[[#This Row],[Tôi thấy Nhà nước đã giải thích rõ ràng, minh bạch về lý do và mục tiêu của việc sửa đổi thuế lần này. - HUMAN-TRU4]]</f>
        <v>8</v>
      </c>
      <c r="BC241" t="str">
        <f t="shared" si="103"/>
        <v>Support</v>
      </c>
      <c r="BD241" s="32">
        <f t="shared" si="104"/>
        <v>1</v>
      </c>
      <c r="BE241">
        <f>step3_validation[[#This Row],[AI_OUT1]]</f>
        <v>9</v>
      </c>
      <c r="BF241" t="str">
        <f t="shared" si="105"/>
        <v>Support</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282</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64.754924869796142</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6</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1</v>
      </c>
      <c r="V242">
        <f>step3_validation[[#This Row],[AI_ENF2]]</f>
        <v>6</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2">
        <f t="shared" si="86"/>
        <v>0</v>
      </c>
      <c r="AA242">
        <f>step3_validation[[#This Row],[AI_FAC1]]</f>
        <v>9</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2</v>
      </c>
      <c r="AF242">
        <f>step3_validation[[#This Row],[AI_FAC2]]</f>
        <v>8</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1</v>
      </c>
      <c r="AK242">
        <f>step3_validation[[#This Row],[AI_TRU1]]</f>
        <v>7</v>
      </c>
      <c r="AL242" t="str">
        <f t="shared" si="93"/>
        <v>Neutral</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8</v>
      </c>
      <c r="AQ242" t="str">
        <f t="shared" si="96"/>
        <v>Support</v>
      </c>
      <c r="AR242">
        <f>survey_responses[[#This Row],[Tôi thấy mức thuế tôi phải đóng theo phương án mới là công bằng (người thu nhập như tôi đóng mức này là hợp lý). - HUMAN-TRU2]]</f>
        <v>8</v>
      </c>
      <c r="AS242" t="str">
        <f t="shared" si="97"/>
        <v>Support</v>
      </c>
      <c r="AT242" s="32">
        <f t="shared" si="98"/>
        <v>0</v>
      </c>
      <c r="AU242">
        <f>step3_validation[[#This Row],[AI_TRU3]]</f>
        <v>7</v>
      </c>
      <c r="AV242" t="str">
        <f t="shared" si="99"/>
        <v>Neutral</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1</v>
      </c>
      <c r="AZ242">
        <f>step3_validation[[#This Row],[AI_TRU4]]</f>
        <v>8</v>
      </c>
      <c r="BA242" t="str">
        <f t="shared" si="102"/>
        <v>Support</v>
      </c>
      <c r="BB242">
        <f>survey_responses[[#This Row],[Tôi thấy Nhà nước đã giải thích rõ ràng, minh bạch về lý do và mục tiêu của việc sửa đổi thuế lần này. - HUMAN-TRU4]]</f>
        <v>8</v>
      </c>
      <c r="BC242" t="str">
        <f t="shared" si="103"/>
        <v>Support</v>
      </c>
      <c r="BD242" s="32">
        <f t="shared" si="104"/>
        <v>0</v>
      </c>
      <c r="BE242">
        <f>step3_validation[[#This Row],[AI_OUT1]]</f>
        <v>9</v>
      </c>
      <c r="BF242" t="str">
        <f t="shared" si="105"/>
        <v>Support</v>
      </c>
      <c r="BG242">
        <f>survey_responses[[#This Row],[Sau khi xem xét các quyền lợi và nghĩa vụ, bạn có ủng hộ và tuân thủ chính sách mới hiện nay? - HUMAN-OUT1]]</f>
        <v>8</v>
      </c>
      <c r="BH242" t="str">
        <f t="shared" si="106"/>
        <v>Support</v>
      </c>
      <c r="BI242" s="32">
        <f t="shared" si="107"/>
        <v>1</v>
      </c>
    </row>
    <row r="243" spans="1:61" x14ac:dyDescent="0.45">
      <c r="A243" s="30">
        <f>step3_validation[[#This Row],[Persona_ID]]</f>
        <v>242</v>
      </c>
      <c r="B243" s="31">
        <f>step3_validation[[#This Row],[Used_Seed]]</f>
        <v>283</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67.652674330722348</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1</v>
      </c>
      <c r="V243">
        <f>step3_validation[[#This Row],[AI_ENF2]]</f>
        <v>8</v>
      </c>
      <c r="W243" t="str">
        <f t="shared" si="84"/>
        <v>Support</v>
      </c>
      <c r="X243">
        <f>survey_responses[[#This Row],[Tôi tin rằng Nhà nước, cơ quan thuế có đủ khả năng và công nghệ để phát hiện, xử lý nghiêm các hành vi trốn thuế. - HUMAN-ENF2]]</f>
        <v>5</v>
      </c>
      <c r="Y243" t="str">
        <f t="shared" si="85"/>
        <v>Neutral</v>
      </c>
      <c r="Z243" s="32">
        <f t="shared" si="86"/>
        <v>3</v>
      </c>
      <c r="AA243">
        <f>step3_validation[[#This Row],[AI_FAC1]]</f>
        <v>9</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4</v>
      </c>
      <c r="AF243">
        <f>step3_validation[[#This Row],[AI_FAC2]]</f>
        <v>9</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2</v>
      </c>
      <c r="AK243">
        <f>step3_validation[[#This Row],[AI_TRU1]]</f>
        <v>7</v>
      </c>
      <c r="AL243" t="str">
        <f t="shared" si="93"/>
        <v>Neutral</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0</v>
      </c>
      <c r="AP243">
        <f>step3_validation[[#This Row],[AI_TRU2]]</f>
        <v>9</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2</v>
      </c>
      <c r="AU243">
        <f>step3_validation[[#This Row],[AI_TRU3]]</f>
        <v>7</v>
      </c>
      <c r="AV243" t="str">
        <f t="shared" si="99"/>
        <v>Neutral</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0</v>
      </c>
      <c r="AZ243">
        <f>step3_validation[[#This Row],[AI_TRU4]]</f>
        <v>8</v>
      </c>
      <c r="BA243" t="str">
        <f t="shared" si="102"/>
        <v>Support</v>
      </c>
      <c r="BB243">
        <f>survey_responses[[#This Row],[Tôi thấy Nhà nước đã giải thích rõ ràng, minh bạch về lý do và mục tiêu của việc sửa đổi thuế lần này. - HUMAN-TRU4]]</f>
        <v>8</v>
      </c>
      <c r="BC243" t="str">
        <f t="shared" si="103"/>
        <v>Support</v>
      </c>
      <c r="BD243" s="32">
        <f t="shared" si="104"/>
        <v>0</v>
      </c>
      <c r="BE243">
        <f>step3_validation[[#This Row],[AI_OUT1]]</f>
        <v>7</v>
      </c>
      <c r="BF243" t="str">
        <f t="shared" si="105"/>
        <v>Neutral</v>
      </c>
      <c r="BG243">
        <f>survey_responses[[#This Row],[Sau khi xem xét các quyền lợi và nghĩa vụ, bạn có ủng hộ và tuân thủ chính sách mới hiện nay? - HUMAN-OUT1]]</f>
        <v>8</v>
      </c>
      <c r="BH243" t="str">
        <f t="shared" si="106"/>
        <v>Support</v>
      </c>
      <c r="BI243" s="32">
        <f t="shared" si="107"/>
        <v>1</v>
      </c>
    </row>
    <row r="244" spans="1:61" x14ac:dyDescent="0.45">
      <c r="A244" s="30">
        <f>step3_validation[[#This Row],[Persona_ID]]</f>
        <v>243</v>
      </c>
      <c r="B244" s="31">
        <f>step3_validation[[#This Row],[Used_Seed]]</f>
        <v>284</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93.08618525769117</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1</v>
      </c>
      <c r="V244">
        <f>step3_validation[[#This Row],[AI_ENF2]]</f>
        <v>8</v>
      </c>
      <c r="W244" t="str">
        <f t="shared" si="84"/>
        <v>Support</v>
      </c>
      <c r="X244">
        <f>survey_responses[[#This Row],[Tôi tin rằng Nhà nước, cơ quan thuế có đủ khả năng và công nghệ để phát hiện, xử lý nghiêm các hành vi trốn thuế. - HUMAN-ENF2]]</f>
        <v>6</v>
      </c>
      <c r="Y244" t="str">
        <f t="shared" si="85"/>
        <v>Neutral</v>
      </c>
      <c r="Z244" s="32">
        <f t="shared" si="86"/>
        <v>2</v>
      </c>
      <c r="AA244">
        <f>step3_validation[[#This Row],[AI_FAC1]]</f>
        <v>6</v>
      </c>
      <c r="AB244" t="str">
        <f t="shared" si="87"/>
        <v>Neutral</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0</v>
      </c>
      <c r="AF244">
        <f>step3_validation[[#This Row],[AI_FAC2]]</f>
        <v>9</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3</v>
      </c>
      <c r="AK244">
        <f>step3_validation[[#This Row],[AI_TRU1]]</f>
        <v>7</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1</v>
      </c>
      <c r="AP244">
        <f>step3_validation[[#This Row],[AI_TRU2]]</f>
        <v>9</v>
      </c>
      <c r="AQ244" t="str">
        <f t="shared" si="96"/>
        <v>Support</v>
      </c>
      <c r="AR244">
        <f>survey_responses[[#This Row],[Tôi thấy mức thuế tôi phải đóng theo phương án mới là công bằng (người thu nhập như tôi đóng mức này là hợp lý). - HUMAN-TRU2]]</f>
        <v>6</v>
      </c>
      <c r="AS244" t="str">
        <f t="shared" si="97"/>
        <v>Neutral</v>
      </c>
      <c r="AT244" s="32">
        <f t="shared" si="98"/>
        <v>3</v>
      </c>
      <c r="AU244">
        <f>step3_validation[[#This Row],[AI_TRU3]]</f>
        <v>8</v>
      </c>
      <c r="AV244" t="str">
        <f t="shared" si="99"/>
        <v>Support</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2</v>
      </c>
      <c r="AZ244">
        <f>step3_validation[[#This Row],[AI_TRU4]]</f>
        <v>7</v>
      </c>
      <c r="BA244" t="str">
        <f t="shared" si="102"/>
        <v>Neutral</v>
      </c>
      <c r="BB244">
        <f>survey_responses[[#This Row],[Tôi thấy Nhà nước đã giải thích rõ ràng, minh bạch về lý do và mục tiêu của việc sửa đổi thuế lần này. - HUMAN-TRU4]]</f>
        <v>6</v>
      </c>
      <c r="BC244" t="str">
        <f t="shared" si="103"/>
        <v>Neutral</v>
      </c>
      <c r="BD244" s="32">
        <f t="shared" si="104"/>
        <v>1</v>
      </c>
      <c r="BE244">
        <f>step3_validation[[#This Row],[AI_OUT1]]</f>
        <v>9</v>
      </c>
      <c r="BF244" t="str">
        <f t="shared" si="105"/>
        <v>Support</v>
      </c>
      <c r="BG244">
        <f>survey_responses[[#This Row],[Sau khi xem xét các quyền lợi và nghĩa vụ, bạn có ủng hộ và tuân thủ chính sách mới hiện nay? - HUMAN-OUT1]]</f>
        <v>6</v>
      </c>
      <c r="BH244" t="str">
        <f t="shared" si="106"/>
        <v>Neutral</v>
      </c>
      <c r="BI244" s="32">
        <f t="shared" si="107"/>
        <v>3</v>
      </c>
    </row>
    <row r="245" spans="1:61" x14ac:dyDescent="0.45">
      <c r="A245" s="30">
        <f>step3_validation[[#This Row],[Persona_ID]]</f>
        <v>244</v>
      </c>
      <c r="B245" s="31">
        <f>step3_validation[[#This Row],[Used_Seed]]</f>
        <v>285</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58.64415741914317</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6</v>
      </c>
      <c r="R245" t="str">
        <f t="shared" si="81"/>
        <v>Neutral</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1</v>
      </c>
      <c r="V245">
        <f>step3_validation[[#This Row],[AI_ENF2]]</f>
        <v>7</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2">
        <f t="shared" si="86"/>
        <v>1</v>
      </c>
      <c r="AA245">
        <f>step3_validation[[#This Row],[AI_FAC1]]</f>
        <v>8</v>
      </c>
      <c r="AB245" t="str">
        <f t="shared" si="87"/>
        <v>Support</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2</v>
      </c>
      <c r="AF245">
        <f>step3_validation[[#This Row],[AI_FAC2]]</f>
        <v>9</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1</v>
      </c>
      <c r="AK245">
        <f>step3_validation[[#This Row],[AI_TRU1]]</f>
        <v>8</v>
      </c>
      <c r="AL245" t="str">
        <f t="shared" si="93"/>
        <v>Support</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2</v>
      </c>
      <c r="AP245">
        <f>step3_validation[[#This Row],[AI_TRU2]]</f>
        <v>9</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3</v>
      </c>
      <c r="AU245">
        <f>step3_validation[[#This Row],[AI_TRU3]]</f>
        <v>7</v>
      </c>
      <c r="AV245" t="str">
        <f t="shared" si="99"/>
        <v>Neutral</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1</v>
      </c>
      <c r="AZ245">
        <f>step3_validation[[#This Row],[AI_TRU4]]</f>
        <v>6</v>
      </c>
      <c r="BA245" t="str">
        <f t="shared" si="102"/>
        <v>Neutral</v>
      </c>
      <c r="BB245">
        <f>survey_responses[[#This Row],[Tôi thấy Nhà nước đã giải thích rõ ràng, minh bạch về lý do và mục tiêu của việc sửa đổi thuế lần này. - HUMAN-TRU4]]</f>
        <v>6</v>
      </c>
      <c r="BC245" t="str">
        <f t="shared" si="103"/>
        <v>Neutral</v>
      </c>
      <c r="BD245" s="32">
        <f t="shared" si="104"/>
        <v>0</v>
      </c>
      <c r="BE245">
        <f>step3_validation[[#This Row],[AI_OUT1]]</f>
        <v>8</v>
      </c>
      <c r="BF245" t="str">
        <f t="shared" si="105"/>
        <v>Support</v>
      </c>
      <c r="BG245">
        <f>survey_responses[[#This Row],[Sau khi xem xét các quyền lợi và nghĩa vụ, bạn có ủng hộ và tuân thủ chính sách mới hiện nay? - HUMAN-OUT1]]</f>
        <v>6</v>
      </c>
      <c r="BH245" t="str">
        <f t="shared" si="106"/>
        <v>Neutral</v>
      </c>
      <c r="BI245" s="32">
        <f t="shared" si="107"/>
        <v>2</v>
      </c>
    </row>
    <row r="246" spans="1:61" x14ac:dyDescent="0.45">
      <c r="A246" s="30">
        <f>step3_validation[[#This Row],[Persona_ID]]</f>
        <v>245</v>
      </c>
      <c r="B246" s="31">
        <f>step3_validation[[#This Row],[Used_Seed]]</f>
        <v>286</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160.23119915397257</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3</v>
      </c>
      <c r="V246">
        <f>step3_validation[[#This Row],[AI_ENF2]]</f>
        <v>8</v>
      </c>
      <c r="W246" t="str">
        <f t="shared" si="84"/>
        <v>Support</v>
      </c>
      <c r="X246">
        <f>survey_responses[[#This Row],[Tôi tin rằng Nhà nước, cơ quan thuế có đủ khả năng và công nghệ để phát hiện, xử lý nghiêm các hành vi trốn thuế. - HUMAN-ENF2]]</f>
        <v>4</v>
      </c>
      <c r="Y246" t="str">
        <f t="shared" si="85"/>
        <v>Oppose</v>
      </c>
      <c r="Z246" s="32">
        <f t="shared" si="86"/>
        <v>4</v>
      </c>
      <c r="AA246">
        <f>step3_validation[[#This Row],[AI_FAC1]]</f>
        <v>9</v>
      </c>
      <c r="AB246" t="str">
        <f t="shared" si="87"/>
        <v>Support</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8</v>
      </c>
      <c r="AF246">
        <f>step3_validation[[#This Row],[AI_FAC2]]</f>
        <v>9</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5</v>
      </c>
      <c r="AK246">
        <f>step3_validation[[#This Row],[AI_TRU1]]</f>
        <v>8</v>
      </c>
      <c r="AL246" t="str">
        <f t="shared" si="93"/>
        <v>Support</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4</v>
      </c>
      <c r="AP246">
        <f>step3_validation[[#This Row],[AI_TRU2]]</f>
        <v>9</v>
      </c>
      <c r="AQ246" t="str">
        <f t="shared" si="96"/>
        <v>Support</v>
      </c>
      <c r="AR246">
        <f>survey_responses[[#This Row],[Tôi thấy mức thuế tôi phải đóng theo phương án mới là công bằng (người thu nhập như tôi đóng mức này là hợp lý). - HUMAN-TRU2]]</f>
        <v>4</v>
      </c>
      <c r="AS246" t="str">
        <f t="shared" si="97"/>
        <v>Oppose</v>
      </c>
      <c r="AT246" s="32">
        <f t="shared" si="98"/>
        <v>5</v>
      </c>
      <c r="AU246">
        <f>step3_validation[[#This Row],[AI_TRU3]]</f>
        <v>8</v>
      </c>
      <c r="AV246" t="str">
        <f t="shared" si="99"/>
        <v>Support</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3</v>
      </c>
      <c r="AZ246">
        <f>step3_validation[[#This Row],[AI_TRU4]]</f>
        <v>9</v>
      </c>
      <c r="BA246" t="str">
        <f t="shared" si="102"/>
        <v>Support</v>
      </c>
      <c r="BB246">
        <f>survey_responses[[#This Row],[Tôi thấy Nhà nước đã giải thích rõ ràng, minh bạch về lý do và mục tiêu của việc sửa đổi thuế lần này. - HUMAN-TRU4]]</f>
        <v>5</v>
      </c>
      <c r="BC246" t="str">
        <f t="shared" si="103"/>
        <v>Neutral</v>
      </c>
      <c r="BD246" s="32">
        <f t="shared" si="104"/>
        <v>4</v>
      </c>
      <c r="BE246">
        <f>step3_validation[[#This Row],[AI_OUT1]]</f>
        <v>10</v>
      </c>
      <c r="BF246" t="str">
        <f t="shared" si="105"/>
        <v>Support</v>
      </c>
      <c r="BG246">
        <f>survey_responses[[#This Row],[Sau khi xem xét các quyền lợi và nghĩa vụ, bạn có ủng hộ và tuân thủ chính sách mới hiện nay? - HUMAN-OUT1]]</f>
        <v>5</v>
      </c>
      <c r="BH246" t="str">
        <f t="shared" si="106"/>
        <v>Neutral</v>
      </c>
      <c r="BI246" s="32">
        <f t="shared" si="107"/>
        <v>5</v>
      </c>
    </row>
    <row r="247" spans="1:61" x14ac:dyDescent="0.45">
      <c r="A247" s="30">
        <f>step3_validation[[#This Row],[Persona_ID]]</f>
        <v>246</v>
      </c>
      <c r="B247" s="31">
        <f>step3_validation[[#This Row],[Used_Seed]]</f>
        <v>287</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26.20264300970296</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9</v>
      </c>
      <c r="R247" t="str">
        <f t="shared" si="81"/>
        <v>Support</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3</v>
      </c>
      <c r="V247">
        <f>step3_validation[[#This Row],[AI_ENF2]]</f>
        <v>8</v>
      </c>
      <c r="W247" t="str">
        <f t="shared" si="84"/>
        <v>Support</v>
      </c>
      <c r="X247">
        <f>survey_responses[[#This Row],[Tôi tin rằng Nhà nước, cơ quan thuế có đủ khả năng và công nghệ để phát hiện, xử lý nghiêm các hành vi trốn thuế. - HUMAN-ENF2]]</f>
        <v>7</v>
      </c>
      <c r="Y247" t="str">
        <f t="shared" si="85"/>
        <v>Neutral</v>
      </c>
      <c r="Z247" s="32">
        <f t="shared" si="86"/>
        <v>1</v>
      </c>
      <c r="AA247">
        <f>step3_validation[[#This Row],[AI_FAC1]]</f>
        <v>9</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2</v>
      </c>
      <c r="AF247">
        <f>step3_validation[[#This Row],[AI_FAC2]]</f>
        <v>8</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1</v>
      </c>
      <c r="AK247">
        <f>step3_validation[[#This Row],[AI_TRU1]]</f>
        <v>9</v>
      </c>
      <c r="AL247" t="str">
        <f t="shared" si="93"/>
        <v>Support</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2</v>
      </c>
      <c r="AP247">
        <f>step3_validation[[#This Row],[AI_TRU2]]</f>
        <v>8</v>
      </c>
      <c r="AQ247" t="str">
        <f t="shared" si="96"/>
        <v>Support</v>
      </c>
      <c r="AR247">
        <f>survey_responses[[#This Row],[Tôi thấy mức thuế tôi phải đóng theo phương án mới là công bằng (người thu nhập như tôi đóng mức này là hợp lý). - HUMAN-TRU2]]</f>
        <v>7</v>
      </c>
      <c r="AS247" t="str">
        <f t="shared" si="97"/>
        <v>Neutral</v>
      </c>
      <c r="AT247" s="32">
        <f t="shared" si="98"/>
        <v>1</v>
      </c>
      <c r="AU247">
        <f>step3_validation[[#This Row],[AI_TRU3]]</f>
        <v>9</v>
      </c>
      <c r="AV247" t="str">
        <f t="shared" si="99"/>
        <v>Support</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2</v>
      </c>
      <c r="AZ247">
        <f>step3_validation[[#This Row],[AI_TRU4]]</f>
        <v>7</v>
      </c>
      <c r="BA247" t="str">
        <f t="shared" si="102"/>
        <v>Neutral</v>
      </c>
      <c r="BB247">
        <f>survey_responses[[#This Row],[Tôi thấy Nhà nước đã giải thích rõ ràng, minh bạch về lý do và mục tiêu của việc sửa đổi thuế lần này. - HUMAN-TRU4]]</f>
        <v>7</v>
      </c>
      <c r="BC247" t="str">
        <f t="shared" si="103"/>
        <v>Neutral</v>
      </c>
      <c r="BD247" s="32">
        <f t="shared" si="104"/>
        <v>0</v>
      </c>
      <c r="BE247">
        <f>step3_validation[[#This Row],[AI_OUT1]]</f>
        <v>9</v>
      </c>
      <c r="BF247" t="str">
        <f t="shared" si="105"/>
        <v>Support</v>
      </c>
      <c r="BG247">
        <f>survey_responses[[#This Row],[Sau khi xem xét các quyền lợi và nghĩa vụ, bạn có ủng hộ và tuân thủ chính sách mới hiện nay? - HUMAN-OUT1]]</f>
        <v>7</v>
      </c>
      <c r="BH247" t="str">
        <f t="shared" si="106"/>
        <v>Neutral</v>
      </c>
      <c r="BI247" s="32">
        <f t="shared" si="107"/>
        <v>2</v>
      </c>
    </row>
    <row r="248" spans="1:61" x14ac:dyDescent="0.45">
      <c r="A248" s="30">
        <f>step3_validation[[#This Row],[Persona_ID]]</f>
        <v>247</v>
      </c>
      <c r="B248" s="31">
        <f>step3_validation[[#This Row],[Used_Seed]]</f>
        <v>288</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67.059256104593942</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t="str">
        <f t="shared" si="81"/>
        <v>Support</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0</v>
      </c>
      <c r="V248">
        <f>step3_validation[[#This Row],[AI_ENF2]]</f>
        <v>9</v>
      </c>
      <c r="W248" t="str">
        <f t="shared" si="84"/>
        <v>Support</v>
      </c>
      <c r="X248">
        <f>survey_responses[[#This Row],[Tôi tin rằng Nhà nước, cơ quan thuế có đủ khả năng và công nghệ để phát hiện, xử lý nghiêm các hành vi trốn thuế. - HUMAN-ENF2]]</f>
        <v>8</v>
      </c>
      <c r="Y248" t="str">
        <f t="shared" si="85"/>
        <v>Support</v>
      </c>
      <c r="Z248" s="32">
        <f t="shared" si="86"/>
        <v>1</v>
      </c>
      <c r="AA248">
        <f>step3_validation[[#This Row],[AI_FAC1]]</f>
        <v>8</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0</v>
      </c>
      <c r="AF248">
        <f>step3_validation[[#This Row],[AI_FAC2]]</f>
        <v>9</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1</v>
      </c>
      <c r="AK248">
        <f>step3_validation[[#This Row],[AI_TRU1]]</f>
        <v>8</v>
      </c>
      <c r="AL248" t="str">
        <f t="shared" si="93"/>
        <v>Support</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0</v>
      </c>
      <c r="AP248">
        <f>step3_validation[[#This Row],[AI_TRU2]]</f>
        <v>9</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2">
        <f t="shared" si="98"/>
        <v>1</v>
      </c>
      <c r="AU248">
        <f>step3_validation[[#This Row],[AI_TRU3]]</f>
        <v>8</v>
      </c>
      <c r="AV248" t="str">
        <f t="shared" si="99"/>
        <v>Support</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0</v>
      </c>
      <c r="AZ248">
        <f>step3_validation[[#This Row],[AI_TRU4]]</f>
        <v>7</v>
      </c>
      <c r="BA248" t="str">
        <f t="shared" si="102"/>
        <v>Neutral</v>
      </c>
      <c r="BB248">
        <f>survey_responses[[#This Row],[Tôi thấy Nhà nước đã giải thích rõ ràng, minh bạch về lý do và mục tiêu của việc sửa đổi thuế lần này. - HUMAN-TRU4]]</f>
        <v>8</v>
      </c>
      <c r="BC248" t="str">
        <f t="shared" si="103"/>
        <v>Support</v>
      </c>
      <c r="BD248" s="32">
        <f t="shared" si="104"/>
        <v>1</v>
      </c>
      <c r="BE248">
        <f>step3_validation[[#This Row],[AI_OUT1]]</f>
        <v>9</v>
      </c>
      <c r="BF248" t="str">
        <f t="shared" si="105"/>
        <v>Support</v>
      </c>
      <c r="BG248">
        <f>survey_responses[[#This Row],[Sau khi xem xét các quyền lợi và nghĩa vụ, bạn có ủng hộ và tuân thủ chính sách mới hiện nay? - HUMAN-OUT1]]</f>
        <v>8</v>
      </c>
      <c r="BH248" t="str">
        <f t="shared" si="106"/>
        <v>Support</v>
      </c>
      <c r="BI248" s="32">
        <f t="shared" si="107"/>
        <v>1</v>
      </c>
    </row>
    <row r="249" spans="1:61" x14ac:dyDescent="0.45">
      <c r="A249" s="30">
        <f>step3_validation[[#This Row],[Persona_ID]]</f>
        <v>248</v>
      </c>
      <c r="B249" s="31">
        <f>step3_validation[[#This Row],[Used_Seed]]</f>
        <v>289</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46.699044308675738</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6</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1</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2">
        <f t="shared" si="86"/>
        <v>0</v>
      </c>
      <c r="AA249">
        <f>step3_validation[[#This Row],[AI_FAC1]]</f>
        <v>5</v>
      </c>
      <c r="AB249" t="str">
        <f t="shared" si="87"/>
        <v>Neutral</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2</v>
      </c>
      <c r="AF249">
        <f>step3_validation[[#This Row],[AI_FAC2]]</f>
        <v>8</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1</v>
      </c>
      <c r="AK249">
        <f>step3_validation[[#This Row],[AI_TRU1]]</f>
        <v>6</v>
      </c>
      <c r="AL249" t="str">
        <f t="shared" si="93"/>
        <v>Neutral</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1</v>
      </c>
      <c r="AP249">
        <f>step3_validation[[#This Row],[AI_TRU2]]</f>
        <v>9</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2">
        <f t="shared" si="98"/>
        <v>2</v>
      </c>
      <c r="AU249">
        <f>step3_validation[[#This Row],[AI_TRU3]]</f>
        <v>6</v>
      </c>
      <c r="AV249" t="str">
        <f t="shared" si="99"/>
        <v>Neutral</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1</v>
      </c>
      <c r="AZ249">
        <f>step3_validation[[#This Row],[AI_TRU4]]</f>
        <v>8</v>
      </c>
      <c r="BA249" t="str">
        <f t="shared" si="102"/>
        <v>Support</v>
      </c>
      <c r="BB249">
        <f>survey_responses[[#This Row],[Tôi thấy Nhà nước đã giải thích rõ ràng, minh bạch về lý do và mục tiêu của việc sửa đổi thuế lần này. - HUMAN-TRU4]]</f>
        <v>7</v>
      </c>
      <c r="BC249" t="str">
        <f t="shared" si="103"/>
        <v>Neutral</v>
      </c>
      <c r="BD249" s="32">
        <f t="shared" si="104"/>
        <v>1</v>
      </c>
      <c r="BE249">
        <f>step3_validation[[#This Row],[AI_OUT1]]</f>
        <v>7</v>
      </c>
      <c r="BF249" t="str">
        <f t="shared" si="105"/>
        <v>Neutral</v>
      </c>
      <c r="BG249">
        <f>survey_responses[[#This Row],[Sau khi xem xét các quyền lợi và nghĩa vụ, bạn có ủng hộ và tuân thủ chính sách mới hiện nay? - HUMAN-OUT1]]</f>
        <v>7</v>
      </c>
      <c r="BH249" t="str">
        <f t="shared" si="106"/>
        <v>Neutral</v>
      </c>
      <c r="BI249" s="32">
        <f t="shared" si="107"/>
        <v>0</v>
      </c>
    </row>
    <row r="250" spans="1:61" x14ac:dyDescent="0.45">
      <c r="A250" s="30">
        <f>step3_validation[[#This Row],[Persona_ID]]</f>
        <v>249</v>
      </c>
      <c r="B250" s="31">
        <f>step3_validation[[#This Row],[Used_Seed]]</f>
        <v>290</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91.08033688967393</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6</v>
      </c>
      <c r="R250" t="str">
        <f t="shared" si="81"/>
        <v>Neutral</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3</v>
      </c>
      <c r="V250">
        <f>step3_validation[[#This Row],[AI_ENF2]]</f>
        <v>5</v>
      </c>
      <c r="W250" t="str">
        <f t="shared" si="84"/>
        <v>Neutral</v>
      </c>
      <c r="X250">
        <f>survey_responses[[#This Row],[Tôi tin rằng Nhà nước, cơ quan thuế có đủ khả năng và công nghệ để phát hiện, xử lý nghiêm các hành vi trốn thuế. - HUMAN-ENF2]]</f>
        <v>9</v>
      </c>
      <c r="Y250" t="str">
        <f t="shared" si="85"/>
        <v>Support</v>
      </c>
      <c r="Z250" s="32">
        <f t="shared" si="86"/>
        <v>4</v>
      </c>
      <c r="AA250">
        <f>step3_validation[[#This Row],[AI_FAC1]]</f>
        <v>8</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1</v>
      </c>
      <c r="AF250">
        <f>step3_validation[[#This Row],[AI_FAC2]]</f>
        <v>9</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0</v>
      </c>
      <c r="AK250">
        <f>step3_validation[[#This Row],[AI_TRU1]]</f>
        <v>7</v>
      </c>
      <c r="AL250" t="str">
        <f t="shared" si="93"/>
        <v>Neutral</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2</v>
      </c>
      <c r="AP250">
        <f>step3_validation[[#This Row],[AI_TRU2]]</f>
        <v>8</v>
      </c>
      <c r="AQ250" t="str">
        <f t="shared" si="96"/>
        <v>Support</v>
      </c>
      <c r="AR250">
        <f>survey_responses[[#This Row],[Tôi thấy mức thuế tôi phải đóng theo phương án mới là công bằng (người thu nhập như tôi đóng mức này là hợp lý). - HUMAN-TRU2]]</f>
        <v>9</v>
      </c>
      <c r="AS250" t="str">
        <f t="shared" si="97"/>
        <v>Support</v>
      </c>
      <c r="AT250" s="32">
        <f t="shared" si="98"/>
        <v>1</v>
      </c>
      <c r="AU250">
        <f>step3_validation[[#This Row],[AI_TRU3]]</f>
        <v>7</v>
      </c>
      <c r="AV250" t="str">
        <f t="shared" si="99"/>
        <v>Neutral</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2</v>
      </c>
      <c r="AZ250">
        <f>step3_validation[[#This Row],[AI_TRU4]]</f>
        <v>6</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3</v>
      </c>
      <c r="BE250">
        <f>step3_validation[[#This Row],[AI_OUT1]]</f>
        <v>8</v>
      </c>
      <c r="BF250" t="str">
        <f t="shared" si="105"/>
        <v>Support</v>
      </c>
      <c r="BG250">
        <f>survey_responses[[#This Row],[Sau khi xem xét các quyền lợi và nghĩa vụ, bạn có ủng hộ và tuân thủ chính sách mới hiện nay? - HUMAN-OUT1]]</f>
        <v>9</v>
      </c>
      <c r="BH250" t="str">
        <f t="shared" si="106"/>
        <v>Support</v>
      </c>
      <c r="BI250" s="32">
        <f t="shared" si="107"/>
        <v>1</v>
      </c>
    </row>
    <row r="251" spans="1:61" x14ac:dyDescent="0.45">
      <c r="A251" s="30">
        <f>step3_validation[[#This Row],[Persona_ID]]</f>
        <v>250</v>
      </c>
      <c r="B251" s="31">
        <f>step3_validation[[#This Row],[Used_Seed]]</f>
        <v>291</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60.161713037313774</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7</v>
      </c>
      <c r="R251" t="str">
        <f t="shared" si="81"/>
        <v>Neutral</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0</v>
      </c>
      <c r="V251">
        <f>step3_validation[[#This Row],[AI_ENF2]]</f>
        <v>6</v>
      </c>
      <c r="W251" t="str">
        <f t="shared" si="84"/>
        <v>Neutral</v>
      </c>
      <c r="X251">
        <f>survey_responses[[#This Row],[Tôi tin rằng Nhà nước, cơ quan thuế có đủ khả năng và công nghệ để phát hiện, xử lý nghiêm các hành vi trốn thuế. - HUMAN-ENF2]]</f>
        <v>6</v>
      </c>
      <c r="Y251" t="str">
        <f t="shared" si="85"/>
        <v>Neutral</v>
      </c>
      <c r="Z251" s="32">
        <f t="shared" si="86"/>
        <v>0</v>
      </c>
      <c r="AA251">
        <f>step3_validation[[#This Row],[AI_FAC1]]</f>
        <v>8</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3</v>
      </c>
      <c r="AF251">
        <f>step3_validation[[#This Row],[AI_FAC2]]</f>
        <v>9</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3</v>
      </c>
      <c r="AK251">
        <f>step3_validation[[#This Row],[AI_TRU1]]</f>
        <v>7</v>
      </c>
      <c r="AL251" t="str">
        <f t="shared" si="93"/>
        <v>Neutral</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1</v>
      </c>
      <c r="AP251">
        <f>step3_validation[[#This Row],[AI_TRU2]]</f>
        <v>8</v>
      </c>
      <c r="AQ251" t="str">
        <f t="shared" si="96"/>
        <v>Support</v>
      </c>
      <c r="AR251">
        <f>survey_responses[[#This Row],[Tôi thấy mức thuế tôi phải đóng theo phương án mới là công bằng (người thu nhập như tôi đóng mức này là hợp lý). - HUMAN-TRU2]]</f>
        <v>6</v>
      </c>
      <c r="AS251" t="str">
        <f t="shared" si="97"/>
        <v>Neutral</v>
      </c>
      <c r="AT251" s="32">
        <f t="shared" si="98"/>
        <v>2</v>
      </c>
      <c r="AU251">
        <f>step3_validation[[#This Row],[AI_TRU3]]</f>
        <v>7</v>
      </c>
      <c r="AV251" t="str">
        <f t="shared" si="99"/>
        <v>Neutral</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1</v>
      </c>
      <c r="AZ251">
        <f>step3_validation[[#This Row],[AI_TRU4]]</f>
        <v>8</v>
      </c>
      <c r="BA251" t="str">
        <f t="shared" si="102"/>
        <v>Support</v>
      </c>
      <c r="BB251">
        <f>survey_responses[[#This Row],[Tôi thấy Nhà nước đã giải thích rõ ràng, minh bạch về lý do và mục tiêu của việc sửa đổi thuế lần này. - HUMAN-TRU4]]</f>
        <v>6</v>
      </c>
      <c r="BC251" t="str">
        <f t="shared" si="103"/>
        <v>Neutral</v>
      </c>
      <c r="BD251" s="32">
        <f t="shared" si="104"/>
        <v>2</v>
      </c>
      <c r="BE251">
        <f>step3_validation[[#This Row],[AI_OUT1]]</f>
        <v>9</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2</v>
      </c>
    </row>
    <row r="252" spans="1:61" x14ac:dyDescent="0.45">
      <c r="A252" s="30">
        <f>step3_validation[[#This Row],[Persona_ID]]</f>
        <v>251</v>
      </c>
      <c r="B252" s="31">
        <f>step3_validation[[#This Row],[Used_Seed]]</f>
        <v>292</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32.406243853971198</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1</v>
      </c>
      <c r="V252">
        <f>step3_validation[[#This Row],[AI_ENF2]]</f>
        <v>6</v>
      </c>
      <c r="W252" t="str">
        <f t="shared" si="84"/>
        <v>Neutral</v>
      </c>
      <c r="X252">
        <f>survey_responses[[#This Row],[Tôi tin rằng Nhà nước, cơ quan thuế có đủ khả năng và công nghệ để phát hiện, xử lý nghiêm các hành vi trốn thuế. - HUMAN-ENF2]]</f>
        <v>8</v>
      </c>
      <c r="Y252" t="str">
        <f t="shared" si="85"/>
        <v>Support</v>
      </c>
      <c r="Z252" s="32">
        <f t="shared" si="86"/>
        <v>2</v>
      </c>
      <c r="AA252">
        <f>step3_validation[[#This Row],[AI_FAC1]]</f>
        <v>9</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1</v>
      </c>
      <c r="AF252">
        <f>step3_validation[[#This Row],[AI_FAC2]]</f>
        <v>8</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1</v>
      </c>
      <c r="AK252">
        <f>step3_validation[[#This Row],[AI_TRU1]]</f>
        <v>7</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8</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2">
        <f t="shared" si="98"/>
        <v>2</v>
      </c>
      <c r="AU252">
        <f>step3_validation[[#This Row],[AI_TRU3]]</f>
        <v>6</v>
      </c>
      <c r="AV252" t="str">
        <f t="shared" si="99"/>
        <v>Neutral</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1</v>
      </c>
      <c r="AZ252">
        <f>step3_validation[[#This Row],[AI_TRU4]]</f>
        <v>7</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2">
        <f t="shared" si="104"/>
        <v>0</v>
      </c>
      <c r="BE252">
        <f>step3_validation[[#This Row],[AI_OUT1]]</f>
        <v>9</v>
      </c>
      <c r="BF252" t="str">
        <f t="shared" si="105"/>
        <v>Support</v>
      </c>
      <c r="BG252">
        <f>survey_responses[[#This Row],[Sau khi xem xét các quyền lợi và nghĩa vụ, bạn có ủng hộ và tuân thủ chính sách mới hiện nay? - HUMAN-OUT1]]</f>
        <v>10</v>
      </c>
      <c r="BH252" t="str">
        <f t="shared" si="106"/>
        <v>Support</v>
      </c>
      <c r="BI252" s="32">
        <f t="shared" si="107"/>
        <v>1</v>
      </c>
    </row>
    <row r="253" spans="1:61" x14ac:dyDescent="0.45">
      <c r="A253" s="30">
        <f>step3_validation[[#This Row],[Persona_ID]]</f>
        <v>252</v>
      </c>
      <c r="B253" s="31">
        <f>step3_validation[[#This Row],[Used_Seed]]</f>
        <v>293</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60.95442128279155</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6</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0</v>
      </c>
      <c r="V253">
        <f>step3_validation[[#This Row],[AI_ENF2]]</f>
        <v>7</v>
      </c>
      <c r="W253" t="str">
        <f t="shared" si="84"/>
        <v>Neutral</v>
      </c>
      <c r="X253">
        <f>survey_responses[[#This Row],[Tôi tin rằng Nhà nước, cơ quan thuế có đủ khả năng và công nghệ để phát hiện, xử lý nghiêm các hành vi trốn thuế. - HUMAN-ENF2]]</f>
        <v>6</v>
      </c>
      <c r="Y253" t="str">
        <f t="shared" si="85"/>
        <v>Neutral</v>
      </c>
      <c r="Z253" s="32">
        <f t="shared" si="86"/>
        <v>1</v>
      </c>
      <c r="AA253">
        <f>step3_validation[[#This Row],[AI_FAC1]]</f>
        <v>8</v>
      </c>
      <c r="AB253" t="str">
        <f t="shared" si="87"/>
        <v>Support</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7</v>
      </c>
      <c r="AF253">
        <f>step3_validation[[#This Row],[AI_FAC2]]</f>
        <v>9</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3</v>
      </c>
      <c r="AK253">
        <f>step3_validation[[#This Row],[AI_TRU1]]</f>
        <v>7</v>
      </c>
      <c r="AL253" t="str">
        <f t="shared" si="93"/>
        <v>Neutral</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2</v>
      </c>
      <c r="AP253">
        <f>step3_validation[[#This Row],[AI_TRU2]]</f>
        <v>8</v>
      </c>
      <c r="AQ253" t="str">
        <f t="shared" si="96"/>
        <v>Support</v>
      </c>
      <c r="AR253">
        <f>survey_responses[[#This Row],[Tôi thấy mức thuế tôi phải đóng theo phương án mới là công bằng (người thu nhập như tôi đóng mức này là hợp lý). - HUMAN-TRU2]]</f>
        <v>6</v>
      </c>
      <c r="AS253" t="str">
        <f t="shared" si="97"/>
        <v>Neutral</v>
      </c>
      <c r="AT253" s="32">
        <f t="shared" si="98"/>
        <v>2</v>
      </c>
      <c r="AU253">
        <f>step3_validation[[#This Row],[AI_TRU3]]</f>
        <v>7</v>
      </c>
      <c r="AV253" t="str">
        <f t="shared" si="99"/>
        <v>Neutral</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1</v>
      </c>
      <c r="AZ253">
        <f>step3_validation[[#This Row],[AI_TRU4]]</f>
        <v>8</v>
      </c>
      <c r="BA253" t="str">
        <f t="shared" si="102"/>
        <v>Support</v>
      </c>
      <c r="BB253">
        <f>survey_responses[[#This Row],[Tôi thấy Nhà nước đã giải thích rõ ràng, minh bạch về lý do và mục tiêu của việc sửa đổi thuế lần này. - HUMAN-TRU4]]</f>
        <v>6</v>
      </c>
      <c r="BC253" t="str">
        <f t="shared" si="103"/>
        <v>Neutral</v>
      </c>
      <c r="BD253" s="32">
        <f t="shared" si="104"/>
        <v>2</v>
      </c>
      <c r="BE253">
        <f>step3_validation[[#This Row],[AI_OUT1]]</f>
        <v>9</v>
      </c>
      <c r="BF253" t="str">
        <f t="shared" si="105"/>
        <v>Support</v>
      </c>
      <c r="BG253">
        <f>survey_responses[[#This Row],[Sau khi xem xét các quyền lợi và nghĩa vụ, bạn có ủng hộ và tuân thủ chính sách mới hiện nay? - HUMAN-OUT1]]</f>
        <v>6</v>
      </c>
      <c r="BH253" t="str">
        <f t="shared" si="106"/>
        <v>Neutral</v>
      </c>
      <c r="BI253" s="32">
        <f t="shared" si="107"/>
        <v>3</v>
      </c>
    </row>
    <row r="254" spans="1:61" x14ac:dyDescent="0.45">
      <c r="A254" s="30">
        <f>step3_validation[[#This Row],[Persona_ID]]</f>
        <v>253</v>
      </c>
      <c r="B254" s="31">
        <f>step3_validation[[#This Row],[Used_Seed]]</f>
        <v>294</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87.557608548001312</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1</v>
      </c>
      <c r="V254">
        <f>step3_validation[[#This Row],[AI_ENF2]]</f>
        <v>8</v>
      </c>
      <c r="W254" t="str">
        <f t="shared" si="84"/>
        <v>Support</v>
      </c>
      <c r="X254">
        <f>survey_responses[[#This Row],[Tôi tin rằng Nhà nước, cơ quan thuế có đủ khả năng và công nghệ để phát hiện, xử lý nghiêm các hành vi trốn thuế. - HUMAN-ENF2]]</f>
        <v>8</v>
      </c>
      <c r="Y254" t="str">
        <f t="shared" si="85"/>
        <v>Support</v>
      </c>
      <c r="Z254" s="32">
        <f t="shared" si="86"/>
        <v>0</v>
      </c>
      <c r="AA254">
        <f>step3_validation[[#This Row],[AI_FAC1]]</f>
        <v>9</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6</v>
      </c>
      <c r="AF254">
        <f>step3_validation[[#This Row],[AI_FAC2]]</f>
        <v>10</v>
      </c>
      <c r="AG254" t="str">
        <f t="shared" si="90"/>
        <v>Support</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1</v>
      </c>
      <c r="AK254">
        <f>step3_validation[[#This Row],[AI_TRU1]]</f>
        <v>8</v>
      </c>
      <c r="AL254" t="str">
        <f t="shared" si="93"/>
        <v>Support</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0</v>
      </c>
      <c r="AP254">
        <f>step3_validation[[#This Row],[AI_TRU2]]</f>
        <v>9</v>
      </c>
      <c r="AQ254" t="str">
        <f t="shared" si="96"/>
        <v>Support</v>
      </c>
      <c r="AR254">
        <f>survey_responses[[#This Row],[Tôi thấy mức thuế tôi phải đóng theo phương án mới là công bằng (người thu nhập như tôi đóng mức này là hợp lý). - HUMAN-TRU2]]</f>
        <v>8</v>
      </c>
      <c r="AS254" t="str">
        <f t="shared" si="97"/>
        <v>Support</v>
      </c>
      <c r="AT254" s="32">
        <f t="shared" si="98"/>
        <v>1</v>
      </c>
      <c r="AU254">
        <f>step3_validation[[#This Row],[AI_TRU3]]</f>
        <v>7</v>
      </c>
      <c r="AV254" t="str">
        <f t="shared" si="99"/>
        <v>Neutral</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1</v>
      </c>
      <c r="AZ254">
        <f>step3_validation[[#This Row],[AI_TRU4]]</f>
        <v>8</v>
      </c>
      <c r="BA254" t="str">
        <f t="shared" si="102"/>
        <v>Support</v>
      </c>
      <c r="BB254">
        <f>survey_responses[[#This Row],[Tôi thấy Nhà nước đã giải thích rõ ràng, minh bạch về lý do và mục tiêu của việc sửa đổi thuế lần này. - HUMAN-TRU4]]</f>
        <v>8</v>
      </c>
      <c r="BC254" t="str">
        <f t="shared" si="103"/>
        <v>Support</v>
      </c>
      <c r="BD254" s="32">
        <f t="shared" si="104"/>
        <v>0</v>
      </c>
      <c r="BE254">
        <f>step3_validation[[#This Row],[AI_OUT1]]</f>
        <v>9</v>
      </c>
      <c r="BF254" t="str">
        <f t="shared" si="105"/>
        <v>Support</v>
      </c>
      <c r="BG254">
        <f>survey_responses[[#This Row],[Sau khi xem xét các quyền lợi và nghĩa vụ, bạn có ủng hộ và tuân thủ chính sách mới hiện nay? - HUMAN-OUT1]]</f>
        <v>8</v>
      </c>
      <c r="BH254" t="str">
        <f t="shared" si="106"/>
        <v>Support</v>
      </c>
      <c r="BI254" s="32">
        <f t="shared" si="107"/>
        <v>1</v>
      </c>
    </row>
    <row r="255" spans="1:61" x14ac:dyDescent="0.45">
      <c r="A255" s="30">
        <f>step3_validation[[#This Row],[Persona_ID]]</f>
        <v>254</v>
      </c>
      <c r="B255" s="31">
        <f>step3_validation[[#This Row],[Used_Seed]]</f>
        <v>295</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73.395363848232748</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8</v>
      </c>
      <c r="R255" t="str">
        <f t="shared" si="81"/>
        <v>Support</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4</v>
      </c>
      <c r="V255">
        <f>step3_validation[[#This Row],[AI_ENF2]]</f>
        <v>9</v>
      </c>
      <c r="W255" t="str">
        <f t="shared" si="84"/>
        <v>Support</v>
      </c>
      <c r="X255">
        <f>survey_responses[[#This Row],[Tôi tin rằng Nhà nước, cơ quan thuế có đủ khả năng và công nghệ để phát hiện, xử lý nghiêm các hành vi trốn thuế. - HUMAN-ENF2]]</f>
        <v>3</v>
      </c>
      <c r="Y255" t="str">
        <f t="shared" si="85"/>
        <v>Oppose</v>
      </c>
      <c r="Z255" s="32">
        <f t="shared" si="86"/>
        <v>6</v>
      </c>
      <c r="AA255">
        <f>step3_validation[[#This Row],[AI_FAC1]]</f>
        <v>8</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7</v>
      </c>
      <c r="AF255">
        <f>step3_validation[[#This Row],[AI_FAC2]]</f>
        <v>9</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2</v>
      </c>
      <c r="AK255">
        <f>step3_validation[[#This Row],[AI_TRU1]]</f>
        <v>7</v>
      </c>
      <c r="AL255" t="str">
        <f t="shared" si="93"/>
        <v>Neutral</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4</v>
      </c>
      <c r="AP255">
        <f>step3_validation[[#This Row],[AI_TRU2]]</f>
        <v>8</v>
      </c>
      <c r="AQ255" t="str">
        <f t="shared" si="96"/>
        <v>Support</v>
      </c>
      <c r="AR255">
        <f>survey_responses[[#This Row],[Tôi thấy mức thuế tôi phải đóng theo phương án mới là công bằng (người thu nhập như tôi đóng mức này là hợp lý). - HUMAN-TRU2]]</f>
        <v>6</v>
      </c>
      <c r="AS255" t="str">
        <f t="shared" si="97"/>
        <v>Neutral</v>
      </c>
      <c r="AT255" s="32">
        <f t="shared" si="98"/>
        <v>2</v>
      </c>
      <c r="AU255">
        <f>step3_validation[[#This Row],[AI_TRU3]]</f>
        <v>7</v>
      </c>
      <c r="AV255" t="str">
        <f t="shared" si="99"/>
        <v>Neutral</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2</v>
      </c>
      <c r="AZ255">
        <f>step3_validation[[#This Row],[AI_TRU4]]</f>
        <v>6</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0</v>
      </c>
      <c r="BE255">
        <f>step3_validation[[#This Row],[AI_OUT1]]</f>
        <v>7</v>
      </c>
      <c r="BF255" t="str">
        <f t="shared" si="105"/>
        <v>Neutral</v>
      </c>
      <c r="BG255">
        <f>survey_responses[[#This Row],[Sau khi xem xét các quyền lợi và nghĩa vụ, bạn có ủng hộ và tuân thủ chính sách mới hiện nay? - HUMAN-OUT1]]</f>
        <v>6</v>
      </c>
      <c r="BH255" t="str">
        <f t="shared" si="106"/>
        <v>Neutral</v>
      </c>
      <c r="BI255" s="32">
        <f t="shared" si="107"/>
        <v>1</v>
      </c>
    </row>
    <row r="256" spans="1:61" x14ac:dyDescent="0.45">
      <c r="A256" s="30">
        <f>step3_validation[[#This Row],[Persona_ID]]</f>
        <v>255</v>
      </c>
      <c r="B256" s="31">
        <f>step3_validation[[#This Row],[Used_Seed]]</f>
        <v>296</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48.208250904428475</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6</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0</v>
      </c>
      <c r="V256">
        <f>step3_validation[[#This Row],[AI_ENF2]]</f>
        <v>7</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2">
        <f t="shared" si="86"/>
        <v>1</v>
      </c>
      <c r="AA256">
        <f>step3_validation[[#This Row],[AI_FAC1]]</f>
        <v>6</v>
      </c>
      <c r="AB256" t="str">
        <f t="shared" si="87"/>
        <v>Neutral</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5</v>
      </c>
      <c r="AF256">
        <f>step3_validation[[#This Row],[AI_FAC2]]</f>
        <v>8</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1</v>
      </c>
      <c r="AK256">
        <f>step3_validation[[#This Row],[AI_TRU1]]</f>
        <v>7</v>
      </c>
      <c r="AL256" t="str">
        <f t="shared" si="93"/>
        <v>Neutral</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2</v>
      </c>
      <c r="AP256">
        <f>step3_validation[[#This Row],[AI_TRU2]]</f>
        <v>9</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2">
        <f t="shared" si="98"/>
        <v>3</v>
      </c>
      <c r="AU256">
        <f>step3_validation[[#This Row],[AI_TRU3]]</f>
        <v>7</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1</v>
      </c>
      <c r="AZ256">
        <f>step3_validation[[#This Row],[AI_TRU4]]</f>
        <v>6</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0</v>
      </c>
      <c r="BE256">
        <f>step3_validation[[#This Row],[AI_OUT1]]</f>
        <v>8</v>
      </c>
      <c r="BF256" t="str">
        <f t="shared" si="105"/>
        <v>Support</v>
      </c>
      <c r="BG256">
        <f>survey_responses[[#This Row],[Sau khi xem xét các quyền lợi và nghĩa vụ, bạn có ủng hộ và tuân thủ chính sách mới hiện nay? - HUMAN-OUT1]]</f>
        <v>6</v>
      </c>
      <c r="BH256" t="str">
        <f t="shared" si="106"/>
        <v>Neutral</v>
      </c>
      <c r="BI256" s="32">
        <f t="shared" si="107"/>
        <v>2</v>
      </c>
    </row>
    <row r="257" spans="1:61" x14ac:dyDescent="0.45">
      <c r="A257" s="30">
        <f>step3_validation[[#This Row],[Persona_ID]]</f>
        <v>256</v>
      </c>
      <c r="B257" s="31">
        <f>step3_validation[[#This Row],[Used_Seed]]</f>
        <v>297</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150.64830970873513</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1</v>
      </c>
      <c r="V257">
        <f>step3_validation[[#This Row],[AI_ENF2]]</f>
        <v>6</v>
      </c>
      <c r="W257" t="str">
        <f t="shared" si="84"/>
        <v>Neutral</v>
      </c>
      <c r="X257">
        <f>survey_responses[[#This Row],[Tôi tin rằng Nhà nước, cơ quan thuế có đủ khả năng và công nghệ để phát hiện, xử lý nghiêm các hành vi trốn thuế. - HUMAN-ENF2]]</f>
        <v>8</v>
      </c>
      <c r="Y257" t="str">
        <f t="shared" si="85"/>
        <v>Support</v>
      </c>
      <c r="Z257" s="32">
        <f t="shared" si="86"/>
        <v>2</v>
      </c>
      <c r="AA257">
        <f>step3_validation[[#This Row],[AI_FAC1]]</f>
        <v>8</v>
      </c>
      <c r="AB257" t="str">
        <f t="shared" si="87"/>
        <v>Support</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3</v>
      </c>
      <c r="AF257">
        <f>step3_validation[[#This Row],[AI_FAC2]]</f>
        <v>9</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1</v>
      </c>
      <c r="AK257">
        <f>step3_validation[[#This Row],[AI_TRU1]]</f>
        <v>7</v>
      </c>
      <c r="AL257" t="str">
        <f t="shared" si="93"/>
        <v>Neutral</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1</v>
      </c>
      <c r="AP257">
        <f>step3_validation[[#This Row],[AI_TRU2]]</f>
        <v>8</v>
      </c>
      <c r="AQ257" t="str">
        <f t="shared" si="96"/>
        <v>Support</v>
      </c>
      <c r="AR257">
        <f>survey_responses[[#This Row],[Tôi thấy mức thuế tôi phải đóng theo phương án mới là công bằng (người thu nhập như tôi đóng mức này là hợp lý). - HUMAN-TRU2]]</f>
        <v>7</v>
      </c>
      <c r="AS257" t="str">
        <f t="shared" si="97"/>
        <v>Neutral</v>
      </c>
      <c r="AT257" s="32">
        <f t="shared" si="98"/>
        <v>1</v>
      </c>
      <c r="AU257">
        <f>step3_validation[[#This Row],[AI_TRU3]]</f>
        <v>6</v>
      </c>
      <c r="AV257" t="str">
        <f t="shared" si="99"/>
        <v>Neutral</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1</v>
      </c>
      <c r="AZ257">
        <f>step3_validation[[#This Row],[AI_TRU4]]</f>
        <v>7</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0</v>
      </c>
      <c r="BE257">
        <f>step3_validation[[#This Row],[AI_OUT1]]</f>
        <v>9</v>
      </c>
      <c r="BF257" t="str">
        <f t="shared" si="105"/>
        <v>Support</v>
      </c>
      <c r="BG257">
        <f>survey_responses[[#This Row],[Sau khi xem xét các quyền lợi và nghĩa vụ, bạn có ủng hộ và tuân thủ chính sách mới hiện nay? - HUMAN-OUT1]]</f>
        <v>7</v>
      </c>
      <c r="BH257" t="str">
        <f t="shared" si="106"/>
        <v>Neutral</v>
      </c>
      <c r="BI257" s="32">
        <f t="shared" si="107"/>
        <v>2</v>
      </c>
    </row>
    <row r="258" spans="1:61" x14ac:dyDescent="0.45">
      <c r="A258" s="30">
        <f>step3_validation[[#This Row],[Persona_ID]]</f>
        <v>257</v>
      </c>
      <c r="B258" s="31">
        <f>step3_validation[[#This Row],[Used_Seed]]</f>
        <v>298</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36.872721405883112</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4</v>
      </c>
      <c r="R258" t="str">
        <f t="shared" si="81"/>
        <v>Oppose</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3</v>
      </c>
      <c r="V258">
        <f>step3_validation[[#This Row],[AI_ENF2]]</f>
        <v>5</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3</v>
      </c>
      <c r="AA258">
        <f>step3_validation[[#This Row],[AI_FAC1]]</f>
        <v>7</v>
      </c>
      <c r="AB258" t="str">
        <f t="shared" si="87"/>
        <v>Neutral</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3</v>
      </c>
      <c r="AF258">
        <f>step3_validation[[#This Row],[AI_FAC2]]</f>
        <v>9</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1</v>
      </c>
      <c r="AK258">
        <f>step3_validation[[#This Row],[AI_TRU1]]</f>
        <v>6</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1</v>
      </c>
      <c r="AP258">
        <f>step3_validation[[#This Row],[AI_TRU2]]</f>
        <v>8</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7</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2</v>
      </c>
      <c r="AZ258">
        <f>step3_validation[[#This Row],[AI_TRU4]]</f>
        <v>9</v>
      </c>
      <c r="BA258" t="str">
        <f t="shared" si="102"/>
        <v>Support</v>
      </c>
      <c r="BB258">
        <f>survey_responses[[#This Row],[Tôi thấy Nhà nước đã giải thích rõ ràng, minh bạch về lý do và mục tiêu của việc sửa đổi thuế lần này. - HUMAN-TRU4]]</f>
        <v>6</v>
      </c>
      <c r="BC258" t="str">
        <f t="shared" si="103"/>
        <v>Neutral</v>
      </c>
      <c r="BD258" s="32">
        <f t="shared" si="104"/>
        <v>3</v>
      </c>
      <c r="BE258">
        <f>step3_validation[[#This Row],[AI_OUT1]]</f>
        <v>8</v>
      </c>
      <c r="BF258" t="str">
        <f t="shared" si="105"/>
        <v>Support</v>
      </c>
      <c r="BG258">
        <f>survey_responses[[#This Row],[Sau khi xem xét các quyền lợi và nghĩa vụ, bạn có ủng hộ và tuân thủ chính sách mới hiện nay? - HUMAN-OUT1]]</f>
        <v>6</v>
      </c>
      <c r="BH258" t="str">
        <f t="shared" si="106"/>
        <v>Neutral</v>
      </c>
      <c r="BI258" s="32">
        <f t="shared" si="107"/>
        <v>2</v>
      </c>
    </row>
    <row r="259" spans="1:61" x14ac:dyDescent="0.45">
      <c r="A259" s="30">
        <f>step3_validation[[#This Row],[Persona_ID]]</f>
        <v>258</v>
      </c>
      <c r="B259" s="31">
        <f>step3_validation[[#This Row],[Used_Seed]]</f>
        <v>299</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64.686544718428408</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7</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1</v>
      </c>
      <c r="V259">
        <f>step3_validation[[#This Row],[AI_ENF2]]</f>
        <v>7</v>
      </c>
      <c r="W259" t="str">
        <f t="shared" ref="W259:W322" si="111">IF(AND(V259&gt;=1,V259&lt;5),"Oppose",IF(AND(V259&gt;=5,V259&lt;8),"Neutral",IF(AND(V259&gt;=8,V259&lt;=10),"Support","")))</f>
        <v>Neutral</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0</v>
      </c>
      <c r="AA259">
        <f>step3_validation[[#This Row],[AI_FAC1]]</f>
        <v>9</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7</v>
      </c>
      <c r="AF259">
        <f>step3_validation[[#This Row],[AI_FAC2]]</f>
        <v>8</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1</v>
      </c>
      <c r="AK259">
        <f>step3_validation[[#This Row],[AI_TRU1]]</f>
        <v>6</v>
      </c>
      <c r="AL259" t="str">
        <f t="shared" ref="AL259:AL322" si="120">IF(AND(AK259&gt;=1,AK259&lt;5),"Oppose",IF(AND(AK259&gt;=5,AK259&lt;8),"Neutral",IF(AND(AK259&gt;=8,AK259&lt;=10),"Support","")))</f>
        <v>Neutral</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1</v>
      </c>
      <c r="AP259">
        <f>step3_validation[[#This Row],[AI_TRU2]]</f>
        <v>8</v>
      </c>
      <c r="AQ259" t="str">
        <f t="shared" ref="AQ259:AQ322" si="123">IF(AND(AP259&gt;=1,AP259&lt;5),"Oppose",IF(AND(AP259&gt;=5,AP259&lt;8),"Neutral",IF(AND(AP259&gt;=8,AP259&lt;=10),"Support","")))</f>
        <v>Support</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3</v>
      </c>
      <c r="AU259">
        <f>step3_validation[[#This Row],[AI_TRU3]]</f>
        <v>5</v>
      </c>
      <c r="AV259" t="str">
        <f t="shared" ref="AV259:AV322" si="126">IF(AND(AU259&gt;=1,AU259&lt;5),"Oppose",IF(AND(AU259&gt;=5,AU259&lt;8),"Neutral",IF(AND(AU259&gt;=8,AU259&lt;=10),"Support","")))</f>
        <v>Neutral</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0</v>
      </c>
      <c r="AZ259">
        <f>step3_validation[[#This Row],[AI_TRU4]]</f>
        <v>7</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1</v>
      </c>
      <c r="BE259">
        <f>step3_validation[[#This Row],[AI_OUT1]]</f>
        <v>9</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4</v>
      </c>
    </row>
    <row r="260" spans="1:61" x14ac:dyDescent="0.45">
      <c r="A260" s="30">
        <f>step3_validation[[#This Row],[Persona_ID]]</f>
        <v>259</v>
      </c>
      <c r="B260" s="31">
        <f>step3_validation[[#This Row],[Used_Seed]]</f>
        <v>300</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184.12683194829077</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6</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4</v>
      </c>
      <c r="V260">
        <f>step3_validation[[#This Row],[AI_ENF2]]</f>
        <v>7</v>
      </c>
      <c r="W260" t="str">
        <f t="shared" si="111"/>
        <v>Neutral</v>
      </c>
      <c r="X260">
        <f>survey_responses[[#This Row],[Tôi tin rằng Nhà nước, cơ quan thuế có đủ khả năng và công nghệ để phát hiện, xử lý nghiêm các hành vi trốn thuế. - HUMAN-ENF2]]</f>
        <v>1</v>
      </c>
      <c r="Y260" t="str">
        <f t="shared" si="112"/>
        <v>Oppose</v>
      </c>
      <c r="Z260" s="32">
        <f t="shared" si="113"/>
        <v>6</v>
      </c>
      <c r="AA260">
        <f>step3_validation[[#This Row],[AI_FAC1]]</f>
        <v>9</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8</v>
      </c>
      <c r="AF260">
        <f>step3_validation[[#This Row],[AI_FAC2]]</f>
        <v>8</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2</v>
      </c>
      <c r="AK260">
        <f>step3_validation[[#This Row],[AI_TRU1]]</f>
        <v>5</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3</v>
      </c>
      <c r="AP260">
        <f>step3_validation[[#This Row],[AI_TRU2]]</f>
        <v>8</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2">
        <f t="shared" si="125"/>
        <v>5</v>
      </c>
      <c r="AU260">
        <f>step3_validation[[#This Row],[AI_TRU3]]</f>
        <v>4</v>
      </c>
      <c r="AV260" t="str">
        <f t="shared" si="126"/>
        <v>Oppose</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3</v>
      </c>
      <c r="AZ260">
        <f>step3_validation[[#This Row],[AI_TRU4]]</f>
        <v>6</v>
      </c>
      <c r="BA260" t="str">
        <f t="shared" si="129"/>
        <v>Neutral</v>
      </c>
      <c r="BB260">
        <f>survey_responses[[#This Row],[Tôi thấy Nhà nước đã giải thích rõ ràng, minh bạch về lý do và mục tiêu của việc sửa đổi thuế lần này. - HUMAN-TRU4]]</f>
        <v>5</v>
      </c>
      <c r="BC260" t="str">
        <f t="shared" si="130"/>
        <v>Neutral</v>
      </c>
      <c r="BD260" s="32">
        <f t="shared" si="131"/>
        <v>1</v>
      </c>
      <c r="BE260">
        <f>step3_validation[[#This Row],[AI_OUT1]]</f>
        <v>8</v>
      </c>
      <c r="BF260" t="str">
        <f t="shared" si="132"/>
        <v>Support</v>
      </c>
      <c r="BG260">
        <f>survey_responses[[#This Row],[Sau khi xem xét các quyền lợi và nghĩa vụ, bạn có ủng hộ và tuân thủ chính sách mới hiện nay? - HUMAN-OUT1]]</f>
        <v>4</v>
      </c>
      <c r="BH260" t="str">
        <f t="shared" si="133"/>
        <v>Oppose</v>
      </c>
      <c r="BI260" s="32">
        <f t="shared" si="134"/>
        <v>4</v>
      </c>
    </row>
    <row r="261" spans="1:61" x14ac:dyDescent="0.45">
      <c r="A261" s="30">
        <f>step3_validation[[#This Row],[Persona_ID]]</f>
        <v>260</v>
      </c>
      <c r="B261" s="31">
        <f>step3_validation[[#This Row],[Used_Seed]]</f>
        <v>301</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45.176598438441665</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6</v>
      </c>
      <c r="R261" t="str">
        <f t="shared" si="108"/>
        <v>Neutral</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0</v>
      </c>
      <c r="V261">
        <f>step3_validation[[#This Row],[AI_ENF2]]</f>
        <v>5</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2">
        <f t="shared" si="113"/>
        <v>1</v>
      </c>
      <c r="AA261">
        <f>step3_validation[[#This Row],[AI_FAC1]]</f>
        <v>7</v>
      </c>
      <c r="AB261" t="str">
        <f t="shared" si="114"/>
        <v>Neutral</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0</v>
      </c>
      <c r="AF261">
        <f>step3_validation[[#This Row],[AI_FAC2]]</f>
        <v>8</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2</v>
      </c>
      <c r="AK261">
        <f>step3_validation[[#This Row],[AI_TRU1]]</f>
        <v>7</v>
      </c>
      <c r="AL261" t="str">
        <f t="shared" si="120"/>
        <v>Neutral</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2</v>
      </c>
      <c r="AP261">
        <f>step3_validation[[#This Row],[AI_TRU2]]</f>
        <v>9</v>
      </c>
      <c r="AQ261" t="str">
        <f t="shared" si="123"/>
        <v>Support</v>
      </c>
      <c r="AR261">
        <f>survey_responses[[#This Row],[Tôi thấy mức thuế tôi phải đóng theo phương án mới là công bằng (người thu nhập như tôi đóng mức này là hợp lý). - HUMAN-TRU2]]</f>
        <v>6</v>
      </c>
      <c r="AS261" t="str">
        <f t="shared" si="124"/>
        <v>Neutral</v>
      </c>
      <c r="AT261" s="32">
        <f t="shared" si="125"/>
        <v>3</v>
      </c>
      <c r="AU261">
        <f>step3_validation[[#This Row],[AI_TRU3]]</f>
        <v>7</v>
      </c>
      <c r="AV261" t="str">
        <f t="shared" si="126"/>
        <v>Neutral</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2</v>
      </c>
      <c r="AZ261">
        <f>step3_validation[[#This Row],[AI_TRU4]]</f>
        <v>8</v>
      </c>
      <c r="BA261" t="str">
        <f t="shared" si="129"/>
        <v>Support</v>
      </c>
      <c r="BB261">
        <f>survey_responses[[#This Row],[Tôi thấy Nhà nước đã giải thích rõ ràng, minh bạch về lý do và mục tiêu của việc sửa đổi thuế lần này. - HUMAN-TRU4]]</f>
        <v>6</v>
      </c>
      <c r="BC261" t="str">
        <f t="shared" si="130"/>
        <v>Neutral</v>
      </c>
      <c r="BD261" s="32">
        <f t="shared" si="131"/>
        <v>2</v>
      </c>
      <c r="BE261">
        <f>step3_validation[[#This Row],[AI_OUT1]]</f>
        <v>9</v>
      </c>
      <c r="BF261" t="str">
        <f t="shared" si="132"/>
        <v>Support</v>
      </c>
      <c r="BG261">
        <f>survey_responses[[#This Row],[Sau khi xem xét các quyền lợi và nghĩa vụ, bạn có ủng hộ và tuân thủ chính sách mới hiện nay? - HUMAN-OUT1]]</f>
        <v>6</v>
      </c>
      <c r="BH261" t="str">
        <f t="shared" si="133"/>
        <v>Neutral</v>
      </c>
      <c r="BI261" s="32">
        <f t="shared" si="134"/>
        <v>3</v>
      </c>
    </row>
    <row r="262" spans="1:61" x14ac:dyDescent="0.45">
      <c r="A262" s="30">
        <f>step3_validation[[#This Row],[Persona_ID]]</f>
        <v>261</v>
      </c>
      <c r="B262" s="31">
        <f>step3_validation[[#This Row],[Used_Seed]]</f>
        <v>302</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44.639762601834903</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1</v>
      </c>
      <c r="V262">
        <f>step3_validation[[#This Row],[AI_ENF2]]</f>
        <v>6</v>
      </c>
      <c r="W262" t="str">
        <f t="shared" si="111"/>
        <v>Neutral</v>
      </c>
      <c r="X262">
        <f>survey_responses[[#This Row],[Tôi tin rằng Nhà nước, cơ quan thuế có đủ khả năng và công nghệ để phát hiện, xử lý nghiêm các hành vi trốn thuế. - HUMAN-ENF2]]</f>
        <v>7</v>
      </c>
      <c r="Y262" t="str">
        <f t="shared" si="112"/>
        <v>Neutral</v>
      </c>
      <c r="Z262" s="32">
        <f t="shared" si="113"/>
        <v>1</v>
      </c>
      <c r="AA262">
        <f>step3_validation[[#This Row],[AI_FAC1]]</f>
        <v>9</v>
      </c>
      <c r="AB262" t="str">
        <f t="shared" si="114"/>
        <v>Support</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8</v>
      </c>
      <c r="AF262">
        <f>step3_validation[[#This Row],[AI_FAC2]]</f>
        <v>8</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1</v>
      </c>
      <c r="AK262">
        <f>step3_validation[[#This Row],[AI_TRU1]]</f>
        <v>7</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2</v>
      </c>
      <c r="AP262">
        <f>step3_validation[[#This Row],[AI_TRU2]]</f>
        <v>8</v>
      </c>
      <c r="AQ262" t="str">
        <f t="shared" si="123"/>
        <v>Support</v>
      </c>
      <c r="AR262">
        <f>survey_responses[[#This Row],[Tôi thấy mức thuế tôi phải đóng theo phương án mới là công bằng (người thu nhập như tôi đóng mức này là hợp lý). - HUMAN-TRU2]]</f>
        <v>4</v>
      </c>
      <c r="AS262" t="str">
        <f t="shared" si="124"/>
        <v>Oppose</v>
      </c>
      <c r="AT262" s="32">
        <f t="shared" si="125"/>
        <v>4</v>
      </c>
      <c r="AU262">
        <f>step3_validation[[#This Row],[AI_TRU3]]</f>
        <v>6</v>
      </c>
      <c r="AV262" t="str">
        <f t="shared" si="126"/>
        <v>Neutral</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2</v>
      </c>
      <c r="AZ262">
        <f>step3_validation[[#This Row],[AI_TRU4]]</f>
        <v>7</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2</v>
      </c>
      <c r="BE262">
        <f>step3_validation[[#This Row],[AI_OUT1]]</f>
        <v>9</v>
      </c>
      <c r="BF262" t="str">
        <f t="shared" si="132"/>
        <v>Support</v>
      </c>
      <c r="BG262">
        <f>survey_responses[[#This Row],[Sau khi xem xét các quyền lợi và nghĩa vụ, bạn có ủng hộ và tuân thủ chính sách mới hiện nay? - HUMAN-OUT1]]</f>
        <v>5</v>
      </c>
      <c r="BH262" t="str">
        <f t="shared" si="133"/>
        <v>Neutral</v>
      </c>
      <c r="BI262" s="32">
        <f t="shared" si="134"/>
        <v>4</v>
      </c>
    </row>
    <row r="263" spans="1:61" x14ac:dyDescent="0.45">
      <c r="A263" s="30">
        <f>step3_validation[[#This Row],[Persona_ID]]</f>
        <v>262</v>
      </c>
      <c r="B263" s="31">
        <f>step3_validation[[#This Row],[Used_Seed]]</f>
        <v>303</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68.000404351217739</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4</v>
      </c>
      <c r="R263" t="str">
        <f t="shared" si="108"/>
        <v>Oppose</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5</v>
      </c>
      <c r="V263">
        <f>step3_validation[[#This Row],[AI_ENF2]]</f>
        <v>5</v>
      </c>
      <c r="W263" t="str">
        <f t="shared" si="111"/>
        <v>Neutral</v>
      </c>
      <c r="X263">
        <f>survey_responses[[#This Row],[Tôi tin rằng Nhà nước, cơ quan thuế có đủ khả năng và công nghệ để phát hiện, xử lý nghiêm các hành vi trốn thuế. - HUMAN-ENF2]]</f>
        <v>9</v>
      </c>
      <c r="Y263" t="str">
        <f t="shared" si="112"/>
        <v>Support</v>
      </c>
      <c r="Z263" s="32">
        <f t="shared" si="113"/>
        <v>4</v>
      </c>
      <c r="AA263">
        <f>step3_validation[[#This Row],[AI_FAC1]]</f>
        <v>6</v>
      </c>
      <c r="AB263" t="str">
        <f t="shared" si="114"/>
        <v>Neutral</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2</v>
      </c>
      <c r="AF263">
        <f>step3_validation[[#This Row],[AI_FAC2]]</f>
        <v>8</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1</v>
      </c>
      <c r="AK263">
        <f>step3_validation[[#This Row],[AI_TRU1]]</f>
        <v>7</v>
      </c>
      <c r="AL263" t="str">
        <f t="shared" si="120"/>
        <v>Neutral</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1</v>
      </c>
      <c r="AP263">
        <f>step3_validation[[#This Row],[AI_TRU2]]</f>
        <v>9</v>
      </c>
      <c r="AQ263" t="str">
        <f t="shared" si="123"/>
        <v>Support</v>
      </c>
      <c r="AR263">
        <f>survey_responses[[#This Row],[Tôi thấy mức thuế tôi phải đóng theo phương án mới là công bằng (người thu nhập như tôi đóng mức này là hợp lý). - HUMAN-TRU2]]</f>
        <v>9</v>
      </c>
      <c r="AS263" t="str">
        <f t="shared" si="124"/>
        <v>Support</v>
      </c>
      <c r="AT263" s="32">
        <f t="shared" si="125"/>
        <v>0</v>
      </c>
      <c r="AU263">
        <f>step3_validation[[#This Row],[AI_TRU3]]</f>
        <v>7</v>
      </c>
      <c r="AV263" t="str">
        <f t="shared" si="126"/>
        <v>Neutral</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2</v>
      </c>
      <c r="AZ263">
        <f>step3_validation[[#This Row],[AI_TRU4]]</f>
        <v>8</v>
      </c>
      <c r="BA263" t="str">
        <f t="shared" si="129"/>
        <v>Support</v>
      </c>
      <c r="BB263">
        <f>survey_responses[[#This Row],[Tôi thấy Nhà nước đã giải thích rõ ràng, minh bạch về lý do và mục tiêu của việc sửa đổi thuế lần này. - HUMAN-TRU4]]</f>
        <v>8</v>
      </c>
      <c r="BC263" t="str">
        <f t="shared" si="130"/>
        <v>Support</v>
      </c>
      <c r="BD263" s="32">
        <f t="shared" si="131"/>
        <v>0</v>
      </c>
      <c r="BE263">
        <f>step3_validation[[#This Row],[AI_OUT1]]</f>
        <v>9</v>
      </c>
      <c r="BF263" t="str">
        <f t="shared" si="132"/>
        <v>Support</v>
      </c>
      <c r="BG263">
        <f>survey_responses[[#This Row],[Sau khi xem xét các quyền lợi và nghĩa vụ, bạn có ủng hộ và tuân thủ chính sách mới hiện nay? - HUMAN-OUT1]]</f>
        <v>8</v>
      </c>
      <c r="BH263" t="str">
        <f t="shared" si="133"/>
        <v>Support</v>
      </c>
      <c r="BI263" s="32">
        <f t="shared" si="134"/>
        <v>1</v>
      </c>
    </row>
    <row r="264" spans="1:61" x14ac:dyDescent="0.45">
      <c r="A264" s="30">
        <f>step3_validation[[#This Row],[Persona_ID]]</f>
        <v>263</v>
      </c>
      <c r="B264" s="31">
        <f>step3_validation[[#This Row],[Used_Seed]]</f>
        <v>304</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92.592868479061394</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7</v>
      </c>
      <c r="R264" t="str">
        <f t="shared" si="108"/>
        <v>Neutral</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1</v>
      </c>
      <c r="V264">
        <f>step3_validation[[#This Row],[AI_ENF2]]</f>
        <v>6</v>
      </c>
      <c r="W264" t="str">
        <f t="shared" si="111"/>
        <v>Neutral</v>
      </c>
      <c r="X264">
        <f>survey_responses[[#This Row],[Tôi tin rằng Nhà nước, cơ quan thuế có đủ khả năng và công nghệ để phát hiện, xử lý nghiêm các hành vi trốn thuế. - HUMAN-ENF2]]</f>
        <v>8</v>
      </c>
      <c r="Y264" t="str">
        <f t="shared" si="112"/>
        <v>Support</v>
      </c>
      <c r="Z264" s="32">
        <f t="shared" si="113"/>
        <v>2</v>
      </c>
      <c r="AA264">
        <f>step3_validation[[#This Row],[AI_FAC1]]</f>
        <v>8</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3</v>
      </c>
      <c r="AF264">
        <f>step3_validation[[#This Row],[AI_FAC2]]</f>
        <v>9</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2</v>
      </c>
      <c r="AK264">
        <f>step3_validation[[#This Row],[AI_TRU1]]</f>
        <v>8</v>
      </c>
      <c r="AL264" t="str">
        <f t="shared" si="120"/>
        <v>Support</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1</v>
      </c>
      <c r="AP264">
        <f>step3_validation[[#This Row],[AI_TRU2]]</f>
        <v>9</v>
      </c>
      <c r="AQ264" t="str">
        <f t="shared" si="123"/>
        <v>Support</v>
      </c>
      <c r="AR264">
        <f>survey_responses[[#This Row],[Tôi thấy mức thuế tôi phải đóng theo phương án mới là công bằng (người thu nhập như tôi đóng mức này là hợp lý). - HUMAN-TRU2]]</f>
        <v>5</v>
      </c>
      <c r="AS264" t="str">
        <f t="shared" si="124"/>
        <v>Neutral</v>
      </c>
      <c r="AT264" s="32">
        <f t="shared" si="125"/>
        <v>4</v>
      </c>
      <c r="AU264">
        <f>step3_validation[[#This Row],[AI_TRU3]]</f>
        <v>8</v>
      </c>
      <c r="AV264" t="str">
        <f t="shared" si="126"/>
        <v>Support</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3</v>
      </c>
      <c r="AZ264">
        <f>step3_validation[[#This Row],[AI_TRU4]]</f>
        <v>7</v>
      </c>
      <c r="BA264" t="str">
        <f t="shared" si="129"/>
        <v>Neutral</v>
      </c>
      <c r="BB264">
        <f>survey_responses[[#This Row],[Tôi thấy Nhà nước đã giải thích rõ ràng, minh bạch về lý do và mục tiêu của việc sửa đổi thuế lần này. - HUMAN-TRU4]]</f>
        <v>6</v>
      </c>
      <c r="BC264" t="str">
        <f t="shared" si="130"/>
        <v>Neutral</v>
      </c>
      <c r="BD264" s="32">
        <f t="shared" si="131"/>
        <v>1</v>
      </c>
      <c r="BE264">
        <f>step3_validation[[#This Row],[AI_OUT1]]</f>
        <v>9</v>
      </c>
      <c r="BF264" t="str">
        <f t="shared" si="132"/>
        <v>Support</v>
      </c>
      <c r="BG264">
        <f>survey_responses[[#This Row],[Sau khi xem xét các quyền lợi và nghĩa vụ, bạn có ủng hộ và tuân thủ chính sách mới hiện nay? - HUMAN-OUT1]]</f>
        <v>6</v>
      </c>
      <c r="BH264" t="str">
        <f t="shared" si="133"/>
        <v>Neutral</v>
      </c>
      <c r="BI264" s="32">
        <f t="shared" si="134"/>
        <v>3</v>
      </c>
    </row>
    <row r="265" spans="1:61" x14ac:dyDescent="0.45">
      <c r="A265" s="30">
        <f>step3_validation[[#This Row],[Persona_ID]]</f>
        <v>264</v>
      </c>
      <c r="B265" s="31">
        <f>step3_validation[[#This Row],[Used_Seed]]</f>
        <v>305</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111.11560768180053</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6</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1</v>
      </c>
      <c r="V265">
        <f>step3_validation[[#This Row],[AI_ENF2]]</f>
        <v>6</v>
      </c>
      <c r="W265" t="str">
        <f t="shared" si="111"/>
        <v>Neutral</v>
      </c>
      <c r="X265">
        <f>survey_responses[[#This Row],[Tôi tin rằng Nhà nước, cơ quan thuế có đủ khả năng và công nghệ để phát hiện, xử lý nghiêm các hành vi trốn thuế. - HUMAN-ENF2]]</f>
        <v>7</v>
      </c>
      <c r="Y265" t="str">
        <f t="shared" si="112"/>
        <v>Neutral</v>
      </c>
      <c r="Z265" s="32">
        <f t="shared" si="113"/>
        <v>1</v>
      </c>
      <c r="AA265">
        <f>step3_validation[[#This Row],[AI_FAC1]]</f>
        <v>8</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1</v>
      </c>
      <c r="AF265">
        <f>step3_validation[[#This Row],[AI_FAC2]]</f>
        <v>9</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1</v>
      </c>
      <c r="AK265">
        <f>step3_validation[[#This Row],[AI_TRU1]]</f>
        <v>7</v>
      </c>
      <c r="AL265" t="str">
        <f t="shared" si="120"/>
        <v>Neutral</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0</v>
      </c>
      <c r="AP265">
        <f>step3_validation[[#This Row],[AI_TRU2]]</f>
        <v>8</v>
      </c>
      <c r="AQ265" t="str">
        <f t="shared" si="123"/>
        <v>Support</v>
      </c>
      <c r="AR265">
        <f>survey_responses[[#This Row],[Tôi thấy mức thuế tôi phải đóng theo phương án mới là công bằng (người thu nhập như tôi đóng mức này là hợp lý). - HUMAN-TRU2]]</f>
        <v>7</v>
      </c>
      <c r="AS265" t="str">
        <f t="shared" si="124"/>
        <v>Neutral</v>
      </c>
      <c r="AT265" s="32">
        <f t="shared" si="125"/>
        <v>1</v>
      </c>
      <c r="AU265">
        <f>step3_validation[[#This Row],[AI_TRU3]]</f>
        <v>7</v>
      </c>
      <c r="AV265" t="str">
        <f t="shared" si="126"/>
        <v>Neutral</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0</v>
      </c>
      <c r="AZ265">
        <f>step3_validation[[#This Row],[AI_TRU4]]</f>
        <v>8</v>
      </c>
      <c r="BA265" t="str">
        <f t="shared" si="129"/>
        <v>Support</v>
      </c>
      <c r="BB265">
        <f>survey_responses[[#This Row],[Tôi thấy Nhà nước đã giải thích rõ ràng, minh bạch về lý do và mục tiêu của việc sửa đổi thuế lần này. - HUMAN-TRU4]]</f>
        <v>7</v>
      </c>
      <c r="BC265" t="str">
        <f t="shared" si="130"/>
        <v>Neutral</v>
      </c>
      <c r="BD265" s="32">
        <f t="shared" si="131"/>
        <v>1</v>
      </c>
      <c r="BE265">
        <f>step3_validation[[#This Row],[AI_OUT1]]</f>
        <v>8</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1</v>
      </c>
    </row>
    <row r="266" spans="1:61" x14ac:dyDescent="0.45">
      <c r="A266" s="30">
        <f>step3_validation[[#This Row],[Persona_ID]]</f>
        <v>265</v>
      </c>
      <c r="B266" s="31">
        <f>step3_validation[[#This Row],[Used_Seed]]</f>
        <v>306</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23.471752547275287</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6</v>
      </c>
      <c r="R266" t="str">
        <f t="shared" si="108"/>
        <v>Neutral</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0</v>
      </c>
      <c r="V266">
        <f>step3_validation[[#This Row],[AI_ENF2]]</f>
        <v>7</v>
      </c>
      <c r="W266" t="str">
        <f t="shared" si="111"/>
        <v>Neutral</v>
      </c>
      <c r="X266">
        <f>survey_responses[[#This Row],[Tôi tin rằng Nhà nước, cơ quan thuế có đủ khả năng và công nghệ để phát hiện, xử lý nghiêm các hành vi trốn thuế. - HUMAN-ENF2]]</f>
        <v>5</v>
      </c>
      <c r="Y266" t="str">
        <f t="shared" si="112"/>
        <v>Neutral</v>
      </c>
      <c r="Z266" s="32">
        <f t="shared" si="113"/>
        <v>2</v>
      </c>
      <c r="AA266">
        <f>step3_validation[[#This Row],[AI_FAC1]]</f>
        <v>9</v>
      </c>
      <c r="AB266" t="str">
        <f t="shared" si="114"/>
        <v>Support</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4</v>
      </c>
      <c r="AF266">
        <f>step3_validation[[#This Row],[AI_FAC2]]</f>
        <v>8</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1</v>
      </c>
      <c r="AK266">
        <f>step3_validation[[#This Row],[AI_TRU1]]</f>
        <v>7</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1</v>
      </c>
      <c r="AP266">
        <f>step3_validation[[#This Row],[AI_TRU2]]</f>
        <v>9</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2</v>
      </c>
      <c r="AU266">
        <f>step3_validation[[#This Row],[AI_TRU3]]</f>
        <v>7</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2</v>
      </c>
      <c r="AZ266">
        <f>step3_validation[[#This Row],[AI_TRU4]]</f>
        <v>8</v>
      </c>
      <c r="BA266" t="str">
        <f t="shared" si="129"/>
        <v>Support</v>
      </c>
      <c r="BB266">
        <f>survey_responses[[#This Row],[Tôi thấy Nhà nước đã giải thích rõ ràng, minh bạch về lý do và mục tiêu của việc sửa đổi thuế lần này. - HUMAN-TRU4]]</f>
        <v>6</v>
      </c>
      <c r="BC266" t="str">
        <f t="shared" si="130"/>
        <v>Neutral</v>
      </c>
      <c r="BD266" s="32">
        <f t="shared" si="131"/>
        <v>2</v>
      </c>
      <c r="BE266">
        <f>step3_validation[[#This Row],[AI_OUT1]]</f>
        <v>9</v>
      </c>
      <c r="BF266" t="str">
        <f t="shared" si="132"/>
        <v>Support</v>
      </c>
      <c r="BG266">
        <f>survey_responses[[#This Row],[Sau khi xem xét các quyền lợi và nghĩa vụ, bạn có ủng hộ và tuân thủ chính sách mới hiện nay? - HUMAN-OUT1]]</f>
        <v>6</v>
      </c>
      <c r="BH266" t="str">
        <f t="shared" si="133"/>
        <v>Neutral</v>
      </c>
      <c r="BI266" s="32">
        <f t="shared" si="134"/>
        <v>3</v>
      </c>
    </row>
    <row r="267" spans="1:61" x14ac:dyDescent="0.45">
      <c r="A267" s="30">
        <f>step3_validation[[#This Row],[Persona_ID]]</f>
        <v>266</v>
      </c>
      <c r="B267" s="31">
        <f>step3_validation[[#This Row],[Used_Seed]]</f>
        <v>307</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50.519403846977397</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8</v>
      </c>
      <c r="R267" t="str">
        <f t="shared" si="108"/>
        <v>Support</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1</v>
      </c>
      <c r="V267">
        <f>step3_validation[[#This Row],[AI_ENF2]]</f>
        <v>7</v>
      </c>
      <c r="W267" t="str">
        <f t="shared" si="111"/>
        <v>Neutral</v>
      </c>
      <c r="X267">
        <f>survey_responses[[#This Row],[Tôi tin rằng Nhà nước, cơ quan thuế có đủ khả năng và công nghệ để phát hiện, xử lý nghiêm các hành vi trốn thuế. - HUMAN-ENF2]]</f>
        <v>6</v>
      </c>
      <c r="Y267" t="str">
        <f t="shared" si="112"/>
        <v>Neutral</v>
      </c>
      <c r="Z267" s="32">
        <f t="shared" si="113"/>
        <v>1</v>
      </c>
      <c r="AA267">
        <f>step3_validation[[#This Row],[AI_FAC1]]</f>
        <v>9</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3</v>
      </c>
      <c r="AF267">
        <f>step3_validation[[#This Row],[AI_FAC2]]</f>
        <v>8</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2</v>
      </c>
      <c r="AK267">
        <f>step3_validation[[#This Row],[AI_TRU1]]</f>
        <v>9</v>
      </c>
      <c r="AL267" t="str">
        <f t="shared" si="120"/>
        <v>Support</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2</v>
      </c>
      <c r="AP267">
        <f>step3_validation[[#This Row],[AI_TRU2]]</f>
        <v>8</v>
      </c>
      <c r="AQ267" t="str">
        <f t="shared" si="123"/>
        <v>Support</v>
      </c>
      <c r="AR267">
        <f>survey_responses[[#This Row],[Tôi thấy mức thuế tôi phải đóng theo phương án mới là công bằng (người thu nhập như tôi đóng mức này là hợp lý). - HUMAN-TRU2]]</f>
        <v>7</v>
      </c>
      <c r="AS267" t="str">
        <f t="shared" si="124"/>
        <v>Neutral</v>
      </c>
      <c r="AT267" s="32">
        <f t="shared" si="125"/>
        <v>1</v>
      </c>
      <c r="AU267">
        <f>step3_validation[[#This Row],[AI_TRU3]]</f>
        <v>9</v>
      </c>
      <c r="AV267" t="str">
        <f t="shared" si="126"/>
        <v>Support</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2</v>
      </c>
      <c r="AZ267">
        <f>step3_validation[[#This Row],[AI_TRU4]]</f>
        <v>8</v>
      </c>
      <c r="BA267" t="str">
        <f t="shared" si="129"/>
        <v>Support</v>
      </c>
      <c r="BB267">
        <f>survey_responses[[#This Row],[Tôi thấy Nhà nước đã giải thích rõ ràng, minh bạch về lý do và mục tiêu của việc sửa đổi thuế lần này. - HUMAN-TRU4]]</f>
        <v>7</v>
      </c>
      <c r="BC267" t="str">
        <f t="shared" si="130"/>
        <v>Neutral</v>
      </c>
      <c r="BD267" s="32">
        <f t="shared" si="131"/>
        <v>1</v>
      </c>
      <c r="BE267">
        <f>step3_validation[[#This Row],[AI_OUT1]]</f>
        <v>9</v>
      </c>
      <c r="BF267" t="str">
        <f t="shared" si="132"/>
        <v>Support</v>
      </c>
      <c r="BG267">
        <f>survey_responses[[#This Row],[Sau khi xem xét các quyền lợi và nghĩa vụ, bạn có ủng hộ và tuân thủ chính sách mới hiện nay? - HUMAN-OUT1]]</f>
        <v>7</v>
      </c>
      <c r="BH267" t="str">
        <f t="shared" si="133"/>
        <v>Neutral</v>
      </c>
      <c r="BI267" s="32">
        <f t="shared" si="134"/>
        <v>2</v>
      </c>
    </row>
    <row r="268" spans="1:61" x14ac:dyDescent="0.45">
      <c r="A268" s="30">
        <f>step3_validation[[#This Row],[Persona_ID]]</f>
        <v>267</v>
      </c>
      <c r="B268" s="31">
        <f>step3_validation[[#This Row],[Used_Seed]]</f>
        <v>308</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52.569711452697604</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8</v>
      </c>
      <c r="R268" t="str">
        <f t="shared" si="108"/>
        <v>Support</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2</v>
      </c>
      <c r="V268">
        <f>step3_validation[[#This Row],[AI_ENF2]]</f>
        <v>9</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2">
        <f t="shared" si="113"/>
        <v>2</v>
      </c>
      <c r="AA268">
        <f>step3_validation[[#This Row],[AI_FAC1]]</f>
        <v>8</v>
      </c>
      <c r="AB268" t="str">
        <f t="shared" si="114"/>
        <v>Support</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1</v>
      </c>
      <c r="AF268">
        <f>step3_validation[[#This Row],[AI_FAC2]]</f>
        <v>9</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3</v>
      </c>
      <c r="AK268">
        <f>step3_validation[[#This Row],[AI_TRU1]]</f>
        <v>8</v>
      </c>
      <c r="AL268" t="str">
        <f t="shared" si="120"/>
        <v>Support</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2</v>
      </c>
      <c r="AP268">
        <f>step3_validation[[#This Row],[AI_TRU2]]</f>
        <v>9</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3</v>
      </c>
      <c r="AU268">
        <f>step3_validation[[#This Row],[AI_TRU3]]</f>
        <v>8</v>
      </c>
      <c r="AV268" t="str">
        <f t="shared" si="126"/>
        <v>Support</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2</v>
      </c>
      <c r="AZ268">
        <f>step3_validation[[#This Row],[AI_TRU4]]</f>
        <v>9</v>
      </c>
      <c r="BA268" t="str">
        <f t="shared" si="129"/>
        <v>Support</v>
      </c>
      <c r="BB268">
        <f>survey_responses[[#This Row],[Tôi thấy Nhà nước đã giải thích rõ ràng, minh bạch về lý do và mục tiêu của việc sửa đổi thuế lần này. - HUMAN-TRU4]]</f>
        <v>7</v>
      </c>
      <c r="BC268" t="str">
        <f t="shared" si="130"/>
        <v>Neutral</v>
      </c>
      <c r="BD268" s="32">
        <f t="shared" si="131"/>
        <v>2</v>
      </c>
      <c r="BE268">
        <f>step3_validation[[#This Row],[AI_OUT1]]</f>
        <v>9</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2</v>
      </c>
    </row>
    <row r="269" spans="1:61" x14ac:dyDescent="0.45">
      <c r="A269" s="30">
        <f>step3_validation[[#This Row],[Persona_ID]]</f>
        <v>268</v>
      </c>
      <c r="B269" s="31">
        <f>step3_validation[[#This Row],[Used_Seed]]</f>
        <v>309</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28.91998346010287</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6</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1</v>
      </c>
      <c r="V269">
        <f>step3_validation[[#This Row],[AI_ENF2]]</f>
        <v>7</v>
      </c>
      <c r="W269" t="str">
        <f t="shared" si="111"/>
        <v>Neutral</v>
      </c>
      <c r="X269">
        <f>survey_responses[[#This Row],[Tôi tin rằng Nhà nước, cơ quan thuế có đủ khả năng và công nghệ để phát hiện, xử lý nghiêm các hành vi trốn thuế. - HUMAN-ENF2]]</f>
        <v>7</v>
      </c>
      <c r="Y269" t="str">
        <f t="shared" si="112"/>
        <v>Neutral</v>
      </c>
      <c r="Z269" s="32">
        <f t="shared" si="113"/>
        <v>0</v>
      </c>
      <c r="AA269">
        <f>step3_validation[[#This Row],[AI_FAC1]]</f>
        <v>9</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7</v>
      </c>
      <c r="AF269">
        <f>step3_validation[[#This Row],[AI_FAC2]]</f>
        <v>8</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1</v>
      </c>
      <c r="AK269">
        <f>step3_validation[[#This Row],[AI_TRU1]]</f>
        <v>9</v>
      </c>
      <c r="AL269" t="str">
        <f t="shared" si="120"/>
        <v>Support</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2</v>
      </c>
      <c r="AP269">
        <f>step3_validation[[#This Row],[AI_TRU2]]</f>
        <v>8</v>
      </c>
      <c r="AQ269" t="str">
        <f t="shared" si="123"/>
        <v>Support</v>
      </c>
      <c r="AR269">
        <f>survey_responses[[#This Row],[Tôi thấy mức thuế tôi phải đóng theo phương án mới là công bằng (người thu nhập như tôi đóng mức này là hợp lý). - HUMAN-TRU2]]</f>
        <v>7</v>
      </c>
      <c r="AS269" t="str">
        <f t="shared" si="124"/>
        <v>Neutral</v>
      </c>
      <c r="AT269" s="32">
        <f t="shared" si="125"/>
        <v>1</v>
      </c>
      <c r="AU269">
        <f>step3_validation[[#This Row],[AI_TRU3]]</f>
        <v>9</v>
      </c>
      <c r="AV269" t="str">
        <f t="shared" si="126"/>
        <v>Support</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2</v>
      </c>
      <c r="AZ269">
        <f>step3_validation[[#This Row],[AI_TRU4]]</f>
        <v>7</v>
      </c>
      <c r="BA269" t="str">
        <f t="shared" si="129"/>
        <v>Neutral</v>
      </c>
      <c r="BB269">
        <f>survey_responses[[#This Row],[Tôi thấy Nhà nước đã giải thích rõ ràng, minh bạch về lý do và mục tiêu của việc sửa đổi thuế lần này. - HUMAN-TRU4]]</f>
        <v>7</v>
      </c>
      <c r="BC269" t="str">
        <f t="shared" si="130"/>
        <v>Neutral</v>
      </c>
      <c r="BD269" s="32">
        <f t="shared" si="131"/>
        <v>0</v>
      </c>
      <c r="BE269">
        <f>step3_validation[[#This Row],[AI_OUT1]]</f>
        <v>8</v>
      </c>
      <c r="BF269" t="str">
        <f t="shared" si="132"/>
        <v>Support</v>
      </c>
      <c r="BG269">
        <f>survey_responses[[#This Row],[Sau khi xem xét các quyền lợi và nghĩa vụ, bạn có ủng hộ và tuân thủ chính sách mới hiện nay? - HUMAN-OUT1]]</f>
        <v>7</v>
      </c>
      <c r="BH269" t="str">
        <f t="shared" si="133"/>
        <v>Neutral</v>
      </c>
      <c r="BI269" s="32">
        <f t="shared" si="134"/>
        <v>1</v>
      </c>
    </row>
    <row r="270" spans="1:61" x14ac:dyDescent="0.45">
      <c r="A270" s="30">
        <f>step3_validation[[#This Row],[Persona_ID]]</f>
        <v>269</v>
      </c>
      <c r="B270" s="31">
        <f>step3_validation[[#This Row],[Used_Seed]]</f>
        <v>310</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86.24176125121042</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t="str">
        <f t="shared" si="108"/>
        <v>Support</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4</v>
      </c>
      <c r="V270">
        <f>step3_validation[[#This Row],[AI_ENF2]]</f>
        <v>8</v>
      </c>
      <c r="W270" t="str">
        <f t="shared" si="111"/>
        <v>Support</v>
      </c>
      <c r="X270">
        <f>survey_responses[[#This Row],[Tôi tin rằng Nhà nước, cơ quan thuế có đủ khả năng và công nghệ để phát hiện, xử lý nghiêm các hành vi trốn thuế. - HUMAN-ENF2]]</f>
        <v>5</v>
      </c>
      <c r="Y270" t="str">
        <f t="shared" si="112"/>
        <v>Neutral</v>
      </c>
      <c r="Z270" s="32">
        <f t="shared" si="113"/>
        <v>3</v>
      </c>
      <c r="AA270">
        <f>step3_validation[[#This Row],[AI_FAC1]]</f>
        <v>9</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7</v>
      </c>
      <c r="AF270">
        <f>step3_validation[[#This Row],[AI_FAC2]]</f>
        <v>9</v>
      </c>
      <c r="AG270" t="str">
        <f t="shared" si="117"/>
        <v>Support</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3</v>
      </c>
      <c r="AK270">
        <f>step3_validation[[#This Row],[AI_TRU1]]</f>
        <v>9</v>
      </c>
      <c r="AL270" t="str">
        <f t="shared" si="120"/>
        <v>Support</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6</v>
      </c>
      <c r="AP270">
        <f>step3_validation[[#This Row],[AI_TRU2]]</f>
        <v>9</v>
      </c>
      <c r="AQ270" t="str">
        <f t="shared" si="123"/>
        <v>Support</v>
      </c>
      <c r="AR270">
        <f>survey_responses[[#This Row],[Tôi thấy mức thuế tôi phải đóng theo phương án mới là công bằng (người thu nhập như tôi đóng mức này là hợp lý). - HUMAN-TRU2]]</f>
        <v>3</v>
      </c>
      <c r="AS270" t="str">
        <f t="shared" si="124"/>
        <v>Oppose</v>
      </c>
      <c r="AT270" s="32">
        <f t="shared" si="125"/>
        <v>6</v>
      </c>
      <c r="AU270">
        <f>step3_validation[[#This Row],[AI_TRU3]]</f>
        <v>9</v>
      </c>
      <c r="AV270" t="str">
        <f t="shared" si="126"/>
        <v>Support</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8</v>
      </c>
      <c r="AZ270">
        <f>step3_validation[[#This Row],[AI_TRU4]]</f>
        <v>9</v>
      </c>
      <c r="BA270" t="str">
        <f t="shared" si="129"/>
        <v>Support</v>
      </c>
      <c r="BB270">
        <f>survey_responses[[#This Row],[Tôi thấy Nhà nước đã giải thích rõ ràng, minh bạch về lý do và mục tiêu của việc sửa đổi thuế lần này. - HUMAN-TRU4]]</f>
        <v>3</v>
      </c>
      <c r="BC270" t="str">
        <f t="shared" si="130"/>
        <v>Oppose</v>
      </c>
      <c r="BD270" s="32">
        <f t="shared" si="131"/>
        <v>6</v>
      </c>
      <c r="BE270">
        <f>step3_validation[[#This Row],[AI_OUT1]]</f>
        <v>9</v>
      </c>
      <c r="BF270" t="str">
        <f t="shared" si="132"/>
        <v>Support</v>
      </c>
      <c r="BG270">
        <f>survey_responses[[#This Row],[Sau khi xem xét các quyền lợi và nghĩa vụ, bạn có ủng hộ và tuân thủ chính sách mới hiện nay? - HUMAN-OUT1]]</f>
        <v>1</v>
      </c>
      <c r="BH270" t="str">
        <f t="shared" si="133"/>
        <v>Oppose</v>
      </c>
      <c r="BI270" s="32">
        <f t="shared" si="134"/>
        <v>8</v>
      </c>
    </row>
    <row r="271" spans="1:61" x14ac:dyDescent="0.45">
      <c r="A271" s="30">
        <f>step3_validation[[#This Row],[Persona_ID]]</f>
        <v>270</v>
      </c>
      <c r="B271" s="31">
        <f>step3_validation[[#This Row],[Used_Seed]]</f>
        <v>311</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67.77050871738534</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5</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3</v>
      </c>
      <c r="V271">
        <f>step3_validation[[#This Row],[AI_ENF2]]</f>
        <v>6</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2</v>
      </c>
      <c r="AA271">
        <f>step3_validation[[#This Row],[AI_FAC1]]</f>
        <v>8</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5</v>
      </c>
      <c r="AF271">
        <f>step3_validation[[#This Row],[AI_FAC2]]</f>
        <v>9</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1</v>
      </c>
      <c r="AK271">
        <f>step3_validation[[#This Row],[AI_TRU1]]</f>
        <v>7</v>
      </c>
      <c r="AL271" t="str">
        <f t="shared" si="120"/>
        <v>Neutral</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4</v>
      </c>
      <c r="AP271">
        <f>step3_validation[[#This Row],[AI_TRU2]]</f>
        <v>8</v>
      </c>
      <c r="AQ271" t="str">
        <f t="shared" si="123"/>
        <v>Support</v>
      </c>
      <c r="AR271">
        <f>survey_responses[[#This Row],[Tôi thấy mức thuế tôi phải đóng theo phương án mới là công bằng (người thu nhập như tôi đóng mức này là hợp lý). - HUMAN-TRU2]]</f>
        <v>1</v>
      </c>
      <c r="AS271" t="str">
        <f t="shared" si="124"/>
        <v>Oppose</v>
      </c>
      <c r="AT271" s="32">
        <f t="shared" si="125"/>
        <v>7</v>
      </c>
      <c r="AU271">
        <f>step3_validation[[#This Row],[AI_TRU3]]</f>
        <v>7</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1</v>
      </c>
      <c r="AZ271">
        <f>step3_validation[[#This Row],[AI_TRU4]]</f>
        <v>6</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0</v>
      </c>
      <c r="BE271">
        <f>step3_validation[[#This Row],[AI_OUT1]]</f>
        <v>8</v>
      </c>
      <c r="BF271" t="str">
        <f t="shared" si="132"/>
        <v>Support</v>
      </c>
      <c r="BG271">
        <f>survey_responses[[#This Row],[Sau khi xem xét các quyền lợi và nghĩa vụ, bạn có ủng hộ và tuân thủ chính sách mới hiện nay? - HUMAN-OUT1]]</f>
        <v>7</v>
      </c>
      <c r="BH271" t="str">
        <f t="shared" si="133"/>
        <v>Neutral</v>
      </c>
      <c r="BI271" s="32">
        <f t="shared" si="134"/>
        <v>1</v>
      </c>
    </row>
    <row r="272" spans="1:61" x14ac:dyDescent="0.45">
      <c r="A272" s="30">
        <f>step3_validation[[#This Row],[Persona_ID]]</f>
        <v>271</v>
      </c>
      <c r="B272" s="31">
        <f>step3_validation[[#This Row],[Used_Seed]]</f>
        <v>312</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56.8895451578394</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8</v>
      </c>
      <c r="R272" t="str">
        <f t="shared" si="108"/>
        <v>Support</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1</v>
      </c>
      <c r="V272">
        <f>step3_validation[[#This Row],[AI_ENF2]]</f>
        <v>7</v>
      </c>
      <c r="W272" t="str">
        <f t="shared" si="111"/>
        <v>Neutral</v>
      </c>
      <c r="X272">
        <f>survey_responses[[#This Row],[Tôi tin rằng Nhà nước, cơ quan thuế có đủ khả năng và công nghệ để phát hiện, xử lý nghiêm các hành vi trốn thuế. - HUMAN-ENF2]]</f>
        <v>7</v>
      </c>
      <c r="Y272" t="str">
        <f t="shared" si="112"/>
        <v>Neutral</v>
      </c>
      <c r="Z272" s="32">
        <f t="shared" si="113"/>
        <v>0</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5</v>
      </c>
      <c r="AF272">
        <f>step3_validation[[#This Row],[AI_FAC2]]</f>
        <v>8</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1</v>
      </c>
      <c r="AK272">
        <f>step3_validation[[#This Row],[AI_TRU1]]</f>
        <v>9</v>
      </c>
      <c r="AL272" t="str">
        <f t="shared" si="120"/>
        <v>Support</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2</v>
      </c>
      <c r="AP272">
        <f>step3_validation[[#This Row],[AI_TRU2]]</f>
        <v>8</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2</v>
      </c>
      <c r="AU272">
        <f>step3_validation[[#This Row],[AI_TRU3]]</f>
        <v>9</v>
      </c>
      <c r="AV272" t="str">
        <f t="shared" si="126"/>
        <v>Support</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4</v>
      </c>
      <c r="AZ272">
        <f>step3_validation[[#This Row],[AI_TRU4]]</f>
        <v>8</v>
      </c>
      <c r="BA272" t="str">
        <f t="shared" si="129"/>
        <v>Support</v>
      </c>
      <c r="BB272">
        <f>survey_responses[[#This Row],[Tôi thấy Nhà nước đã giải thích rõ ràng, minh bạch về lý do và mục tiêu của việc sửa đổi thuế lần này. - HUMAN-TRU4]]</f>
        <v>7</v>
      </c>
      <c r="BC272" t="str">
        <f t="shared" si="130"/>
        <v>Neutral</v>
      </c>
      <c r="BD272" s="32">
        <f t="shared" si="131"/>
        <v>1</v>
      </c>
      <c r="BE272">
        <f>step3_validation[[#This Row],[AI_OUT1]]</f>
        <v>9</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3</v>
      </c>
    </row>
    <row r="273" spans="1:61" x14ac:dyDescent="0.45">
      <c r="A273" s="30">
        <f>step3_validation[[#This Row],[Persona_ID]]</f>
        <v>272</v>
      </c>
      <c r="B273" s="31">
        <f>step3_validation[[#This Row],[Used_Seed]]</f>
        <v>313</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36.279781845072534</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8</v>
      </c>
      <c r="R273" t="str">
        <f t="shared" si="108"/>
        <v>Support</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1</v>
      </c>
      <c r="V273">
        <f>step3_validation[[#This Row],[AI_ENF2]]</f>
        <v>9</v>
      </c>
      <c r="W273" t="str">
        <f t="shared" si="111"/>
        <v>Support</v>
      </c>
      <c r="X273">
        <f>survey_responses[[#This Row],[Tôi tin rằng Nhà nước, cơ quan thuế có đủ khả năng và công nghệ để phát hiện, xử lý nghiêm các hành vi trốn thuế. - HUMAN-ENF2]]</f>
        <v>8</v>
      </c>
      <c r="Y273" t="str">
        <f t="shared" si="112"/>
        <v>Support</v>
      </c>
      <c r="Z273" s="32">
        <f t="shared" si="113"/>
        <v>1</v>
      </c>
      <c r="AA273">
        <f>step3_validation[[#This Row],[AI_FAC1]]</f>
        <v>8</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6</v>
      </c>
      <c r="AF273">
        <f>step3_validation[[#This Row],[AI_FAC2]]</f>
        <v>9</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3</v>
      </c>
      <c r="AK273">
        <f>step3_validation[[#This Row],[AI_TRU1]]</f>
        <v>8</v>
      </c>
      <c r="AL273" t="str">
        <f t="shared" si="120"/>
        <v>Support</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2</v>
      </c>
      <c r="AP273">
        <f>step3_validation[[#This Row],[AI_TRU2]]</f>
        <v>9</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2">
        <f t="shared" si="125"/>
        <v>3</v>
      </c>
      <c r="AU273">
        <f>step3_validation[[#This Row],[AI_TRU3]]</f>
        <v>8</v>
      </c>
      <c r="AV273" t="str">
        <f t="shared" si="126"/>
        <v>Support</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3</v>
      </c>
      <c r="AZ273">
        <f>step3_validation[[#This Row],[AI_TRU4]]</f>
        <v>9</v>
      </c>
      <c r="BA273" t="str">
        <f t="shared" si="129"/>
        <v>Support</v>
      </c>
      <c r="BB273">
        <f>survey_responses[[#This Row],[Tôi thấy Nhà nước đã giải thích rõ ràng, minh bạch về lý do và mục tiêu của việc sửa đổi thuế lần này. - HUMAN-TRU4]]</f>
        <v>5</v>
      </c>
      <c r="BC273" t="str">
        <f t="shared" si="130"/>
        <v>Neutral</v>
      </c>
      <c r="BD273" s="32">
        <f t="shared" si="131"/>
        <v>4</v>
      </c>
      <c r="BE273">
        <f>step3_validation[[#This Row],[AI_OUT1]]</f>
        <v>9</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3</v>
      </c>
    </row>
    <row r="274" spans="1:61" x14ac:dyDescent="0.45">
      <c r="A274" s="30">
        <f>step3_validation[[#This Row],[Persona_ID]]</f>
        <v>273</v>
      </c>
      <c r="B274" s="31">
        <f>step3_validation[[#This Row],[Used_Seed]]</f>
        <v>314</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70.906460480728072</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9</v>
      </c>
      <c r="R274" t="str">
        <f t="shared" si="108"/>
        <v>Support</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6</v>
      </c>
      <c r="V274">
        <f>step3_validation[[#This Row],[AI_ENF2]]</f>
        <v>8</v>
      </c>
      <c r="W274" t="str">
        <f t="shared" si="111"/>
        <v>Support</v>
      </c>
      <c r="X274">
        <f>survey_responses[[#This Row],[Tôi tin rằng Nhà nước, cơ quan thuế có đủ khả năng và công nghệ để phát hiện, xử lý nghiêm các hành vi trốn thuế. - HUMAN-ENF2]]</f>
        <v>3</v>
      </c>
      <c r="Y274" t="str">
        <f t="shared" si="112"/>
        <v>Oppose</v>
      </c>
      <c r="Z274" s="32">
        <f t="shared" si="113"/>
        <v>5</v>
      </c>
      <c r="AA274">
        <f>step3_validation[[#This Row],[AI_FAC1]]</f>
        <v>9</v>
      </c>
      <c r="AB274" t="str">
        <f t="shared" si="114"/>
        <v>Support</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8</v>
      </c>
      <c r="AF274">
        <f>step3_validation[[#This Row],[AI_FAC2]]</f>
        <v>8</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2</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6</v>
      </c>
      <c r="AP274">
        <f>step3_validation[[#This Row],[AI_TRU2]]</f>
        <v>9</v>
      </c>
      <c r="AQ274" t="str">
        <f t="shared" si="123"/>
        <v>Support</v>
      </c>
      <c r="AR274">
        <f>survey_responses[[#This Row],[Tôi thấy mức thuế tôi phải đóng theo phương án mới là công bằng (người thu nhập như tôi đóng mức này là hợp lý). - HUMAN-TRU2]]</f>
        <v>1</v>
      </c>
      <c r="AS274" t="str">
        <f t="shared" si="124"/>
        <v>Oppose</v>
      </c>
      <c r="AT274" s="32">
        <f t="shared" si="125"/>
        <v>8</v>
      </c>
      <c r="AU274">
        <f>step3_validation[[#This Row],[AI_TRU3]]</f>
        <v>8</v>
      </c>
      <c r="AV274" t="str">
        <f t="shared" si="126"/>
        <v>Support</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7</v>
      </c>
      <c r="AZ274">
        <f>step3_validation[[#This Row],[AI_TRU4]]</f>
        <v>9</v>
      </c>
      <c r="BA274" t="str">
        <f t="shared" si="129"/>
        <v>Support</v>
      </c>
      <c r="BB274">
        <f>survey_responses[[#This Row],[Tôi thấy Nhà nước đã giải thích rõ ràng, minh bạch về lý do và mục tiêu của việc sửa đổi thuế lần này. - HUMAN-TRU4]]</f>
        <v>1</v>
      </c>
      <c r="BC274" t="str">
        <f t="shared" si="130"/>
        <v>Oppose</v>
      </c>
      <c r="BD274" s="32">
        <f t="shared" si="131"/>
        <v>8</v>
      </c>
      <c r="BE274">
        <f>step3_validation[[#This Row],[AI_OUT1]]</f>
        <v>8</v>
      </c>
      <c r="BF274" t="str">
        <f t="shared" si="132"/>
        <v>Support</v>
      </c>
      <c r="BG274">
        <f>survey_responses[[#This Row],[Sau khi xem xét các quyền lợi và nghĩa vụ, bạn có ủng hộ và tuân thủ chính sách mới hiện nay? - HUMAN-OUT1]]</f>
        <v>1</v>
      </c>
      <c r="BH274" t="str">
        <f t="shared" si="133"/>
        <v>Oppose</v>
      </c>
      <c r="BI274" s="32">
        <f t="shared" si="134"/>
        <v>7</v>
      </c>
    </row>
    <row r="275" spans="1:61" x14ac:dyDescent="0.45">
      <c r="A275" s="30">
        <f>step3_validation[[#This Row],[Persona_ID]]</f>
        <v>274</v>
      </c>
      <c r="B275" s="31">
        <f>step3_validation[[#This Row],[Used_Seed]]</f>
        <v>315</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66.585178249267827</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1</v>
      </c>
      <c r="V275">
        <f>step3_validation[[#This Row],[AI_ENF2]]</f>
        <v>8</v>
      </c>
      <c r="W275" t="str">
        <f t="shared" si="111"/>
        <v>Support</v>
      </c>
      <c r="X275">
        <f>survey_responses[[#This Row],[Tôi tin rằng Nhà nước, cơ quan thuế có đủ khả năng và công nghệ để phát hiện, xử lý nghiêm các hành vi trốn thuế. - HUMAN-ENF2]]</f>
        <v>6</v>
      </c>
      <c r="Y275" t="str">
        <f t="shared" si="112"/>
        <v>Neutral</v>
      </c>
      <c r="Z275" s="32">
        <f t="shared" si="113"/>
        <v>2</v>
      </c>
      <c r="AA275">
        <f>step3_validation[[#This Row],[AI_FAC1]]</f>
        <v>6</v>
      </c>
      <c r="AB275" t="str">
        <f t="shared" si="114"/>
        <v>Neutral</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1</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7</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1</v>
      </c>
      <c r="AP275">
        <f>step3_validation[[#This Row],[AI_TRU2]]</f>
        <v>8</v>
      </c>
      <c r="AQ275" t="str">
        <f t="shared" si="123"/>
        <v>Support</v>
      </c>
      <c r="AR275">
        <f>survey_responses[[#This Row],[Tôi thấy mức thuế tôi phải đóng theo phương án mới là công bằng (người thu nhập như tôi đóng mức này là hợp lý). - HUMAN-TRU2]]</f>
        <v>6</v>
      </c>
      <c r="AS275" t="str">
        <f t="shared" si="124"/>
        <v>Neutral</v>
      </c>
      <c r="AT275" s="32">
        <f t="shared" si="125"/>
        <v>2</v>
      </c>
      <c r="AU275">
        <f>step3_validation[[#This Row],[AI_TRU3]]</f>
        <v>7</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1</v>
      </c>
      <c r="AZ275">
        <f>step3_validation[[#This Row],[AI_TRU4]]</f>
        <v>8</v>
      </c>
      <c r="BA275" t="str">
        <f t="shared" si="129"/>
        <v>Support</v>
      </c>
      <c r="BB275">
        <f>survey_responses[[#This Row],[Tôi thấy Nhà nước đã giải thích rõ ràng, minh bạch về lý do và mục tiêu của việc sửa đổi thuế lần này. - HUMAN-TRU4]]</f>
        <v>6</v>
      </c>
      <c r="BC275" t="str">
        <f t="shared" si="130"/>
        <v>Neutral</v>
      </c>
      <c r="BD275" s="32">
        <f t="shared" si="131"/>
        <v>2</v>
      </c>
      <c r="BE275">
        <f>step3_validation[[#This Row],[AI_OUT1]]</f>
        <v>9</v>
      </c>
      <c r="BF275" t="str">
        <f t="shared" si="132"/>
        <v>Support</v>
      </c>
      <c r="BG275">
        <f>survey_responses[[#This Row],[Sau khi xem xét các quyền lợi và nghĩa vụ, bạn có ủng hộ và tuân thủ chính sách mới hiện nay? - HUMAN-OUT1]]</f>
        <v>6</v>
      </c>
      <c r="BH275" t="str">
        <f t="shared" si="133"/>
        <v>Neutral</v>
      </c>
      <c r="BI275" s="32">
        <f t="shared" si="134"/>
        <v>3</v>
      </c>
    </row>
    <row r="276" spans="1:61" x14ac:dyDescent="0.45">
      <c r="A276" s="30">
        <f>step3_validation[[#This Row],[Persona_ID]]</f>
        <v>275</v>
      </c>
      <c r="B276" s="31">
        <f>step3_validation[[#This Row],[Used_Seed]]</f>
        <v>316</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57.93954691548533</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6</v>
      </c>
      <c r="W276" t="str">
        <f t="shared" si="111"/>
        <v>Neutral</v>
      </c>
      <c r="X276">
        <f>survey_responses[[#This Row],[Tôi tin rằng Nhà nước, cơ quan thuế có đủ khả năng và công nghệ để phát hiện, xử lý nghiêm các hành vi trốn thuế. - HUMAN-ENF2]]</f>
        <v>9</v>
      </c>
      <c r="Y276" t="str">
        <f t="shared" si="112"/>
        <v>Support</v>
      </c>
      <c r="Z276" s="32">
        <f t="shared" si="113"/>
        <v>3</v>
      </c>
      <c r="AA276">
        <f>step3_validation[[#This Row],[AI_FAC1]]</f>
        <v>8</v>
      </c>
      <c r="AB276" t="str">
        <f t="shared" si="114"/>
        <v>Support</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3</v>
      </c>
      <c r="AF276">
        <f>step3_validation[[#This Row],[AI_FAC2]]</f>
        <v>9</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2</v>
      </c>
      <c r="AK276">
        <f>step3_validation[[#This Row],[AI_TRU1]]</f>
        <v>7</v>
      </c>
      <c r="AL276" t="str">
        <f t="shared" si="120"/>
        <v>Neutral</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1</v>
      </c>
      <c r="AP276">
        <f>step3_validation[[#This Row],[AI_TRU2]]</f>
        <v>9</v>
      </c>
      <c r="AQ276" t="str">
        <f t="shared" si="123"/>
        <v>Support</v>
      </c>
      <c r="AR276">
        <f>survey_responses[[#This Row],[Tôi thấy mức thuế tôi phải đóng theo phương án mới là công bằng (người thu nhập như tôi đóng mức này là hợp lý). - HUMAN-TRU2]]</f>
        <v>7</v>
      </c>
      <c r="AS276" t="str">
        <f t="shared" si="124"/>
        <v>Neutral</v>
      </c>
      <c r="AT276" s="32">
        <f t="shared" si="125"/>
        <v>2</v>
      </c>
      <c r="AU276">
        <f>step3_validation[[#This Row],[AI_TRU3]]</f>
        <v>8</v>
      </c>
      <c r="AV276" t="str">
        <f t="shared" si="126"/>
        <v>Support</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1</v>
      </c>
      <c r="AZ276">
        <f>step3_validation[[#This Row],[AI_TRU4]]</f>
        <v>7</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0</v>
      </c>
      <c r="BE276">
        <f>step3_validation[[#This Row],[AI_OUT1]]</f>
        <v>9</v>
      </c>
      <c r="BF276" t="str">
        <f t="shared" si="132"/>
        <v>Support</v>
      </c>
      <c r="BG276">
        <f>survey_responses[[#This Row],[Sau khi xem xét các quyền lợi và nghĩa vụ, bạn có ủng hộ và tuân thủ chính sách mới hiện nay? - HUMAN-OUT1]]</f>
        <v>7</v>
      </c>
      <c r="BH276" t="str">
        <f t="shared" si="133"/>
        <v>Neutral</v>
      </c>
      <c r="BI276" s="32">
        <f t="shared" si="134"/>
        <v>2</v>
      </c>
    </row>
    <row r="277" spans="1:61" x14ac:dyDescent="0.45">
      <c r="A277" s="30">
        <f>step3_validation[[#This Row],[Persona_ID]]</f>
        <v>276</v>
      </c>
      <c r="B277" s="31">
        <f>step3_validation[[#This Row],[Used_Seed]]</f>
        <v>317</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43.864927887446235</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8</v>
      </c>
      <c r="R277" t="str">
        <f t="shared" si="108"/>
        <v>Support</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2</v>
      </c>
      <c r="V277">
        <f>step3_validation[[#This Row],[AI_ENF2]]</f>
        <v>9</v>
      </c>
      <c r="W277" t="str">
        <f t="shared" si="111"/>
        <v>Support</v>
      </c>
      <c r="X277">
        <f>survey_responses[[#This Row],[Tôi tin rằng Nhà nước, cơ quan thuế có đủ khả năng và công nghệ để phát hiện, xử lý nghiêm các hành vi trốn thuế. - HUMAN-ENF2]]</f>
        <v>6</v>
      </c>
      <c r="Y277" t="str">
        <f t="shared" si="112"/>
        <v>Neutral</v>
      </c>
      <c r="Z277" s="32">
        <f t="shared" si="113"/>
        <v>3</v>
      </c>
      <c r="AA277">
        <f>step3_validation[[#This Row],[AI_FAC1]]</f>
        <v>8</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5</v>
      </c>
      <c r="AF277">
        <f>step3_validation[[#This Row],[AI_FAC2]]</f>
        <v>9</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2</v>
      </c>
      <c r="AK277">
        <f>step3_validation[[#This Row],[AI_TRU1]]</f>
        <v>8</v>
      </c>
      <c r="AL277" t="str">
        <f t="shared" si="120"/>
        <v>Support</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1</v>
      </c>
      <c r="AP277">
        <f>step3_validation[[#This Row],[AI_TRU2]]</f>
        <v>9</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2</v>
      </c>
      <c r="AU277">
        <f>step3_validation[[#This Row],[AI_TRU3]]</f>
        <v>8</v>
      </c>
      <c r="AV277" t="str">
        <f t="shared" si="126"/>
        <v>Support</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3</v>
      </c>
      <c r="AZ277">
        <f>step3_validation[[#This Row],[AI_TRU4]]</f>
        <v>9</v>
      </c>
      <c r="BA277" t="str">
        <f t="shared" si="129"/>
        <v>Support</v>
      </c>
      <c r="BB277">
        <f>survey_responses[[#This Row],[Tôi thấy Nhà nước đã giải thích rõ ràng, minh bạch về lý do và mục tiêu của việc sửa đổi thuế lần này. - HUMAN-TRU4]]</f>
        <v>7</v>
      </c>
      <c r="BC277" t="str">
        <f t="shared" si="130"/>
        <v>Neutral</v>
      </c>
      <c r="BD277" s="32">
        <f t="shared" si="131"/>
        <v>2</v>
      </c>
      <c r="BE277">
        <f>step3_validation[[#This Row],[AI_OUT1]]</f>
        <v>8</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1</v>
      </c>
    </row>
    <row r="278" spans="1:61" x14ac:dyDescent="0.45">
      <c r="A278" s="30">
        <f>step3_validation[[#This Row],[Persona_ID]]</f>
        <v>277</v>
      </c>
      <c r="B278" s="31">
        <f>step3_validation[[#This Row],[Used_Seed]]</f>
        <v>318</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90.62189932755696</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8</v>
      </c>
      <c r="R278" t="str">
        <f t="shared" si="108"/>
        <v>Support</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0</v>
      </c>
      <c r="V278">
        <f>step3_validation[[#This Row],[AI_ENF2]]</f>
        <v>7</v>
      </c>
      <c r="W278" t="str">
        <f t="shared" si="111"/>
        <v>Neutral</v>
      </c>
      <c r="X278">
        <f>survey_responses[[#This Row],[Tôi tin rằng Nhà nước, cơ quan thuế có đủ khả năng và công nghệ để phát hiện, xử lý nghiêm các hành vi trốn thuế. - HUMAN-ENF2]]</f>
        <v>8</v>
      </c>
      <c r="Y278" t="str">
        <f t="shared" si="112"/>
        <v>Support</v>
      </c>
      <c r="Z278" s="32">
        <f t="shared" si="113"/>
        <v>1</v>
      </c>
      <c r="AA278">
        <f>step3_validation[[#This Row],[AI_FAC1]]</f>
        <v>9</v>
      </c>
      <c r="AB278" t="str">
        <f t="shared" si="114"/>
        <v>Support</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3</v>
      </c>
      <c r="AF278">
        <f>step3_validation[[#This Row],[AI_FAC2]]</f>
        <v>8</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1</v>
      </c>
      <c r="AK278">
        <f>step3_validation[[#This Row],[AI_TRU1]]</f>
        <v>9</v>
      </c>
      <c r="AL278" t="str">
        <f t="shared" si="120"/>
        <v>Support</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2</v>
      </c>
      <c r="AP278">
        <f>step3_validation[[#This Row],[AI_TRU2]]</f>
        <v>8</v>
      </c>
      <c r="AQ278" t="str">
        <f t="shared" si="123"/>
        <v>Support</v>
      </c>
      <c r="AR278">
        <f>survey_responses[[#This Row],[Tôi thấy mức thuế tôi phải đóng theo phương án mới là công bằng (người thu nhập như tôi đóng mức này là hợp lý). - HUMAN-TRU2]]</f>
        <v>4</v>
      </c>
      <c r="AS278" t="str">
        <f t="shared" si="124"/>
        <v>Oppose</v>
      </c>
      <c r="AT278" s="32">
        <f t="shared" si="125"/>
        <v>4</v>
      </c>
      <c r="AU278">
        <f>step3_validation[[#This Row],[AI_TRU3]]</f>
        <v>7</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2</v>
      </c>
      <c r="AZ278">
        <f>step3_validation[[#This Row],[AI_TRU4]]</f>
        <v>8</v>
      </c>
      <c r="BA278" t="str">
        <f t="shared" si="129"/>
        <v>Support</v>
      </c>
      <c r="BB278">
        <f>survey_responses[[#This Row],[Tôi thấy Nhà nước đã giải thích rõ ràng, minh bạch về lý do và mục tiêu của việc sửa đổi thuế lần này. - HUMAN-TRU4]]</f>
        <v>5</v>
      </c>
      <c r="BC278" t="str">
        <f t="shared" si="130"/>
        <v>Neutral</v>
      </c>
      <c r="BD278" s="32">
        <f t="shared" si="131"/>
        <v>3</v>
      </c>
      <c r="BE278">
        <f>step3_validation[[#This Row],[AI_OUT1]]</f>
        <v>9</v>
      </c>
      <c r="BF278" t="str">
        <f t="shared" si="132"/>
        <v>Support</v>
      </c>
      <c r="BG278">
        <f>survey_responses[[#This Row],[Sau khi xem xét các quyền lợi và nghĩa vụ, bạn có ủng hộ và tuân thủ chính sách mới hiện nay? - HUMAN-OUT1]]</f>
        <v>5</v>
      </c>
      <c r="BH278" t="str">
        <f t="shared" si="133"/>
        <v>Neutral</v>
      </c>
      <c r="BI278" s="32">
        <f t="shared" si="134"/>
        <v>4</v>
      </c>
    </row>
    <row r="279" spans="1:61" x14ac:dyDescent="0.45">
      <c r="A279" s="30">
        <f>step3_validation[[#This Row],[Persona_ID]]</f>
        <v>278</v>
      </c>
      <c r="B279" s="31">
        <f>step3_validation[[#This Row],[Used_Seed]]</f>
        <v>319</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66.55597708399209</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t="str">
        <f t="shared" si="108"/>
        <v>Neutral</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1</v>
      </c>
      <c r="V279">
        <f>step3_validation[[#This Row],[AI_ENF2]]</f>
        <v>6</v>
      </c>
      <c r="W279" t="str">
        <f t="shared" si="111"/>
        <v>Neutral</v>
      </c>
      <c r="X279">
        <f>survey_responses[[#This Row],[Tôi tin rằng Nhà nước, cơ quan thuế có đủ khả năng và công nghệ để phát hiện, xử lý nghiêm các hành vi trốn thuế. - HUMAN-ENF2]]</f>
        <v>7</v>
      </c>
      <c r="Y279" t="str">
        <f t="shared" si="112"/>
        <v>Neutral</v>
      </c>
      <c r="Z279" s="32">
        <f t="shared" si="113"/>
        <v>1</v>
      </c>
      <c r="AA279">
        <f>step3_validation[[#This Row],[AI_FAC1]]</f>
        <v>9</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4</v>
      </c>
      <c r="AF279">
        <f>step3_validation[[#This Row],[AI_FAC2]]</f>
        <v>8</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1</v>
      </c>
      <c r="AK279">
        <f>step3_validation[[#This Row],[AI_TRU1]]</f>
        <v>9</v>
      </c>
      <c r="AL279" t="str">
        <f t="shared" si="120"/>
        <v>Support</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3</v>
      </c>
      <c r="AP279">
        <f>step3_validation[[#This Row],[AI_TRU2]]</f>
        <v>8</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2</v>
      </c>
      <c r="AU279">
        <f>step3_validation[[#This Row],[AI_TRU3]]</f>
        <v>9</v>
      </c>
      <c r="AV279" t="str">
        <f t="shared" si="126"/>
        <v>Support</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3</v>
      </c>
      <c r="AZ279">
        <f>step3_validation[[#This Row],[AI_TRU4]]</f>
        <v>8</v>
      </c>
      <c r="BA279" t="str">
        <f t="shared" si="129"/>
        <v>Support</v>
      </c>
      <c r="BB279">
        <f>survey_responses[[#This Row],[Tôi thấy Nhà nước đã giải thích rõ ràng, minh bạch về lý do và mục tiêu của việc sửa đổi thuế lần này. - HUMAN-TRU4]]</f>
        <v>6</v>
      </c>
      <c r="BC279" t="str">
        <f t="shared" si="130"/>
        <v>Neutral</v>
      </c>
      <c r="BD279" s="32">
        <f t="shared" si="131"/>
        <v>2</v>
      </c>
      <c r="BE279">
        <f>step3_validation[[#This Row],[AI_OUT1]]</f>
        <v>9</v>
      </c>
      <c r="BF279" t="str">
        <f t="shared" si="132"/>
        <v>Support</v>
      </c>
      <c r="BG279">
        <f>survey_responses[[#This Row],[Sau khi xem xét các quyền lợi và nghĩa vụ, bạn có ủng hộ và tuân thủ chính sách mới hiện nay? - HUMAN-OUT1]]</f>
        <v>6</v>
      </c>
      <c r="BH279" t="str">
        <f t="shared" si="133"/>
        <v>Neutral</v>
      </c>
      <c r="BI279" s="32">
        <f t="shared" si="134"/>
        <v>3</v>
      </c>
    </row>
    <row r="280" spans="1:61" x14ac:dyDescent="0.45">
      <c r="A280" s="30">
        <f>step3_validation[[#This Row],[Persona_ID]]</f>
        <v>279</v>
      </c>
      <c r="B280" s="31">
        <f>step3_validation[[#This Row],[Used_Seed]]</f>
        <v>320</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81.512302712743661</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8</v>
      </c>
      <c r="R280" t="str">
        <f t="shared" si="108"/>
        <v>Support</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2</v>
      </c>
      <c r="V280">
        <f>step3_validation[[#This Row],[AI_ENF2]]</f>
        <v>9</v>
      </c>
      <c r="W280" t="str">
        <f t="shared" si="111"/>
        <v>Support</v>
      </c>
      <c r="X280">
        <f>survey_responses[[#This Row],[Tôi tin rằng Nhà nước, cơ quan thuế có đủ khả năng và công nghệ để phát hiện, xử lý nghiêm các hành vi trốn thuế. - HUMAN-ENF2]]</f>
        <v>7</v>
      </c>
      <c r="Y280" t="str">
        <f t="shared" si="112"/>
        <v>Neutral</v>
      </c>
      <c r="Z280" s="32">
        <f t="shared" si="113"/>
        <v>2</v>
      </c>
      <c r="AA280">
        <f>step3_validation[[#This Row],[AI_FAC1]]</f>
        <v>8</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3</v>
      </c>
      <c r="AF280">
        <f>step3_validation[[#This Row],[AI_FAC2]]</f>
        <v>9</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1</v>
      </c>
      <c r="AK280">
        <f>step3_validation[[#This Row],[AI_TRU1]]</f>
        <v>8</v>
      </c>
      <c r="AL280" t="str">
        <f t="shared" si="120"/>
        <v>Support</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2</v>
      </c>
      <c r="AP280">
        <f>step3_validation[[#This Row],[AI_TRU2]]</f>
        <v>9</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2">
        <f t="shared" si="125"/>
        <v>6</v>
      </c>
      <c r="AU280">
        <f>step3_validation[[#This Row],[AI_TRU3]]</f>
        <v>8</v>
      </c>
      <c r="AV280" t="str">
        <f t="shared" si="126"/>
        <v>Support</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2</v>
      </c>
      <c r="AZ280">
        <f>step3_validation[[#This Row],[AI_TRU4]]</f>
        <v>9</v>
      </c>
      <c r="BA280" t="str">
        <f t="shared" si="129"/>
        <v>Support</v>
      </c>
      <c r="BB280">
        <f>survey_responses[[#This Row],[Tôi thấy Nhà nước đã giải thích rõ ràng, minh bạch về lý do và mục tiêu của việc sửa đổi thuế lần này. - HUMAN-TRU4]]</f>
        <v>8</v>
      </c>
      <c r="BC280" t="str">
        <f t="shared" si="130"/>
        <v>Support</v>
      </c>
      <c r="BD280" s="32">
        <f t="shared" si="131"/>
        <v>1</v>
      </c>
      <c r="BE280">
        <f>step3_validation[[#This Row],[AI_OUT1]]</f>
        <v>8</v>
      </c>
      <c r="BF280" t="str">
        <f t="shared" si="132"/>
        <v>Support</v>
      </c>
      <c r="BG280">
        <f>survey_responses[[#This Row],[Sau khi xem xét các quyền lợi và nghĩa vụ, bạn có ủng hộ và tuân thủ chính sách mới hiện nay? - HUMAN-OUT1]]</f>
        <v>6</v>
      </c>
      <c r="BH280" t="str">
        <f t="shared" si="133"/>
        <v>Neutral</v>
      </c>
      <c r="BI280" s="32">
        <f t="shared" si="134"/>
        <v>2</v>
      </c>
    </row>
    <row r="281" spans="1:61" x14ac:dyDescent="0.45">
      <c r="A281" s="30">
        <f>step3_validation[[#This Row],[Persona_ID]]</f>
        <v>280</v>
      </c>
      <c r="B281" s="31">
        <f>step3_validation[[#This Row],[Used_Seed]]</f>
        <v>321</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87.707786109528342</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9</v>
      </c>
      <c r="R281" t="str">
        <f t="shared" si="108"/>
        <v>Support</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5</v>
      </c>
      <c r="V281">
        <f>step3_validation[[#This Row],[AI_ENF2]]</f>
        <v>8</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4</v>
      </c>
      <c r="AA281">
        <f>step3_validation[[#This Row],[AI_FAC1]]</f>
        <v>9</v>
      </c>
      <c r="AB281" t="str">
        <f t="shared" si="114"/>
        <v>Support</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8</v>
      </c>
      <c r="AF281">
        <f>step3_validation[[#This Row],[AI_FAC2]]</f>
        <v>8</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2</v>
      </c>
      <c r="AK281">
        <f>step3_validation[[#This Row],[AI_TRU1]]</f>
        <v>9</v>
      </c>
      <c r="AL281" t="str">
        <f t="shared" si="120"/>
        <v>Support</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6</v>
      </c>
      <c r="AP281">
        <f>step3_validation[[#This Row],[AI_TRU2]]</f>
        <v>8</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6</v>
      </c>
      <c r="AU281">
        <f>step3_validation[[#This Row],[AI_TRU3]]</f>
        <v>9</v>
      </c>
      <c r="AV281" t="str">
        <f t="shared" si="126"/>
        <v>Support</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8</v>
      </c>
      <c r="AZ281">
        <f>step3_validation[[#This Row],[AI_TRU4]]</f>
        <v>8</v>
      </c>
      <c r="BA281" t="str">
        <f t="shared" si="129"/>
        <v>Support</v>
      </c>
      <c r="BB281">
        <f>survey_responses[[#This Row],[Tôi thấy Nhà nước đã giải thích rõ ràng, minh bạch về lý do và mục tiêu của việc sửa đổi thuế lần này. - HUMAN-TRU4]]</f>
        <v>5</v>
      </c>
      <c r="BC281" t="str">
        <f t="shared" si="130"/>
        <v>Neutral</v>
      </c>
      <c r="BD281" s="32">
        <f t="shared" si="131"/>
        <v>3</v>
      </c>
      <c r="BE281">
        <f>step3_validation[[#This Row],[AI_OUT1]]</f>
        <v>9</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5</v>
      </c>
    </row>
    <row r="282" spans="1:61" x14ac:dyDescent="0.45">
      <c r="A282" s="30">
        <f>step3_validation[[#This Row],[Persona_ID]]</f>
        <v>281</v>
      </c>
      <c r="B282" s="31">
        <f>step3_validation[[#This Row],[Used_Seed]]</f>
        <v>322</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72.299069091868844</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9</v>
      </c>
      <c r="R282" t="str">
        <f t="shared" si="108"/>
        <v>Support</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3</v>
      </c>
      <c r="V282">
        <f>step3_validation[[#This Row],[AI_ENF2]]</f>
        <v>8</v>
      </c>
      <c r="W282" t="str">
        <f t="shared" si="111"/>
        <v>Support</v>
      </c>
      <c r="X282">
        <f>survey_responses[[#This Row],[Tôi tin rằng Nhà nước, cơ quan thuế có đủ khả năng và công nghệ để phát hiện, xử lý nghiêm các hành vi trốn thuế. - HUMAN-ENF2]]</f>
        <v>7</v>
      </c>
      <c r="Y282" t="str">
        <f t="shared" si="112"/>
        <v>Neutral</v>
      </c>
      <c r="Z282" s="32">
        <f t="shared" si="113"/>
        <v>1</v>
      </c>
      <c r="AA282">
        <f>step3_validation[[#This Row],[AI_FAC1]]</f>
        <v>7</v>
      </c>
      <c r="AB282" t="str">
        <f t="shared" si="114"/>
        <v>Neutral</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3</v>
      </c>
      <c r="AF282">
        <f>step3_validation[[#This Row],[AI_FAC2]]</f>
        <v>8</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0</v>
      </c>
      <c r="AK282">
        <f>step3_validation[[#This Row],[AI_TRU1]]</f>
        <v>9</v>
      </c>
      <c r="AL282" t="str">
        <f t="shared" si="120"/>
        <v>Support</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3</v>
      </c>
      <c r="AP282">
        <f>step3_validation[[#This Row],[AI_TRU2]]</f>
        <v>8</v>
      </c>
      <c r="AQ282" t="str">
        <f t="shared" si="123"/>
        <v>Support</v>
      </c>
      <c r="AR282">
        <f>survey_responses[[#This Row],[Tôi thấy mức thuế tôi phải đóng theo phương án mới là công bằng (người thu nhập như tôi đóng mức này là hợp lý). - HUMAN-TRU2]]</f>
        <v>6</v>
      </c>
      <c r="AS282" t="str">
        <f t="shared" si="124"/>
        <v>Neutral</v>
      </c>
      <c r="AT282" s="32">
        <f t="shared" si="125"/>
        <v>2</v>
      </c>
      <c r="AU282">
        <f>step3_validation[[#This Row],[AI_TRU3]]</f>
        <v>9</v>
      </c>
      <c r="AV282" t="str">
        <f t="shared" si="126"/>
        <v>Support</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4</v>
      </c>
      <c r="AZ282">
        <f>step3_validation[[#This Row],[AI_TRU4]]</f>
        <v>8</v>
      </c>
      <c r="BA282" t="str">
        <f t="shared" si="129"/>
        <v>Support</v>
      </c>
      <c r="BB282">
        <f>survey_responses[[#This Row],[Tôi thấy Nhà nước đã giải thích rõ ràng, minh bạch về lý do và mục tiêu của việc sửa đổi thuế lần này. - HUMAN-TRU4]]</f>
        <v>7</v>
      </c>
      <c r="BC282" t="str">
        <f t="shared" si="130"/>
        <v>Neutral</v>
      </c>
      <c r="BD282" s="32">
        <f t="shared" si="131"/>
        <v>1</v>
      </c>
      <c r="BE282">
        <f>step3_validation[[#This Row],[AI_OUT1]]</f>
        <v>9</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3</v>
      </c>
    </row>
    <row r="283" spans="1:61" x14ac:dyDescent="0.45">
      <c r="A283" s="30">
        <f>step3_validation[[#This Row],[Persona_ID]]</f>
        <v>282</v>
      </c>
      <c r="B283" s="31">
        <f>step3_validation[[#This Row],[Used_Seed]]</f>
        <v>323</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200.51295478498065</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1</v>
      </c>
      <c r="V283">
        <f>step3_validation[[#This Row],[AI_ENF2]]</f>
        <v>8</v>
      </c>
      <c r="W283" t="str">
        <f t="shared" si="111"/>
        <v>Support</v>
      </c>
      <c r="X283">
        <f>survey_responses[[#This Row],[Tôi tin rằng Nhà nước, cơ quan thuế có đủ khả năng và công nghệ để phát hiện, xử lý nghiêm các hành vi trốn thuế. - HUMAN-ENF2]]</f>
        <v>8</v>
      </c>
      <c r="Y283" t="str">
        <f t="shared" si="112"/>
        <v>Support</v>
      </c>
      <c r="Z283" s="32">
        <f t="shared" si="113"/>
        <v>0</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0</v>
      </c>
      <c r="AF283">
        <f>step3_validation[[#This Row],[AI_FAC2]]</f>
        <v>8</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1</v>
      </c>
      <c r="AK283">
        <f>step3_validation[[#This Row],[AI_TRU1]]</f>
        <v>9</v>
      </c>
      <c r="AL283" t="str">
        <f t="shared" si="120"/>
        <v>Support</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2</v>
      </c>
      <c r="AP283">
        <f>step3_validation[[#This Row],[AI_TRU2]]</f>
        <v>8</v>
      </c>
      <c r="AQ283" t="str">
        <f t="shared" si="123"/>
        <v>Support</v>
      </c>
      <c r="AR283">
        <f>survey_responses[[#This Row],[Tôi thấy mức thuế tôi phải đóng theo phương án mới là công bằng (người thu nhập như tôi đóng mức này là hợp lý). - HUMAN-TRU2]]</f>
        <v>8</v>
      </c>
      <c r="AS283" t="str">
        <f t="shared" si="124"/>
        <v>Support</v>
      </c>
      <c r="AT283" s="32">
        <f t="shared" si="125"/>
        <v>0</v>
      </c>
      <c r="AU283">
        <f>step3_validation[[#This Row],[AI_TRU3]]</f>
        <v>9</v>
      </c>
      <c r="AV283" t="str">
        <f t="shared" si="126"/>
        <v>Support</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1</v>
      </c>
      <c r="AZ283">
        <f>step3_validation[[#This Row],[AI_TRU4]]</f>
        <v>8</v>
      </c>
      <c r="BA283" t="str">
        <f t="shared" si="129"/>
        <v>Support</v>
      </c>
      <c r="BB283">
        <f>survey_responses[[#This Row],[Tôi thấy Nhà nước đã giải thích rõ ràng, minh bạch về lý do và mục tiêu của việc sửa đổi thuế lần này. - HUMAN-TRU4]]</f>
        <v>8</v>
      </c>
      <c r="BC283" t="str">
        <f t="shared" si="130"/>
        <v>Support</v>
      </c>
      <c r="BD283" s="32">
        <f t="shared" si="131"/>
        <v>0</v>
      </c>
      <c r="BE283">
        <f>step3_validation[[#This Row],[AI_OUT1]]</f>
        <v>9</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2</v>
      </c>
    </row>
    <row r="284" spans="1:61" x14ac:dyDescent="0.45">
      <c r="A284" s="30">
        <f>step3_validation[[#This Row],[Persona_ID]]</f>
        <v>283</v>
      </c>
      <c r="B284" s="31">
        <f>step3_validation[[#This Row],[Used_Seed]]</f>
        <v>324</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60.057153881555116</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6</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1</v>
      </c>
      <c r="V284">
        <f>step3_validation[[#This Row],[AI_ENF2]]</f>
        <v>7</v>
      </c>
      <c r="W284" t="str">
        <f t="shared" si="111"/>
        <v>Neutral</v>
      </c>
      <c r="X284">
        <f>survey_responses[[#This Row],[Tôi tin rằng Nhà nước, cơ quan thuế có đủ khả năng và công nghệ để phát hiện, xử lý nghiêm các hành vi trốn thuế. - HUMAN-ENF2]]</f>
        <v>5</v>
      </c>
      <c r="Y284" t="str">
        <f t="shared" si="112"/>
        <v>Neutral</v>
      </c>
      <c r="Z284" s="32">
        <f t="shared" si="113"/>
        <v>2</v>
      </c>
      <c r="AA284">
        <f>step3_validation[[#This Row],[AI_FAC1]]</f>
        <v>8</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6</v>
      </c>
      <c r="AF284">
        <f>step3_validation[[#This Row],[AI_FAC2]]</f>
        <v>9</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3</v>
      </c>
      <c r="AK284">
        <f>step3_validation[[#This Row],[AI_TRU1]]</f>
        <v>7</v>
      </c>
      <c r="AL284" t="str">
        <f t="shared" si="120"/>
        <v>Neutral</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2</v>
      </c>
      <c r="AP284">
        <f>step3_validation[[#This Row],[AI_TRU2]]</f>
        <v>8</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4</v>
      </c>
      <c r="AU284">
        <f>step3_validation[[#This Row],[AI_TRU3]]</f>
        <v>6</v>
      </c>
      <c r="AV284" t="str">
        <f t="shared" si="126"/>
        <v>Neutral</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1</v>
      </c>
      <c r="AZ284">
        <f>step3_validation[[#This Row],[AI_TRU4]]</f>
        <v>7</v>
      </c>
      <c r="BA284" t="str">
        <f t="shared" si="129"/>
        <v>Neutral</v>
      </c>
      <c r="BB284">
        <f>survey_responses[[#This Row],[Tôi thấy Nhà nước đã giải thích rõ ràng, minh bạch về lý do và mục tiêu của việc sửa đổi thuế lần này. - HUMAN-TRU4]]</f>
        <v>5</v>
      </c>
      <c r="BC284" t="str">
        <f t="shared" si="130"/>
        <v>Neutral</v>
      </c>
      <c r="BD284" s="32">
        <f t="shared" si="131"/>
        <v>2</v>
      </c>
      <c r="BE284">
        <f>step3_validation[[#This Row],[AI_OUT1]]</f>
        <v>9</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5</v>
      </c>
    </row>
    <row r="285" spans="1:61" x14ac:dyDescent="0.45">
      <c r="A285" s="30">
        <f>step3_validation[[#This Row],[Persona_ID]]</f>
        <v>284</v>
      </c>
      <c r="B285" s="31">
        <f>step3_validation[[#This Row],[Used_Seed]]</f>
        <v>325</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48.131815733884942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8</v>
      </c>
      <c r="R285" t="str">
        <f t="shared" si="108"/>
        <v>Support</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1</v>
      </c>
      <c r="V285">
        <f>step3_validation[[#This Row],[AI_ENF2]]</f>
        <v>9</v>
      </c>
      <c r="W285" t="str">
        <f t="shared" si="111"/>
        <v>Support</v>
      </c>
      <c r="X285">
        <f>survey_responses[[#This Row],[Tôi tin rằng Nhà nước, cơ quan thuế có đủ khả năng và công nghệ để phát hiện, xử lý nghiêm các hành vi trốn thuế. - HUMAN-ENF2]]</f>
        <v>7</v>
      </c>
      <c r="Y285" t="str">
        <f t="shared" si="112"/>
        <v>Neutral</v>
      </c>
      <c r="Z285" s="32">
        <f t="shared" si="113"/>
        <v>2</v>
      </c>
      <c r="AA285">
        <f>step3_validation[[#This Row],[AI_FAC1]]</f>
        <v>8</v>
      </c>
      <c r="AB285" t="str">
        <f t="shared" si="114"/>
        <v>Support</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3</v>
      </c>
      <c r="AF285">
        <f>step3_validation[[#This Row],[AI_FAC2]]</f>
        <v>9</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2</v>
      </c>
      <c r="AK285">
        <f>step3_validation[[#This Row],[AI_TRU1]]</f>
        <v>8</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3</v>
      </c>
      <c r="AP285">
        <f>step3_validation[[#This Row],[AI_TRU2]]</f>
        <v>9</v>
      </c>
      <c r="AQ285" t="str">
        <f t="shared" si="123"/>
        <v>Support</v>
      </c>
      <c r="AR285">
        <f>survey_responses[[#This Row],[Tôi thấy mức thuế tôi phải đóng theo phương án mới là công bằng (người thu nhập như tôi đóng mức này là hợp lý). - HUMAN-TRU2]]</f>
        <v>6</v>
      </c>
      <c r="AS285" t="str">
        <f t="shared" si="124"/>
        <v>Neutral</v>
      </c>
      <c r="AT285" s="32">
        <f t="shared" si="125"/>
        <v>3</v>
      </c>
      <c r="AU285">
        <f>step3_validation[[#This Row],[AI_TRU3]]</f>
        <v>8</v>
      </c>
      <c r="AV285" t="str">
        <f t="shared" si="126"/>
        <v>Support</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3</v>
      </c>
      <c r="AZ285">
        <f>step3_validation[[#This Row],[AI_TRU4]]</f>
        <v>9</v>
      </c>
      <c r="BA285" t="str">
        <f t="shared" si="129"/>
        <v>Support</v>
      </c>
      <c r="BB285">
        <f>survey_responses[[#This Row],[Tôi thấy Nhà nước đã giải thích rõ ràng, minh bạch về lý do và mục tiêu của việc sửa đổi thuế lần này. - HUMAN-TRU4]]</f>
        <v>7</v>
      </c>
      <c r="BC285" t="str">
        <f t="shared" si="130"/>
        <v>Neutral</v>
      </c>
      <c r="BD285" s="32">
        <f t="shared" si="131"/>
        <v>2</v>
      </c>
      <c r="BE285">
        <f>step3_validation[[#This Row],[AI_OUT1]]</f>
        <v>9</v>
      </c>
      <c r="BF285" t="str">
        <f t="shared" si="132"/>
        <v>Support</v>
      </c>
      <c r="BG285">
        <f>survey_responses[[#This Row],[Sau khi xem xét các quyền lợi và nghĩa vụ, bạn có ủng hộ và tuân thủ chính sách mới hiện nay? - HUMAN-OUT1]]</f>
        <v>6</v>
      </c>
      <c r="BH285" t="str">
        <f t="shared" si="133"/>
        <v>Neutral</v>
      </c>
      <c r="BI285" s="32">
        <f t="shared" si="134"/>
        <v>3</v>
      </c>
    </row>
    <row r="286" spans="1:61" x14ac:dyDescent="0.45">
      <c r="A286" s="30">
        <f>step3_validation[[#This Row],[Persona_ID]]</f>
        <v>285</v>
      </c>
      <c r="B286" s="31">
        <f>step3_validation[[#This Row],[Used_Seed]]</f>
        <v>326</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78.325465725006566</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8</v>
      </c>
      <c r="R286" t="str">
        <f t="shared" si="108"/>
        <v>Support</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1</v>
      </c>
      <c r="V286">
        <f>step3_validation[[#This Row],[AI_ENF2]]</f>
        <v>9</v>
      </c>
      <c r="W286" t="str">
        <f t="shared" si="111"/>
        <v>Support</v>
      </c>
      <c r="X286">
        <f>survey_responses[[#This Row],[Tôi tin rằng Nhà nước, cơ quan thuế có đủ khả năng và công nghệ để phát hiện, xử lý nghiêm các hành vi trốn thuế. - HUMAN-ENF2]]</f>
        <v>7</v>
      </c>
      <c r="Y286" t="str">
        <f t="shared" si="112"/>
        <v>Neutral</v>
      </c>
      <c r="Z286" s="32">
        <f t="shared" si="113"/>
        <v>2</v>
      </c>
      <c r="AA286">
        <f>step3_validation[[#This Row],[AI_FAC1]]</f>
        <v>9</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4</v>
      </c>
      <c r="AF286">
        <f>step3_validation[[#This Row],[AI_FAC2]]</f>
        <v>8</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0</v>
      </c>
      <c r="AK286">
        <f>step3_validation[[#This Row],[AI_TRU1]]</f>
        <v>7</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1</v>
      </c>
      <c r="AP286">
        <f>step3_validation[[#This Row],[AI_TRU2]]</f>
        <v>9</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3</v>
      </c>
      <c r="AU286">
        <f>step3_validation[[#This Row],[AI_TRU3]]</f>
        <v>8</v>
      </c>
      <c r="AV286" t="str">
        <f t="shared" si="126"/>
        <v>Support</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2</v>
      </c>
      <c r="AZ286">
        <f>step3_validation[[#This Row],[AI_TRU4]]</f>
        <v>7</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0</v>
      </c>
      <c r="BE286">
        <f>step3_validation[[#This Row],[AI_OUT1]]</f>
        <v>9</v>
      </c>
      <c r="BF286" t="str">
        <f t="shared" si="132"/>
        <v>Support</v>
      </c>
      <c r="BG286">
        <f>survey_responses[[#This Row],[Sau khi xem xét các quyền lợi và nghĩa vụ, bạn có ủng hộ và tuân thủ chính sách mới hiện nay? - HUMAN-OUT1]]</f>
        <v>7</v>
      </c>
      <c r="BH286" t="str">
        <f t="shared" si="133"/>
        <v>Neutral</v>
      </c>
      <c r="BI286" s="32">
        <f t="shared" si="134"/>
        <v>2</v>
      </c>
    </row>
    <row r="287" spans="1:61" x14ac:dyDescent="0.45">
      <c r="A287" s="30">
        <f>step3_validation[[#This Row],[Persona_ID]]</f>
        <v>286</v>
      </c>
      <c r="B287" s="31">
        <f>step3_validation[[#This Row],[Used_Seed]]</f>
        <v>327</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43.35101758750227</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7</v>
      </c>
      <c r="R287" t="str">
        <f t="shared" si="108"/>
        <v>Neutral</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3</v>
      </c>
      <c r="V287">
        <f>step3_validation[[#This Row],[AI_ENF2]]</f>
        <v>6</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2">
        <f t="shared" si="113"/>
        <v>2</v>
      </c>
      <c r="AA287">
        <f>step3_validation[[#This Row],[AI_FAC1]]</f>
        <v>9</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7</v>
      </c>
      <c r="AF287">
        <f>step3_validation[[#This Row],[AI_FAC2]]</f>
        <v>8</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0</v>
      </c>
      <c r="AK287">
        <f>step3_validation[[#This Row],[AI_TRU1]]</f>
        <v>9</v>
      </c>
      <c r="AL287" t="str">
        <f t="shared" si="120"/>
        <v>Support</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4</v>
      </c>
      <c r="AP287">
        <f>step3_validation[[#This Row],[AI_TRU2]]</f>
        <v>8</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2">
        <f t="shared" si="125"/>
        <v>3</v>
      </c>
      <c r="AU287">
        <f>step3_validation[[#This Row],[AI_TRU3]]</f>
        <v>9</v>
      </c>
      <c r="AV287" t="str">
        <f t="shared" si="126"/>
        <v>Support</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5</v>
      </c>
      <c r="AZ287">
        <f>step3_validation[[#This Row],[AI_TRU4]]</f>
        <v>8</v>
      </c>
      <c r="BA287" t="str">
        <f t="shared" si="129"/>
        <v>Support</v>
      </c>
      <c r="BB287">
        <f>survey_responses[[#This Row],[Tôi thấy Nhà nước đã giải thích rõ ràng, minh bạch về lý do và mục tiêu của việc sửa đổi thuế lần này. - HUMAN-TRU4]]</f>
        <v>6</v>
      </c>
      <c r="BC287" t="str">
        <f t="shared" si="130"/>
        <v>Neutral</v>
      </c>
      <c r="BD287" s="32">
        <f t="shared" si="131"/>
        <v>2</v>
      </c>
      <c r="BE287">
        <f>step3_validation[[#This Row],[AI_OUT1]]</f>
        <v>9</v>
      </c>
      <c r="BF287" t="str">
        <f t="shared" si="132"/>
        <v>Support</v>
      </c>
      <c r="BG287">
        <f>survey_responses[[#This Row],[Sau khi xem xét các quyền lợi và nghĩa vụ, bạn có ủng hộ và tuân thủ chính sách mới hiện nay? - HUMAN-OUT1]]</f>
        <v>5</v>
      </c>
      <c r="BH287" t="str">
        <f t="shared" si="133"/>
        <v>Neutral</v>
      </c>
      <c r="BI287" s="32">
        <f t="shared" si="134"/>
        <v>4</v>
      </c>
    </row>
    <row r="288" spans="1:61" x14ac:dyDescent="0.45">
      <c r="A288" s="30">
        <f>step3_validation[[#This Row],[Persona_ID]]</f>
        <v>287</v>
      </c>
      <c r="B288" s="31">
        <f>step3_validation[[#This Row],[Used_Seed]]</f>
        <v>328</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54.408141188033468</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3</v>
      </c>
      <c r="V288">
        <f>step3_validation[[#This Row],[AI_ENF2]]</f>
        <v>6</v>
      </c>
      <c r="W288" t="str">
        <f t="shared" si="111"/>
        <v>Neutral</v>
      </c>
      <c r="X288">
        <f>survey_responses[[#This Row],[Tôi tin rằng Nhà nước, cơ quan thuế có đủ khả năng và công nghệ để phát hiện, xử lý nghiêm các hành vi trốn thuế. - HUMAN-ENF2]]</f>
        <v>10</v>
      </c>
      <c r="Y288" t="str">
        <f t="shared" si="112"/>
        <v>Support</v>
      </c>
      <c r="Z288" s="32">
        <f t="shared" si="113"/>
        <v>4</v>
      </c>
      <c r="AA288">
        <f>step3_validation[[#This Row],[AI_FAC1]]</f>
        <v>8</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1</v>
      </c>
      <c r="AF288">
        <f>step3_validation[[#This Row],[AI_FAC2]]</f>
        <v>9</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2</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9</v>
      </c>
      <c r="AQ288" t="str">
        <f t="shared" si="123"/>
        <v>Support</v>
      </c>
      <c r="AR288">
        <f>survey_responses[[#This Row],[Tôi thấy mức thuế tôi phải đóng theo phương án mới là công bằng (người thu nhập như tôi đóng mức này là hợp lý). - HUMAN-TRU2]]</f>
        <v>7</v>
      </c>
      <c r="AS288" t="str">
        <f t="shared" si="124"/>
        <v>Neutral</v>
      </c>
      <c r="AT288" s="32">
        <f t="shared" si="125"/>
        <v>2</v>
      </c>
      <c r="AU288">
        <f>step3_validation[[#This Row],[AI_TRU3]]</f>
        <v>7</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1</v>
      </c>
      <c r="AZ288">
        <f>step3_validation[[#This Row],[AI_TRU4]]</f>
        <v>8</v>
      </c>
      <c r="BA288" t="str">
        <f t="shared" si="129"/>
        <v>Support</v>
      </c>
      <c r="BB288">
        <f>survey_responses[[#This Row],[Tôi thấy Nhà nước đã giải thích rõ ràng, minh bạch về lý do và mục tiêu của việc sửa đổi thuế lần này. - HUMAN-TRU4]]</f>
        <v>8</v>
      </c>
      <c r="BC288" t="str">
        <f t="shared" si="130"/>
        <v>Support</v>
      </c>
      <c r="BD288" s="32">
        <f t="shared" si="131"/>
        <v>0</v>
      </c>
      <c r="BE288">
        <f>step3_validation[[#This Row],[AI_OUT1]]</f>
        <v>9</v>
      </c>
      <c r="BF288" t="str">
        <f t="shared" si="132"/>
        <v>Support</v>
      </c>
      <c r="BG288">
        <f>survey_responses[[#This Row],[Sau khi xem xét các quyền lợi và nghĩa vụ, bạn có ủng hộ và tuân thủ chính sách mới hiện nay? - HUMAN-OUT1]]</f>
        <v>8</v>
      </c>
      <c r="BH288" t="str">
        <f t="shared" si="133"/>
        <v>Support</v>
      </c>
      <c r="BI288" s="32">
        <f t="shared" si="134"/>
        <v>1</v>
      </c>
    </row>
    <row r="289" spans="1:61" x14ac:dyDescent="0.45">
      <c r="A289" s="30">
        <f>step3_validation[[#This Row],[Persona_ID]]</f>
        <v>288</v>
      </c>
      <c r="B289" s="31">
        <f>step3_validation[[#This Row],[Used_Seed]]</f>
        <v>329</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27.036619632101331</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1</v>
      </c>
      <c r="V289">
        <f>step3_validation[[#This Row],[AI_ENF2]]</f>
        <v>8</v>
      </c>
      <c r="W289" t="str">
        <f t="shared" si="111"/>
        <v>Support</v>
      </c>
      <c r="X289">
        <f>survey_responses[[#This Row],[Tôi tin rằng Nhà nước, cơ quan thuế có đủ khả năng và công nghệ để phát hiện, xử lý nghiêm các hành vi trốn thuế. - HUMAN-ENF2]]</f>
        <v>8</v>
      </c>
      <c r="Y289" t="str">
        <f t="shared" si="112"/>
        <v>Support</v>
      </c>
      <c r="Z289" s="32">
        <f t="shared" si="113"/>
        <v>0</v>
      </c>
      <c r="AA289">
        <f>step3_validation[[#This Row],[AI_FAC1]]</f>
        <v>9</v>
      </c>
      <c r="AB289" t="str">
        <f t="shared" si="114"/>
        <v>Support</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4</v>
      </c>
      <c r="AF289">
        <f>step3_validation[[#This Row],[AI_FAC2]]</f>
        <v>9</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0</v>
      </c>
      <c r="AK289">
        <f>step3_validation[[#This Row],[AI_TRU1]]</f>
        <v>6</v>
      </c>
      <c r="AL289" t="str">
        <f t="shared" si="120"/>
        <v>Neutral</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4</v>
      </c>
      <c r="AP289">
        <f>step3_validation[[#This Row],[AI_TRU2]]</f>
        <v>8</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2">
        <f t="shared" si="125"/>
        <v>2</v>
      </c>
      <c r="AU289">
        <f>step3_validation[[#This Row],[AI_TRU3]]</f>
        <v>7</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2</v>
      </c>
      <c r="AZ289">
        <f>step3_validation[[#This Row],[AI_TRU4]]</f>
        <v>6</v>
      </c>
      <c r="BA289" t="str">
        <f t="shared" si="129"/>
        <v>Neutral</v>
      </c>
      <c r="BB289">
        <f>survey_responses[[#This Row],[Tôi thấy Nhà nước đã giải thích rõ ràng, minh bạch về lý do và mục tiêu của việc sửa đổi thuế lần này. - HUMAN-TRU4]]</f>
        <v>9</v>
      </c>
      <c r="BC289" t="str">
        <f t="shared" si="130"/>
        <v>Support</v>
      </c>
      <c r="BD289" s="32">
        <f t="shared" si="131"/>
        <v>3</v>
      </c>
      <c r="BE289">
        <f>step3_validation[[#This Row],[AI_OUT1]]</f>
        <v>7</v>
      </c>
      <c r="BF289" t="str">
        <f t="shared" si="132"/>
        <v>Neutral</v>
      </c>
      <c r="BG289">
        <f>survey_responses[[#This Row],[Sau khi xem xét các quyền lợi và nghĩa vụ, bạn có ủng hộ và tuân thủ chính sách mới hiện nay? - HUMAN-OUT1]]</f>
        <v>10</v>
      </c>
      <c r="BH289" t="str">
        <f t="shared" si="133"/>
        <v>Support</v>
      </c>
      <c r="BI289" s="32">
        <f t="shared" si="134"/>
        <v>3</v>
      </c>
    </row>
    <row r="290" spans="1:61" x14ac:dyDescent="0.45">
      <c r="A290" s="30">
        <f>step3_validation[[#This Row],[Persona_ID]]</f>
        <v>289</v>
      </c>
      <c r="B290" s="31">
        <f>step3_validation[[#This Row],[Used_Seed]]</f>
        <v>330</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30.345647583470807</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5</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2</v>
      </c>
      <c r="V290">
        <f>step3_validation[[#This Row],[AI_ENF2]]</f>
        <v>7</v>
      </c>
      <c r="W290" t="str">
        <f t="shared" si="111"/>
        <v>Neutral</v>
      </c>
      <c r="X290">
        <f>survey_responses[[#This Row],[Tôi tin rằng Nhà nước, cơ quan thuế có đủ khả năng và công nghệ để phát hiện, xử lý nghiêm các hành vi trốn thuế. - HUMAN-ENF2]]</f>
        <v>7</v>
      </c>
      <c r="Y290" t="str">
        <f t="shared" si="112"/>
        <v>Neutral</v>
      </c>
      <c r="Z290" s="32">
        <f t="shared" si="113"/>
        <v>0</v>
      </c>
      <c r="AA290">
        <f>step3_validation[[#This Row],[AI_FAC1]]</f>
        <v>9</v>
      </c>
      <c r="AB290" t="str">
        <f t="shared" si="114"/>
        <v>Support</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4</v>
      </c>
      <c r="AF290">
        <f>step3_validation[[#This Row],[AI_FAC2]]</f>
        <v>8</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2</v>
      </c>
      <c r="AK290">
        <f>step3_validation[[#This Row],[AI_TRU1]]</f>
        <v>9</v>
      </c>
      <c r="AL290" t="str">
        <f t="shared" si="120"/>
        <v>Support</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4</v>
      </c>
      <c r="AP290">
        <f>step3_validation[[#This Row],[AI_TRU2]]</f>
        <v>8</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2">
        <f t="shared" si="125"/>
        <v>3</v>
      </c>
      <c r="AU290">
        <f>step3_validation[[#This Row],[AI_TRU3]]</f>
        <v>9</v>
      </c>
      <c r="AV290" t="str">
        <f t="shared" si="126"/>
        <v>Support</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4</v>
      </c>
      <c r="AZ290">
        <f>step3_validation[[#This Row],[AI_TRU4]]</f>
        <v>8</v>
      </c>
      <c r="BA290" t="str">
        <f t="shared" si="129"/>
        <v>Support</v>
      </c>
      <c r="BB290">
        <f>survey_responses[[#This Row],[Tôi thấy Nhà nước đã giải thích rõ ràng, minh bạch về lý do và mục tiêu của việc sửa đổi thuế lần này. - HUMAN-TRU4]]</f>
        <v>5</v>
      </c>
      <c r="BC290" t="str">
        <f t="shared" si="130"/>
        <v>Neutral</v>
      </c>
      <c r="BD290" s="32">
        <f t="shared" si="131"/>
        <v>3</v>
      </c>
      <c r="BE290">
        <f>step3_validation[[#This Row],[AI_OUT1]]</f>
        <v>9</v>
      </c>
      <c r="BF290" t="str">
        <f t="shared" si="132"/>
        <v>Support</v>
      </c>
      <c r="BG290">
        <f>survey_responses[[#This Row],[Sau khi xem xét các quyền lợi và nghĩa vụ, bạn có ủng hộ và tuân thủ chính sách mới hiện nay? - HUMAN-OUT1]]</f>
        <v>6</v>
      </c>
      <c r="BH290" t="str">
        <f t="shared" si="133"/>
        <v>Neutral</v>
      </c>
      <c r="BI290" s="32">
        <f t="shared" si="134"/>
        <v>3</v>
      </c>
    </row>
    <row r="291" spans="1:61" x14ac:dyDescent="0.45">
      <c r="A291" s="30">
        <f>step3_validation[[#This Row],[Persona_ID]]</f>
        <v>290</v>
      </c>
      <c r="B291" s="31">
        <f>step3_validation[[#This Row],[Used_Seed]]</f>
        <v>331</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44.286525773979889</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8</v>
      </c>
      <c r="R291" t="str">
        <f t="shared" si="108"/>
        <v>Support</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0</v>
      </c>
      <c r="V291">
        <f>step3_validation[[#This Row],[AI_ENF2]]</f>
        <v>7</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2">
        <f t="shared" si="113"/>
        <v>1</v>
      </c>
      <c r="AA291">
        <f>step3_validation[[#This Row],[AI_FAC1]]</f>
        <v>9</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1</v>
      </c>
      <c r="AF291">
        <f>step3_validation[[#This Row],[AI_FAC2]]</f>
        <v>8</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0</v>
      </c>
      <c r="AK291">
        <f>step3_validation[[#This Row],[AI_TRU1]]</f>
        <v>9</v>
      </c>
      <c r="AL291" t="str">
        <f t="shared" si="120"/>
        <v>Support</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1</v>
      </c>
      <c r="AP291">
        <f>step3_validation[[#This Row],[AI_TRU2]]</f>
        <v>8</v>
      </c>
      <c r="AQ291" t="str">
        <f t="shared" si="123"/>
        <v>Support</v>
      </c>
      <c r="AR291">
        <f>survey_responses[[#This Row],[Tôi thấy mức thuế tôi phải đóng theo phương án mới là công bằng (người thu nhập như tôi đóng mức này là hợp lý). - HUMAN-TRU2]]</f>
        <v>8</v>
      </c>
      <c r="AS291" t="str">
        <f t="shared" si="124"/>
        <v>Support</v>
      </c>
      <c r="AT291" s="32">
        <f t="shared" si="125"/>
        <v>0</v>
      </c>
      <c r="AU291">
        <f>step3_validation[[#This Row],[AI_TRU3]]</f>
        <v>9</v>
      </c>
      <c r="AV291" t="str">
        <f t="shared" si="126"/>
        <v>Support</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1</v>
      </c>
      <c r="AZ291">
        <f>step3_validation[[#This Row],[AI_TRU4]]</f>
        <v>7</v>
      </c>
      <c r="BA291" t="str">
        <f t="shared" si="129"/>
        <v>Neutral</v>
      </c>
      <c r="BB291">
        <f>survey_responses[[#This Row],[Tôi thấy Nhà nước đã giải thích rõ ràng, minh bạch về lý do và mục tiêu của việc sửa đổi thuế lần này. - HUMAN-TRU4]]</f>
        <v>8</v>
      </c>
      <c r="BC291" t="str">
        <f t="shared" si="130"/>
        <v>Support</v>
      </c>
      <c r="BD291" s="32">
        <f t="shared" si="131"/>
        <v>1</v>
      </c>
      <c r="BE291">
        <f>step3_validation[[#This Row],[AI_OUT1]]</f>
        <v>9</v>
      </c>
      <c r="BF291" t="str">
        <f t="shared" si="132"/>
        <v>Support</v>
      </c>
      <c r="BG291">
        <f>survey_responses[[#This Row],[Sau khi xem xét các quyền lợi và nghĩa vụ, bạn có ủng hộ và tuân thủ chính sách mới hiện nay? - HUMAN-OUT1]]</f>
        <v>8</v>
      </c>
      <c r="BH291" t="str">
        <f t="shared" si="133"/>
        <v>Support</v>
      </c>
      <c r="BI291" s="32">
        <f t="shared" si="134"/>
        <v>1</v>
      </c>
    </row>
    <row r="292" spans="1:61" x14ac:dyDescent="0.45">
      <c r="A292" s="30">
        <f>step3_validation[[#This Row],[Persona_ID]]</f>
        <v>291</v>
      </c>
      <c r="B292" s="31">
        <f>step3_validation[[#This Row],[Used_Seed]]</f>
        <v>332</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66.734917768616697</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t="str">
        <f t="shared" si="108"/>
        <v>Neutral</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2</v>
      </c>
      <c r="V292">
        <f>step3_validation[[#This Row],[AI_ENF2]]</f>
        <v>6</v>
      </c>
      <c r="W292" t="str">
        <f t="shared" si="111"/>
        <v>Neutral</v>
      </c>
      <c r="X292">
        <f>survey_responses[[#This Row],[Tôi tin rằng Nhà nước, cơ quan thuế có đủ khả năng và công nghệ để phát hiện, xử lý nghiêm các hành vi trốn thuế. - HUMAN-ENF2]]</f>
        <v>9</v>
      </c>
      <c r="Y292" t="str">
        <f t="shared" si="112"/>
        <v>Support</v>
      </c>
      <c r="Z292" s="32">
        <f t="shared" si="113"/>
        <v>3</v>
      </c>
      <c r="AA292">
        <f>step3_validation[[#This Row],[AI_FAC1]]</f>
        <v>9</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6</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7</v>
      </c>
      <c r="AL292" t="str">
        <f t="shared" si="120"/>
        <v>Neutral</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9</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1</v>
      </c>
      <c r="AU292">
        <f>step3_validation[[#This Row],[AI_TRU3]]</f>
        <v>6</v>
      </c>
      <c r="AV292" t="str">
        <f t="shared" si="126"/>
        <v>Neutral</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0</v>
      </c>
      <c r="AZ292">
        <f>step3_validation[[#This Row],[AI_TRU4]]</f>
        <v>7</v>
      </c>
      <c r="BA292" t="str">
        <f t="shared" si="129"/>
        <v>Neutral</v>
      </c>
      <c r="BB292">
        <f>survey_responses[[#This Row],[Tôi thấy Nhà nước đã giải thích rõ ràng, minh bạch về lý do và mục tiêu của việc sửa đổi thuế lần này. - HUMAN-TRU4]]</f>
        <v>8</v>
      </c>
      <c r="BC292" t="str">
        <f t="shared" si="130"/>
        <v>Support</v>
      </c>
      <c r="BD292" s="32">
        <f t="shared" si="131"/>
        <v>1</v>
      </c>
      <c r="BE292">
        <f>step3_validation[[#This Row],[AI_OUT1]]</f>
        <v>8</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0</v>
      </c>
    </row>
    <row r="293" spans="1:61" x14ac:dyDescent="0.45">
      <c r="A293" s="30">
        <f>step3_validation[[#This Row],[Persona_ID]]</f>
        <v>292</v>
      </c>
      <c r="B293" s="31">
        <f>step3_validation[[#This Row],[Used_Seed]]</f>
        <v>333</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60.922768778811417</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7</v>
      </c>
      <c r="R293" t="str">
        <f t="shared" si="108"/>
        <v>Neutral</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1</v>
      </c>
      <c r="V293">
        <f>step3_validation[[#This Row],[AI_ENF2]]</f>
        <v>8</v>
      </c>
      <c r="W293" t="str">
        <f t="shared" si="111"/>
        <v>Support</v>
      </c>
      <c r="X293">
        <f>survey_responses[[#This Row],[Tôi tin rằng Nhà nước, cơ quan thuế có đủ khả năng và công nghệ để phát hiện, xử lý nghiêm các hành vi trốn thuế. - HUMAN-ENF2]]</f>
        <v>6</v>
      </c>
      <c r="Y293" t="str">
        <f t="shared" si="112"/>
        <v>Neutral</v>
      </c>
      <c r="Z293" s="32">
        <f t="shared" si="113"/>
        <v>2</v>
      </c>
      <c r="AA293">
        <f>step3_validation[[#This Row],[AI_FAC1]]</f>
        <v>7</v>
      </c>
      <c r="AB293" t="str">
        <f t="shared" si="114"/>
        <v>Neutral</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6</v>
      </c>
      <c r="AF293">
        <f>step3_validation[[#This Row],[AI_FAC2]]</f>
        <v>9</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3</v>
      </c>
      <c r="AK293">
        <f>step3_validation[[#This Row],[AI_TRU1]]</f>
        <v>8</v>
      </c>
      <c r="AL293" t="str">
        <f t="shared" si="120"/>
        <v>Support</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3</v>
      </c>
      <c r="AP293">
        <f>step3_validation[[#This Row],[AI_TRU2]]</f>
        <v>9</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2">
        <f t="shared" si="125"/>
        <v>3</v>
      </c>
      <c r="AU293">
        <f>step3_validation[[#This Row],[AI_TRU3]]</f>
        <v>8</v>
      </c>
      <c r="AV293" t="str">
        <f t="shared" si="126"/>
        <v>Support</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3</v>
      </c>
      <c r="AZ293">
        <f>step3_validation[[#This Row],[AI_TRU4]]</f>
        <v>9</v>
      </c>
      <c r="BA293" t="str">
        <f t="shared" si="129"/>
        <v>Support</v>
      </c>
      <c r="BB293">
        <f>survey_responses[[#This Row],[Tôi thấy Nhà nước đã giải thích rõ ràng, minh bạch về lý do và mục tiêu của việc sửa đổi thuế lần này. - HUMAN-TRU4]]</f>
        <v>6</v>
      </c>
      <c r="BC293" t="str">
        <f t="shared" si="130"/>
        <v>Neutral</v>
      </c>
      <c r="BD293" s="32">
        <f t="shared" si="131"/>
        <v>3</v>
      </c>
      <c r="BE293">
        <f>step3_validation[[#This Row],[AI_OUT1]]</f>
        <v>9</v>
      </c>
      <c r="BF293" t="str">
        <f t="shared" si="132"/>
        <v>Support</v>
      </c>
      <c r="BG293">
        <f>survey_responses[[#This Row],[Sau khi xem xét các quyền lợi và nghĩa vụ, bạn có ủng hộ và tuân thủ chính sách mới hiện nay? - HUMAN-OUT1]]</f>
        <v>6</v>
      </c>
      <c r="BH293" t="str">
        <f t="shared" si="133"/>
        <v>Neutral</v>
      </c>
      <c r="BI293" s="32">
        <f t="shared" si="134"/>
        <v>3</v>
      </c>
    </row>
    <row r="294" spans="1:61" x14ac:dyDescent="0.45">
      <c r="A294" s="30">
        <f>step3_validation[[#This Row],[Persona_ID]]</f>
        <v>293</v>
      </c>
      <c r="B294" s="31">
        <f>step3_validation[[#This Row],[Used_Seed]]</f>
        <v>334</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44.040531406947196</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6</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2</v>
      </c>
      <c r="V294">
        <f>step3_validation[[#This Row],[AI_ENF2]]</f>
        <v>7</v>
      </c>
      <c r="W294" t="str">
        <f t="shared" si="111"/>
        <v>Neutral</v>
      </c>
      <c r="X294">
        <f>survey_responses[[#This Row],[Tôi tin rằng Nhà nước, cơ quan thuế có đủ khả năng và công nghệ để phát hiện, xử lý nghiêm các hành vi trốn thuế. - HUMAN-ENF2]]</f>
        <v>8</v>
      </c>
      <c r="Y294" t="str">
        <f t="shared" si="112"/>
        <v>Support</v>
      </c>
      <c r="Z294" s="32">
        <f t="shared" si="113"/>
        <v>1</v>
      </c>
      <c r="AA294">
        <f>step3_validation[[#This Row],[AI_FAC1]]</f>
        <v>5</v>
      </c>
      <c r="AB294" t="str">
        <f t="shared" si="114"/>
        <v>Neutral</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0</v>
      </c>
      <c r="AF294">
        <f>step3_validation[[#This Row],[AI_FAC2]]</f>
        <v>8</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0</v>
      </c>
      <c r="AK294">
        <f>step3_validation[[#This Row],[AI_TRU1]]</f>
        <v>9</v>
      </c>
      <c r="AL294" t="str">
        <f t="shared" si="120"/>
        <v>Support</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4</v>
      </c>
      <c r="AP294">
        <f>step3_validation[[#This Row],[AI_TRU2]]</f>
        <v>8</v>
      </c>
      <c r="AQ294" t="str">
        <f t="shared" si="123"/>
        <v>Support</v>
      </c>
      <c r="AR294">
        <f>survey_responses[[#This Row],[Tôi thấy mức thuế tôi phải đóng theo phương án mới là công bằng (người thu nhập như tôi đóng mức này là hợp lý). - HUMAN-TRU2]]</f>
        <v>6</v>
      </c>
      <c r="AS294" t="str">
        <f t="shared" si="124"/>
        <v>Neutral</v>
      </c>
      <c r="AT294" s="32">
        <f t="shared" si="125"/>
        <v>2</v>
      </c>
      <c r="AU294">
        <f>step3_validation[[#This Row],[AI_TRU3]]</f>
        <v>9</v>
      </c>
      <c r="AV294" t="str">
        <f t="shared" si="126"/>
        <v>Support</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4</v>
      </c>
      <c r="AZ294">
        <f>step3_validation[[#This Row],[AI_TRU4]]</f>
        <v>7</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1</v>
      </c>
      <c r="BE294">
        <f>step3_validation[[#This Row],[AI_OUT1]]</f>
        <v>9</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3</v>
      </c>
    </row>
    <row r="295" spans="1:61" x14ac:dyDescent="0.45">
      <c r="A295" s="30">
        <f>step3_validation[[#This Row],[Persona_ID]]</f>
        <v>294</v>
      </c>
      <c r="B295" s="31">
        <f>step3_validation[[#This Row],[Used_Seed]]</f>
        <v>335</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48.588584246696321</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7</v>
      </c>
      <c r="R295" t="str">
        <f t="shared" si="108"/>
        <v>Neutral</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1</v>
      </c>
      <c r="V295">
        <f>step3_validation[[#This Row],[AI_ENF2]]</f>
        <v>7</v>
      </c>
      <c r="W295" t="str">
        <f t="shared" si="111"/>
        <v>Neutral</v>
      </c>
      <c r="X295">
        <f>survey_responses[[#This Row],[Tôi tin rằng Nhà nước, cơ quan thuế có đủ khả năng và công nghệ để phát hiện, xử lý nghiêm các hành vi trốn thuế. - HUMAN-ENF2]]</f>
        <v>6</v>
      </c>
      <c r="Y295" t="str">
        <f t="shared" si="112"/>
        <v>Neutral</v>
      </c>
      <c r="Z295" s="32">
        <f t="shared" si="113"/>
        <v>1</v>
      </c>
      <c r="AA295">
        <f>step3_validation[[#This Row],[AI_FAC1]]</f>
        <v>9</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6</v>
      </c>
      <c r="AF295">
        <f>step3_validation[[#This Row],[AI_FAC2]]</f>
        <v>9</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2</v>
      </c>
      <c r="AK295">
        <f>step3_validation[[#This Row],[AI_TRU1]]</f>
        <v>6</v>
      </c>
      <c r="AL295" t="str">
        <f t="shared" si="120"/>
        <v>Neutral</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1</v>
      </c>
      <c r="AP295">
        <f>step3_validation[[#This Row],[AI_TRU2]]</f>
        <v>8</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2">
        <f t="shared" si="125"/>
        <v>2</v>
      </c>
      <c r="AU295">
        <f>step3_validation[[#This Row],[AI_TRU3]]</f>
        <v>7</v>
      </c>
      <c r="AV295" t="str">
        <f t="shared" si="126"/>
        <v>Neutral</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2</v>
      </c>
      <c r="AZ295">
        <f>step3_validation[[#This Row],[AI_TRU4]]</f>
        <v>6</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1</v>
      </c>
      <c r="BE295">
        <f>step3_validation[[#This Row],[AI_OUT1]]</f>
        <v>8</v>
      </c>
      <c r="BF295" t="str">
        <f t="shared" si="132"/>
        <v>Support</v>
      </c>
      <c r="BG295">
        <f>survey_responses[[#This Row],[Sau khi xem xét các quyền lợi và nghĩa vụ, bạn có ủng hộ và tuân thủ chính sách mới hiện nay? - HUMAN-OUT1]]</f>
        <v>6</v>
      </c>
      <c r="BH295" t="str">
        <f t="shared" si="133"/>
        <v>Neutral</v>
      </c>
      <c r="BI295" s="32">
        <f t="shared" si="134"/>
        <v>2</v>
      </c>
    </row>
    <row r="296" spans="1:61" x14ac:dyDescent="0.45">
      <c r="A296" s="30">
        <f>step3_validation[[#This Row],[Persona_ID]]</f>
        <v>295</v>
      </c>
      <c r="B296" s="31">
        <f>step3_validation[[#This Row],[Used_Seed]]</f>
        <v>336</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27.64027679889082</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6</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2</v>
      </c>
      <c r="V296">
        <f>step3_validation[[#This Row],[AI_ENF2]]</f>
        <v>7</v>
      </c>
      <c r="W296" t="str">
        <f t="shared" si="111"/>
        <v>Neutral</v>
      </c>
      <c r="X296">
        <f>survey_responses[[#This Row],[Tôi tin rằng Nhà nước, cơ quan thuế có đủ khả năng và công nghệ để phát hiện, xử lý nghiêm các hành vi trốn thuế. - HUMAN-ENF2]]</f>
        <v>9</v>
      </c>
      <c r="Y296" t="str">
        <f t="shared" si="112"/>
        <v>Support</v>
      </c>
      <c r="Z296" s="32">
        <f t="shared" si="113"/>
        <v>2</v>
      </c>
      <c r="AA296">
        <f>step3_validation[[#This Row],[AI_FAC1]]</f>
        <v>8</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1</v>
      </c>
      <c r="AF296">
        <f>step3_validation[[#This Row],[AI_FAC2]]</f>
        <v>9</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1</v>
      </c>
      <c r="AK296">
        <f>step3_validation[[#This Row],[AI_TRU1]]</f>
        <v>8</v>
      </c>
      <c r="AL296" t="str">
        <f t="shared" si="120"/>
        <v>Support</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0</v>
      </c>
      <c r="AP296">
        <f>step3_validation[[#This Row],[AI_TRU2]]</f>
        <v>9</v>
      </c>
      <c r="AQ296" t="str">
        <f t="shared" si="123"/>
        <v>Support</v>
      </c>
      <c r="AR296">
        <f>survey_responses[[#This Row],[Tôi thấy mức thuế tôi phải đóng theo phương án mới là công bằng (người thu nhập như tôi đóng mức này là hợp lý). - HUMAN-TRU2]]</f>
        <v>8</v>
      </c>
      <c r="AS296" t="str">
        <f t="shared" si="124"/>
        <v>Support</v>
      </c>
      <c r="AT296" s="32">
        <f t="shared" si="125"/>
        <v>1</v>
      </c>
      <c r="AU296">
        <f>step3_validation[[#This Row],[AI_TRU3]]</f>
        <v>7</v>
      </c>
      <c r="AV296" t="str">
        <f t="shared" si="126"/>
        <v>Neutral</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2</v>
      </c>
      <c r="AZ296">
        <f>step3_validation[[#This Row],[AI_TRU4]]</f>
        <v>6</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2">
        <f t="shared" si="131"/>
        <v>4</v>
      </c>
      <c r="BE296">
        <f>step3_validation[[#This Row],[AI_OUT1]]</f>
        <v>8</v>
      </c>
      <c r="BF296" t="str">
        <f t="shared" si="132"/>
        <v>Support</v>
      </c>
      <c r="BG296">
        <f>survey_responses[[#This Row],[Sau khi xem xét các quyền lợi và nghĩa vụ, bạn có ủng hộ và tuân thủ chính sách mới hiện nay? - HUMAN-OUT1]]</f>
        <v>10</v>
      </c>
      <c r="BH296" t="str">
        <f t="shared" si="133"/>
        <v>Support</v>
      </c>
      <c r="BI296" s="32">
        <f t="shared" si="134"/>
        <v>2</v>
      </c>
    </row>
    <row r="297" spans="1:61" x14ac:dyDescent="0.45">
      <c r="A297" s="30">
        <f>step3_validation[[#This Row],[Persona_ID]]</f>
        <v>296</v>
      </c>
      <c r="B297" s="31">
        <f>step3_validation[[#This Row],[Used_Seed]]</f>
        <v>337</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8</v>
      </c>
      <c r="R297" t="str">
        <f t="shared" si="108"/>
        <v>Support</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1</v>
      </c>
      <c r="V297">
        <f>step3_validation[[#This Row],[AI_ENF2]]</f>
        <v>7</v>
      </c>
      <c r="W297" t="str">
        <f t="shared" si="111"/>
        <v>Neutral</v>
      </c>
      <c r="X297">
        <f>survey_responses[[#This Row],[Tôi tin rằng Nhà nước, cơ quan thuế có đủ khả năng và công nghệ để phát hiện, xử lý nghiêm các hành vi trốn thuế. - HUMAN-ENF2]]</f>
        <v>7</v>
      </c>
      <c r="Y297" t="str">
        <f t="shared" si="112"/>
        <v>Neutral</v>
      </c>
      <c r="Z297" s="32">
        <f t="shared" si="113"/>
        <v>0</v>
      </c>
      <c r="AA297">
        <f>step3_validation[[#This Row],[AI_FAC1]]</f>
        <v>9</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3</v>
      </c>
      <c r="AF297">
        <f>step3_validation[[#This Row],[AI_FAC2]]</f>
        <v>8</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1</v>
      </c>
      <c r="AK297">
        <f>step3_validation[[#This Row],[AI_TRU1]]</f>
        <v>9</v>
      </c>
      <c r="AL297" t="str">
        <f t="shared" si="120"/>
        <v>Support</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2</v>
      </c>
      <c r="AP297">
        <f>step3_validation[[#This Row],[AI_TRU2]]</f>
        <v>8</v>
      </c>
      <c r="AQ297" t="str">
        <f t="shared" si="123"/>
        <v>Support</v>
      </c>
      <c r="AR297">
        <f>survey_responses[[#This Row],[Tôi thấy mức thuế tôi phải đóng theo phương án mới là công bằng (người thu nhập như tôi đóng mức này là hợp lý). - HUMAN-TRU2]]</f>
        <v>1</v>
      </c>
      <c r="AS297" t="str">
        <f t="shared" si="124"/>
        <v>Oppose</v>
      </c>
      <c r="AT297" s="32">
        <f t="shared" si="125"/>
        <v>7</v>
      </c>
      <c r="AU297">
        <f>step3_validation[[#This Row],[AI_TRU3]]</f>
        <v>9</v>
      </c>
      <c r="AV297" t="str">
        <f t="shared" si="126"/>
        <v>Support</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4</v>
      </c>
      <c r="AZ297">
        <f>step3_validation[[#This Row],[AI_TRU4]]</f>
        <v>8</v>
      </c>
      <c r="BA297" t="str">
        <f t="shared" si="129"/>
        <v>Support</v>
      </c>
      <c r="BB297">
        <f>survey_responses[[#This Row],[Tôi thấy Nhà nước đã giải thích rõ ràng, minh bạch về lý do và mục tiêu của việc sửa đổi thuế lần này. - HUMAN-TRU4]]</f>
        <v>7</v>
      </c>
      <c r="BC297" t="str">
        <f t="shared" si="130"/>
        <v>Neutral</v>
      </c>
      <c r="BD297" s="32">
        <f t="shared" si="131"/>
        <v>1</v>
      </c>
      <c r="BE297">
        <f>step3_validation[[#This Row],[AI_OUT1]]</f>
        <v>9</v>
      </c>
      <c r="BF297" t="str">
        <f t="shared" si="132"/>
        <v>Support</v>
      </c>
      <c r="BG297">
        <f>survey_responses[[#This Row],[Sau khi xem xét các quyền lợi và nghĩa vụ, bạn có ủng hộ và tuân thủ chính sách mới hiện nay? - HUMAN-OUT1]]</f>
        <v>7</v>
      </c>
      <c r="BH297" t="str">
        <f t="shared" si="133"/>
        <v>Neutral</v>
      </c>
      <c r="BI297" s="32">
        <f t="shared" si="134"/>
        <v>2</v>
      </c>
    </row>
    <row r="298" spans="1:61" x14ac:dyDescent="0.45">
      <c r="A298" s="30">
        <f>step3_validation[[#This Row],[Persona_ID]]</f>
        <v>297</v>
      </c>
      <c r="B298" s="31">
        <f>step3_validation[[#This Row],[Used_Seed]]</f>
        <v>338</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53.250507389931649</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7</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2</v>
      </c>
      <c r="V298">
        <f>step3_validation[[#This Row],[AI_ENF2]]</f>
        <v>6</v>
      </c>
      <c r="W298" t="str">
        <f t="shared" si="111"/>
        <v>Neutral</v>
      </c>
      <c r="X298">
        <f>survey_responses[[#This Row],[Tôi tin rằng Nhà nước, cơ quan thuế có đủ khả năng và công nghệ để phát hiện, xử lý nghiêm các hành vi trốn thuế. - HUMAN-ENF2]]</f>
        <v>10</v>
      </c>
      <c r="Y298" t="str">
        <f t="shared" si="112"/>
        <v>Support</v>
      </c>
      <c r="Z298" s="32">
        <f t="shared" si="113"/>
        <v>4</v>
      </c>
      <c r="AA298">
        <f>step3_validation[[#This Row],[AI_FAC1]]</f>
        <v>9</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4</v>
      </c>
      <c r="AF298">
        <f>step3_validation[[#This Row],[AI_FAC2]]</f>
        <v>8</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3</v>
      </c>
      <c r="AK298">
        <f>step3_validation[[#This Row],[AI_TRU1]]</f>
        <v>9</v>
      </c>
      <c r="AL298" t="str">
        <f t="shared" si="120"/>
        <v>Support</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7</v>
      </c>
      <c r="AP298">
        <f>step3_validation[[#This Row],[AI_TRU2]]</f>
        <v>8</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2">
        <f t="shared" si="125"/>
        <v>5</v>
      </c>
      <c r="AU298">
        <f>step3_validation[[#This Row],[AI_TRU3]]</f>
        <v>9</v>
      </c>
      <c r="AV298" t="str">
        <f t="shared" si="126"/>
        <v>Support</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7</v>
      </c>
      <c r="AZ298">
        <f>step3_validation[[#This Row],[AI_TRU4]]</f>
        <v>8</v>
      </c>
      <c r="BA298" t="str">
        <f t="shared" si="129"/>
        <v>Support</v>
      </c>
      <c r="BB298">
        <f>survey_responses[[#This Row],[Tôi thấy Nhà nước đã giải thích rõ ràng, minh bạch về lý do và mục tiêu của việc sửa đổi thuế lần này. - HUMAN-TRU4]]</f>
        <v>5</v>
      </c>
      <c r="BC298" t="str">
        <f t="shared" si="130"/>
        <v>Neutral</v>
      </c>
      <c r="BD298" s="32">
        <f t="shared" si="131"/>
        <v>3</v>
      </c>
      <c r="BE298">
        <f>step3_validation[[#This Row],[AI_OUT1]]</f>
        <v>9</v>
      </c>
      <c r="BF298" t="str">
        <f t="shared" si="132"/>
        <v>Support</v>
      </c>
      <c r="BG298">
        <f>survey_responses[[#This Row],[Sau khi xem xét các quyền lợi và nghĩa vụ, bạn có ủng hộ và tuân thủ chính sách mới hiện nay? - HUMAN-OUT1]]</f>
        <v>5</v>
      </c>
      <c r="BH298" t="str">
        <f t="shared" si="133"/>
        <v>Neutral</v>
      </c>
      <c r="BI298" s="32">
        <f t="shared" si="134"/>
        <v>4</v>
      </c>
    </row>
    <row r="299" spans="1:61" x14ac:dyDescent="0.45">
      <c r="A299" s="30">
        <f>step3_validation[[#This Row],[Persona_ID]]</f>
        <v>298</v>
      </c>
      <c r="B299" s="31">
        <f>step3_validation[[#This Row],[Used_Seed]]</f>
        <v>339</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8</v>
      </c>
      <c r="R299" t="str">
        <f t="shared" si="108"/>
        <v>Support</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3</v>
      </c>
      <c r="V299">
        <f>step3_validation[[#This Row],[AI_ENF2]]</f>
        <v>8</v>
      </c>
      <c r="W299" t="str">
        <f t="shared" si="111"/>
        <v>Support</v>
      </c>
      <c r="X299">
        <f>survey_responses[[#This Row],[Tôi tin rằng Nhà nước, cơ quan thuế có đủ khả năng và công nghệ để phát hiện, xử lý nghiêm các hành vi trốn thuế. - HUMAN-ENF2]]</f>
        <v>5</v>
      </c>
      <c r="Y299" t="str">
        <f t="shared" si="112"/>
        <v>Neutral</v>
      </c>
      <c r="Z299" s="32">
        <f t="shared" si="113"/>
        <v>3</v>
      </c>
      <c r="AA299">
        <f>step3_validation[[#This Row],[AI_FAC1]]</f>
        <v>9</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4</v>
      </c>
      <c r="AF299">
        <f>step3_validation[[#This Row],[AI_FAC2]]</f>
        <v>10</v>
      </c>
      <c r="AG299" t="str">
        <f t="shared" si="117"/>
        <v>Support</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0</v>
      </c>
      <c r="AK299">
        <f>step3_validation[[#This Row],[AI_TRU1]]</f>
        <v>9</v>
      </c>
      <c r="AL299" t="str">
        <f t="shared" si="120"/>
        <v>Support</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1</v>
      </c>
      <c r="AP299">
        <f>step3_validation[[#This Row],[AI_TRU2]]</f>
        <v>9</v>
      </c>
      <c r="AQ299" t="str">
        <f t="shared" si="123"/>
        <v>Support</v>
      </c>
      <c r="AR299">
        <f>survey_responses[[#This Row],[Tôi thấy mức thuế tôi phải đóng theo phương án mới là công bằng (người thu nhập như tôi đóng mức này là hợp lý). - HUMAN-TRU2]]</f>
        <v>5</v>
      </c>
      <c r="AS299" t="str">
        <f t="shared" si="124"/>
        <v>Neutral</v>
      </c>
      <c r="AT299" s="32">
        <f t="shared" si="125"/>
        <v>4</v>
      </c>
      <c r="AU299">
        <f>step3_validation[[#This Row],[AI_TRU3]]</f>
        <v>9</v>
      </c>
      <c r="AV299" t="str">
        <f t="shared" si="126"/>
        <v>Support</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4</v>
      </c>
      <c r="AZ299">
        <f>step3_validation[[#This Row],[AI_TRU4]]</f>
        <v>7</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2</v>
      </c>
      <c r="BE299">
        <f>step3_validation[[#This Row],[AI_OUT1]]</f>
        <v>9</v>
      </c>
      <c r="BF299" t="str">
        <f t="shared" si="132"/>
        <v>Support</v>
      </c>
      <c r="BG299">
        <f>survey_responses[[#This Row],[Sau khi xem xét các quyền lợi và nghĩa vụ, bạn có ủng hộ và tuân thủ chính sách mới hiện nay? - HUMAN-OUT1]]</f>
        <v>5</v>
      </c>
      <c r="BH299" t="str">
        <f t="shared" si="133"/>
        <v>Neutral</v>
      </c>
      <c r="BI299" s="32">
        <f t="shared" si="134"/>
        <v>4</v>
      </c>
    </row>
    <row r="300" spans="1:61" x14ac:dyDescent="0.45">
      <c r="A300" s="30">
        <f>step3_validation[[#This Row],[Persona_ID]]</f>
        <v>299</v>
      </c>
      <c r="B300" s="31">
        <f>step3_validation[[#This Row],[Used_Seed]]</f>
        <v>340</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41.348736023002267</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3</v>
      </c>
      <c r="V300">
        <f>step3_validation[[#This Row],[AI_ENF2]]</f>
        <v>6</v>
      </c>
      <c r="W300" t="str">
        <f t="shared" si="111"/>
        <v>Neutral</v>
      </c>
      <c r="X300">
        <f>survey_responses[[#This Row],[Tôi tin rằng Nhà nước, cơ quan thuế có đủ khả năng và công nghệ để phát hiện, xử lý nghiêm các hành vi trốn thuế. - HUMAN-ENF2]]</f>
        <v>10</v>
      </c>
      <c r="Y300" t="str">
        <f t="shared" si="112"/>
        <v>Support</v>
      </c>
      <c r="Z300" s="32">
        <f t="shared" si="113"/>
        <v>4</v>
      </c>
      <c r="AA300">
        <f>step3_validation[[#This Row],[AI_FAC1]]</f>
        <v>8</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2</v>
      </c>
      <c r="AF300">
        <f>step3_validation[[#This Row],[AI_FAC2]]</f>
        <v>9</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1</v>
      </c>
      <c r="AK300">
        <f>step3_validation[[#This Row],[AI_TRU1]]</f>
        <v>8</v>
      </c>
      <c r="AL300" t="str">
        <f t="shared" si="120"/>
        <v>Support</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2</v>
      </c>
      <c r="AP300">
        <f>step3_validation[[#This Row],[AI_TRU2]]</f>
        <v>9</v>
      </c>
      <c r="AQ300" t="str">
        <f t="shared" si="123"/>
        <v>Support</v>
      </c>
      <c r="AR300">
        <f>survey_responses[[#This Row],[Tôi thấy mức thuế tôi phải đóng theo phương án mới là công bằng (người thu nhập như tôi đóng mức này là hợp lý). - HUMAN-TRU2]]</f>
        <v>10</v>
      </c>
      <c r="AS300" t="str">
        <f t="shared" si="124"/>
        <v>Support</v>
      </c>
      <c r="AT300" s="32">
        <f t="shared" si="125"/>
        <v>1</v>
      </c>
      <c r="AU300">
        <f>step3_validation[[#This Row],[AI_TRU3]]</f>
        <v>8</v>
      </c>
      <c r="AV300" t="str">
        <f t="shared" si="126"/>
        <v>Support</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2</v>
      </c>
      <c r="AZ300">
        <f>step3_validation[[#This Row],[AI_TRU4]]</f>
        <v>7</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3</v>
      </c>
      <c r="BE300">
        <f>step3_validation[[#This Row],[AI_OUT1]]</f>
        <v>9</v>
      </c>
      <c r="BF300" t="str">
        <f t="shared" si="132"/>
        <v>Support</v>
      </c>
      <c r="BG300">
        <f>survey_responses[[#This Row],[Sau khi xem xét các quyền lợi và nghĩa vụ, bạn có ủng hộ và tuân thủ chính sách mới hiện nay? - HUMAN-OUT1]]</f>
        <v>10</v>
      </c>
      <c r="BH300" t="str">
        <f t="shared" si="133"/>
        <v>Support</v>
      </c>
      <c r="BI300" s="32">
        <f t="shared" si="134"/>
        <v>1</v>
      </c>
    </row>
    <row r="301" spans="1:61" x14ac:dyDescent="0.45">
      <c r="A301" s="30">
        <f>step3_validation[[#This Row],[Persona_ID]]</f>
        <v>300</v>
      </c>
      <c r="B301" s="31">
        <f>step3_validation[[#This Row],[Used_Seed]]</f>
        <v>341</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28.928083498235601</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6</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3</v>
      </c>
      <c r="V301">
        <f>step3_validation[[#This Row],[AI_ENF2]]</f>
        <v>8</v>
      </c>
      <c r="W301" t="str">
        <f t="shared" si="111"/>
        <v>Support</v>
      </c>
      <c r="X301">
        <f>survey_responses[[#This Row],[Tôi tin rằng Nhà nước, cơ quan thuế có đủ khả năng và công nghệ để phát hiện, xử lý nghiêm các hành vi trốn thuế. - HUMAN-ENF2]]</f>
        <v>9</v>
      </c>
      <c r="Y301" t="str">
        <f t="shared" si="112"/>
        <v>Support</v>
      </c>
      <c r="Z301" s="32">
        <f t="shared" si="113"/>
        <v>1</v>
      </c>
      <c r="AA301">
        <f>step3_validation[[#This Row],[AI_FAC1]]</f>
        <v>9</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1</v>
      </c>
      <c r="AF301">
        <f>step3_validation[[#This Row],[AI_FAC2]]</f>
        <v>8</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2</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9</v>
      </c>
      <c r="AQ301" t="str">
        <f t="shared" si="123"/>
        <v>Support</v>
      </c>
      <c r="AR301">
        <f>survey_responses[[#This Row],[Tôi thấy mức thuế tôi phải đóng theo phương án mới là công bằng (người thu nhập như tôi đóng mức này là hợp lý). - HUMAN-TRU2]]</f>
        <v>8</v>
      </c>
      <c r="AS301" t="str">
        <f t="shared" si="124"/>
        <v>Support</v>
      </c>
      <c r="AT301" s="32">
        <f t="shared" si="125"/>
        <v>1</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6</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3</v>
      </c>
      <c r="BE301">
        <f>step3_validation[[#This Row],[AI_OUT1]]</f>
        <v>8</v>
      </c>
      <c r="BF301" t="str">
        <f t="shared" si="132"/>
        <v>Support</v>
      </c>
      <c r="BG301">
        <f>survey_responses[[#This Row],[Sau khi xem xét các quyền lợi và nghĩa vụ, bạn có ủng hộ và tuân thủ chính sách mới hiện nay? - HUMAN-OUT1]]</f>
        <v>9</v>
      </c>
      <c r="BH301" t="str">
        <f t="shared" si="133"/>
        <v>Support</v>
      </c>
      <c r="BI301" s="32">
        <f t="shared" si="134"/>
        <v>1</v>
      </c>
    </row>
    <row r="302" spans="1:61" x14ac:dyDescent="0.45">
      <c r="A302" s="30">
        <f>step3_validation[[#This Row],[Persona_ID]]</f>
        <v>301</v>
      </c>
      <c r="B302" s="31">
        <f>step3_validation[[#This Row],[Used_Seed]]</f>
        <v>342</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6</v>
      </c>
      <c r="R302" t="str">
        <f t="shared" si="108"/>
        <v>Neutral</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2</v>
      </c>
      <c r="V302">
        <f>step3_validation[[#This Row],[AI_ENF2]]</f>
        <v>6</v>
      </c>
      <c r="W302" t="str">
        <f t="shared" si="111"/>
        <v>Neutral</v>
      </c>
      <c r="X302">
        <f>survey_responses[[#This Row],[Tôi tin rằng Nhà nước, cơ quan thuế có đủ khả năng và công nghệ để phát hiện, xử lý nghiêm các hành vi trốn thuế. - HUMAN-ENF2]]</f>
        <v>7</v>
      </c>
      <c r="Y302" t="str">
        <f t="shared" si="112"/>
        <v>Neutral</v>
      </c>
      <c r="Z302" s="32">
        <f t="shared" si="113"/>
        <v>1</v>
      </c>
      <c r="AA302">
        <f>step3_validation[[#This Row],[AI_FAC1]]</f>
        <v>9</v>
      </c>
      <c r="AB302" t="str">
        <f t="shared" si="114"/>
        <v>Support</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0</v>
      </c>
      <c r="AF302">
        <f>step3_validation[[#This Row],[AI_FAC2]]</f>
        <v>9</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4</v>
      </c>
      <c r="AK302">
        <f>step3_validation[[#This Row],[AI_TRU1]]</f>
        <v>7</v>
      </c>
      <c r="AL302" t="str">
        <f t="shared" si="120"/>
        <v>Neutral</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0</v>
      </c>
      <c r="AP302">
        <f>step3_validation[[#This Row],[AI_TRU2]]</f>
        <v>8</v>
      </c>
      <c r="AQ302" t="str">
        <f t="shared" si="123"/>
        <v>Support</v>
      </c>
      <c r="AR302">
        <f>survey_responses[[#This Row],[Tôi thấy mức thuế tôi phải đóng theo phương án mới là công bằng (người thu nhập như tôi đóng mức này là hợp lý). - HUMAN-TRU2]]</f>
        <v>7</v>
      </c>
      <c r="AS302" t="str">
        <f t="shared" si="124"/>
        <v>Neutral</v>
      </c>
      <c r="AT302" s="32">
        <f t="shared" si="125"/>
        <v>1</v>
      </c>
      <c r="AU302">
        <f>step3_validation[[#This Row],[AI_TRU3]]</f>
        <v>7</v>
      </c>
      <c r="AV302" t="str">
        <f t="shared" si="126"/>
        <v>Neutral</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0</v>
      </c>
      <c r="AZ302">
        <f>step3_validation[[#This Row],[AI_TRU4]]</f>
        <v>6</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0</v>
      </c>
      <c r="BE302">
        <f>step3_validation[[#This Row],[AI_OUT1]]</f>
        <v>8</v>
      </c>
      <c r="BF302" t="str">
        <f t="shared" si="132"/>
        <v>Support</v>
      </c>
      <c r="BG302">
        <f>survey_responses[[#This Row],[Sau khi xem xét các quyền lợi và nghĩa vụ, bạn có ủng hộ và tuân thủ chính sách mới hiện nay? - HUMAN-OUT1]]</f>
        <v>7</v>
      </c>
      <c r="BH302" t="str">
        <f t="shared" si="133"/>
        <v>Neutral</v>
      </c>
      <c r="BI302" s="32">
        <f t="shared" si="134"/>
        <v>1</v>
      </c>
    </row>
    <row r="303" spans="1:61" x14ac:dyDescent="0.45">
      <c r="A303" s="30">
        <f>step3_validation[[#This Row],[Persona_ID]]</f>
        <v>302</v>
      </c>
      <c r="B303" s="31">
        <f>step3_validation[[#This Row],[Used_Seed]]</f>
        <v>343</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28.832250589026202</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9</v>
      </c>
      <c r="R303" t="str">
        <f t="shared" si="108"/>
        <v>Support</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2</v>
      </c>
      <c r="V303">
        <f>step3_validation[[#This Row],[AI_ENF2]]</f>
        <v>8</v>
      </c>
      <c r="W303" t="str">
        <f t="shared" si="111"/>
        <v>Support</v>
      </c>
      <c r="X303">
        <f>survey_responses[[#This Row],[Tôi tin rằng Nhà nước, cơ quan thuế có đủ khả năng và công nghệ để phát hiện, xử lý nghiêm các hành vi trốn thuế. - HUMAN-ENF2]]</f>
        <v>7</v>
      </c>
      <c r="Y303" t="str">
        <f t="shared" si="112"/>
        <v>Neutral</v>
      </c>
      <c r="Z303" s="32">
        <f t="shared" si="113"/>
        <v>1</v>
      </c>
      <c r="AA303">
        <f>step3_validation[[#This Row],[AI_FAC1]]</f>
        <v>9</v>
      </c>
      <c r="AB303" t="str">
        <f t="shared" si="114"/>
        <v>Support</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5</v>
      </c>
      <c r="AF303">
        <f>step3_validation[[#This Row],[AI_FAC2]]</f>
        <v>8</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0</v>
      </c>
      <c r="AK303">
        <f>step3_validation[[#This Row],[AI_TRU1]]</f>
        <v>9</v>
      </c>
      <c r="AL303" t="str">
        <f t="shared" si="120"/>
        <v>Support</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2</v>
      </c>
      <c r="AP303">
        <f>step3_validation[[#This Row],[AI_TRU2]]</f>
        <v>8</v>
      </c>
      <c r="AQ303" t="str">
        <f t="shared" si="123"/>
        <v>Support</v>
      </c>
      <c r="AR303">
        <f>survey_responses[[#This Row],[Tôi thấy mức thuế tôi phải đóng theo phương án mới là công bằng (người thu nhập như tôi đóng mức này là hợp lý). - HUMAN-TRU2]]</f>
        <v>7</v>
      </c>
      <c r="AS303" t="str">
        <f t="shared" si="124"/>
        <v>Neutral</v>
      </c>
      <c r="AT303" s="32">
        <f t="shared" si="125"/>
        <v>1</v>
      </c>
      <c r="AU303">
        <f>step3_validation[[#This Row],[AI_TRU3]]</f>
        <v>9</v>
      </c>
      <c r="AV303" t="str">
        <f t="shared" si="126"/>
        <v>Support</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4</v>
      </c>
      <c r="AZ303">
        <f>step3_validation[[#This Row],[AI_TRU4]]</f>
        <v>8</v>
      </c>
      <c r="BA303" t="str">
        <f t="shared" si="129"/>
        <v>Support</v>
      </c>
      <c r="BB303">
        <f>survey_responses[[#This Row],[Tôi thấy Nhà nước đã giải thích rõ ràng, minh bạch về lý do và mục tiêu của việc sửa đổi thuế lần này. - HUMAN-TRU4]]</f>
        <v>5</v>
      </c>
      <c r="BC303" t="str">
        <f t="shared" si="130"/>
        <v>Neutral</v>
      </c>
      <c r="BD303" s="32">
        <f t="shared" si="131"/>
        <v>3</v>
      </c>
      <c r="BE303">
        <f>step3_validation[[#This Row],[AI_OUT1]]</f>
        <v>9</v>
      </c>
      <c r="BF303" t="str">
        <f t="shared" si="132"/>
        <v>Support</v>
      </c>
      <c r="BG303">
        <f>survey_responses[[#This Row],[Sau khi xem xét các quyền lợi và nghĩa vụ, bạn có ủng hộ và tuân thủ chính sách mới hiện nay? - HUMAN-OUT1]]</f>
        <v>7</v>
      </c>
      <c r="BH303" t="str">
        <f t="shared" si="133"/>
        <v>Neutral</v>
      </c>
      <c r="BI303" s="32">
        <f t="shared" si="134"/>
        <v>2</v>
      </c>
    </row>
    <row r="304" spans="1:61" x14ac:dyDescent="0.45">
      <c r="A304" s="30">
        <f>step3_validation[[#This Row],[Persona_ID]]</f>
        <v>303</v>
      </c>
      <c r="B304" s="31">
        <f>step3_validation[[#This Row],[Used_Seed]]</f>
        <v>344</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25.423545021267447</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1</v>
      </c>
      <c r="V304">
        <f>step3_validation[[#This Row],[AI_ENF2]]</f>
        <v>6</v>
      </c>
      <c r="W304" t="str">
        <f t="shared" si="111"/>
        <v>Neutral</v>
      </c>
      <c r="X304">
        <f>survey_responses[[#This Row],[Tôi tin rằng Nhà nước, cơ quan thuế có đủ khả năng và công nghệ để phát hiện, xử lý nghiêm các hành vi trốn thuế. - HUMAN-ENF2]]</f>
        <v>10</v>
      </c>
      <c r="Y304" t="str">
        <f t="shared" si="112"/>
        <v>Support</v>
      </c>
      <c r="Z304" s="32">
        <f t="shared" si="113"/>
        <v>4</v>
      </c>
      <c r="AA304">
        <f>step3_validation[[#This Row],[AI_FAC1]]</f>
        <v>9</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4</v>
      </c>
      <c r="AF304">
        <f>step3_validation[[#This Row],[AI_FAC2]]</f>
        <v>8</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4</v>
      </c>
      <c r="AK304">
        <f>step3_validation[[#This Row],[AI_TRU1]]</f>
        <v>6</v>
      </c>
      <c r="AL304" t="str">
        <f t="shared" si="120"/>
        <v>Neutral</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3</v>
      </c>
      <c r="AP304">
        <f>step3_validation[[#This Row],[AI_TRU2]]</f>
        <v>9</v>
      </c>
      <c r="AQ304" t="str">
        <f t="shared" si="123"/>
        <v>Support</v>
      </c>
      <c r="AR304">
        <f>survey_responses[[#This Row],[Tôi thấy mức thuế tôi phải đóng theo phương án mới là công bằng (người thu nhập như tôi đóng mức này là hợp lý). - HUMAN-TRU2]]</f>
        <v>7</v>
      </c>
      <c r="AS304" t="str">
        <f t="shared" si="124"/>
        <v>Neutral</v>
      </c>
      <c r="AT304" s="32">
        <f t="shared" si="125"/>
        <v>2</v>
      </c>
      <c r="AU304">
        <f>step3_validation[[#This Row],[AI_TRU3]]</f>
        <v>7</v>
      </c>
      <c r="AV304" t="str">
        <f t="shared" si="126"/>
        <v>Neutral</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3</v>
      </c>
      <c r="AZ304">
        <f>step3_validation[[#This Row],[AI_TRU4]]</f>
        <v>8</v>
      </c>
      <c r="BA304" t="str">
        <f t="shared" si="129"/>
        <v>Support</v>
      </c>
      <c r="BB304">
        <f>survey_responses[[#This Row],[Tôi thấy Nhà nước đã giải thích rõ ràng, minh bạch về lý do và mục tiêu của việc sửa đổi thuế lần này. - HUMAN-TRU4]]</f>
        <v>4</v>
      </c>
      <c r="BC304" t="str">
        <f t="shared" si="130"/>
        <v>Oppose</v>
      </c>
      <c r="BD304" s="32">
        <f t="shared" si="131"/>
        <v>4</v>
      </c>
      <c r="BE304">
        <f>step3_validation[[#This Row],[AI_OUT1]]</f>
        <v>9</v>
      </c>
      <c r="BF304" t="str">
        <f t="shared" si="132"/>
        <v>Support</v>
      </c>
      <c r="BG304">
        <f>survey_responses[[#This Row],[Sau khi xem xét các quyền lợi và nghĩa vụ, bạn có ủng hộ và tuân thủ chính sách mới hiện nay? - HUMAN-OUT1]]</f>
        <v>5</v>
      </c>
      <c r="BH304" t="str">
        <f t="shared" si="133"/>
        <v>Neutral</v>
      </c>
      <c r="BI304" s="32">
        <f t="shared" si="134"/>
        <v>4</v>
      </c>
    </row>
    <row r="305" spans="1:61" x14ac:dyDescent="0.45">
      <c r="A305" s="30">
        <f>step3_validation[[#This Row],[Persona_ID]]</f>
        <v>304</v>
      </c>
      <c r="B305" s="31">
        <f>step3_validation[[#This Row],[Used_Seed]]</f>
        <v>345</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t="str">
        <f t="shared" si="108"/>
        <v>Neutral</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4</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3</v>
      </c>
      <c r="AA305">
        <f>step3_validation[[#This Row],[AI_FAC1]]</f>
        <v>9</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1</v>
      </c>
      <c r="AF305">
        <f>step3_validation[[#This Row],[AI_FAC2]]</f>
        <v>9</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1</v>
      </c>
      <c r="AK305">
        <f>step3_validation[[#This Row],[AI_TRU1]]</f>
        <v>8</v>
      </c>
      <c r="AL305" t="str">
        <f t="shared" si="120"/>
        <v>Support</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2</v>
      </c>
      <c r="AP305">
        <f>step3_validation[[#This Row],[AI_TRU2]]</f>
        <v>8</v>
      </c>
      <c r="AQ305" t="str">
        <f t="shared" si="123"/>
        <v>Support</v>
      </c>
      <c r="AR305">
        <f>survey_responses[[#This Row],[Tôi thấy mức thuế tôi phải đóng theo phương án mới là công bằng (người thu nhập như tôi đóng mức này là hợp lý). - HUMAN-TRU2]]</f>
        <v>10</v>
      </c>
      <c r="AS305" t="str">
        <f t="shared" si="124"/>
        <v>Support</v>
      </c>
      <c r="AT305" s="32">
        <f t="shared" si="125"/>
        <v>2</v>
      </c>
      <c r="AU305">
        <f>step3_validation[[#This Row],[AI_TRU3]]</f>
        <v>8</v>
      </c>
      <c r="AV305" t="str">
        <f t="shared" si="126"/>
        <v>Support</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2</v>
      </c>
      <c r="AZ305">
        <f>step3_validation[[#This Row],[AI_TRU4]]</f>
        <v>8</v>
      </c>
      <c r="BA305" t="str">
        <f t="shared" si="129"/>
        <v>Support</v>
      </c>
      <c r="BB305">
        <f>survey_responses[[#This Row],[Tôi thấy Nhà nước đã giải thích rõ ràng, minh bạch về lý do và mục tiêu của việc sửa đổi thuế lần này. - HUMAN-TRU4]]</f>
        <v>10</v>
      </c>
      <c r="BC305" t="str">
        <f t="shared" si="130"/>
        <v>Support</v>
      </c>
      <c r="BD305" s="32">
        <f t="shared" si="131"/>
        <v>2</v>
      </c>
      <c r="BE305">
        <f>step3_validation[[#This Row],[AI_OUT1]]</f>
        <v>9</v>
      </c>
      <c r="BF305" t="str">
        <f t="shared" si="132"/>
        <v>Support</v>
      </c>
      <c r="BG305">
        <f>survey_responses[[#This Row],[Sau khi xem xét các quyền lợi và nghĩa vụ, bạn có ủng hộ và tuân thủ chính sách mới hiện nay? - HUMAN-OUT1]]</f>
        <v>10</v>
      </c>
      <c r="BH305" t="str">
        <f t="shared" si="133"/>
        <v>Support</v>
      </c>
      <c r="BI305" s="32">
        <f t="shared" si="134"/>
        <v>1</v>
      </c>
    </row>
    <row r="306" spans="1:61" x14ac:dyDescent="0.45">
      <c r="A306" s="30">
        <f>step3_validation[[#This Row],[Persona_ID]]</f>
        <v>305</v>
      </c>
      <c r="B306" s="31">
        <f>step3_validation[[#This Row],[Used_Seed]]</f>
        <v>346</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44.98179538273552</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6</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1</v>
      </c>
      <c r="V306">
        <f>step3_validation[[#This Row],[AI_ENF2]]</f>
        <v>7</v>
      </c>
      <c r="W306" t="str">
        <f t="shared" si="111"/>
        <v>Neutral</v>
      </c>
      <c r="X306">
        <f>survey_responses[[#This Row],[Tôi tin rằng Nhà nước, cơ quan thuế có đủ khả năng và công nghệ để phát hiện, xử lý nghiêm các hành vi trốn thuế. - HUMAN-ENF2]]</f>
        <v>9</v>
      </c>
      <c r="Y306" t="str">
        <f t="shared" si="112"/>
        <v>Support</v>
      </c>
      <c r="Z306" s="32">
        <f t="shared" si="113"/>
        <v>2</v>
      </c>
      <c r="AA306">
        <f>step3_validation[[#This Row],[AI_FAC1]]</f>
        <v>8</v>
      </c>
      <c r="AB306" t="str">
        <f t="shared" si="114"/>
        <v>Support</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0</v>
      </c>
      <c r="AF306">
        <f>step3_validation[[#This Row],[AI_FAC2]]</f>
        <v>9</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3</v>
      </c>
      <c r="AK306">
        <f>step3_validation[[#This Row],[AI_TRU1]]</f>
        <v>8</v>
      </c>
      <c r="AL306" t="str">
        <f t="shared" si="120"/>
        <v>Support</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3</v>
      </c>
      <c r="AP306">
        <f>step3_validation[[#This Row],[AI_TRU2]]</f>
        <v>9</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6</v>
      </c>
      <c r="AU306">
        <f>step3_validation[[#This Row],[AI_TRU3]]</f>
        <v>7</v>
      </c>
      <c r="AV306" t="str">
        <f t="shared" si="126"/>
        <v>Neutral</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2</v>
      </c>
      <c r="AZ306">
        <f>step3_validation[[#This Row],[AI_TRU4]]</f>
        <v>8</v>
      </c>
      <c r="BA306" t="str">
        <f t="shared" si="129"/>
        <v>Support</v>
      </c>
      <c r="BB306">
        <f>survey_responses[[#This Row],[Tôi thấy Nhà nước đã giải thích rõ ràng, minh bạch về lý do và mục tiêu của việc sửa đổi thuế lần này. - HUMAN-TRU4]]</f>
        <v>3</v>
      </c>
      <c r="BC306" t="str">
        <f t="shared" si="130"/>
        <v>Oppose</v>
      </c>
      <c r="BD306" s="32">
        <f t="shared" si="131"/>
        <v>5</v>
      </c>
      <c r="BE306">
        <f>step3_validation[[#This Row],[AI_OUT1]]</f>
        <v>9</v>
      </c>
      <c r="BF306" t="str">
        <f t="shared" si="132"/>
        <v>Support</v>
      </c>
      <c r="BG306">
        <f>survey_responses[[#This Row],[Sau khi xem xét các quyền lợi và nghĩa vụ, bạn có ủng hộ và tuân thủ chính sách mới hiện nay? - HUMAN-OUT1]]</f>
        <v>4</v>
      </c>
      <c r="BH306" t="str">
        <f t="shared" si="133"/>
        <v>Oppose</v>
      </c>
      <c r="BI306" s="32">
        <f t="shared" si="134"/>
        <v>5</v>
      </c>
    </row>
    <row r="307" spans="1:61" x14ac:dyDescent="0.45">
      <c r="A307" s="30">
        <f>step3_validation[[#This Row],[Persona_ID]]</f>
        <v>306</v>
      </c>
      <c r="B307" s="31">
        <f>step3_validation[[#This Row],[Used_Seed]]</f>
        <v>347</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49.814382056108016</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8</v>
      </c>
      <c r="R307" t="str">
        <f t="shared" si="108"/>
        <v>Support</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5</v>
      </c>
      <c r="V307">
        <f>step3_validation[[#This Row],[AI_ENF2]]</f>
        <v>8</v>
      </c>
      <c r="W307" t="str">
        <f t="shared" si="111"/>
        <v>Support</v>
      </c>
      <c r="X307">
        <f>survey_responses[[#This Row],[Tôi tin rằng Nhà nước, cơ quan thuế có đủ khả năng và công nghệ để phát hiện, xử lý nghiêm các hành vi trốn thuế. - HUMAN-ENF2]]</f>
        <v>8</v>
      </c>
      <c r="Y307" t="str">
        <f t="shared" si="112"/>
        <v>Support</v>
      </c>
      <c r="Z307" s="32">
        <f t="shared" si="113"/>
        <v>0</v>
      </c>
      <c r="AA307">
        <f>step3_validation[[#This Row],[AI_FAC1]]</f>
        <v>7</v>
      </c>
      <c r="AB307" t="str">
        <f t="shared" si="114"/>
        <v>Neutral</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1</v>
      </c>
      <c r="AF307">
        <f>step3_validation[[#This Row],[AI_FAC2]]</f>
        <v>9</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5</v>
      </c>
      <c r="AK307">
        <f>step3_validation[[#This Row],[AI_TRU1]]</f>
        <v>8</v>
      </c>
      <c r="AL307" t="str">
        <f t="shared" si="120"/>
        <v>Support</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4</v>
      </c>
      <c r="AP307">
        <f>step3_validation[[#This Row],[AI_TRU2]]</f>
        <v>8</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2">
        <f t="shared" si="125"/>
        <v>5</v>
      </c>
      <c r="AU307">
        <f>step3_validation[[#This Row],[AI_TRU3]]</f>
        <v>7</v>
      </c>
      <c r="AV307" t="str">
        <f t="shared" si="126"/>
        <v>Neutral</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0</v>
      </c>
      <c r="AZ307">
        <f>step3_validation[[#This Row],[AI_TRU4]]</f>
        <v>8</v>
      </c>
      <c r="BA307" t="str">
        <f t="shared" si="129"/>
        <v>Support</v>
      </c>
      <c r="BB307">
        <f>survey_responses[[#This Row],[Tôi thấy Nhà nước đã giải thích rõ ràng, minh bạch về lý do và mục tiêu của việc sửa đổi thuế lần này. - HUMAN-TRU4]]</f>
        <v>5</v>
      </c>
      <c r="BC307" t="str">
        <f t="shared" si="130"/>
        <v>Neutral</v>
      </c>
      <c r="BD307" s="32">
        <f t="shared" si="131"/>
        <v>3</v>
      </c>
      <c r="BE307">
        <f>step3_validation[[#This Row],[AI_OUT1]]</f>
        <v>9</v>
      </c>
      <c r="BF307" t="str">
        <f t="shared" si="132"/>
        <v>Support</v>
      </c>
      <c r="BG307">
        <f>survey_responses[[#This Row],[Sau khi xem xét các quyền lợi và nghĩa vụ, bạn có ủng hộ và tuân thủ chính sách mới hiện nay? - HUMAN-OUT1]]</f>
        <v>5</v>
      </c>
      <c r="BH307" t="str">
        <f t="shared" si="133"/>
        <v>Neutral</v>
      </c>
      <c r="BI307" s="32">
        <f t="shared" si="134"/>
        <v>4</v>
      </c>
    </row>
    <row r="308" spans="1:61" x14ac:dyDescent="0.45">
      <c r="A308" s="30">
        <f>step3_validation[[#This Row],[Persona_ID]]</f>
        <v>307</v>
      </c>
      <c r="B308" s="31">
        <f>step3_validation[[#This Row],[Used_Seed]]</f>
        <v>348</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13.709181849834744</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7</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5</v>
      </c>
      <c r="V308">
        <f>step3_validation[[#This Row],[AI_ENF2]]</f>
        <v>8</v>
      </c>
      <c r="W308" t="str">
        <f t="shared" si="111"/>
        <v>Support</v>
      </c>
      <c r="X308">
        <f>survey_responses[[#This Row],[Tôi tin rằng Nhà nước, cơ quan thuế có đủ khả năng và công nghệ để phát hiện, xử lý nghiêm các hành vi trốn thuế. - HUMAN-ENF2]]</f>
        <v>2</v>
      </c>
      <c r="Y308" t="str">
        <f t="shared" si="112"/>
        <v>Oppose</v>
      </c>
      <c r="Z308" s="32">
        <f t="shared" si="113"/>
        <v>6</v>
      </c>
      <c r="AA308">
        <f>step3_validation[[#This Row],[AI_FAC1]]</f>
        <v>9</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7</v>
      </c>
      <c r="AF308">
        <f>step3_validation[[#This Row],[AI_FAC2]]</f>
        <v>8</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7</v>
      </c>
      <c r="AK308">
        <f>step3_validation[[#This Row],[AI_TRU1]]</f>
        <v>9</v>
      </c>
      <c r="AL308" t="str">
        <f t="shared" si="120"/>
        <v>Support</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7</v>
      </c>
      <c r="AP308">
        <f>step3_validation[[#This Row],[AI_TRU2]]</f>
        <v>8</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2">
        <f t="shared" si="125"/>
        <v>6</v>
      </c>
      <c r="AU308">
        <f>step3_validation[[#This Row],[AI_TRU3]]</f>
        <v>8</v>
      </c>
      <c r="AV308" t="str">
        <f t="shared" si="126"/>
        <v>Support</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6</v>
      </c>
      <c r="AZ308">
        <f>step3_validation[[#This Row],[AI_TRU4]]</f>
        <v>7</v>
      </c>
      <c r="BA308" t="str">
        <f t="shared" si="129"/>
        <v>Neutral</v>
      </c>
      <c r="BB308">
        <f>survey_responses[[#This Row],[Tôi thấy Nhà nước đã giải thích rõ ràng, minh bạch về lý do và mục tiêu của việc sửa đổi thuế lần này. - HUMAN-TRU4]]</f>
        <v>2</v>
      </c>
      <c r="BC308" t="str">
        <f t="shared" si="130"/>
        <v>Oppose</v>
      </c>
      <c r="BD308" s="32">
        <f t="shared" si="131"/>
        <v>5</v>
      </c>
      <c r="BE308">
        <f>step3_validation[[#This Row],[AI_OUT1]]</f>
        <v>9</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7</v>
      </c>
    </row>
    <row r="309" spans="1:61" x14ac:dyDescent="0.45">
      <c r="A309" s="30">
        <f>step3_validation[[#This Row],[Persona_ID]]</f>
        <v>308</v>
      </c>
      <c r="B309" s="31">
        <f>step3_validation[[#This Row],[Used_Seed]]</f>
        <v>349</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155.98608401048074</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9</v>
      </c>
      <c r="R309" t="str">
        <f t="shared" si="108"/>
        <v>Support</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1</v>
      </c>
      <c r="V309">
        <f>step3_validation[[#This Row],[AI_ENF2]]</f>
        <v>9</v>
      </c>
      <c r="W309" t="str">
        <f t="shared" si="111"/>
        <v>Support</v>
      </c>
      <c r="X309">
        <f>survey_responses[[#This Row],[Tôi tin rằng Nhà nước, cơ quan thuế có đủ khả năng và công nghệ để phát hiện, xử lý nghiêm các hành vi trốn thuế. - HUMAN-ENF2]]</f>
        <v>8</v>
      </c>
      <c r="Y309" t="str">
        <f t="shared" si="112"/>
        <v>Support</v>
      </c>
      <c r="Z309" s="32">
        <f t="shared" si="113"/>
        <v>1</v>
      </c>
      <c r="AA309">
        <f>step3_validation[[#This Row],[AI_FAC1]]</f>
        <v>8</v>
      </c>
      <c r="AB309" t="str">
        <f t="shared" si="114"/>
        <v>Support</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0</v>
      </c>
      <c r="AF309">
        <f>step3_validation[[#This Row],[AI_FAC2]]</f>
        <v>9</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1</v>
      </c>
      <c r="AK309">
        <f>step3_validation[[#This Row],[AI_TRU1]]</f>
        <v>8</v>
      </c>
      <c r="AL309" t="str">
        <f t="shared" si="120"/>
        <v>Support</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2</v>
      </c>
      <c r="AP309">
        <f>step3_validation[[#This Row],[AI_TRU2]]</f>
        <v>9</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2">
        <f t="shared" si="125"/>
        <v>1</v>
      </c>
      <c r="AU309">
        <f>step3_validation[[#This Row],[AI_TRU3]]</f>
        <v>8</v>
      </c>
      <c r="AV309" t="str">
        <f t="shared" si="126"/>
        <v>Support</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2</v>
      </c>
      <c r="AZ309">
        <f>step3_validation[[#This Row],[AI_TRU4]]</f>
        <v>8</v>
      </c>
      <c r="BA309" t="str">
        <f t="shared" si="129"/>
        <v>Support</v>
      </c>
      <c r="BB309">
        <f>survey_responses[[#This Row],[Tôi thấy Nhà nước đã giải thích rõ ràng, minh bạch về lý do và mục tiêu của việc sửa đổi thuế lần này. - HUMAN-TRU4]]</f>
        <v>8</v>
      </c>
      <c r="BC309" t="str">
        <f t="shared" si="130"/>
        <v>Support</v>
      </c>
      <c r="BD309" s="32">
        <f t="shared" si="131"/>
        <v>0</v>
      </c>
      <c r="BE309">
        <f>step3_validation[[#This Row],[AI_OUT1]]</f>
        <v>9</v>
      </c>
      <c r="BF309" t="str">
        <f t="shared" si="132"/>
        <v>Support</v>
      </c>
      <c r="BG309">
        <f>survey_responses[[#This Row],[Sau khi xem xét các quyền lợi và nghĩa vụ, bạn có ủng hộ và tuân thủ chính sách mới hiện nay? - HUMAN-OUT1]]</f>
        <v>8</v>
      </c>
      <c r="BH309" t="str">
        <f t="shared" si="133"/>
        <v>Support</v>
      </c>
      <c r="BI309" s="32">
        <f t="shared" si="134"/>
        <v>1</v>
      </c>
    </row>
    <row r="310" spans="1:61" x14ac:dyDescent="0.45">
      <c r="A310" s="30">
        <f>step3_validation[[#This Row],[Persona_ID]]</f>
        <v>309</v>
      </c>
      <c r="B310" s="31">
        <f>step3_validation[[#This Row],[Used_Seed]]</f>
        <v>350</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65.45417450884635</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8</v>
      </c>
      <c r="R310" t="str">
        <f t="shared" si="108"/>
        <v>Support</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2</v>
      </c>
      <c r="V310">
        <f>step3_validation[[#This Row],[AI_ENF2]]</f>
        <v>7</v>
      </c>
      <c r="W310" t="str">
        <f t="shared" si="111"/>
        <v>Neutral</v>
      </c>
      <c r="X310">
        <f>survey_responses[[#This Row],[Tôi tin rằng Nhà nước, cơ quan thuế có đủ khả năng và công nghệ để phát hiện, xử lý nghiêm các hành vi trốn thuế. - HUMAN-ENF2]]</f>
        <v>10</v>
      </c>
      <c r="Y310" t="str">
        <f t="shared" si="112"/>
        <v>Support</v>
      </c>
      <c r="Z310" s="32">
        <f t="shared" si="113"/>
        <v>3</v>
      </c>
      <c r="AA310">
        <f>step3_validation[[#This Row],[AI_FAC1]]</f>
        <v>9</v>
      </c>
      <c r="AB310" t="str">
        <f t="shared" si="114"/>
        <v>Support</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1</v>
      </c>
      <c r="AF310">
        <f>step3_validation[[#This Row],[AI_FAC2]]</f>
        <v>8</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2</v>
      </c>
      <c r="AK310">
        <f>step3_validation[[#This Row],[AI_TRU1]]</f>
        <v>9</v>
      </c>
      <c r="AL310" t="str">
        <f t="shared" si="120"/>
        <v>Support</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1</v>
      </c>
      <c r="AP310">
        <f>step3_validation[[#This Row],[AI_TRU2]]</f>
        <v>8</v>
      </c>
      <c r="AQ310" t="str">
        <f t="shared" si="123"/>
        <v>Support</v>
      </c>
      <c r="AR310">
        <f>survey_responses[[#This Row],[Tôi thấy mức thuế tôi phải đóng theo phương án mới là công bằng (người thu nhập như tôi đóng mức này là hợp lý). - HUMAN-TRU2]]</f>
        <v>9</v>
      </c>
      <c r="AS310" t="str">
        <f t="shared" si="124"/>
        <v>Support</v>
      </c>
      <c r="AT310" s="32">
        <f t="shared" si="125"/>
        <v>1</v>
      </c>
      <c r="AU310">
        <f>step3_validation[[#This Row],[AI_TRU3]]</f>
        <v>9</v>
      </c>
      <c r="AV310" t="str">
        <f t="shared" si="126"/>
        <v>Support</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0</v>
      </c>
      <c r="AZ310">
        <f>step3_validation[[#This Row],[AI_TRU4]]</f>
        <v>7</v>
      </c>
      <c r="BA310" t="str">
        <f t="shared" si="129"/>
        <v>Neutral</v>
      </c>
      <c r="BB310">
        <f>survey_responses[[#This Row],[Tôi thấy Nhà nước đã giải thích rõ ràng, minh bạch về lý do và mục tiêu của việc sửa đổi thuế lần này. - HUMAN-TRU4]]</f>
        <v>10</v>
      </c>
      <c r="BC310" t="str">
        <f t="shared" si="130"/>
        <v>Support</v>
      </c>
      <c r="BD310" s="32">
        <f t="shared" si="131"/>
        <v>3</v>
      </c>
      <c r="BE310">
        <f>step3_validation[[#This Row],[AI_OUT1]]</f>
        <v>9</v>
      </c>
      <c r="BF310" t="str">
        <f t="shared" si="132"/>
        <v>Support</v>
      </c>
      <c r="BG310">
        <f>survey_responses[[#This Row],[Sau khi xem xét các quyền lợi và nghĩa vụ, bạn có ủng hộ và tuân thủ chính sách mới hiện nay? - HUMAN-OUT1]]</f>
        <v>10</v>
      </c>
      <c r="BH310" t="str">
        <f t="shared" si="133"/>
        <v>Support</v>
      </c>
      <c r="BI310" s="32">
        <f t="shared" si="134"/>
        <v>1</v>
      </c>
    </row>
    <row r="311" spans="1:61" x14ac:dyDescent="0.45">
      <c r="A311" s="30">
        <f>step3_validation[[#This Row],[Persona_ID]]</f>
        <v>310</v>
      </c>
      <c r="B311" s="31">
        <f>step3_validation[[#This Row],[Used_Seed]]</f>
        <v>351</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20.305435334393543</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0</v>
      </c>
      <c r="V311">
        <f>step3_validation[[#This Row],[AI_ENF2]]</f>
        <v>6</v>
      </c>
      <c r="W311" t="str">
        <f t="shared" si="111"/>
        <v>Neutral</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9</v>
      </c>
      <c r="AB311" t="str">
        <f t="shared" si="114"/>
        <v>Support</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4</v>
      </c>
      <c r="AF311">
        <f>step3_validation[[#This Row],[AI_FAC2]]</f>
        <v>10</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2</v>
      </c>
      <c r="AK311">
        <f>step3_validation[[#This Row],[AI_TRU1]]</f>
        <v>8</v>
      </c>
      <c r="AL311" t="str">
        <f t="shared" si="120"/>
        <v>Support</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0</v>
      </c>
      <c r="AP311">
        <f>step3_validation[[#This Row],[AI_TRU2]]</f>
        <v>9</v>
      </c>
      <c r="AQ311" t="str">
        <f t="shared" si="123"/>
        <v>Support</v>
      </c>
      <c r="AR311">
        <f>survey_responses[[#This Row],[Tôi thấy mức thuế tôi phải đóng theo phương án mới là công bằng (người thu nhập như tôi đóng mức này là hợp lý). - HUMAN-TRU2]]</f>
        <v>9</v>
      </c>
      <c r="AS311" t="str">
        <f t="shared" si="124"/>
        <v>Support</v>
      </c>
      <c r="AT311" s="32">
        <f t="shared" si="125"/>
        <v>0</v>
      </c>
      <c r="AU311">
        <f>step3_validation[[#This Row],[AI_TRU3]]</f>
        <v>7</v>
      </c>
      <c r="AV311" t="str">
        <f t="shared" si="126"/>
        <v>Neutral</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2</v>
      </c>
      <c r="AZ311">
        <f>step3_validation[[#This Row],[AI_TRU4]]</f>
        <v>8</v>
      </c>
      <c r="BA311" t="str">
        <f t="shared" si="129"/>
        <v>Support</v>
      </c>
      <c r="BB311">
        <f>survey_responses[[#This Row],[Tôi thấy Nhà nước đã giải thích rõ ràng, minh bạch về lý do và mục tiêu của việc sửa đổi thuế lần này. - HUMAN-TRU4]]</f>
        <v>9</v>
      </c>
      <c r="BC311" t="str">
        <f t="shared" si="130"/>
        <v>Support</v>
      </c>
      <c r="BD311" s="32">
        <f t="shared" si="131"/>
        <v>1</v>
      </c>
      <c r="BE311">
        <f>step3_validation[[#This Row],[AI_OUT1]]</f>
        <v>9</v>
      </c>
      <c r="BF311" t="str">
        <f t="shared" si="132"/>
        <v>Support</v>
      </c>
      <c r="BG311">
        <f>survey_responses[[#This Row],[Sau khi xem xét các quyền lợi và nghĩa vụ, bạn có ủng hộ và tuân thủ chính sách mới hiện nay? - HUMAN-OUT1]]</f>
        <v>10</v>
      </c>
      <c r="BH311" t="str">
        <f t="shared" si="133"/>
        <v>Support</v>
      </c>
      <c r="BI311" s="32">
        <f t="shared" si="134"/>
        <v>1</v>
      </c>
    </row>
    <row r="312" spans="1:61" x14ac:dyDescent="0.45">
      <c r="A312" s="30">
        <f>step3_validation[[#This Row],[Persona_ID]]</f>
        <v>311</v>
      </c>
      <c r="B312" s="31">
        <f>step3_validation[[#This Row],[Used_Seed]]</f>
        <v>352</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12.462036994725276</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7</v>
      </c>
      <c r="R312" t="str">
        <f t="shared" si="108"/>
        <v>Neutral</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1</v>
      </c>
      <c r="V312">
        <f>step3_validation[[#This Row],[AI_ENF2]]</f>
        <v>6</v>
      </c>
      <c r="W312" t="str">
        <f t="shared" si="111"/>
        <v>Neutral</v>
      </c>
      <c r="X312">
        <f>survey_responses[[#This Row],[Tôi tin rằng Nhà nước, cơ quan thuế có đủ khả năng và công nghệ để phát hiện, xử lý nghiêm các hành vi trốn thuế. - HUMAN-ENF2]]</f>
        <v>5</v>
      </c>
      <c r="Y312" t="str">
        <f t="shared" si="112"/>
        <v>Neutral</v>
      </c>
      <c r="Z312" s="32">
        <f t="shared" si="113"/>
        <v>1</v>
      </c>
      <c r="AA312">
        <f>step3_validation[[#This Row],[AI_FAC1]]</f>
        <v>8</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4</v>
      </c>
      <c r="AF312">
        <f>step3_validation[[#This Row],[AI_FAC2]]</f>
        <v>9</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2</v>
      </c>
      <c r="AK312">
        <f>step3_validation[[#This Row],[AI_TRU1]]</f>
        <v>7</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2</v>
      </c>
      <c r="AP312">
        <f>step3_validation[[#This Row],[AI_TRU2]]</f>
        <v>9</v>
      </c>
      <c r="AQ312" t="str">
        <f t="shared" si="123"/>
        <v>Support</v>
      </c>
      <c r="AR312">
        <f>survey_responses[[#This Row],[Tôi thấy mức thuế tôi phải đóng theo phương án mới là công bằng (người thu nhập như tôi đóng mức này là hợp lý). - HUMAN-TRU2]]</f>
        <v>6</v>
      </c>
      <c r="AS312" t="str">
        <f t="shared" si="124"/>
        <v>Neutral</v>
      </c>
      <c r="AT312" s="32">
        <f t="shared" si="125"/>
        <v>3</v>
      </c>
      <c r="AU312">
        <f>step3_validation[[#This Row],[AI_TRU3]]</f>
        <v>8</v>
      </c>
      <c r="AV312" t="str">
        <f t="shared" si="126"/>
        <v>Support</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2</v>
      </c>
      <c r="AZ312">
        <f>step3_validation[[#This Row],[AI_TRU4]]</f>
        <v>7</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0</v>
      </c>
      <c r="BE312">
        <f>step3_validation[[#This Row],[AI_OUT1]]</f>
        <v>8</v>
      </c>
      <c r="BF312" t="str">
        <f t="shared" si="132"/>
        <v>Support</v>
      </c>
      <c r="BG312">
        <f>survey_responses[[#This Row],[Sau khi xem xét các quyền lợi và nghĩa vụ, bạn có ủng hộ và tuân thủ chính sách mới hiện nay? - HUMAN-OUT1]]</f>
        <v>7</v>
      </c>
      <c r="BH312" t="str">
        <f t="shared" si="133"/>
        <v>Neutral</v>
      </c>
      <c r="BI312" s="32">
        <f t="shared" si="134"/>
        <v>1</v>
      </c>
    </row>
    <row r="313" spans="1:61" x14ac:dyDescent="0.45">
      <c r="A313" s="30">
        <f>step3_validation[[#This Row],[Persona_ID]]</f>
        <v>312</v>
      </c>
      <c r="B313" s="31">
        <f>step3_validation[[#This Row],[Used_Seed]]</f>
        <v>353</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19.905338494533282</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7</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1</v>
      </c>
      <c r="V313">
        <f>step3_validation[[#This Row],[AI_ENF2]]</f>
        <v>8</v>
      </c>
      <c r="W313" t="str">
        <f t="shared" si="111"/>
        <v>Support</v>
      </c>
      <c r="X313">
        <f>survey_responses[[#This Row],[Tôi tin rằng Nhà nước, cơ quan thuế có đủ khả năng và công nghệ để phát hiện, xử lý nghiêm các hành vi trốn thuế. - HUMAN-ENF2]]</f>
        <v>9</v>
      </c>
      <c r="Y313" t="str">
        <f t="shared" si="112"/>
        <v>Support</v>
      </c>
      <c r="Z313" s="32">
        <f t="shared" si="113"/>
        <v>1</v>
      </c>
      <c r="AA313">
        <f>step3_validation[[#This Row],[AI_FAC1]]</f>
        <v>6</v>
      </c>
      <c r="AB313" t="str">
        <f t="shared" si="114"/>
        <v>Neutral</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4</v>
      </c>
      <c r="AF313">
        <f>step3_validation[[#This Row],[AI_FAC2]]</f>
        <v>7</v>
      </c>
      <c r="AG313" t="str">
        <f t="shared" si="117"/>
        <v>Neutral</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3</v>
      </c>
      <c r="AK313">
        <f>step3_validation[[#This Row],[AI_TRU1]]</f>
        <v>8</v>
      </c>
      <c r="AL313" t="str">
        <f t="shared" si="120"/>
        <v>Support</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0</v>
      </c>
      <c r="AP313">
        <f>step3_validation[[#This Row],[AI_TRU2]]</f>
        <v>9</v>
      </c>
      <c r="AQ313" t="str">
        <f t="shared" si="123"/>
        <v>Support</v>
      </c>
      <c r="AR313">
        <f>survey_responses[[#This Row],[Tôi thấy mức thuế tôi phải đóng theo phương án mới là công bằng (người thu nhập như tôi đóng mức này là hợp lý). - HUMAN-TRU2]]</f>
        <v>9</v>
      </c>
      <c r="AS313" t="str">
        <f t="shared" si="124"/>
        <v>Support</v>
      </c>
      <c r="AT313" s="32">
        <f t="shared" si="125"/>
        <v>0</v>
      </c>
      <c r="AU313">
        <f>step3_validation[[#This Row],[AI_TRU3]]</f>
        <v>7</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1</v>
      </c>
      <c r="AZ313">
        <f>step3_validation[[#This Row],[AI_TRU4]]</f>
        <v>8</v>
      </c>
      <c r="BA313" t="str">
        <f t="shared" si="129"/>
        <v>Support</v>
      </c>
      <c r="BB313">
        <f>survey_responses[[#This Row],[Tôi thấy Nhà nước đã giải thích rõ ràng, minh bạch về lý do và mục tiêu của việc sửa đổi thuế lần này. - HUMAN-TRU4]]</f>
        <v>8</v>
      </c>
      <c r="BC313" t="str">
        <f t="shared" si="130"/>
        <v>Support</v>
      </c>
      <c r="BD313" s="32">
        <f t="shared" si="131"/>
        <v>0</v>
      </c>
      <c r="BE313">
        <f>step3_validation[[#This Row],[AI_OUT1]]</f>
        <v>9</v>
      </c>
      <c r="BF313" t="str">
        <f t="shared" si="132"/>
        <v>Support</v>
      </c>
      <c r="BG313">
        <f>survey_responses[[#This Row],[Sau khi xem xét các quyền lợi và nghĩa vụ, bạn có ủng hộ và tuân thủ chính sách mới hiện nay? - HUMAN-OUT1]]</f>
        <v>10</v>
      </c>
      <c r="BH313" t="str">
        <f t="shared" si="133"/>
        <v>Support</v>
      </c>
      <c r="BI313" s="32">
        <f t="shared" si="134"/>
        <v>1</v>
      </c>
    </row>
    <row r="314" spans="1:61" x14ac:dyDescent="0.45">
      <c r="A314" s="30">
        <f>step3_validation[[#This Row],[Persona_ID]]</f>
        <v>313</v>
      </c>
      <c r="B314" s="31">
        <f>step3_validation[[#This Row],[Used_Seed]]</f>
        <v>354</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13.72399501447819</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8</v>
      </c>
      <c r="R314" t="str">
        <f t="shared" si="108"/>
        <v>Support</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2</v>
      </c>
      <c r="V314">
        <f>step3_validation[[#This Row],[AI_ENF2]]</f>
        <v>8</v>
      </c>
      <c r="W314" t="str">
        <f t="shared" si="111"/>
        <v>Support</v>
      </c>
      <c r="X314">
        <f>survey_responses[[#This Row],[Tôi tin rằng Nhà nước, cơ quan thuế có đủ khả năng và công nghệ để phát hiện, xử lý nghiêm các hành vi trốn thuế. - HUMAN-ENF2]]</f>
        <v>6</v>
      </c>
      <c r="Y314" t="str">
        <f t="shared" si="112"/>
        <v>Neutral</v>
      </c>
      <c r="Z314" s="32">
        <f t="shared" si="113"/>
        <v>2</v>
      </c>
      <c r="AA314">
        <f>step3_validation[[#This Row],[AI_FAC1]]</f>
        <v>9</v>
      </c>
      <c r="AB314" t="str">
        <f t="shared" si="114"/>
        <v>Support</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2</v>
      </c>
      <c r="AF314">
        <f>step3_validation[[#This Row],[AI_FAC2]]</f>
        <v>9</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2</v>
      </c>
      <c r="AK314">
        <f>step3_validation[[#This Row],[AI_TRU1]]</f>
        <v>9</v>
      </c>
      <c r="AL314" t="str">
        <f t="shared" si="120"/>
        <v>Support</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2</v>
      </c>
      <c r="AP314">
        <f>step3_validation[[#This Row],[AI_TRU2]]</f>
        <v>9</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2">
        <f t="shared" si="125"/>
        <v>1</v>
      </c>
      <c r="AU314">
        <f>step3_validation[[#This Row],[AI_TRU3]]</f>
        <v>9</v>
      </c>
      <c r="AV314" t="str">
        <f t="shared" si="126"/>
        <v>Support</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4</v>
      </c>
      <c r="AZ314">
        <f>step3_validation[[#This Row],[AI_TRU4]]</f>
        <v>9</v>
      </c>
      <c r="BA314" t="str">
        <f t="shared" si="129"/>
        <v>Support</v>
      </c>
      <c r="BB314">
        <f>survey_responses[[#This Row],[Tôi thấy Nhà nước đã giải thích rõ ràng, minh bạch về lý do và mục tiêu của việc sửa đổi thuế lần này. - HUMAN-TRU4]]</f>
        <v>5</v>
      </c>
      <c r="BC314" t="str">
        <f t="shared" si="130"/>
        <v>Neutral</v>
      </c>
      <c r="BD314" s="32">
        <f t="shared" si="131"/>
        <v>4</v>
      </c>
      <c r="BE314">
        <f>step3_validation[[#This Row],[AI_OUT1]]</f>
        <v>10</v>
      </c>
      <c r="BF314" t="str">
        <f t="shared" si="132"/>
        <v>Support</v>
      </c>
      <c r="BG314">
        <f>survey_responses[[#This Row],[Sau khi xem xét các quyền lợi và nghĩa vụ, bạn có ủng hộ và tuân thủ chính sách mới hiện nay? - HUMAN-OUT1]]</f>
        <v>8</v>
      </c>
      <c r="BH314" t="str">
        <f t="shared" si="133"/>
        <v>Support</v>
      </c>
      <c r="BI314" s="32">
        <f t="shared" si="134"/>
        <v>2</v>
      </c>
    </row>
    <row r="315" spans="1:61" x14ac:dyDescent="0.45">
      <c r="A315" s="30">
        <f>step3_validation[[#This Row],[Persona_ID]]</f>
        <v>314</v>
      </c>
      <c r="B315" s="31">
        <f>step3_validation[[#This Row],[Used_Seed]]</f>
        <v>355</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14.633948040503883</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6</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1</v>
      </c>
      <c r="V315">
        <f>step3_validation[[#This Row],[AI_ENF2]]</f>
        <v>7</v>
      </c>
      <c r="W315" t="str">
        <f t="shared" si="111"/>
        <v>Neutral</v>
      </c>
      <c r="X315">
        <f>survey_responses[[#This Row],[Tôi tin rằng Nhà nước, cơ quan thuế có đủ khả năng và công nghệ để phát hiện, xử lý nghiêm các hành vi trốn thuế. - HUMAN-ENF2]]</f>
        <v>8</v>
      </c>
      <c r="Y315" t="str">
        <f t="shared" si="112"/>
        <v>Support</v>
      </c>
      <c r="Z315" s="32">
        <f t="shared" si="113"/>
        <v>1</v>
      </c>
      <c r="AA315">
        <f>step3_validation[[#This Row],[AI_FAC1]]</f>
        <v>9</v>
      </c>
      <c r="AB315" t="str">
        <f t="shared" si="114"/>
        <v>Support</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1</v>
      </c>
      <c r="AF315">
        <f>step3_validation[[#This Row],[AI_FAC2]]</f>
        <v>8</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0</v>
      </c>
      <c r="AK315">
        <f>step3_validation[[#This Row],[AI_TRU1]]</f>
        <v>9</v>
      </c>
      <c r="AL315" t="str">
        <f t="shared" si="120"/>
        <v>Support</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4</v>
      </c>
      <c r="AP315">
        <f>step3_validation[[#This Row],[AI_TRU2]]</f>
        <v>8</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0</v>
      </c>
      <c r="AU315">
        <f>step3_validation[[#This Row],[AI_TRU3]]</f>
        <v>9</v>
      </c>
      <c r="AV315" t="str">
        <f t="shared" si="126"/>
        <v>Support</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3</v>
      </c>
      <c r="AZ315">
        <f>step3_validation[[#This Row],[AI_TRU4]]</f>
        <v>8</v>
      </c>
      <c r="BA315" t="str">
        <f t="shared" si="129"/>
        <v>Support</v>
      </c>
      <c r="BB315">
        <f>survey_responses[[#This Row],[Tôi thấy Nhà nước đã giải thích rõ ràng, minh bạch về lý do và mục tiêu của việc sửa đổi thuế lần này. - HUMAN-TRU4]]</f>
        <v>6</v>
      </c>
      <c r="BC315" t="str">
        <f t="shared" si="130"/>
        <v>Neutral</v>
      </c>
      <c r="BD315" s="32">
        <f t="shared" si="131"/>
        <v>2</v>
      </c>
      <c r="BE315">
        <f>step3_validation[[#This Row],[AI_OUT1]]</f>
        <v>9</v>
      </c>
      <c r="BF315" t="str">
        <f t="shared" si="132"/>
        <v>Support</v>
      </c>
      <c r="BG315">
        <f>survey_responses[[#This Row],[Sau khi xem xét các quyền lợi và nghĩa vụ, bạn có ủng hộ và tuân thủ chính sách mới hiện nay? - HUMAN-OUT1]]</f>
        <v>8</v>
      </c>
      <c r="BH315" t="str">
        <f t="shared" si="133"/>
        <v>Support</v>
      </c>
      <c r="BI315" s="32">
        <f t="shared" si="134"/>
        <v>1</v>
      </c>
    </row>
    <row r="316" spans="1:61" x14ac:dyDescent="0.45">
      <c r="A316" s="30">
        <f>step3_validation[[#This Row],[Persona_ID]]</f>
        <v>315</v>
      </c>
      <c r="B316" s="31">
        <f>step3_validation[[#This Row],[Used_Seed]]</f>
        <v>356</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21.627386207887497</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3</v>
      </c>
      <c r="V316">
        <f>step3_validation[[#This Row],[AI_ENF2]]</f>
        <v>6</v>
      </c>
      <c r="W316" t="str">
        <f t="shared" si="111"/>
        <v>Neutral</v>
      </c>
      <c r="X316">
        <f>survey_responses[[#This Row],[Tôi tin rằng Nhà nước, cơ quan thuế có đủ khả năng và công nghệ để phát hiện, xử lý nghiêm các hành vi trốn thuế. - HUMAN-ENF2]]</f>
        <v>5</v>
      </c>
      <c r="Y316" t="str">
        <f t="shared" si="112"/>
        <v>Neutral</v>
      </c>
      <c r="Z316" s="32">
        <f t="shared" si="113"/>
        <v>1</v>
      </c>
      <c r="AA316">
        <f>step3_validation[[#This Row],[AI_FAC1]]</f>
        <v>5</v>
      </c>
      <c r="AB316" t="str">
        <f t="shared" si="114"/>
        <v>Neutral</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0</v>
      </c>
      <c r="AF316">
        <f>step3_validation[[#This Row],[AI_FAC2]]</f>
        <v>9</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2</v>
      </c>
      <c r="AK316">
        <f>step3_validation[[#This Row],[AI_TRU1]]</f>
        <v>8</v>
      </c>
      <c r="AL316" t="str">
        <f t="shared" si="120"/>
        <v>Support</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3</v>
      </c>
      <c r="AP316">
        <f>step3_validation[[#This Row],[AI_TRU2]]</f>
        <v>9</v>
      </c>
      <c r="AQ316" t="str">
        <f t="shared" si="123"/>
        <v>Support</v>
      </c>
      <c r="AR316">
        <f>survey_responses[[#This Row],[Tôi thấy mức thuế tôi phải đóng theo phương án mới là công bằng (người thu nhập như tôi đóng mức này là hợp lý). - HUMAN-TRU2]]</f>
        <v>8</v>
      </c>
      <c r="AS316" t="str">
        <f t="shared" si="124"/>
        <v>Support</v>
      </c>
      <c r="AT316" s="32">
        <f t="shared" si="125"/>
        <v>1</v>
      </c>
      <c r="AU316">
        <f>step3_validation[[#This Row],[AI_TRU3]]</f>
        <v>7</v>
      </c>
      <c r="AV316" t="str">
        <f t="shared" si="126"/>
        <v>Neutral</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2</v>
      </c>
      <c r="AZ316">
        <f>step3_validation[[#This Row],[AI_TRU4]]</f>
        <v>8</v>
      </c>
      <c r="BA316" t="str">
        <f t="shared" si="129"/>
        <v>Support</v>
      </c>
      <c r="BB316">
        <f>survey_responses[[#This Row],[Tôi thấy Nhà nước đã giải thích rõ ràng, minh bạch về lý do và mục tiêu của việc sửa đổi thuế lần này. - HUMAN-TRU4]]</f>
        <v>6</v>
      </c>
      <c r="BC316" t="str">
        <f t="shared" si="130"/>
        <v>Neutral</v>
      </c>
      <c r="BD316" s="32">
        <f t="shared" si="131"/>
        <v>2</v>
      </c>
      <c r="BE316">
        <f>step3_validation[[#This Row],[AI_OUT1]]</f>
        <v>9</v>
      </c>
      <c r="BF316" t="str">
        <f t="shared" si="132"/>
        <v>Support</v>
      </c>
      <c r="BG316">
        <f>survey_responses[[#This Row],[Sau khi xem xét các quyền lợi và nghĩa vụ, bạn có ủng hộ và tuân thủ chính sách mới hiện nay? - HUMAN-OUT1]]</f>
        <v>8</v>
      </c>
      <c r="BH316" t="str">
        <f t="shared" si="133"/>
        <v>Support</v>
      </c>
      <c r="BI316" s="32">
        <f t="shared" si="134"/>
        <v>1</v>
      </c>
    </row>
    <row r="317" spans="1:61" x14ac:dyDescent="0.45">
      <c r="A317" s="30">
        <f>step3_validation[[#This Row],[Persona_ID]]</f>
        <v>316</v>
      </c>
      <c r="B317" s="31">
        <f>step3_validation[[#This Row],[Used_Seed]]</f>
        <v>357</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23.151042359194257</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6</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0</v>
      </c>
      <c r="V317">
        <f>step3_validation[[#This Row],[AI_ENF2]]</f>
        <v>7</v>
      </c>
      <c r="W317" t="str">
        <f t="shared" si="111"/>
        <v>Neutral</v>
      </c>
      <c r="X317">
        <f>survey_responses[[#This Row],[Tôi tin rằng Nhà nước, cơ quan thuế có đủ khả năng và công nghệ để phát hiện, xử lý nghiêm các hành vi trốn thuế. - HUMAN-ENF2]]</f>
        <v>8</v>
      </c>
      <c r="Y317" t="str">
        <f t="shared" si="112"/>
        <v>Support</v>
      </c>
      <c r="Z317" s="32">
        <f t="shared" si="113"/>
        <v>1</v>
      </c>
      <c r="AA317">
        <f>step3_validation[[#This Row],[AI_FAC1]]</f>
        <v>9</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4</v>
      </c>
      <c r="AF317">
        <f>step3_validation[[#This Row],[AI_FAC2]]</f>
        <v>9</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3</v>
      </c>
      <c r="AK317">
        <f>step3_validation[[#This Row],[AI_TRU1]]</f>
        <v>7</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1</v>
      </c>
      <c r="AP317">
        <f>step3_validation[[#This Row],[AI_TRU2]]</f>
        <v>8</v>
      </c>
      <c r="AQ317" t="str">
        <f t="shared" si="123"/>
        <v>Support</v>
      </c>
      <c r="AR317">
        <f>survey_responses[[#This Row],[Tôi thấy mức thuế tôi phải đóng theo phương án mới là công bằng (người thu nhập như tôi đóng mức này là hợp lý). - HUMAN-TRU2]]</f>
        <v>7</v>
      </c>
      <c r="AS317" t="str">
        <f t="shared" si="124"/>
        <v>Neutral</v>
      </c>
      <c r="AT317" s="32">
        <f t="shared" si="125"/>
        <v>1</v>
      </c>
      <c r="AU317">
        <f>step3_validation[[#This Row],[AI_TRU3]]</f>
        <v>7</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1</v>
      </c>
      <c r="AZ317">
        <f>step3_validation[[#This Row],[AI_TRU4]]</f>
        <v>6</v>
      </c>
      <c r="BA317" t="str">
        <f t="shared" si="129"/>
        <v>Neutral</v>
      </c>
      <c r="BB317">
        <f>survey_responses[[#This Row],[Tôi thấy Nhà nước đã giải thích rõ ràng, minh bạch về lý do và mục tiêu của việc sửa đổi thuế lần này. - HUMAN-TRU4]]</f>
        <v>7</v>
      </c>
      <c r="BC317" t="str">
        <f t="shared" si="130"/>
        <v>Neutral</v>
      </c>
      <c r="BD317" s="32">
        <f t="shared" si="131"/>
        <v>1</v>
      </c>
      <c r="BE317">
        <f>step3_validation[[#This Row],[AI_OUT1]]</f>
        <v>8</v>
      </c>
      <c r="BF317" t="str">
        <f t="shared" si="132"/>
        <v>Support</v>
      </c>
      <c r="BG317">
        <f>survey_responses[[#This Row],[Sau khi xem xét các quyền lợi và nghĩa vụ, bạn có ủng hộ và tuân thủ chính sách mới hiện nay? - HUMAN-OUT1]]</f>
        <v>7</v>
      </c>
      <c r="BH317" t="str">
        <f t="shared" si="133"/>
        <v>Neutral</v>
      </c>
      <c r="BI317" s="32">
        <f t="shared" si="134"/>
        <v>1</v>
      </c>
    </row>
    <row r="318" spans="1:61" x14ac:dyDescent="0.45">
      <c r="A318" s="30">
        <f>step3_validation[[#This Row],[Persona_ID]]</f>
        <v>317</v>
      </c>
      <c r="B318" s="31">
        <f>step3_validation[[#This Row],[Used_Seed]]</f>
        <v>358</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13.622190609633545</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t="str">
        <f t="shared" si="108"/>
        <v>Support</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1</v>
      </c>
      <c r="V318">
        <f>step3_validation[[#This Row],[AI_ENF2]]</f>
        <v>9</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2">
        <f t="shared" si="113"/>
        <v>2</v>
      </c>
      <c r="AA318">
        <f>step3_validation[[#This Row],[AI_FAC1]]</f>
        <v>8</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3</v>
      </c>
      <c r="AF318">
        <f>step3_validation[[#This Row],[AI_FAC2]]</f>
        <v>9</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1</v>
      </c>
      <c r="AK318">
        <f>step3_validation[[#This Row],[AI_TRU1]]</f>
        <v>8</v>
      </c>
      <c r="AL318" t="str">
        <f t="shared" si="120"/>
        <v>Support</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3</v>
      </c>
      <c r="AP318">
        <f>step3_validation[[#This Row],[AI_TRU2]]</f>
        <v>9</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2">
        <f t="shared" si="125"/>
        <v>1</v>
      </c>
      <c r="AU318">
        <f>step3_validation[[#This Row],[AI_TRU3]]</f>
        <v>8</v>
      </c>
      <c r="AV318" t="str">
        <f t="shared" si="126"/>
        <v>Support</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3</v>
      </c>
      <c r="AZ318">
        <f>step3_validation[[#This Row],[AI_TRU4]]</f>
        <v>9</v>
      </c>
      <c r="BA318" t="str">
        <f t="shared" si="129"/>
        <v>Support</v>
      </c>
      <c r="BB318">
        <f>survey_responses[[#This Row],[Tôi thấy Nhà nước đã giải thích rõ ràng, minh bạch về lý do và mục tiêu của việc sửa đổi thuế lần này. - HUMAN-TRU4]]</f>
        <v>7</v>
      </c>
      <c r="BC318" t="str">
        <f t="shared" si="130"/>
        <v>Neutral</v>
      </c>
      <c r="BD318" s="32">
        <f t="shared" si="131"/>
        <v>2</v>
      </c>
      <c r="BE318">
        <f>step3_validation[[#This Row],[AI_OUT1]]</f>
        <v>8</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0</v>
      </c>
    </row>
    <row r="319" spans="1:61" x14ac:dyDescent="0.45">
      <c r="A319" s="30">
        <f>step3_validation[[#This Row],[Persona_ID]]</f>
        <v>318</v>
      </c>
      <c r="B319" s="31">
        <f>step3_validation[[#This Row],[Used_Seed]]</f>
        <v>359</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21.623019653793847</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8</v>
      </c>
      <c r="R319" t="str">
        <f t="shared" si="108"/>
        <v>Support</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4</v>
      </c>
      <c r="V319">
        <f>step3_validation[[#This Row],[AI_ENF2]]</f>
        <v>9</v>
      </c>
      <c r="W319" t="str">
        <f t="shared" si="111"/>
        <v>Support</v>
      </c>
      <c r="X319">
        <f>survey_responses[[#This Row],[Tôi tin rằng Nhà nước, cơ quan thuế có đủ khả năng và công nghệ để phát hiện, xử lý nghiêm các hành vi trốn thuế. - HUMAN-ENF2]]</f>
        <v>4</v>
      </c>
      <c r="Y319" t="str">
        <f t="shared" si="112"/>
        <v>Oppose</v>
      </c>
      <c r="Z319" s="32">
        <f t="shared" si="113"/>
        <v>5</v>
      </c>
      <c r="AA319">
        <f>step3_validation[[#This Row],[AI_FAC1]]</f>
        <v>7</v>
      </c>
      <c r="AB319" t="str">
        <f t="shared" si="114"/>
        <v>Neutral</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1</v>
      </c>
      <c r="AF319">
        <f>step3_validation[[#This Row],[AI_FAC2]]</f>
        <v>9</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2</v>
      </c>
      <c r="AK319">
        <f>step3_validation[[#This Row],[AI_TRU1]]</f>
        <v>8</v>
      </c>
      <c r="AL319" t="str">
        <f t="shared" si="120"/>
        <v>Support</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3</v>
      </c>
      <c r="AP319">
        <f>step3_validation[[#This Row],[AI_TRU2]]</f>
        <v>9</v>
      </c>
      <c r="AQ319" t="str">
        <f t="shared" si="123"/>
        <v>Support</v>
      </c>
      <c r="AR319">
        <f>survey_responses[[#This Row],[Tôi thấy mức thuế tôi phải đóng theo phương án mới là công bằng (người thu nhập như tôi đóng mức này là hợp lý). - HUMAN-TRU2]]</f>
        <v>8</v>
      </c>
      <c r="AS319" t="str">
        <f t="shared" si="124"/>
        <v>Support</v>
      </c>
      <c r="AT319" s="32">
        <f t="shared" si="125"/>
        <v>1</v>
      </c>
      <c r="AU319">
        <f>step3_validation[[#This Row],[AI_TRU3]]</f>
        <v>8</v>
      </c>
      <c r="AV319" t="str">
        <f t="shared" si="126"/>
        <v>Support</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3</v>
      </c>
      <c r="AZ319">
        <f>step3_validation[[#This Row],[AI_TRU4]]</f>
        <v>9</v>
      </c>
      <c r="BA319" t="str">
        <f t="shared" si="129"/>
        <v>Support</v>
      </c>
      <c r="BB319">
        <f>survey_responses[[#This Row],[Tôi thấy Nhà nước đã giải thích rõ ràng, minh bạch về lý do và mục tiêu của việc sửa đổi thuế lần này. - HUMAN-TRU4]]</f>
        <v>5</v>
      </c>
      <c r="BC319" t="str">
        <f t="shared" si="130"/>
        <v>Neutral</v>
      </c>
      <c r="BD319" s="32">
        <f t="shared" si="131"/>
        <v>4</v>
      </c>
      <c r="BE319">
        <f>step3_validation[[#This Row],[AI_OUT1]]</f>
        <v>9</v>
      </c>
      <c r="BF319" t="str">
        <f t="shared" si="132"/>
        <v>Support</v>
      </c>
      <c r="BG319">
        <f>survey_responses[[#This Row],[Sau khi xem xét các quyền lợi và nghĩa vụ, bạn có ủng hộ và tuân thủ chính sách mới hiện nay? - HUMAN-OUT1]]</f>
        <v>8</v>
      </c>
      <c r="BH319" t="str">
        <f t="shared" si="133"/>
        <v>Support</v>
      </c>
      <c r="BI319" s="32">
        <f t="shared" si="134"/>
        <v>1</v>
      </c>
    </row>
    <row r="320" spans="1:61" x14ac:dyDescent="0.45">
      <c r="A320" s="30">
        <f>step3_validation[[#This Row],[Persona_ID]]</f>
        <v>319</v>
      </c>
      <c r="B320" s="31">
        <f>step3_validation[[#This Row],[Used_Seed]]</f>
        <v>360</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14.393982380616608</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7</v>
      </c>
      <c r="R320" t="str">
        <f t="shared" si="108"/>
        <v>Neutral</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1</v>
      </c>
      <c r="V320">
        <f>step3_validation[[#This Row],[AI_ENF2]]</f>
        <v>6</v>
      </c>
      <c r="W320" t="str">
        <f t="shared" si="111"/>
        <v>Neutral</v>
      </c>
      <c r="X320">
        <f>survey_responses[[#This Row],[Tôi tin rằng Nhà nước, cơ quan thuế có đủ khả năng và công nghệ để phát hiện, xử lý nghiêm các hành vi trốn thuế. - HUMAN-ENF2]]</f>
        <v>8</v>
      </c>
      <c r="Y320" t="str">
        <f t="shared" si="112"/>
        <v>Support</v>
      </c>
      <c r="Z320" s="32">
        <f t="shared" si="113"/>
        <v>2</v>
      </c>
      <c r="AA320">
        <f>step3_validation[[#This Row],[AI_FAC1]]</f>
        <v>9</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1</v>
      </c>
      <c r="AF320">
        <f>step3_validation[[#This Row],[AI_FAC2]]</f>
        <v>9</v>
      </c>
      <c r="AG320" t="str">
        <f t="shared" si="117"/>
        <v>Support</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1</v>
      </c>
      <c r="AK320">
        <f>step3_validation[[#This Row],[AI_TRU1]]</f>
        <v>8</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1</v>
      </c>
      <c r="AP320">
        <f>step3_validation[[#This Row],[AI_TRU2]]</f>
        <v>9</v>
      </c>
      <c r="AQ320" t="str">
        <f t="shared" si="123"/>
        <v>Support</v>
      </c>
      <c r="AR320">
        <f>survey_responses[[#This Row],[Tôi thấy mức thuế tôi phải đóng theo phương án mới là công bằng (người thu nhập như tôi đóng mức này là hợp lý). - HUMAN-TRU2]]</f>
        <v>10</v>
      </c>
      <c r="AS320" t="str">
        <f t="shared" si="124"/>
        <v>Support</v>
      </c>
      <c r="AT320" s="32">
        <f t="shared" si="125"/>
        <v>1</v>
      </c>
      <c r="AU320">
        <f>step3_validation[[#This Row],[AI_TRU3]]</f>
        <v>7</v>
      </c>
      <c r="AV320" t="str">
        <f t="shared" si="126"/>
        <v>Neutral</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1</v>
      </c>
      <c r="AZ320">
        <f>step3_validation[[#This Row],[AI_TRU4]]</f>
        <v>8</v>
      </c>
      <c r="BA320" t="str">
        <f t="shared" si="129"/>
        <v>Support</v>
      </c>
      <c r="BB320">
        <f>survey_responses[[#This Row],[Tôi thấy Nhà nước đã giải thích rõ ràng, minh bạch về lý do và mục tiêu của việc sửa đổi thuế lần này. - HUMAN-TRU4]]</f>
        <v>8</v>
      </c>
      <c r="BC320" t="str">
        <f t="shared" si="130"/>
        <v>Support</v>
      </c>
      <c r="BD320" s="32">
        <f t="shared" si="131"/>
        <v>0</v>
      </c>
      <c r="BE320">
        <f>step3_validation[[#This Row],[AI_OUT1]]</f>
        <v>9</v>
      </c>
      <c r="BF320" t="str">
        <f t="shared" si="132"/>
        <v>Support</v>
      </c>
      <c r="BG320">
        <f>survey_responses[[#This Row],[Sau khi xem xét các quyền lợi và nghĩa vụ, bạn có ủng hộ và tuân thủ chính sách mới hiện nay? - HUMAN-OUT1]]</f>
        <v>10</v>
      </c>
      <c r="BH320" t="str">
        <f t="shared" si="133"/>
        <v>Support</v>
      </c>
      <c r="BI320" s="32">
        <f t="shared" si="134"/>
        <v>1</v>
      </c>
    </row>
    <row r="321" spans="1:61" x14ac:dyDescent="0.45">
      <c r="A321" s="30">
        <f>step3_validation[[#This Row],[Persona_ID]]</f>
        <v>320</v>
      </c>
      <c r="B321" s="31">
        <f>step3_validation[[#This Row],[Used_Seed]]</f>
        <v>361</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26.708093965814665</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6</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1</v>
      </c>
      <c r="V321">
        <f>step3_validation[[#This Row],[AI_ENF2]]</f>
        <v>7</v>
      </c>
      <c r="W321" t="str">
        <f t="shared" si="111"/>
        <v>Neutral</v>
      </c>
      <c r="X321">
        <f>survey_responses[[#This Row],[Tôi tin rằng Nhà nước, cơ quan thuế có đủ khả năng và công nghệ để phát hiện, xử lý nghiêm các hành vi trốn thuế. - HUMAN-ENF2]]</f>
        <v>7</v>
      </c>
      <c r="Y321" t="str">
        <f t="shared" si="112"/>
        <v>Neutral</v>
      </c>
      <c r="Z321" s="32">
        <f t="shared" si="113"/>
        <v>0</v>
      </c>
      <c r="AA321">
        <f>step3_validation[[#This Row],[AI_FAC1]]</f>
        <v>9</v>
      </c>
      <c r="AB321" t="str">
        <f t="shared" si="114"/>
        <v>Support</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2</v>
      </c>
      <c r="AF321">
        <f>step3_validation[[#This Row],[AI_FAC2]]</f>
        <v>8</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1</v>
      </c>
      <c r="AK321">
        <f>step3_validation[[#This Row],[AI_TRU1]]</f>
        <v>7</v>
      </c>
      <c r="AL321" t="str">
        <f t="shared" si="120"/>
        <v>Neutral</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2</v>
      </c>
      <c r="AP321">
        <f>step3_validation[[#This Row],[AI_TRU2]]</f>
        <v>9</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2">
        <f t="shared" si="125"/>
        <v>3</v>
      </c>
      <c r="AU321">
        <f>step3_validation[[#This Row],[AI_TRU3]]</f>
        <v>8</v>
      </c>
      <c r="AV321" t="str">
        <f t="shared" si="126"/>
        <v>Support</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3</v>
      </c>
      <c r="AZ321">
        <f>step3_validation[[#This Row],[AI_TRU4]]</f>
        <v>7</v>
      </c>
      <c r="BA321" t="str">
        <f t="shared" si="129"/>
        <v>Neutral</v>
      </c>
      <c r="BB321">
        <f>survey_responses[[#This Row],[Tôi thấy Nhà nước đã giải thích rõ ràng, minh bạch về lý do và mục tiêu của việc sửa đổi thuế lần này. - HUMAN-TRU4]]</f>
        <v>7</v>
      </c>
      <c r="BC321" t="str">
        <f t="shared" si="130"/>
        <v>Neutral</v>
      </c>
      <c r="BD321" s="32">
        <f t="shared" si="131"/>
        <v>0</v>
      </c>
      <c r="BE321">
        <f>step3_validation[[#This Row],[AI_OUT1]]</f>
        <v>9</v>
      </c>
      <c r="BF321" t="str">
        <f t="shared" si="132"/>
        <v>Support</v>
      </c>
      <c r="BG321">
        <f>survey_responses[[#This Row],[Sau khi xem xét các quyền lợi và nghĩa vụ, bạn có ủng hộ và tuân thủ chính sách mới hiện nay? - HUMAN-OUT1]]</f>
        <v>7</v>
      </c>
      <c r="BH321" t="str">
        <f t="shared" si="133"/>
        <v>Neutral</v>
      </c>
      <c r="BI321" s="32">
        <f t="shared" si="134"/>
        <v>2</v>
      </c>
    </row>
    <row r="322" spans="1:61" x14ac:dyDescent="0.45">
      <c r="A322" s="30">
        <f>step3_validation[[#This Row],[Persona_ID]]</f>
        <v>321</v>
      </c>
      <c r="B322" s="31">
        <f>step3_validation[[#This Row],[Used_Seed]]</f>
        <v>362</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14.498736186192334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6</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2</v>
      </c>
      <c r="V322">
        <f>step3_validation[[#This Row],[AI_ENF2]]</f>
        <v>6</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2</v>
      </c>
      <c r="AA322">
        <f>step3_validation[[#This Row],[AI_FAC1]]</f>
        <v>8</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1</v>
      </c>
      <c r="AF322">
        <f>step3_validation[[#This Row],[AI_FAC2]]</f>
        <v>9</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0</v>
      </c>
      <c r="AK322">
        <f>step3_validation[[#This Row],[AI_TRU1]]</f>
        <v>7</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2</v>
      </c>
      <c r="AP322">
        <f>step3_validation[[#This Row],[AI_TRU2]]</f>
        <v>9</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0</v>
      </c>
      <c r="AU322">
        <f>step3_validation[[#This Row],[AI_TRU3]]</f>
        <v>8</v>
      </c>
      <c r="AV322" t="str">
        <f t="shared" si="126"/>
        <v>Support</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1</v>
      </c>
      <c r="AZ322">
        <f>step3_validation[[#This Row],[AI_TRU4]]</f>
        <v>7</v>
      </c>
      <c r="BA322" t="str">
        <f t="shared" si="129"/>
        <v>Neutral</v>
      </c>
      <c r="BB322">
        <f>survey_responses[[#This Row],[Tôi thấy Nhà nước đã giải thích rõ ràng, minh bạch về lý do và mục tiêu của việc sửa đổi thuế lần này. - HUMAN-TRU4]]</f>
        <v>9</v>
      </c>
      <c r="BC322" t="str">
        <f t="shared" si="130"/>
        <v>Support</v>
      </c>
      <c r="BD322" s="32">
        <f t="shared" si="131"/>
        <v>2</v>
      </c>
      <c r="BE322">
        <f>step3_validation[[#This Row],[AI_OUT1]]</f>
        <v>9</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0</v>
      </c>
    </row>
    <row r="323" spans="1:61" x14ac:dyDescent="0.45">
      <c r="A323" s="30">
        <f>step3_validation[[#This Row],[Persona_ID]]</f>
        <v>322</v>
      </c>
      <c r="B323" s="31">
        <f>step3_validation[[#This Row],[Used_Seed]]</f>
        <v>363</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24.581841060527552</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2</v>
      </c>
      <c r="V323">
        <f>step3_validation[[#This Row],[AI_ENF2]]</f>
        <v>8</v>
      </c>
      <c r="W323" t="str">
        <f t="shared" ref="W323:W386" si="138">IF(AND(V323&gt;=1,V323&lt;5),"Oppose",IF(AND(V323&gt;=5,V323&lt;8),"Neutral",IF(AND(V323&gt;=8,V323&lt;=10),"Support","")))</f>
        <v>Support</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3</v>
      </c>
      <c r="AA323">
        <f>step3_validation[[#This Row],[AI_FAC1]]</f>
        <v>6</v>
      </c>
      <c r="AB323" t="str">
        <f t="shared" ref="AB323:AB386" si="141">IF(AND(AA323&gt;=1,AA323&lt;5),"Oppose",IF(AND(AA323&gt;=5,AA323&lt;8),"Neutral",IF(AND(AA323&gt;=8,AA323&lt;=10),"Support","")))</f>
        <v>Neutral</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1</v>
      </c>
      <c r="AF323">
        <f>step3_validation[[#This Row],[AI_FAC2]]</f>
        <v>9</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2</v>
      </c>
      <c r="AK323">
        <f>step3_validation[[#This Row],[AI_TRU1]]</f>
        <v>8</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3</v>
      </c>
      <c r="AP323">
        <f>step3_validation[[#This Row],[AI_TRU2]]</f>
        <v>9</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2</v>
      </c>
      <c r="AU323">
        <f>step3_validation[[#This Row],[AI_TRU3]]</f>
        <v>8</v>
      </c>
      <c r="AV323" t="str">
        <f t="shared" ref="AV323:AV386" si="153">IF(AND(AU323&gt;=1,AU323&lt;5),"Oppose",IF(AND(AU323&gt;=5,AU323&lt;8),"Neutral",IF(AND(AU323&gt;=8,AU323&lt;=10),"Support","")))</f>
        <v>Support</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3</v>
      </c>
      <c r="AZ323">
        <f>step3_validation[[#This Row],[AI_TRU4]]</f>
        <v>7</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2</v>
      </c>
      <c r="BE323">
        <f>step3_validation[[#This Row],[AI_OUT1]]</f>
        <v>9</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2</v>
      </c>
    </row>
    <row r="324" spans="1:61" x14ac:dyDescent="0.45">
      <c r="A324" s="30">
        <f>step3_validation[[#This Row],[Persona_ID]]</f>
        <v>323</v>
      </c>
      <c r="B324" s="31">
        <f>step3_validation[[#This Row],[Used_Seed]]</f>
        <v>364</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25.254576399845785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6</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1</v>
      </c>
      <c r="V324">
        <f>step3_validation[[#This Row],[AI_ENF2]]</f>
        <v>8</v>
      </c>
      <c r="W324" t="str">
        <f t="shared" si="138"/>
        <v>Support</v>
      </c>
      <c r="X324">
        <f>survey_responses[[#This Row],[Tôi tin rằng Nhà nước, cơ quan thuế có đủ khả năng và công nghệ để phát hiện, xử lý nghiêm các hành vi trốn thuế. - HUMAN-ENF2]]</f>
        <v>7</v>
      </c>
      <c r="Y324" t="str">
        <f t="shared" si="139"/>
        <v>Neutral</v>
      </c>
      <c r="Z324" s="32">
        <f t="shared" si="140"/>
        <v>1</v>
      </c>
      <c r="AA324">
        <f>step3_validation[[#This Row],[AI_FAC1]]</f>
        <v>9</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1</v>
      </c>
      <c r="AF324">
        <f>step3_validation[[#This Row],[AI_FAC2]]</f>
        <v>9</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1</v>
      </c>
      <c r="AK324">
        <f>step3_validation[[#This Row],[AI_TRU1]]</f>
        <v>7</v>
      </c>
      <c r="AL324" t="str">
        <f t="shared" si="147"/>
        <v>Neutral</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1</v>
      </c>
      <c r="AP324">
        <f>step3_validation[[#This Row],[AI_TRU2]]</f>
        <v>9</v>
      </c>
      <c r="AQ324" t="str">
        <f t="shared" si="150"/>
        <v>Support</v>
      </c>
      <c r="AR324">
        <f>survey_responses[[#This Row],[Tôi thấy mức thuế tôi phải đóng theo phương án mới là công bằng (người thu nhập như tôi đóng mức này là hợp lý). - HUMAN-TRU2]]</f>
        <v>7</v>
      </c>
      <c r="AS324" t="str">
        <f t="shared" si="151"/>
        <v>Neutral</v>
      </c>
      <c r="AT324" s="32">
        <f t="shared" si="152"/>
        <v>2</v>
      </c>
      <c r="AU324">
        <f>step3_validation[[#This Row],[AI_TRU3]]</f>
        <v>8</v>
      </c>
      <c r="AV324" t="str">
        <f t="shared" si="153"/>
        <v>Support</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2</v>
      </c>
      <c r="AZ324">
        <f>step3_validation[[#This Row],[AI_TRU4]]</f>
        <v>9</v>
      </c>
      <c r="BA324" t="str">
        <f t="shared" si="156"/>
        <v>Support</v>
      </c>
      <c r="BB324">
        <f>survey_responses[[#This Row],[Tôi thấy Nhà nước đã giải thích rõ ràng, minh bạch về lý do và mục tiêu của việc sửa đổi thuế lần này. - HUMAN-TRU4]]</f>
        <v>7</v>
      </c>
      <c r="BC324" t="str">
        <f t="shared" si="157"/>
        <v>Neutral</v>
      </c>
      <c r="BD324" s="32">
        <f t="shared" si="158"/>
        <v>2</v>
      </c>
      <c r="BE324">
        <f>step3_validation[[#This Row],[AI_OUT1]]</f>
        <v>8</v>
      </c>
      <c r="BF324" t="str">
        <f t="shared" si="159"/>
        <v>Support</v>
      </c>
      <c r="BG324">
        <f>survey_responses[[#This Row],[Sau khi xem xét các quyền lợi và nghĩa vụ, bạn có ủng hộ và tuân thủ chính sách mới hiện nay? - HUMAN-OUT1]]</f>
        <v>7</v>
      </c>
      <c r="BH324" t="str">
        <f t="shared" si="160"/>
        <v>Neutral</v>
      </c>
      <c r="BI324" s="32">
        <f t="shared" si="161"/>
        <v>1</v>
      </c>
    </row>
    <row r="325" spans="1:61" x14ac:dyDescent="0.45">
      <c r="A325" s="30">
        <f>step3_validation[[#This Row],[Persona_ID]]</f>
        <v>324</v>
      </c>
      <c r="B325" s="31">
        <f>step3_validation[[#This Row],[Used_Seed]]</f>
        <v>365</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6</v>
      </c>
      <c r="W325" t="str">
        <f t="shared" si="138"/>
        <v>Neutral</v>
      </c>
      <c r="X325">
        <f>survey_responses[[#This Row],[Tôi tin rằng Nhà nước, cơ quan thuế có đủ khả năng và công nghệ để phát hiện, xử lý nghiêm các hành vi trốn thuế. - HUMAN-ENF2]]</f>
        <v>7</v>
      </c>
      <c r="Y325" t="str">
        <f t="shared" si="139"/>
        <v>Neutral</v>
      </c>
      <c r="Z325" s="32">
        <f t="shared" si="140"/>
        <v>1</v>
      </c>
      <c r="AA325">
        <f>step3_validation[[#This Row],[AI_FAC1]]</f>
        <v>8</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3</v>
      </c>
      <c r="AF325">
        <f>step3_validation[[#This Row],[AI_FAC2]]</f>
        <v>9</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2</v>
      </c>
      <c r="AK325">
        <f>step3_validation[[#This Row],[AI_TRU1]]</f>
        <v>7</v>
      </c>
      <c r="AL325" t="str">
        <f t="shared" si="147"/>
        <v>Neutral</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0</v>
      </c>
      <c r="AP325">
        <f>step3_validation[[#This Row],[AI_TRU2]]</f>
        <v>8</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1</v>
      </c>
      <c r="AU325">
        <f>step3_validation[[#This Row],[AI_TRU3]]</f>
        <v>7</v>
      </c>
      <c r="AV325" t="str">
        <f t="shared" si="153"/>
        <v>Neutral</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2</v>
      </c>
      <c r="AZ325">
        <f>step3_validation[[#This Row],[AI_TRU4]]</f>
        <v>8</v>
      </c>
      <c r="BA325" t="str">
        <f t="shared" si="156"/>
        <v>Support</v>
      </c>
      <c r="BB325">
        <f>survey_responses[[#This Row],[Tôi thấy Nhà nước đã giải thích rõ ràng, minh bạch về lý do và mục tiêu của việc sửa đổi thuế lần này. - HUMAN-TRU4]]</f>
        <v>5</v>
      </c>
      <c r="BC325" t="str">
        <f t="shared" si="157"/>
        <v>Neutral</v>
      </c>
      <c r="BD325" s="32">
        <f t="shared" si="158"/>
        <v>3</v>
      </c>
      <c r="BE325">
        <f>step3_validation[[#This Row],[AI_OUT1]]</f>
        <v>9</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1</v>
      </c>
    </row>
    <row r="326" spans="1:61" x14ac:dyDescent="0.45">
      <c r="A326" s="30">
        <f>step3_validation[[#This Row],[Persona_ID]]</f>
        <v>325</v>
      </c>
      <c r="B326" s="31">
        <f>step3_validation[[#This Row],[Used_Seed]]</f>
        <v>366</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37.765270489529698</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7</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5</v>
      </c>
      <c r="V326">
        <f>step3_validation[[#This Row],[AI_ENF2]]</f>
        <v>6</v>
      </c>
      <c r="W326" t="str">
        <f t="shared" si="138"/>
        <v>Neutral</v>
      </c>
      <c r="X326">
        <f>survey_responses[[#This Row],[Tôi tin rằng Nhà nước, cơ quan thuế có đủ khả năng và công nghệ để phát hiện, xử lý nghiêm các hành vi trốn thuế. - HUMAN-ENF2]]</f>
        <v>2</v>
      </c>
      <c r="Y326" t="str">
        <f t="shared" si="139"/>
        <v>Oppose</v>
      </c>
      <c r="Z326" s="32">
        <f t="shared" si="140"/>
        <v>4</v>
      </c>
      <c r="AA326">
        <f>step3_validation[[#This Row],[AI_FAC1]]</f>
        <v>9</v>
      </c>
      <c r="AB326" t="str">
        <f t="shared" si="141"/>
        <v>Support</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3</v>
      </c>
      <c r="AF326">
        <f>step3_validation[[#This Row],[AI_FAC2]]</f>
        <v>10</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3</v>
      </c>
      <c r="AK326">
        <f>step3_validation[[#This Row],[AI_TRU1]]</f>
        <v>8</v>
      </c>
      <c r="AL326" t="str">
        <f t="shared" si="147"/>
        <v>Support</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6</v>
      </c>
      <c r="AP326">
        <f>step3_validation[[#This Row],[AI_TRU2]]</f>
        <v>9</v>
      </c>
      <c r="AQ326" t="str">
        <f t="shared" si="150"/>
        <v>Support</v>
      </c>
      <c r="AR326">
        <f>survey_responses[[#This Row],[Tôi thấy mức thuế tôi phải đóng theo phương án mới là công bằng (người thu nhập như tôi đóng mức này là hợp lý). - HUMAN-TRU2]]</f>
        <v>5</v>
      </c>
      <c r="AS326" t="str">
        <f t="shared" si="151"/>
        <v>Neutral</v>
      </c>
      <c r="AT326" s="32">
        <f t="shared" si="152"/>
        <v>4</v>
      </c>
      <c r="AU326">
        <f>step3_validation[[#This Row],[AI_TRU3]]</f>
        <v>8</v>
      </c>
      <c r="AV326" t="str">
        <f t="shared" si="153"/>
        <v>Support</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3</v>
      </c>
      <c r="AZ326">
        <f>step3_validation[[#This Row],[AI_TRU4]]</f>
        <v>9</v>
      </c>
      <c r="BA326" t="str">
        <f t="shared" si="156"/>
        <v>Support</v>
      </c>
      <c r="BB326">
        <f>survey_responses[[#This Row],[Tôi thấy Nhà nước đã giải thích rõ ràng, minh bạch về lý do và mục tiêu của việc sửa đổi thuế lần này. - HUMAN-TRU4]]</f>
        <v>6</v>
      </c>
      <c r="BC326" t="str">
        <f t="shared" si="157"/>
        <v>Neutral</v>
      </c>
      <c r="BD326" s="32">
        <f t="shared" si="158"/>
        <v>3</v>
      </c>
      <c r="BE326">
        <f>step3_validation[[#This Row],[AI_OUT1]]</f>
        <v>10</v>
      </c>
      <c r="BF326" t="str">
        <f t="shared" si="159"/>
        <v>Support</v>
      </c>
      <c r="BG326">
        <f>survey_responses[[#This Row],[Sau khi xem xét các quyền lợi và nghĩa vụ, bạn có ủng hộ và tuân thủ chính sách mới hiện nay? - HUMAN-OUT1]]</f>
        <v>5</v>
      </c>
      <c r="BH326" t="str">
        <f t="shared" si="160"/>
        <v>Neutral</v>
      </c>
      <c r="BI326" s="32">
        <f t="shared" si="161"/>
        <v>5</v>
      </c>
    </row>
    <row r="327" spans="1:61" x14ac:dyDescent="0.45">
      <c r="A327" s="30">
        <f>step3_validation[[#This Row],[Persona_ID]]</f>
        <v>326</v>
      </c>
      <c r="B327" s="31">
        <f>step3_validation[[#This Row],[Used_Seed]]</f>
        <v>367</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50.484651179719123</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6</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2</v>
      </c>
      <c r="V327">
        <f>step3_validation[[#This Row],[AI_ENF2]]</f>
        <v>7</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2">
        <f t="shared" si="140"/>
        <v>2</v>
      </c>
      <c r="AA327">
        <f>step3_validation[[#This Row],[AI_FAC1]]</f>
        <v>6</v>
      </c>
      <c r="AB327" t="str">
        <f t="shared" si="141"/>
        <v>Neutral</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3</v>
      </c>
      <c r="AF327">
        <f>step3_validation[[#This Row],[AI_FAC2]]</f>
        <v>7</v>
      </c>
      <c r="AG327" t="str">
        <f t="shared" si="144"/>
        <v>Neutral</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3</v>
      </c>
      <c r="AK327">
        <f>step3_validation[[#This Row],[AI_TRU1]]</f>
        <v>6</v>
      </c>
      <c r="AL327" t="str">
        <f t="shared" si="147"/>
        <v>Neutral</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2</v>
      </c>
      <c r="AP327">
        <f>step3_validation[[#This Row],[AI_TRU2]]</f>
        <v>7</v>
      </c>
      <c r="AQ327" t="str">
        <f t="shared" si="150"/>
        <v>Neutral</v>
      </c>
      <c r="AR327">
        <f>survey_responses[[#This Row],[Tôi thấy mức thuế tôi phải đóng theo phương án mới là công bằng (người thu nhập như tôi đóng mức này là hợp lý). - HUMAN-TRU2]]</f>
        <v>10</v>
      </c>
      <c r="AS327" t="str">
        <f t="shared" si="151"/>
        <v>Support</v>
      </c>
      <c r="AT327" s="32">
        <f t="shared" si="152"/>
        <v>3</v>
      </c>
      <c r="AU327">
        <f>step3_validation[[#This Row],[AI_TRU3]]</f>
        <v>6</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3</v>
      </c>
      <c r="AZ327">
        <f>step3_validation[[#This Row],[AI_TRU4]]</f>
        <v>7</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2</v>
      </c>
      <c r="BE327">
        <f>step3_validation[[#This Row],[AI_OUT1]]</f>
        <v>6</v>
      </c>
      <c r="BF327" t="str">
        <f t="shared" si="159"/>
        <v>Neutral</v>
      </c>
      <c r="BG327">
        <f>survey_responses[[#This Row],[Sau khi xem xét các quyền lợi và nghĩa vụ, bạn có ủng hộ và tuân thủ chính sách mới hiện nay? - HUMAN-OUT1]]</f>
        <v>10</v>
      </c>
      <c r="BH327" t="str">
        <f t="shared" si="160"/>
        <v>Support</v>
      </c>
      <c r="BI327" s="32">
        <f t="shared" si="161"/>
        <v>4</v>
      </c>
    </row>
    <row r="328" spans="1:61" x14ac:dyDescent="0.45">
      <c r="A328" s="30">
        <f>step3_validation[[#This Row],[Persona_ID]]</f>
        <v>327</v>
      </c>
      <c r="B328" s="31">
        <f>step3_validation[[#This Row],[Used_Seed]]</f>
        <v>368</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21.137777265822383</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6</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1</v>
      </c>
      <c r="V328">
        <f>step3_validation[[#This Row],[AI_ENF2]]</f>
        <v>7</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0</v>
      </c>
      <c r="AA328">
        <f>step3_validation[[#This Row],[AI_FAC1]]</f>
        <v>8</v>
      </c>
      <c r="AB328" t="str">
        <f t="shared" si="141"/>
        <v>Support</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1</v>
      </c>
      <c r="AF328">
        <f>step3_validation[[#This Row],[AI_FAC2]]</f>
        <v>9</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0</v>
      </c>
      <c r="AK328">
        <f>step3_validation[[#This Row],[AI_TRU1]]</f>
        <v>7</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0</v>
      </c>
      <c r="AP328">
        <f>step3_validation[[#This Row],[AI_TRU2]]</f>
        <v>9</v>
      </c>
      <c r="AQ328" t="str">
        <f t="shared" si="150"/>
        <v>Support</v>
      </c>
      <c r="AR328">
        <f>survey_responses[[#This Row],[Tôi thấy mức thuế tôi phải đóng theo phương án mới là công bằng (người thu nhập như tôi đóng mức này là hợp lý). - HUMAN-TRU2]]</f>
        <v>8</v>
      </c>
      <c r="AS328" t="str">
        <f t="shared" si="151"/>
        <v>Support</v>
      </c>
      <c r="AT328" s="32">
        <f t="shared" si="152"/>
        <v>1</v>
      </c>
      <c r="AU328">
        <f>step3_validation[[#This Row],[AI_TRU3]]</f>
        <v>8</v>
      </c>
      <c r="AV328" t="str">
        <f t="shared" si="153"/>
        <v>Support</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3</v>
      </c>
      <c r="AZ328">
        <f>step3_validation[[#This Row],[AI_TRU4]]</f>
        <v>7</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0</v>
      </c>
      <c r="BE328">
        <f>step3_validation[[#This Row],[AI_OUT1]]</f>
        <v>9</v>
      </c>
      <c r="BF328" t="str">
        <f t="shared" si="159"/>
        <v>Support</v>
      </c>
      <c r="BG328">
        <f>survey_responses[[#This Row],[Sau khi xem xét các quyền lợi và nghĩa vụ, bạn có ủng hộ và tuân thủ chính sách mới hiện nay? - HUMAN-OUT1]]</f>
        <v>8</v>
      </c>
      <c r="BH328" t="str">
        <f t="shared" si="160"/>
        <v>Support</v>
      </c>
      <c r="BI328" s="32">
        <f t="shared" si="161"/>
        <v>1</v>
      </c>
    </row>
    <row r="329" spans="1:61" x14ac:dyDescent="0.45">
      <c r="A329" s="30">
        <f>step3_validation[[#This Row],[Persona_ID]]</f>
        <v>328</v>
      </c>
      <c r="B329" s="31">
        <f>step3_validation[[#This Row],[Used_Seed]]</f>
        <v>369</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86.712170908790966</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9</v>
      </c>
      <c r="R329" t="str">
        <f t="shared" si="135"/>
        <v>Support</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2</v>
      </c>
      <c r="V329">
        <f>step3_validation[[#This Row],[AI_ENF2]]</f>
        <v>8</v>
      </c>
      <c r="W329" t="str">
        <f t="shared" si="138"/>
        <v>Support</v>
      </c>
      <c r="X329">
        <f>survey_responses[[#This Row],[Tôi tin rằng Nhà nước, cơ quan thuế có đủ khả năng và công nghệ để phát hiện, xử lý nghiêm các hành vi trốn thuế. - HUMAN-ENF2]]</f>
        <v>8</v>
      </c>
      <c r="Y329" t="str">
        <f t="shared" si="139"/>
        <v>Support</v>
      </c>
      <c r="Z329" s="32">
        <f t="shared" si="140"/>
        <v>0</v>
      </c>
      <c r="AA329">
        <f>step3_validation[[#This Row],[AI_FAC1]]</f>
        <v>9</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0</v>
      </c>
      <c r="AF329">
        <f>step3_validation[[#This Row],[AI_FAC2]]</f>
        <v>10</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1</v>
      </c>
      <c r="AK329">
        <f>step3_validation[[#This Row],[AI_TRU1]]</f>
        <v>8</v>
      </c>
      <c r="AL329" t="str">
        <f t="shared" si="147"/>
        <v>Support</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1</v>
      </c>
      <c r="AP329">
        <f>step3_validation[[#This Row],[AI_TRU2]]</f>
        <v>9</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2">
        <f t="shared" si="152"/>
        <v>1</v>
      </c>
      <c r="AU329">
        <f>step3_validation[[#This Row],[AI_TRU3]]</f>
        <v>8</v>
      </c>
      <c r="AV329" t="str">
        <f t="shared" si="153"/>
        <v>Support</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1</v>
      </c>
      <c r="AZ329">
        <f>step3_validation[[#This Row],[AI_TRU4]]</f>
        <v>9</v>
      </c>
      <c r="BA329" t="str">
        <f t="shared" si="156"/>
        <v>Support</v>
      </c>
      <c r="BB329">
        <f>survey_responses[[#This Row],[Tôi thấy Nhà nước đã giải thích rõ ràng, minh bạch về lý do và mục tiêu của việc sửa đổi thuế lần này. - HUMAN-TRU4]]</f>
        <v>7</v>
      </c>
      <c r="BC329" t="str">
        <f t="shared" si="157"/>
        <v>Neutral</v>
      </c>
      <c r="BD329" s="32">
        <f t="shared" si="158"/>
        <v>2</v>
      </c>
      <c r="BE329">
        <f>step3_validation[[#This Row],[AI_OUT1]]</f>
        <v>8</v>
      </c>
      <c r="BF329" t="str">
        <f t="shared" si="159"/>
        <v>Support</v>
      </c>
      <c r="BG329">
        <f>survey_responses[[#This Row],[Sau khi xem xét các quyền lợi và nghĩa vụ, bạn có ủng hộ và tuân thủ chính sách mới hiện nay? - HUMAN-OUT1]]</f>
        <v>9</v>
      </c>
      <c r="BH329" t="str">
        <f t="shared" si="160"/>
        <v>Support</v>
      </c>
      <c r="BI329" s="32">
        <f t="shared" si="161"/>
        <v>1</v>
      </c>
    </row>
    <row r="330" spans="1:61" x14ac:dyDescent="0.45">
      <c r="A330" s="30">
        <f>step3_validation[[#This Row],[Persona_ID]]</f>
        <v>329</v>
      </c>
      <c r="B330" s="31">
        <f>step3_validation[[#This Row],[Used_Seed]]</f>
        <v>370</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13.163817633558187</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8</v>
      </c>
      <c r="R330" t="str">
        <f t="shared" si="135"/>
        <v>Support</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1</v>
      </c>
      <c r="V330">
        <f>step3_validation[[#This Row],[AI_ENF2]]</f>
        <v>9</v>
      </c>
      <c r="W330" t="str">
        <f t="shared" si="138"/>
        <v>Support</v>
      </c>
      <c r="X330">
        <f>survey_responses[[#This Row],[Tôi tin rằng Nhà nước, cơ quan thuế có đủ khả năng và công nghệ để phát hiện, xử lý nghiêm các hành vi trốn thuế. - HUMAN-ENF2]]</f>
        <v>7</v>
      </c>
      <c r="Y330" t="str">
        <f t="shared" si="139"/>
        <v>Neutral</v>
      </c>
      <c r="Z330" s="32">
        <f t="shared" si="140"/>
        <v>2</v>
      </c>
      <c r="AA330">
        <f>step3_validation[[#This Row],[AI_FAC1]]</f>
        <v>8</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1</v>
      </c>
      <c r="AF330">
        <f>step3_validation[[#This Row],[AI_FAC2]]</f>
        <v>9</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0</v>
      </c>
      <c r="AK330">
        <f>step3_validation[[#This Row],[AI_TRU1]]</f>
        <v>8</v>
      </c>
      <c r="AL330" t="str">
        <f t="shared" si="147"/>
        <v>Support</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1</v>
      </c>
      <c r="AP330">
        <f>step3_validation[[#This Row],[AI_TRU2]]</f>
        <v>9</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0</v>
      </c>
      <c r="AU330">
        <f>step3_validation[[#This Row],[AI_TRU3]]</f>
        <v>8</v>
      </c>
      <c r="AV330" t="str">
        <f t="shared" si="153"/>
        <v>Support</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3</v>
      </c>
      <c r="AZ330">
        <f>step3_validation[[#This Row],[AI_TRU4]]</f>
        <v>9</v>
      </c>
      <c r="BA330" t="str">
        <f t="shared" si="156"/>
        <v>Support</v>
      </c>
      <c r="BB330">
        <f>survey_responses[[#This Row],[Tôi thấy Nhà nước đã giải thích rõ ràng, minh bạch về lý do và mục tiêu của việc sửa đổi thuế lần này. - HUMAN-TRU4]]</f>
        <v>6</v>
      </c>
      <c r="BC330" t="str">
        <f t="shared" si="157"/>
        <v>Neutral</v>
      </c>
      <c r="BD330" s="32">
        <f t="shared" si="158"/>
        <v>3</v>
      </c>
      <c r="BE330">
        <f>step3_validation[[#This Row],[AI_OUT1]]</f>
        <v>9</v>
      </c>
      <c r="BF330" t="str">
        <f t="shared" si="159"/>
        <v>Support</v>
      </c>
      <c r="BG330">
        <f>survey_responses[[#This Row],[Sau khi xem xét các quyền lợi và nghĩa vụ, bạn có ủng hộ và tuân thủ chính sách mới hiện nay? - HUMAN-OUT1]]</f>
        <v>9</v>
      </c>
      <c r="BH330" t="str">
        <f t="shared" si="160"/>
        <v>Support</v>
      </c>
      <c r="BI330" s="32">
        <f t="shared" si="161"/>
        <v>0</v>
      </c>
    </row>
    <row r="331" spans="1:61" x14ac:dyDescent="0.45">
      <c r="A331" s="30">
        <f>step3_validation[[#This Row],[Persona_ID]]</f>
        <v>330</v>
      </c>
      <c r="B331" s="31">
        <f>step3_validation[[#This Row],[Used_Seed]]</f>
        <v>371</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15.081158510371475</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4</v>
      </c>
      <c r="V331">
        <f>step3_validation[[#This Row],[AI_ENF2]]</f>
        <v>8</v>
      </c>
      <c r="W331" t="str">
        <f t="shared" si="138"/>
        <v>Support</v>
      </c>
      <c r="X331">
        <f>survey_responses[[#This Row],[Tôi tin rằng Nhà nước, cơ quan thuế có đủ khả năng và công nghệ để phát hiện, xử lý nghiêm các hành vi trốn thuế. - HUMAN-ENF2]]</f>
        <v>3</v>
      </c>
      <c r="Y331" t="str">
        <f t="shared" si="139"/>
        <v>Oppose</v>
      </c>
      <c r="Z331" s="32">
        <f t="shared" si="140"/>
        <v>5</v>
      </c>
      <c r="AA331">
        <f>step3_validation[[#This Row],[AI_FAC1]]</f>
        <v>9</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4</v>
      </c>
      <c r="AF331">
        <f>step3_validation[[#This Row],[AI_FAC2]]</f>
        <v>10</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4</v>
      </c>
      <c r="AK331">
        <f>step3_validation[[#This Row],[AI_TRU1]]</f>
        <v>9</v>
      </c>
      <c r="AL331" t="str">
        <f t="shared" si="147"/>
        <v>Support</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5</v>
      </c>
      <c r="AP331">
        <f>step3_validation[[#This Row],[AI_TRU2]]</f>
        <v>9</v>
      </c>
      <c r="AQ331" t="str">
        <f t="shared" si="150"/>
        <v>Support</v>
      </c>
      <c r="AR331">
        <f>survey_responses[[#This Row],[Tôi thấy mức thuế tôi phải đóng theo phương án mới là công bằng (người thu nhập như tôi đóng mức này là hợp lý). - HUMAN-TRU2]]</f>
        <v>5</v>
      </c>
      <c r="AS331" t="str">
        <f t="shared" si="151"/>
        <v>Neutral</v>
      </c>
      <c r="AT331" s="32">
        <f t="shared" si="152"/>
        <v>4</v>
      </c>
      <c r="AU331">
        <f>step3_validation[[#This Row],[AI_TRU3]]</f>
        <v>8</v>
      </c>
      <c r="AV331" t="str">
        <f t="shared" si="153"/>
        <v>Support</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3</v>
      </c>
      <c r="AZ331">
        <f>step3_validation[[#This Row],[AI_TRU4]]</f>
        <v>9</v>
      </c>
      <c r="BA331" t="str">
        <f t="shared" si="156"/>
        <v>Support</v>
      </c>
      <c r="BB331">
        <f>survey_responses[[#This Row],[Tôi thấy Nhà nước đã giải thích rõ ràng, minh bạch về lý do và mục tiêu của việc sửa đổi thuế lần này. - HUMAN-TRU4]]</f>
        <v>5</v>
      </c>
      <c r="BC331" t="str">
        <f t="shared" si="157"/>
        <v>Neutral</v>
      </c>
      <c r="BD331" s="32">
        <f t="shared" si="158"/>
        <v>4</v>
      </c>
      <c r="BE331">
        <f>step3_validation[[#This Row],[AI_OUT1]]</f>
        <v>9</v>
      </c>
      <c r="BF331" t="str">
        <f t="shared" si="159"/>
        <v>Support</v>
      </c>
      <c r="BG331">
        <f>survey_responses[[#This Row],[Sau khi xem xét các quyền lợi và nghĩa vụ, bạn có ủng hộ và tuân thủ chính sách mới hiện nay? - HUMAN-OUT1]]</f>
        <v>5</v>
      </c>
      <c r="BH331" t="str">
        <f t="shared" si="160"/>
        <v>Neutral</v>
      </c>
      <c r="BI331" s="32">
        <f t="shared" si="161"/>
        <v>4</v>
      </c>
    </row>
    <row r="332" spans="1:61" x14ac:dyDescent="0.45">
      <c r="A332" s="30">
        <f>step3_validation[[#This Row],[Persona_ID]]</f>
        <v>331</v>
      </c>
      <c r="B332" s="31">
        <f>step3_validation[[#This Row],[Used_Seed]]</f>
        <v>372</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28.060003082582007</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t="str">
        <f t="shared" si="135"/>
        <v>Support</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4</v>
      </c>
      <c r="V332">
        <f>step3_validation[[#This Row],[AI_ENF2]]</f>
        <v>9</v>
      </c>
      <c r="W332" t="str">
        <f t="shared" si="138"/>
        <v>Support</v>
      </c>
      <c r="X332">
        <f>survey_responses[[#This Row],[Tôi tin rằng Nhà nước, cơ quan thuế có đủ khả năng và công nghệ để phát hiện, xử lý nghiêm các hành vi trốn thuế. - HUMAN-ENF2]]</f>
        <v>4</v>
      </c>
      <c r="Y332" t="str">
        <f t="shared" si="139"/>
        <v>Oppose</v>
      </c>
      <c r="Z332" s="32">
        <f t="shared" si="140"/>
        <v>5</v>
      </c>
      <c r="AA332">
        <f>step3_validation[[#This Row],[AI_FAC1]]</f>
        <v>7</v>
      </c>
      <c r="AB332" t="str">
        <f t="shared" si="141"/>
        <v>Neutral</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2</v>
      </c>
      <c r="AF332">
        <f>step3_validation[[#This Row],[AI_FAC2]]</f>
        <v>9</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3</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9</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2">
        <f t="shared" si="152"/>
        <v>4</v>
      </c>
      <c r="AU332">
        <f>step3_validation[[#This Row],[AI_TRU3]]</f>
        <v>8</v>
      </c>
      <c r="AV332" t="str">
        <f t="shared" si="153"/>
        <v>Support</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5</v>
      </c>
      <c r="AZ332">
        <f>step3_validation[[#This Row],[AI_TRU4]]</f>
        <v>7</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2">
        <f t="shared" si="158"/>
        <v>3</v>
      </c>
      <c r="BE332">
        <f>step3_validation[[#This Row],[AI_OUT1]]</f>
        <v>9</v>
      </c>
      <c r="BF332" t="str">
        <f t="shared" si="159"/>
        <v>Support</v>
      </c>
      <c r="BG332">
        <f>survey_responses[[#This Row],[Sau khi xem xét các quyền lợi và nghĩa vụ, bạn có ủng hộ và tuân thủ chính sách mới hiện nay? - HUMAN-OUT1]]</f>
        <v>5</v>
      </c>
      <c r="BH332" t="str">
        <f t="shared" si="160"/>
        <v>Neutral</v>
      </c>
      <c r="BI332" s="32">
        <f t="shared" si="161"/>
        <v>4</v>
      </c>
    </row>
    <row r="333" spans="1:61" x14ac:dyDescent="0.45">
      <c r="A333" s="30">
        <f>step3_validation[[#This Row],[Persona_ID]]</f>
        <v>332</v>
      </c>
      <c r="B333" s="31">
        <f>step3_validation[[#This Row],[Used_Seed]]</f>
        <v>373</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19.229504179534565</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6</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1</v>
      </c>
      <c r="V333">
        <f>step3_validation[[#This Row],[AI_ENF2]]</f>
        <v>6</v>
      </c>
      <c r="W333" t="str">
        <f t="shared" si="138"/>
        <v>Neutral</v>
      </c>
      <c r="X333">
        <f>survey_responses[[#This Row],[Tôi tin rằng Nhà nước, cơ quan thuế có đủ khả năng và công nghệ để phát hiện, xử lý nghiêm các hành vi trốn thuế. - HUMAN-ENF2]]</f>
        <v>7</v>
      </c>
      <c r="Y333" t="str">
        <f t="shared" si="139"/>
        <v>Neutral</v>
      </c>
      <c r="Z333" s="32">
        <f t="shared" si="140"/>
        <v>1</v>
      </c>
      <c r="AA333">
        <f>step3_validation[[#This Row],[AI_FAC1]]</f>
        <v>7</v>
      </c>
      <c r="AB333" t="str">
        <f t="shared" si="141"/>
        <v>Neutral</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2</v>
      </c>
      <c r="AF333">
        <f>step3_validation[[#This Row],[AI_FAC2]]</f>
        <v>8</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1</v>
      </c>
      <c r="AK333">
        <f>step3_validation[[#This Row],[AI_TRU1]]</f>
        <v>6</v>
      </c>
      <c r="AL333" t="str">
        <f t="shared" si="147"/>
        <v>Neutral</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2</v>
      </c>
      <c r="AP333">
        <f>step3_validation[[#This Row],[AI_TRU2]]</f>
        <v>8</v>
      </c>
      <c r="AQ333" t="str">
        <f t="shared" si="150"/>
        <v>Support</v>
      </c>
      <c r="AR333">
        <f>survey_responses[[#This Row],[Tôi thấy mức thuế tôi phải đóng theo phương án mới là công bằng (người thu nhập như tôi đóng mức này là hợp lý). - HUMAN-TRU2]]</f>
        <v>9</v>
      </c>
      <c r="AS333" t="str">
        <f t="shared" si="151"/>
        <v>Support</v>
      </c>
      <c r="AT333" s="32">
        <f t="shared" si="152"/>
        <v>1</v>
      </c>
      <c r="AU333">
        <f>step3_validation[[#This Row],[AI_TRU3]]</f>
        <v>6</v>
      </c>
      <c r="AV333" t="str">
        <f t="shared" si="153"/>
        <v>Neutral</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1</v>
      </c>
      <c r="AZ333">
        <f>step3_validation[[#This Row],[AI_TRU4]]</f>
        <v>7</v>
      </c>
      <c r="BA333" t="str">
        <f t="shared" si="156"/>
        <v>Neutral</v>
      </c>
      <c r="BB333">
        <f>survey_responses[[#This Row],[Tôi thấy Nhà nước đã giải thích rõ ràng, minh bạch về lý do và mục tiêu của việc sửa đổi thuế lần này. - HUMAN-TRU4]]</f>
        <v>9</v>
      </c>
      <c r="BC333" t="str">
        <f t="shared" si="157"/>
        <v>Support</v>
      </c>
      <c r="BD333" s="32">
        <f t="shared" si="158"/>
        <v>2</v>
      </c>
      <c r="BE333">
        <f>step3_validation[[#This Row],[AI_OUT1]]</f>
        <v>8</v>
      </c>
      <c r="BF333" t="str">
        <f t="shared" si="159"/>
        <v>Support</v>
      </c>
      <c r="BG333">
        <f>survey_responses[[#This Row],[Sau khi xem xét các quyền lợi và nghĩa vụ, bạn có ủng hộ và tuân thủ chính sách mới hiện nay? - HUMAN-OUT1]]</f>
        <v>9</v>
      </c>
      <c r="BH333" t="str">
        <f t="shared" si="160"/>
        <v>Support</v>
      </c>
      <c r="BI333" s="32">
        <f t="shared" si="161"/>
        <v>1</v>
      </c>
    </row>
    <row r="334" spans="1:61" x14ac:dyDescent="0.45">
      <c r="A334" s="30">
        <f>step3_validation[[#This Row],[Persona_ID]]</f>
        <v>333</v>
      </c>
      <c r="B334" s="31">
        <f>step3_validation[[#This Row],[Used_Seed]]</f>
        <v>374</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72.905025546684229</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1</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2</v>
      </c>
      <c r="AA334">
        <f>step3_validation[[#This Row],[AI_FAC1]]</f>
        <v>9</v>
      </c>
      <c r="AB334" t="str">
        <f t="shared" si="141"/>
        <v>Support</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1</v>
      </c>
      <c r="AF334">
        <f>step3_validation[[#This Row],[AI_FAC2]]</f>
        <v>8</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0</v>
      </c>
      <c r="AK334">
        <f>step3_validation[[#This Row],[AI_TRU1]]</f>
        <v>9</v>
      </c>
      <c r="AL334" t="str">
        <f t="shared" si="147"/>
        <v>Support</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3</v>
      </c>
      <c r="AP334">
        <f>step3_validation[[#This Row],[AI_TRU2]]</f>
        <v>8</v>
      </c>
      <c r="AQ334" t="str">
        <f t="shared" si="150"/>
        <v>Support</v>
      </c>
      <c r="AR334">
        <f>survey_responses[[#This Row],[Tôi thấy mức thuế tôi phải đóng theo phương án mới là công bằng (người thu nhập như tôi đóng mức này là hợp lý). - HUMAN-TRU2]]</f>
        <v>7</v>
      </c>
      <c r="AS334" t="str">
        <f t="shared" si="151"/>
        <v>Neutral</v>
      </c>
      <c r="AT334" s="32">
        <f t="shared" si="152"/>
        <v>1</v>
      </c>
      <c r="AU334">
        <f>step3_validation[[#This Row],[AI_TRU3]]</f>
        <v>9</v>
      </c>
      <c r="AV334" t="str">
        <f t="shared" si="153"/>
        <v>Support</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3</v>
      </c>
      <c r="AZ334">
        <f>step3_validation[[#This Row],[AI_TRU4]]</f>
        <v>8</v>
      </c>
      <c r="BA334" t="str">
        <f t="shared" si="156"/>
        <v>Support</v>
      </c>
      <c r="BB334">
        <f>survey_responses[[#This Row],[Tôi thấy Nhà nước đã giải thích rõ ràng, minh bạch về lý do và mục tiêu của việc sửa đổi thuế lần này. - HUMAN-TRU4]]</f>
        <v>7</v>
      </c>
      <c r="BC334" t="str">
        <f t="shared" si="157"/>
        <v>Neutral</v>
      </c>
      <c r="BD334" s="32">
        <f t="shared" si="158"/>
        <v>1</v>
      </c>
      <c r="BE334">
        <f>step3_validation[[#This Row],[AI_OUT1]]</f>
        <v>9</v>
      </c>
      <c r="BF334" t="str">
        <f t="shared" si="159"/>
        <v>Support</v>
      </c>
      <c r="BG334">
        <f>survey_responses[[#This Row],[Sau khi xem xét các quyền lợi và nghĩa vụ, bạn có ủng hộ và tuân thủ chính sách mới hiện nay? - HUMAN-OUT1]]</f>
        <v>7</v>
      </c>
      <c r="BH334" t="str">
        <f t="shared" si="160"/>
        <v>Neutral</v>
      </c>
      <c r="BI334" s="32">
        <f t="shared" si="161"/>
        <v>2</v>
      </c>
    </row>
    <row r="335" spans="1:61" x14ac:dyDescent="0.45">
      <c r="A335" s="30">
        <f>step3_validation[[#This Row],[Persona_ID]]</f>
        <v>334</v>
      </c>
      <c r="B335" s="31">
        <f>step3_validation[[#This Row],[Used_Seed]]</f>
        <v>375</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108.82670681025888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8</v>
      </c>
      <c r="R335" t="str">
        <f t="shared" si="135"/>
        <v>Support</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6</v>
      </c>
      <c r="V335">
        <f>step3_validation[[#This Row],[AI_ENF2]]</f>
        <v>9</v>
      </c>
      <c r="W335" t="str">
        <f t="shared" si="138"/>
        <v>Support</v>
      </c>
      <c r="X335">
        <f>survey_responses[[#This Row],[Tôi tin rằng Nhà nước, cơ quan thuế có đủ khả năng và công nghệ để phát hiện, xử lý nghiêm các hành vi trốn thuế. - HUMAN-ENF2]]</f>
        <v>2</v>
      </c>
      <c r="Y335" t="str">
        <f t="shared" si="139"/>
        <v>Oppose</v>
      </c>
      <c r="Z335" s="32">
        <f t="shared" si="140"/>
        <v>7</v>
      </c>
      <c r="AA335">
        <f>step3_validation[[#This Row],[AI_FAC1]]</f>
        <v>7</v>
      </c>
      <c r="AB335" t="str">
        <f t="shared" si="141"/>
        <v>Neutral</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4</v>
      </c>
      <c r="AF335">
        <f>step3_validation[[#This Row],[AI_FAC2]]</f>
        <v>9</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4</v>
      </c>
      <c r="AK335">
        <f>step3_validation[[#This Row],[AI_TRU1]]</f>
        <v>8</v>
      </c>
      <c r="AL335" t="str">
        <f t="shared" si="147"/>
        <v>Support</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7</v>
      </c>
      <c r="AP335">
        <f>step3_validation[[#This Row],[AI_TRU2]]</f>
        <v>9</v>
      </c>
      <c r="AQ335" t="str">
        <f t="shared" si="150"/>
        <v>Support</v>
      </c>
      <c r="AR335">
        <f>survey_responses[[#This Row],[Tôi thấy mức thuế tôi phải đóng theo phương án mới là công bằng (người thu nhập như tôi đóng mức này là hợp lý). - HUMAN-TRU2]]</f>
        <v>1</v>
      </c>
      <c r="AS335" t="str">
        <f t="shared" si="151"/>
        <v>Oppose</v>
      </c>
      <c r="AT335" s="32">
        <f t="shared" si="152"/>
        <v>8</v>
      </c>
      <c r="AU335">
        <f>step3_validation[[#This Row],[AI_TRU3]]</f>
        <v>8</v>
      </c>
      <c r="AV335" t="str">
        <f t="shared" si="153"/>
        <v>Support</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7</v>
      </c>
      <c r="AZ335">
        <f>step3_validation[[#This Row],[AI_TRU4]]</f>
        <v>9</v>
      </c>
      <c r="BA335" t="str">
        <f t="shared" si="156"/>
        <v>Support</v>
      </c>
      <c r="BB335">
        <f>survey_responses[[#This Row],[Tôi thấy Nhà nước đã giải thích rõ ràng, minh bạch về lý do và mục tiêu của việc sửa đổi thuế lần này. - HUMAN-TRU4]]</f>
        <v>3</v>
      </c>
      <c r="BC335" t="str">
        <f t="shared" si="157"/>
        <v>Oppose</v>
      </c>
      <c r="BD335" s="32">
        <f t="shared" si="158"/>
        <v>6</v>
      </c>
      <c r="BE335">
        <f>step3_validation[[#This Row],[AI_OUT1]]</f>
        <v>10</v>
      </c>
      <c r="BF335" t="str">
        <f t="shared" si="159"/>
        <v>Support</v>
      </c>
      <c r="BG335">
        <f>survey_responses[[#This Row],[Sau khi xem xét các quyền lợi và nghĩa vụ, bạn có ủng hộ và tuân thủ chính sách mới hiện nay? - HUMAN-OUT1]]</f>
        <v>1</v>
      </c>
      <c r="BH335" t="str">
        <f t="shared" si="160"/>
        <v>Oppose</v>
      </c>
      <c r="BI335" s="32">
        <f t="shared" si="161"/>
        <v>9</v>
      </c>
    </row>
    <row r="336" spans="1:61" x14ac:dyDescent="0.45">
      <c r="A336" s="30">
        <f>step3_validation[[#This Row],[Persona_ID]]</f>
        <v>335</v>
      </c>
      <c r="B336" s="31">
        <f>step3_validation[[#This Row],[Used_Seed]]</f>
        <v>376</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14.724893700157214</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t="str">
        <f t="shared" si="135"/>
        <v>Neutral</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0</v>
      </c>
      <c r="V336">
        <f>step3_validation[[#This Row],[AI_ENF2]]</f>
        <v>6</v>
      </c>
      <c r="W336" t="str">
        <f t="shared" si="138"/>
        <v>Neutral</v>
      </c>
      <c r="X336">
        <f>survey_responses[[#This Row],[Tôi tin rằng Nhà nước, cơ quan thuế có đủ khả năng và công nghệ để phát hiện, xử lý nghiêm các hành vi trốn thuế. - HUMAN-ENF2]]</f>
        <v>7</v>
      </c>
      <c r="Y336" t="str">
        <f t="shared" si="139"/>
        <v>Neutral</v>
      </c>
      <c r="Z336" s="32">
        <f t="shared" si="140"/>
        <v>1</v>
      </c>
      <c r="AA336">
        <f>step3_validation[[#This Row],[AI_FAC1]]</f>
        <v>8</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0</v>
      </c>
      <c r="AF336">
        <f>step3_validation[[#This Row],[AI_FAC2]]</f>
        <v>9</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1</v>
      </c>
      <c r="AK336">
        <f>step3_validation[[#This Row],[AI_TRU1]]</f>
        <v>7</v>
      </c>
      <c r="AL336" t="str">
        <f t="shared" si="147"/>
        <v>Neutral</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2</v>
      </c>
      <c r="AP336">
        <f>step3_validation[[#This Row],[AI_TRU2]]</f>
        <v>8</v>
      </c>
      <c r="AQ336" t="str">
        <f t="shared" si="150"/>
        <v>Support</v>
      </c>
      <c r="AR336">
        <f>survey_responses[[#This Row],[Tôi thấy mức thuế tôi phải đóng theo phương án mới là công bằng (người thu nhập như tôi đóng mức này là hợp lý). - HUMAN-TRU2]]</f>
        <v>10</v>
      </c>
      <c r="AS336" t="str">
        <f t="shared" si="151"/>
        <v>Support</v>
      </c>
      <c r="AT336" s="32">
        <f t="shared" si="152"/>
        <v>2</v>
      </c>
      <c r="AU336">
        <f>step3_validation[[#This Row],[AI_TRU3]]</f>
        <v>7</v>
      </c>
      <c r="AV336" t="str">
        <f t="shared" si="153"/>
        <v>Neutral</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1</v>
      </c>
      <c r="AZ336">
        <f>step3_validation[[#This Row],[AI_TRU4]]</f>
        <v>8</v>
      </c>
      <c r="BA336" t="str">
        <f t="shared" si="156"/>
        <v>Support</v>
      </c>
      <c r="BB336">
        <f>survey_responses[[#This Row],[Tôi thấy Nhà nước đã giải thích rõ ràng, minh bạch về lý do và mục tiêu của việc sửa đổi thuế lần này. - HUMAN-TRU4]]</f>
        <v>8</v>
      </c>
      <c r="BC336" t="str">
        <f t="shared" si="157"/>
        <v>Support</v>
      </c>
      <c r="BD336" s="32">
        <f t="shared" si="158"/>
        <v>0</v>
      </c>
      <c r="BE336">
        <f>step3_validation[[#This Row],[AI_OUT1]]</f>
        <v>9</v>
      </c>
      <c r="BF336" t="str">
        <f t="shared" si="159"/>
        <v>Support</v>
      </c>
      <c r="BG336">
        <f>survey_responses[[#This Row],[Sau khi xem xét các quyền lợi và nghĩa vụ, bạn có ủng hộ và tuân thủ chính sách mới hiện nay? - HUMAN-OUT1]]</f>
        <v>10</v>
      </c>
      <c r="BH336" t="str">
        <f t="shared" si="160"/>
        <v>Support</v>
      </c>
      <c r="BI336" s="32">
        <f t="shared" si="161"/>
        <v>1</v>
      </c>
    </row>
    <row r="337" spans="1:61" x14ac:dyDescent="0.45">
      <c r="A337" s="30">
        <f>step3_validation[[#This Row],[Persona_ID]]</f>
        <v>336</v>
      </c>
      <c r="B337" s="31">
        <f>step3_validation[[#This Row],[Used_Seed]]</f>
        <v>377</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20.268198988321885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9</v>
      </c>
      <c r="R337" t="str">
        <f t="shared" si="135"/>
        <v>Support</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5</v>
      </c>
      <c r="V337">
        <f>step3_validation[[#This Row],[AI_ENF2]]</f>
        <v>8</v>
      </c>
      <c r="W337" t="str">
        <f t="shared" si="138"/>
        <v>Support</v>
      </c>
      <c r="X337">
        <f>survey_responses[[#This Row],[Tôi tin rằng Nhà nước, cơ quan thuế có đủ khả năng và công nghệ để phát hiện, xử lý nghiêm các hành vi trốn thuế. - HUMAN-ENF2]]</f>
        <v>5</v>
      </c>
      <c r="Y337" t="str">
        <f t="shared" si="139"/>
        <v>Neutral</v>
      </c>
      <c r="Z337" s="32">
        <f t="shared" si="140"/>
        <v>3</v>
      </c>
      <c r="AA337">
        <f>step3_validation[[#This Row],[AI_FAC1]]</f>
        <v>9</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4</v>
      </c>
      <c r="AF337">
        <f>step3_validation[[#This Row],[AI_FAC2]]</f>
        <v>8</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2</v>
      </c>
      <c r="AK337">
        <f>step3_validation[[#This Row],[AI_TRU1]]</f>
        <v>9</v>
      </c>
      <c r="AL337" t="str">
        <f t="shared" si="147"/>
        <v>Support</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4</v>
      </c>
      <c r="AP337">
        <f>step3_validation[[#This Row],[AI_TRU2]]</f>
        <v>8</v>
      </c>
      <c r="AQ337" t="str">
        <f t="shared" si="150"/>
        <v>Support</v>
      </c>
      <c r="AR337">
        <f>survey_responses[[#This Row],[Tôi thấy mức thuế tôi phải đóng theo phương án mới là công bằng (người thu nhập như tôi đóng mức này là hợp lý). - HUMAN-TRU2]]</f>
        <v>6</v>
      </c>
      <c r="AS337" t="str">
        <f t="shared" si="151"/>
        <v>Neutral</v>
      </c>
      <c r="AT337" s="32">
        <f t="shared" si="152"/>
        <v>2</v>
      </c>
      <c r="AU337">
        <f>step3_validation[[#This Row],[AI_TRU3]]</f>
        <v>8</v>
      </c>
      <c r="AV337" t="str">
        <f t="shared" si="153"/>
        <v>Support</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3</v>
      </c>
      <c r="AZ337">
        <f>step3_validation[[#This Row],[AI_TRU4]]</f>
        <v>9</v>
      </c>
      <c r="BA337" t="str">
        <f t="shared" si="156"/>
        <v>Support</v>
      </c>
      <c r="BB337">
        <f>survey_responses[[#This Row],[Tôi thấy Nhà nước đã giải thích rõ ràng, minh bạch về lý do và mục tiêu của việc sửa đổi thuế lần này. - HUMAN-TRU4]]</f>
        <v>5</v>
      </c>
      <c r="BC337" t="str">
        <f t="shared" si="157"/>
        <v>Neutral</v>
      </c>
      <c r="BD337" s="32">
        <f t="shared" si="158"/>
        <v>4</v>
      </c>
      <c r="BE337">
        <f>step3_validation[[#This Row],[AI_OUT1]]</f>
        <v>9</v>
      </c>
      <c r="BF337" t="str">
        <f t="shared" si="159"/>
        <v>Support</v>
      </c>
      <c r="BG337">
        <f>survey_responses[[#This Row],[Sau khi xem xét các quyền lợi và nghĩa vụ, bạn có ủng hộ và tuân thủ chính sách mới hiện nay? - HUMAN-OUT1]]</f>
        <v>6</v>
      </c>
      <c r="BH337" t="str">
        <f t="shared" si="160"/>
        <v>Neutral</v>
      </c>
      <c r="BI337" s="32">
        <f t="shared" si="161"/>
        <v>3</v>
      </c>
    </row>
    <row r="338" spans="1:61" x14ac:dyDescent="0.45">
      <c r="A338" s="30">
        <f>step3_validation[[#This Row],[Persona_ID]]</f>
        <v>337</v>
      </c>
      <c r="B338" s="31">
        <f>step3_validation[[#This Row],[Used_Seed]]</f>
        <v>378</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23.930932802166915</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8</v>
      </c>
      <c r="R338" t="str">
        <f t="shared" si="135"/>
        <v>Support</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1</v>
      </c>
      <c r="V338">
        <f>step3_validation[[#This Row],[AI_ENF2]]</f>
        <v>9</v>
      </c>
      <c r="W338" t="str">
        <f t="shared" si="138"/>
        <v>Support</v>
      </c>
      <c r="X338">
        <f>survey_responses[[#This Row],[Tôi tin rằng Nhà nước, cơ quan thuế có đủ khả năng và công nghệ để phát hiện, xử lý nghiêm các hành vi trốn thuế. - HUMAN-ENF2]]</f>
        <v>8</v>
      </c>
      <c r="Y338" t="str">
        <f t="shared" si="139"/>
        <v>Support</v>
      </c>
      <c r="Z338" s="32">
        <f t="shared" si="140"/>
        <v>1</v>
      </c>
      <c r="AA338">
        <f>step3_validation[[#This Row],[AI_FAC1]]</f>
        <v>8</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1</v>
      </c>
      <c r="AF338">
        <f>step3_validation[[#This Row],[AI_FAC2]]</f>
        <v>9</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2</v>
      </c>
      <c r="AK338">
        <f>step3_validation[[#This Row],[AI_TRU1]]</f>
        <v>7</v>
      </c>
      <c r="AL338" t="str">
        <f t="shared" si="147"/>
        <v>Neutral</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1</v>
      </c>
      <c r="AP338">
        <f>step3_validation[[#This Row],[AI_TRU2]]</f>
        <v>8</v>
      </c>
      <c r="AQ338" t="str">
        <f t="shared" si="150"/>
        <v>Support</v>
      </c>
      <c r="AR338">
        <f>survey_responses[[#This Row],[Tôi thấy mức thuế tôi phải đóng theo phương án mới là công bằng (người thu nhập như tôi đóng mức này là hợp lý). - HUMAN-TRU2]]</f>
        <v>8</v>
      </c>
      <c r="AS338" t="str">
        <f t="shared" si="151"/>
        <v>Support</v>
      </c>
      <c r="AT338" s="32">
        <f t="shared" si="152"/>
        <v>0</v>
      </c>
      <c r="AU338">
        <f>step3_validation[[#This Row],[AI_TRU3]]</f>
        <v>9</v>
      </c>
      <c r="AV338" t="str">
        <f t="shared" si="153"/>
        <v>Support</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3</v>
      </c>
      <c r="AZ338">
        <f>step3_validation[[#This Row],[AI_TRU4]]</f>
        <v>8</v>
      </c>
      <c r="BA338" t="str">
        <f t="shared" si="156"/>
        <v>Support</v>
      </c>
      <c r="BB338">
        <f>survey_responses[[#This Row],[Tôi thấy Nhà nước đã giải thích rõ ràng, minh bạch về lý do và mục tiêu của việc sửa đổi thuế lần này. - HUMAN-TRU4]]</f>
        <v>8</v>
      </c>
      <c r="BC338" t="str">
        <f t="shared" si="157"/>
        <v>Support</v>
      </c>
      <c r="BD338" s="32">
        <f t="shared" si="158"/>
        <v>0</v>
      </c>
      <c r="BE338">
        <f>step3_validation[[#This Row],[AI_OUT1]]</f>
        <v>9</v>
      </c>
      <c r="BF338" t="str">
        <f t="shared" si="159"/>
        <v>Support</v>
      </c>
      <c r="BG338">
        <f>survey_responses[[#This Row],[Sau khi xem xét các quyền lợi và nghĩa vụ, bạn có ủng hộ và tuân thủ chính sách mới hiện nay? - HUMAN-OUT1]]</f>
        <v>8</v>
      </c>
      <c r="BH338" t="str">
        <f t="shared" si="160"/>
        <v>Support</v>
      </c>
      <c r="BI338" s="32">
        <f t="shared" si="161"/>
        <v>1</v>
      </c>
    </row>
    <row r="339" spans="1:61" x14ac:dyDescent="0.45">
      <c r="A339" s="30">
        <f>step3_validation[[#This Row],[Persona_ID]]</f>
        <v>338</v>
      </c>
      <c r="B339" s="31">
        <f>step3_validation[[#This Row],[Used_Seed]]</f>
        <v>379</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15.800376650805926</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1</v>
      </c>
      <c r="V339">
        <f>step3_validation[[#This Row],[AI_ENF2]]</f>
        <v>6</v>
      </c>
      <c r="W339" t="str">
        <f t="shared" si="138"/>
        <v>Neutral</v>
      </c>
      <c r="X339">
        <f>survey_responses[[#This Row],[Tôi tin rằng Nhà nước, cơ quan thuế có đủ khả năng và công nghệ để phát hiện, xử lý nghiêm các hành vi trốn thuế. - HUMAN-ENF2]]</f>
        <v>8</v>
      </c>
      <c r="Y339" t="str">
        <f t="shared" si="139"/>
        <v>Support</v>
      </c>
      <c r="Z339" s="32">
        <f t="shared" si="140"/>
        <v>2</v>
      </c>
      <c r="AA339">
        <f>step3_validation[[#This Row],[AI_FAC1]]</f>
        <v>8</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1</v>
      </c>
      <c r="AF339">
        <f>step3_validation[[#This Row],[AI_FAC2]]</f>
        <v>9</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0</v>
      </c>
      <c r="AK339">
        <f>step3_validation[[#This Row],[AI_TRU1]]</f>
        <v>6</v>
      </c>
      <c r="AL339" t="str">
        <f t="shared" si="147"/>
        <v>Neutral</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2</v>
      </c>
      <c r="AP339">
        <f>step3_validation[[#This Row],[AI_TRU2]]</f>
        <v>9</v>
      </c>
      <c r="AQ339" t="str">
        <f t="shared" si="150"/>
        <v>Support</v>
      </c>
      <c r="AR339">
        <f>survey_responses[[#This Row],[Tôi thấy mức thuế tôi phải đóng theo phương án mới là công bằng (người thu nhập như tôi đóng mức này là hợp lý). - HUMAN-TRU2]]</f>
        <v>9</v>
      </c>
      <c r="AS339" t="str">
        <f t="shared" si="151"/>
        <v>Support</v>
      </c>
      <c r="AT339" s="32">
        <f t="shared" si="152"/>
        <v>0</v>
      </c>
      <c r="AU339">
        <f>step3_validation[[#This Row],[AI_TRU3]]</f>
        <v>7</v>
      </c>
      <c r="AV339" t="str">
        <f t="shared" si="153"/>
        <v>Neutral</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3</v>
      </c>
      <c r="AZ339">
        <f>step3_validation[[#This Row],[AI_TRU4]]</f>
        <v>8</v>
      </c>
      <c r="BA339" t="str">
        <f t="shared" si="156"/>
        <v>Support</v>
      </c>
      <c r="BB339">
        <f>survey_responses[[#This Row],[Tôi thấy Nhà nước đã giải thích rõ ràng, minh bạch về lý do và mục tiêu của việc sửa đổi thuế lần này. - HUMAN-TRU4]]</f>
        <v>9</v>
      </c>
      <c r="BC339" t="str">
        <f t="shared" si="157"/>
        <v>Support</v>
      </c>
      <c r="BD339" s="32">
        <f t="shared" si="158"/>
        <v>1</v>
      </c>
      <c r="BE339">
        <f>step3_validation[[#This Row],[AI_OUT1]]</f>
        <v>9</v>
      </c>
      <c r="BF339" t="str">
        <f t="shared" si="159"/>
        <v>Support</v>
      </c>
      <c r="BG339">
        <f>survey_responses[[#This Row],[Sau khi xem xét các quyền lợi và nghĩa vụ, bạn có ủng hộ và tuân thủ chính sách mới hiện nay? - HUMAN-OUT1]]</f>
        <v>10</v>
      </c>
      <c r="BH339" t="str">
        <f t="shared" si="160"/>
        <v>Support</v>
      </c>
      <c r="BI339" s="32">
        <f t="shared" si="161"/>
        <v>1</v>
      </c>
    </row>
    <row r="340" spans="1:61" x14ac:dyDescent="0.45">
      <c r="A340" s="30">
        <f>step3_validation[[#This Row],[Persona_ID]]</f>
        <v>339</v>
      </c>
      <c r="B340" s="31">
        <f>step3_validation[[#This Row],[Used_Seed]]</f>
        <v>380</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16.735042580295506</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5</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2</v>
      </c>
      <c r="V340">
        <f>step3_validation[[#This Row],[AI_ENF2]]</f>
        <v>6</v>
      </c>
      <c r="W340" t="str">
        <f t="shared" si="138"/>
        <v>Neutral</v>
      </c>
      <c r="X340">
        <f>survey_responses[[#This Row],[Tôi tin rằng Nhà nước, cơ quan thuế có đủ khả năng và công nghệ để phát hiện, xử lý nghiêm các hành vi trốn thuế. - HUMAN-ENF2]]</f>
        <v>7</v>
      </c>
      <c r="Y340" t="str">
        <f t="shared" si="139"/>
        <v>Neutral</v>
      </c>
      <c r="Z340" s="32">
        <f t="shared" si="140"/>
        <v>1</v>
      </c>
      <c r="AA340">
        <f>step3_validation[[#This Row],[AI_FAC1]]</f>
        <v>9</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1</v>
      </c>
      <c r="AF340">
        <f>step3_validation[[#This Row],[AI_FAC2]]</f>
        <v>8</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0</v>
      </c>
      <c r="AK340">
        <f>step3_validation[[#This Row],[AI_TRU1]]</f>
        <v>7</v>
      </c>
      <c r="AL340" t="str">
        <f t="shared" si="147"/>
        <v>Neutral</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1</v>
      </c>
      <c r="AP340">
        <f>step3_validation[[#This Row],[AI_TRU2]]</f>
        <v>8</v>
      </c>
      <c r="AQ340" t="str">
        <f t="shared" si="150"/>
        <v>Support</v>
      </c>
      <c r="AR340">
        <f>survey_responses[[#This Row],[Tôi thấy mức thuế tôi phải đóng theo phương án mới là công bằng (người thu nhập như tôi đóng mức này là hợp lý). - HUMAN-TRU2]]</f>
        <v>7</v>
      </c>
      <c r="AS340" t="str">
        <f t="shared" si="151"/>
        <v>Neutral</v>
      </c>
      <c r="AT340" s="32">
        <f t="shared" si="152"/>
        <v>1</v>
      </c>
      <c r="AU340">
        <f>step3_validation[[#This Row],[AI_TRU3]]</f>
        <v>7</v>
      </c>
      <c r="AV340" t="str">
        <f t="shared" si="153"/>
        <v>Neutral</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1</v>
      </c>
      <c r="AZ340">
        <f>step3_validation[[#This Row],[AI_TRU4]]</f>
        <v>6</v>
      </c>
      <c r="BA340" t="str">
        <f t="shared" si="156"/>
        <v>Neutral</v>
      </c>
      <c r="BB340">
        <f>survey_responses[[#This Row],[Tôi thấy Nhà nước đã giải thích rõ ràng, minh bạch về lý do và mục tiêu của việc sửa đổi thuế lần này. - HUMAN-TRU4]]</f>
        <v>6</v>
      </c>
      <c r="BC340" t="str">
        <f t="shared" si="157"/>
        <v>Neutral</v>
      </c>
      <c r="BD340" s="32">
        <f t="shared" si="158"/>
        <v>0</v>
      </c>
      <c r="BE340">
        <f>step3_validation[[#This Row],[AI_OUT1]]</f>
        <v>8</v>
      </c>
      <c r="BF340" t="str">
        <f t="shared" si="159"/>
        <v>Support</v>
      </c>
      <c r="BG340">
        <f>survey_responses[[#This Row],[Sau khi xem xét các quyền lợi và nghĩa vụ, bạn có ủng hộ và tuân thủ chính sách mới hiện nay? - HUMAN-OUT1]]</f>
        <v>7</v>
      </c>
      <c r="BH340" t="str">
        <f t="shared" si="160"/>
        <v>Neutral</v>
      </c>
      <c r="BI340" s="32">
        <f t="shared" si="161"/>
        <v>1</v>
      </c>
    </row>
    <row r="341" spans="1:61" x14ac:dyDescent="0.45">
      <c r="A341" s="30">
        <f>step3_validation[[#This Row],[Persona_ID]]</f>
        <v>340</v>
      </c>
      <c r="B341" s="31">
        <f>step3_validation[[#This Row],[Used_Seed]]</f>
        <v>381</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13.160067555007622</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6</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1</v>
      </c>
      <c r="V341">
        <f>step3_validation[[#This Row],[AI_ENF2]]</f>
        <v>7</v>
      </c>
      <c r="W341" t="str">
        <f t="shared" si="138"/>
        <v>Neutral</v>
      </c>
      <c r="X341">
        <f>survey_responses[[#This Row],[Tôi tin rằng Nhà nước, cơ quan thuế có đủ khả năng và công nghệ để phát hiện, xử lý nghiêm các hành vi trốn thuế. - HUMAN-ENF2]]</f>
        <v>8</v>
      </c>
      <c r="Y341" t="str">
        <f t="shared" si="139"/>
        <v>Support</v>
      </c>
      <c r="Z341" s="32">
        <f t="shared" si="140"/>
        <v>1</v>
      </c>
      <c r="AA341">
        <f>step3_validation[[#This Row],[AI_FAC1]]</f>
        <v>9</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1</v>
      </c>
      <c r="AF341">
        <f>step3_validation[[#This Row],[AI_FAC2]]</f>
        <v>8</v>
      </c>
      <c r="AG341" t="str">
        <f t="shared" si="144"/>
        <v>Support</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0</v>
      </c>
      <c r="AK341">
        <f>step3_validation[[#This Row],[AI_TRU1]]</f>
        <v>7</v>
      </c>
      <c r="AL341" t="str">
        <f t="shared" si="147"/>
        <v>Neutral</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2</v>
      </c>
      <c r="AP341">
        <f>step3_validation[[#This Row],[AI_TRU2]]</f>
        <v>8</v>
      </c>
      <c r="AQ341" t="str">
        <f t="shared" si="150"/>
        <v>Support</v>
      </c>
      <c r="AR341">
        <f>survey_responses[[#This Row],[Tôi thấy mức thuế tôi phải đóng theo phương án mới là công bằng (người thu nhập như tôi đóng mức này là hợp lý). - HUMAN-TRU2]]</f>
        <v>8</v>
      </c>
      <c r="AS341" t="str">
        <f t="shared" si="151"/>
        <v>Support</v>
      </c>
      <c r="AT341" s="32">
        <f t="shared" si="152"/>
        <v>0</v>
      </c>
      <c r="AU341">
        <f>step3_validation[[#This Row],[AI_TRU3]]</f>
        <v>6</v>
      </c>
      <c r="AV341" t="str">
        <f t="shared" si="153"/>
        <v>Neutral</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1</v>
      </c>
      <c r="AZ341">
        <f>step3_validation[[#This Row],[AI_TRU4]]</f>
        <v>8</v>
      </c>
      <c r="BA341" t="str">
        <f t="shared" si="156"/>
        <v>Support</v>
      </c>
      <c r="BB341">
        <f>survey_responses[[#This Row],[Tôi thấy Nhà nước đã giải thích rõ ràng, minh bạch về lý do và mục tiêu của việc sửa đổi thuế lần này. - HUMAN-TRU4]]</f>
        <v>8</v>
      </c>
      <c r="BC341" t="str">
        <f t="shared" si="157"/>
        <v>Support</v>
      </c>
      <c r="BD341" s="32">
        <f t="shared" si="158"/>
        <v>0</v>
      </c>
      <c r="BE341">
        <f>step3_validation[[#This Row],[AI_OUT1]]</f>
        <v>9</v>
      </c>
      <c r="BF341" t="str">
        <f t="shared" si="159"/>
        <v>Support</v>
      </c>
      <c r="BG341">
        <f>survey_responses[[#This Row],[Sau khi xem xét các quyền lợi và nghĩa vụ, bạn có ủng hộ và tuân thủ chính sách mới hiện nay? - HUMAN-OUT1]]</f>
        <v>8</v>
      </c>
      <c r="BH341" t="str">
        <f t="shared" si="160"/>
        <v>Support</v>
      </c>
      <c r="BI341" s="32">
        <f t="shared" si="161"/>
        <v>1</v>
      </c>
    </row>
    <row r="342" spans="1:61" x14ac:dyDescent="0.45">
      <c r="A342" s="30">
        <f>step3_validation[[#This Row],[Persona_ID]]</f>
        <v>341</v>
      </c>
      <c r="B342" s="31">
        <f>step3_validation[[#This Row],[Used_Seed]]</f>
        <v>382</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t="str">
        <f t="shared" si="135"/>
        <v>Support</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0</v>
      </c>
      <c r="V342">
        <f>step3_validation[[#This Row],[AI_ENF2]]</f>
        <v>9</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1</v>
      </c>
      <c r="AA342">
        <f>step3_validation[[#This Row],[AI_FAC1]]</f>
        <v>9</v>
      </c>
      <c r="AB342" t="str">
        <f t="shared" si="141"/>
        <v>Support</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1</v>
      </c>
      <c r="AF342">
        <f>step3_validation[[#This Row],[AI_FAC2]]</f>
        <v>10</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1</v>
      </c>
      <c r="AK342">
        <f>step3_validation[[#This Row],[AI_TRU1]]</f>
        <v>8</v>
      </c>
      <c r="AL342" t="str">
        <f t="shared" si="147"/>
        <v>Support</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0</v>
      </c>
      <c r="AP342">
        <f>step3_validation[[#This Row],[AI_TRU2]]</f>
        <v>9</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2">
        <f t="shared" si="152"/>
        <v>1</v>
      </c>
      <c r="AU342">
        <f>step3_validation[[#This Row],[AI_TRU3]]</f>
        <v>8</v>
      </c>
      <c r="AV342" t="str">
        <f t="shared" si="153"/>
        <v>Support</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1</v>
      </c>
      <c r="AZ342">
        <f>step3_validation[[#This Row],[AI_TRU4]]</f>
        <v>9</v>
      </c>
      <c r="BA342" t="str">
        <f t="shared" si="156"/>
        <v>Support</v>
      </c>
      <c r="BB342">
        <f>survey_responses[[#This Row],[Tôi thấy Nhà nước đã giải thích rõ ràng, minh bạch về lý do và mục tiêu của việc sửa đổi thuế lần này. - HUMAN-TRU4]]</f>
        <v>7</v>
      </c>
      <c r="BC342" t="str">
        <f t="shared" si="157"/>
        <v>Neutral</v>
      </c>
      <c r="BD342" s="32">
        <f t="shared" si="158"/>
        <v>2</v>
      </c>
      <c r="BE342">
        <f>step3_validation[[#This Row],[AI_OUT1]]</f>
        <v>8</v>
      </c>
      <c r="BF342" t="str">
        <f t="shared" si="159"/>
        <v>Support</v>
      </c>
      <c r="BG342">
        <f>survey_responses[[#This Row],[Sau khi xem xét các quyền lợi và nghĩa vụ, bạn có ủng hộ và tuân thủ chính sách mới hiện nay? - HUMAN-OUT1]]</f>
        <v>8</v>
      </c>
      <c r="BH342" t="str">
        <f t="shared" si="160"/>
        <v>Support</v>
      </c>
      <c r="BI342" s="32">
        <f t="shared" si="161"/>
        <v>0</v>
      </c>
    </row>
    <row r="343" spans="1:61" x14ac:dyDescent="0.45">
      <c r="A343" s="30">
        <f>step3_validation[[#This Row],[Persona_ID]]</f>
        <v>342</v>
      </c>
      <c r="B343" s="31">
        <f>step3_validation[[#This Row],[Used_Seed]]</f>
        <v>383</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9</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4</v>
      </c>
      <c r="AA343">
        <f>step3_validation[[#This Row],[AI_FAC1]]</f>
        <v>8</v>
      </c>
      <c r="AB343" t="str">
        <f t="shared" si="141"/>
        <v>Support</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2</v>
      </c>
      <c r="AF343">
        <f>step3_validation[[#This Row],[AI_FAC2]]</f>
        <v>9</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2</v>
      </c>
      <c r="AK343">
        <f>step3_validation[[#This Row],[AI_TRU1]]</f>
        <v>8</v>
      </c>
      <c r="AL343" t="str">
        <f t="shared" si="147"/>
        <v>Support</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3</v>
      </c>
      <c r="AP343">
        <f>step3_validation[[#This Row],[AI_TRU2]]</f>
        <v>9</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1</v>
      </c>
      <c r="AU343">
        <f>step3_validation[[#This Row],[AI_TRU3]]</f>
        <v>8</v>
      </c>
      <c r="AV343" t="str">
        <f t="shared" si="153"/>
        <v>Support</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2</v>
      </c>
      <c r="AZ343">
        <f>step3_validation[[#This Row],[AI_TRU4]]</f>
        <v>7</v>
      </c>
      <c r="BA343" t="str">
        <f t="shared" si="156"/>
        <v>Neutral</v>
      </c>
      <c r="BB343">
        <f>survey_responses[[#This Row],[Tôi thấy Nhà nước đã giải thích rõ ràng, minh bạch về lý do và mục tiêu của việc sửa đổi thuế lần này. - HUMAN-TRU4]]</f>
        <v>6</v>
      </c>
      <c r="BC343" t="str">
        <f t="shared" si="157"/>
        <v>Neutral</v>
      </c>
      <c r="BD343" s="32">
        <f t="shared" si="158"/>
        <v>1</v>
      </c>
      <c r="BE343">
        <f>step3_validation[[#This Row],[AI_OUT1]]</f>
        <v>9</v>
      </c>
      <c r="BF343" t="str">
        <f t="shared" si="159"/>
        <v>Support</v>
      </c>
      <c r="BG343">
        <f>survey_responses[[#This Row],[Sau khi xem xét các quyền lợi và nghĩa vụ, bạn có ủng hộ và tuân thủ chính sách mới hiện nay? - HUMAN-OUT1]]</f>
        <v>7</v>
      </c>
      <c r="BH343" t="str">
        <f t="shared" si="160"/>
        <v>Neutral</v>
      </c>
      <c r="BI343" s="32">
        <f t="shared" si="161"/>
        <v>2</v>
      </c>
    </row>
    <row r="344" spans="1:61" x14ac:dyDescent="0.45">
      <c r="A344" s="30">
        <f>step3_validation[[#This Row],[Persona_ID]]</f>
        <v>343</v>
      </c>
      <c r="B344" s="31">
        <f>step3_validation[[#This Row],[Used_Seed]]</f>
        <v>384</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12.517941053446794</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6</v>
      </c>
      <c r="R344" t="str">
        <f t="shared" si="135"/>
        <v>Neutral</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1</v>
      </c>
      <c r="V344">
        <f>step3_validation[[#This Row],[AI_ENF2]]</f>
        <v>7</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2">
        <f t="shared" si="140"/>
        <v>0</v>
      </c>
      <c r="AA344">
        <f>step3_validation[[#This Row],[AI_FAC1]]</f>
        <v>9</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1</v>
      </c>
      <c r="AF344">
        <f>step3_validation[[#This Row],[AI_FAC2]]</f>
        <v>8</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1</v>
      </c>
      <c r="AK344">
        <f>step3_validation[[#This Row],[AI_TRU1]]</f>
        <v>7</v>
      </c>
      <c r="AL344" t="str">
        <f t="shared" si="147"/>
        <v>Neutral</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1</v>
      </c>
      <c r="AP344">
        <f>step3_validation[[#This Row],[AI_TRU2]]</f>
        <v>9</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1</v>
      </c>
      <c r="AU344">
        <f>step3_validation[[#This Row],[AI_TRU3]]</f>
        <v>8</v>
      </c>
      <c r="AV344" t="str">
        <f t="shared" si="153"/>
        <v>Support</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0</v>
      </c>
      <c r="AZ344">
        <f>step3_validation[[#This Row],[AI_TRU4]]</f>
        <v>9</v>
      </c>
      <c r="BA344" t="str">
        <f t="shared" si="156"/>
        <v>Support</v>
      </c>
      <c r="BB344">
        <f>survey_responses[[#This Row],[Tôi thấy Nhà nước đã giải thích rõ ràng, minh bạch về lý do và mục tiêu của việc sửa đổi thuế lần này. - HUMAN-TRU4]]</f>
        <v>7</v>
      </c>
      <c r="BC344" t="str">
        <f t="shared" si="157"/>
        <v>Neutral</v>
      </c>
      <c r="BD344" s="32">
        <f t="shared" si="158"/>
        <v>2</v>
      </c>
      <c r="BE344">
        <f>step3_validation[[#This Row],[AI_OUT1]]</f>
        <v>8</v>
      </c>
      <c r="BF344" t="str">
        <f t="shared" si="159"/>
        <v>Support</v>
      </c>
      <c r="BG344">
        <f>survey_responses[[#This Row],[Sau khi xem xét các quyền lợi và nghĩa vụ, bạn có ủng hộ và tuân thủ chính sách mới hiện nay? - HUMAN-OUT1]]</f>
        <v>8</v>
      </c>
      <c r="BH344" t="str">
        <f t="shared" si="160"/>
        <v>Support</v>
      </c>
      <c r="BI344" s="32">
        <f t="shared" si="161"/>
        <v>0</v>
      </c>
    </row>
    <row r="345" spans="1:61" x14ac:dyDescent="0.45">
      <c r="A345" s="30">
        <f>step3_validation[[#This Row],[Persona_ID]]</f>
        <v>344</v>
      </c>
      <c r="B345" s="31">
        <f>step3_validation[[#This Row],[Used_Seed]]</f>
        <v>385</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68.446766351546984</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8</v>
      </c>
      <c r="R345" t="str">
        <f t="shared" si="135"/>
        <v>Support</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1</v>
      </c>
      <c r="V345">
        <f>step3_validation[[#This Row],[AI_ENF2]]</f>
        <v>7</v>
      </c>
      <c r="W345" t="str">
        <f t="shared" si="138"/>
        <v>Neutral</v>
      </c>
      <c r="X345">
        <f>survey_responses[[#This Row],[Tôi tin rằng Nhà nước, cơ quan thuế có đủ khả năng và công nghệ để phát hiện, xử lý nghiêm các hành vi trốn thuế. - HUMAN-ENF2]]</f>
        <v>7</v>
      </c>
      <c r="Y345" t="str">
        <f t="shared" si="139"/>
        <v>Neutral</v>
      </c>
      <c r="Z345" s="32">
        <f t="shared" si="140"/>
        <v>0</v>
      </c>
      <c r="AA345">
        <f>step3_validation[[#This Row],[AI_FAC1]]</f>
        <v>9</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4</v>
      </c>
      <c r="AF345">
        <f>step3_validation[[#This Row],[AI_FAC2]]</f>
        <v>8</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0</v>
      </c>
      <c r="AK345">
        <f>step3_validation[[#This Row],[AI_TRU1]]</f>
        <v>9</v>
      </c>
      <c r="AL345" t="str">
        <f t="shared" si="147"/>
        <v>Support</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3</v>
      </c>
      <c r="AP345">
        <f>step3_validation[[#This Row],[AI_TRU2]]</f>
        <v>8</v>
      </c>
      <c r="AQ345" t="str">
        <f t="shared" si="150"/>
        <v>Support</v>
      </c>
      <c r="AR345">
        <f>survey_responses[[#This Row],[Tôi thấy mức thuế tôi phải đóng theo phương án mới là công bằng (người thu nhập như tôi đóng mức này là hợp lý). - HUMAN-TRU2]]</f>
        <v>5</v>
      </c>
      <c r="AS345" t="str">
        <f t="shared" si="151"/>
        <v>Neutral</v>
      </c>
      <c r="AT345" s="32">
        <f t="shared" si="152"/>
        <v>3</v>
      </c>
      <c r="AU345">
        <f>step3_validation[[#This Row],[AI_TRU3]]</f>
        <v>9</v>
      </c>
      <c r="AV345" t="str">
        <f t="shared" si="153"/>
        <v>Support</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4</v>
      </c>
      <c r="AZ345">
        <f>step3_validation[[#This Row],[AI_TRU4]]</f>
        <v>8</v>
      </c>
      <c r="BA345" t="str">
        <f t="shared" si="156"/>
        <v>Support</v>
      </c>
      <c r="BB345">
        <f>survey_responses[[#This Row],[Tôi thấy Nhà nước đã giải thích rõ ràng, minh bạch về lý do và mục tiêu của việc sửa đổi thuế lần này. - HUMAN-TRU4]]</f>
        <v>6</v>
      </c>
      <c r="BC345" t="str">
        <f t="shared" si="157"/>
        <v>Neutral</v>
      </c>
      <c r="BD345" s="32">
        <f t="shared" si="158"/>
        <v>2</v>
      </c>
      <c r="BE345">
        <f>step3_validation[[#This Row],[AI_OUT1]]</f>
        <v>9</v>
      </c>
      <c r="BF345" t="str">
        <f t="shared" si="159"/>
        <v>Support</v>
      </c>
      <c r="BG345">
        <f>survey_responses[[#This Row],[Sau khi xem xét các quyền lợi và nghĩa vụ, bạn có ủng hộ và tuân thủ chính sách mới hiện nay? - HUMAN-OUT1]]</f>
        <v>5</v>
      </c>
      <c r="BH345" t="str">
        <f t="shared" si="160"/>
        <v>Neutral</v>
      </c>
      <c r="BI345" s="32">
        <f t="shared" si="161"/>
        <v>4</v>
      </c>
    </row>
    <row r="346" spans="1:61" x14ac:dyDescent="0.45">
      <c r="A346" s="30">
        <f>step3_validation[[#This Row],[Persona_ID]]</f>
        <v>345</v>
      </c>
      <c r="B346" s="31">
        <f>step3_validation[[#This Row],[Used_Seed]]</f>
        <v>386</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14.742170915188529</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6</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1</v>
      </c>
      <c r="V346">
        <f>step3_validation[[#This Row],[AI_ENF2]]</f>
        <v>7</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0</v>
      </c>
      <c r="AA346">
        <f>step3_validation[[#This Row],[AI_FAC1]]</f>
        <v>9</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4</v>
      </c>
      <c r="AF346">
        <f>step3_validation[[#This Row],[AI_FAC2]]</f>
        <v>9</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1</v>
      </c>
      <c r="AK346">
        <f>step3_validation[[#This Row],[AI_TRU1]]</f>
        <v>7</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0</v>
      </c>
      <c r="AP346">
        <f>step3_validation[[#This Row],[AI_TRU2]]</f>
        <v>8</v>
      </c>
      <c r="AQ346" t="str">
        <f t="shared" si="150"/>
        <v>Support</v>
      </c>
      <c r="AR346">
        <f>survey_responses[[#This Row],[Tôi thấy mức thuế tôi phải đóng theo phương án mới là công bằng (người thu nhập như tôi đóng mức này là hợp lý). - HUMAN-TRU2]]</f>
        <v>7</v>
      </c>
      <c r="AS346" t="str">
        <f t="shared" si="151"/>
        <v>Neutral</v>
      </c>
      <c r="AT346" s="32">
        <f t="shared" si="152"/>
        <v>1</v>
      </c>
      <c r="AU346">
        <f>step3_validation[[#This Row],[AI_TRU3]]</f>
        <v>7</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1</v>
      </c>
      <c r="AZ346">
        <f>step3_validation[[#This Row],[AI_TRU4]]</f>
        <v>6</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1</v>
      </c>
      <c r="BE346">
        <f>step3_validation[[#This Row],[AI_OUT1]]</f>
        <v>8</v>
      </c>
      <c r="BF346" t="str">
        <f t="shared" si="159"/>
        <v>Support</v>
      </c>
      <c r="BG346">
        <f>survey_responses[[#This Row],[Sau khi xem xét các quyền lợi và nghĩa vụ, bạn có ủng hộ và tuân thủ chính sách mới hiện nay? - HUMAN-OUT1]]</f>
        <v>7</v>
      </c>
      <c r="BH346" t="str">
        <f t="shared" si="160"/>
        <v>Neutral</v>
      </c>
      <c r="BI346" s="32">
        <f t="shared" si="161"/>
        <v>1</v>
      </c>
    </row>
    <row r="347" spans="1:61" x14ac:dyDescent="0.45">
      <c r="A347" s="30">
        <f>step3_validation[[#This Row],[Persona_ID]]</f>
        <v>346</v>
      </c>
      <c r="B347" s="31">
        <f>step3_validation[[#This Row],[Used_Seed]]</f>
        <v>387</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30.473814925475196</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5</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4</v>
      </c>
      <c r="V347">
        <f>step3_validation[[#This Row],[AI_ENF2]]</f>
        <v>6</v>
      </c>
      <c r="W347" t="str">
        <f t="shared" si="138"/>
        <v>Neutral</v>
      </c>
      <c r="X347">
        <f>survey_responses[[#This Row],[Tôi tin rằng Nhà nước, cơ quan thuế có đủ khả năng và công nghệ để phát hiện, xử lý nghiêm các hành vi trốn thuế. - HUMAN-ENF2]]</f>
        <v>8</v>
      </c>
      <c r="Y347" t="str">
        <f t="shared" si="139"/>
        <v>Support</v>
      </c>
      <c r="Z347" s="32">
        <f t="shared" si="140"/>
        <v>2</v>
      </c>
      <c r="AA347">
        <f>step3_validation[[#This Row],[AI_FAC1]]</f>
        <v>7</v>
      </c>
      <c r="AB347" t="str">
        <f t="shared" si="141"/>
        <v>Neutral</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1</v>
      </c>
      <c r="AF347">
        <f>step3_validation[[#This Row],[AI_FAC2]]</f>
        <v>9</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0</v>
      </c>
      <c r="AK347">
        <f>step3_validation[[#This Row],[AI_TRU1]]</f>
        <v>8</v>
      </c>
      <c r="AL347" t="str">
        <f t="shared" si="147"/>
        <v>Support</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1</v>
      </c>
      <c r="AP347">
        <f>step3_validation[[#This Row],[AI_TRU2]]</f>
        <v>9</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2">
        <f t="shared" si="152"/>
        <v>1</v>
      </c>
      <c r="AU347">
        <f>step3_validation[[#This Row],[AI_TRU3]]</f>
        <v>7</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0</v>
      </c>
      <c r="AZ347">
        <f>step3_validation[[#This Row],[AI_TRU4]]</f>
        <v>6</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1</v>
      </c>
      <c r="BE347">
        <f>step3_validation[[#This Row],[AI_OUT1]]</f>
        <v>8</v>
      </c>
      <c r="BF347" t="str">
        <f t="shared" si="159"/>
        <v>Support</v>
      </c>
      <c r="BG347">
        <f>survey_responses[[#This Row],[Sau khi xem xét các quyền lợi và nghĩa vụ, bạn có ủng hộ và tuân thủ chính sách mới hiện nay? - HUMAN-OUT1]]</f>
        <v>8</v>
      </c>
      <c r="BH347" t="str">
        <f t="shared" si="160"/>
        <v>Support</v>
      </c>
      <c r="BI347" s="32">
        <f t="shared" si="161"/>
        <v>0</v>
      </c>
    </row>
    <row r="348" spans="1:61" x14ac:dyDescent="0.45">
      <c r="A348" s="30">
        <f>step3_validation[[#This Row],[Persona_ID]]</f>
        <v>347</v>
      </c>
      <c r="B348" s="31">
        <f>step3_validation[[#This Row],[Used_Seed]]</f>
        <v>388</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19.324542032528335</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8</v>
      </c>
      <c r="R348" t="str">
        <f t="shared" si="135"/>
        <v>Support</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0</v>
      </c>
      <c r="V348">
        <f>step3_validation[[#This Row],[AI_ENF2]]</f>
        <v>9</v>
      </c>
      <c r="W348" t="str">
        <f t="shared" si="138"/>
        <v>Support</v>
      </c>
      <c r="X348">
        <f>survey_responses[[#This Row],[Tôi tin rằng Nhà nước, cơ quan thuế có đủ khả năng và công nghệ để phát hiện, xử lý nghiêm các hành vi trốn thuế. - HUMAN-ENF2]]</f>
        <v>8</v>
      </c>
      <c r="Y348" t="str">
        <f t="shared" si="139"/>
        <v>Support</v>
      </c>
      <c r="Z348" s="32">
        <f t="shared" si="140"/>
        <v>1</v>
      </c>
      <c r="AA348">
        <f>step3_validation[[#This Row],[AI_FAC1]]</f>
        <v>8</v>
      </c>
      <c r="AB348" t="str">
        <f t="shared" si="141"/>
        <v>Support</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1</v>
      </c>
      <c r="AF348">
        <f>step3_validation[[#This Row],[AI_FAC2]]</f>
        <v>9</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1</v>
      </c>
      <c r="AK348">
        <f>step3_validation[[#This Row],[AI_TRU1]]</f>
        <v>8</v>
      </c>
      <c r="AL348" t="str">
        <f t="shared" si="147"/>
        <v>Support</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2</v>
      </c>
      <c r="AP348">
        <f>step3_validation[[#This Row],[AI_TRU2]]</f>
        <v>9</v>
      </c>
      <c r="AQ348" t="str">
        <f t="shared" si="150"/>
        <v>Support</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8</v>
      </c>
      <c r="AV348" t="str">
        <f t="shared" si="153"/>
        <v>Support</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2</v>
      </c>
      <c r="AZ348">
        <f>step3_validation[[#This Row],[AI_TRU4]]</f>
        <v>7</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1</v>
      </c>
      <c r="BE348">
        <f>step3_validation[[#This Row],[AI_OUT1]]</f>
        <v>9</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1</v>
      </c>
    </row>
    <row r="349" spans="1:61" x14ac:dyDescent="0.45">
      <c r="A349" s="30">
        <f>step3_validation[[#This Row],[Persona_ID]]</f>
        <v>348</v>
      </c>
      <c r="B349" s="31">
        <f>step3_validation[[#This Row],[Used_Seed]]</f>
        <v>389</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21.332563164475857</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6</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2</v>
      </c>
      <c r="V349">
        <f>step3_validation[[#This Row],[AI_ENF2]]</f>
        <v>6</v>
      </c>
      <c r="W349" t="str">
        <f t="shared" si="138"/>
        <v>Neutral</v>
      </c>
      <c r="X349">
        <f>survey_responses[[#This Row],[Tôi tin rằng Nhà nước, cơ quan thuế có đủ khả năng và công nghệ để phát hiện, xử lý nghiêm các hành vi trốn thuế. - HUMAN-ENF2]]</f>
        <v>8</v>
      </c>
      <c r="Y349" t="str">
        <f t="shared" si="139"/>
        <v>Support</v>
      </c>
      <c r="Z349" s="32">
        <f t="shared" si="140"/>
        <v>2</v>
      </c>
      <c r="AA349">
        <f>step3_validation[[#This Row],[AI_FAC1]]</f>
        <v>7</v>
      </c>
      <c r="AB349" t="str">
        <f t="shared" si="141"/>
        <v>Neutral</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0</v>
      </c>
      <c r="AF349">
        <f>step3_validation[[#This Row],[AI_FAC2]]</f>
        <v>9</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2</v>
      </c>
      <c r="AK349">
        <f>step3_validation[[#This Row],[AI_TRU1]]</f>
        <v>7</v>
      </c>
      <c r="AL349" t="str">
        <f t="shared" si="147"/>
        <v>Neutral</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1</v>
      </c>
      <c r="AP349">
        <f>step3_validation[[#This Row],[AI_TRU2]]</f>
        <v>8</v>
      </c>
      <c r="AQ349" t="str">
        <f t="shared" si="150"/>
        <v>Support</v>
      </c>
      <c r="AR349">
        <f>survey_responses[[#This Row],[Tôi thấy mức thuế tôi phải đóng theo phương án mới là công bằng (người thu nhập như tôi đóng mức này là hợp lý). - HUMAN-TRU2]]</f>
        <v>7</v>
      </c>
      <c r="AS349" t="str">
        <f t="shared" si="151"/>
        <v>Neutral</v>
      </c>
      <c r="AT349" s="32">
        <f t="shared" si="152"/>
        <v>1</v>
      </c>
      <c r="AU349">
        <f>step3_validation[[#This Row],[AI_TRU3]]</f>
        <v>7</v>
      </c>
      <c r="AV349" t="str">
        <f t="shared" si="153"/>
        <v>Neutral</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1</v>
      </c>
      <c r="AZ349">
        <f>step3_validation[[#This Row],[AI_TRU4]]</f>
        <v>8</v>
      </c>
      <c r="BA349" t="str">
        <f t="shared" si="156"/>
        <v>Support</v>
      </c>
      <c r="BB349">
        <f>survey_responses[[#This Row],[Tôi thấy Nhà nước đã giải thích rõ ràng, minh bạch về lý do và mục tiêu của việc sửa đổi thuế lần này. - HUMAN-TRU4]]</f>
        <v>6</v>
      </c>
      <c r="BC349" t="str">
        <f t="shared" si="157"/>
        <v>Neutral</v>
      </c>
      <c r="BD349" s="32">
        <f t="shared" si="158"/>
        <v>2</v>
      </c>
      <c r="BE349">
        <f>step3_validation[[#This Row],[AI_OUT1]]</f>
        <v>7</v>
      </c>
      <c r="BF349" t="str">
        <f t="shared" si="159"/>
        <v>Neutral</v>
      </c>
      <c r="BG349">
        <f>survey_responses[[#This Row],[Sau khi xem xét các quyền lợi và nghĩa vụ, bạn có ủng hộ và tuân thủ chính sách mới hiện nay? - HUMAN-OUT1]]</f>
        <v>7</v>
      </c>
      <c r="BH349" t="str">
        <f t="shared" si="160"/>
        <v>Neutral</v>
      </c>
      <c r="BI349" s="32">
        <f t="shared" si="161"/>
        <v>0</v>
      </c>
    </row>
    <row r="350" spans="1:61" x14ac:dyDescent="0.45">
      <c r="A350" s="30">
        <f>step3_validation[[#This Row],[Persona_ID]]</f>
        <v>349</v>
      </c>
      <c r="B350" s="31">
        <f>step3_validation[[#This Row],[Used_Seed]]</f>
        <v>390</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20.550255734505967</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8</v>
      </c>
      <c r="R350" t="str">
        <f t="shared" si="135"/>
        <v>Support</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4</v>
      </c>
      <c r="V350">
        <f>step3_validation[[#This Row],[AI_ENF2]]</f>
        <v>6</v>
      </c>
      <c r="W350" t="str">
        <f t="shared" si="138"/>
        <v>Neutral</v>
      </c>
      <c r="X350">
        <f>survey_responses[[#This Row],[Tôi tin rằng Nhà nước, cơ quan thuế có đủ khả năng và công nghệ để phát hiện, xử lý nghiêm các hành vi trốn thuế. - HUMAN-ENF2]]</f>
        <v>4</v>
      </c>
      <c r="Y350" t="str">
        <f t="shared" si="139"/>
        <v>Oppose</v>
      </c>
      <c r="Z350" s="32">
        <f t="shared" si="140"/>
        <v>2</v>
      </c>
      <c r="AA350">
        <f>step3_validation[[#This Row],[AI_FAC1]]</f>
        <v>9</v>
      </c>
      <c r="AB350" t="str">
        <f t="shared" si="141"/>
        <v>Support</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4</v>
      </c>
      <c r="AF350">
        <f>step3_validation[[#This Row],[AI_FAC2]]</f>
        <v>8</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1</v>
      </c>
      <c r="AK350">
        <f>step3_validation[[#This Row],[AI_TRU1]]</f>
        <v>9</v>
      </c>
      <c r="AL350" t="str">
        <f t="shared" si="147"/>
        <v>Support</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4</v>
      </c>
      <c r="AP350">
        <f>step3_validation[[#This Row],[AI_TRU2]]</f>
        <v>8</v>
      </c>
      <c r="AQ350" t="str">
        <f t="shared" si="150"/>
        <v>Support</v>
      </c>
      <c r="AR350">
        <f>survey_responses[[#This Row],[Tôi thấy mức thuế tôi phải đóng theo phương án mới là công bằng (người thu nhập như tôi đóng mức này là hợp lý). - HUMAN-TRU2]]</f>
        <v>6</v>
      </c>
      <c r="AS350" t="str">
        <f t="shared" si="151"/>
        <v>Neutral</v>
      </c>
      <c r="AT350" s="32">
        <f t="shared" si="152"/>
        <v>2</v>
      </c>
      <c r="AU350">
        <f>step3_validation[[#This Row],[AI_TRU3]]</f>
        <v>9</v>
      </c>
      <c r="AV350" t="str">
        <f t="shared" si="153"/>
        <v>Support</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3</v>
      </c>
      <c r="AZ350">
        <f>step3_validation[[#This Row],[AI_TRU4]]</f>
        <v>7</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1</v>
      </c>
      <c r="BE350">
        <f>step3_validation[[#This Row],[AI_OUT1]]</f>
        <v>9</v>
      </c>
      <c r="BF350" t="str">
        <f t="shared" si="159"/>
        <v>Support</v>
      </c>
      <c r="BG350">
        <f>survey_responses[[#This Row],[Sau khi xem xét các quyền lợi và nghĩa vụ, bạn có ủng hộ và tuân thủ chính sách mới hiện nay? - HUMAN-OUT1]]</f>
        <v>6</v>
      </c>
      <c r="BH350" t="str">
        <f t="shared" si="160"/>
        <v>Neutral</v>
      </c>
      <c r="BI350" s="32">
        <f t="shared" si="161"/>
        <v>3</v>
      </c>
    </row>
    <row r="351" spans="1:61" x14ac:dyDescent="0.45">
      <c r="A351" s="30">
        <f>step3_validation[[#This Row],[Persona_ID]]</f>
        <v>350</v>
      </c>
      <c r="B351" s="31">
        <f>step3_validation[[#This Row],[Used_Seed]]</f>
        <v>391</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27.443779539967906</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6</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1</v>
      </c>
      <c r="V351">
        <f>step3_validation[[#This Row],[AI_ENF2]]</f>
        <v>6</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1</v>
      </c>
      <c r="AA351">
        <f>step3_validation[[#This Row],[AI_FAC1]]</f>
        <v>9</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1</v>
      </c>
      <c r="AF351">
        <f>step3_validation[[#This Row],[AI_FAC2]]</f>
        <v>9</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1</v>
      </c>
      <c r="AK351">
        <f>step3_validation[[#This Row],[AI_TRU1]]</f>
        <v>7</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0</v>
      </c>
      <c r="AP351">
        <f>step3_validation[[#This Row],[AI_TRU2]]</f>
        <v>8</v>
      </c>
      <c r="AQ351" t="str">
        <f t="shared" si="150"/>
        <v>Support</v>
      </c>
      <c r="AR351">
        <f>survey_responses[[#This Row],[Tôi thấy mức thuế tôi phải đóng theo phương án mới là công bằng (người thu nhập như tôi đóng mức này là hợp lý). - HUMAN-TRU2]]</f>
        <v>7</v>
      </c>
      <c r="AS351" t="str">
        <f t="shared" si="151"/>
        <v>Neutral</v>
      </c>
      <c r="AT351" s="32">
        <f t="shared" si="152"/>
        <v>1</v>
      </c>
      <c r="AU351">
        <f>step3_validation[[#This Row],[AI_TRU3]]</f>
        <v>7</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1</v>
      </c>
      <c r="AZ351">
        <f>step3_validation[[#This Row],[AI_TRU4]]</f>
        <v>6</v>
      </c>
      <c r="BA351" t="str">
        <f t="shared" si="156"/>
        <v>Neutral</v>
      </c>
      <c r="BB351">
        <f>survey_responses[[#This Row],[Tôi thấy Nhà nước đã giải thích rõ ràng, minh bạch về lý do và mục tiêu của việc sửa đổi thuế lần này. - HUMAN-TRU4]]</f>
        <v>7</v>
      </c>
      <c r="BC351" t="str">
        <f t="shared" si="157"/>
        <v>Neutral</v>
      </c>
      <c r="BD351" s="32">
        <f t="shared" si="158"/>
        <v>1</v>
      </c>
      <c r="BE351">
        <f>step3_validation[[#This Row],[AI_OUT1]]</f>
        <v>8</v>
      </c>
      <c r="BF351" t="str">
        <f t="shared" si="159"/>
        <v>Support</v>
      </c>
      <c r="BG351">
        <f>survey_responses[[#This Row],[Sau khi xem xét các quyền lợi và nghĩa vụ, bạn có ủng hộ và tuân thủ chính sách mới hiện nay? - HUMAN-OUT1]]</f>
        <v>8</v>
      </c>
      <c r="BH351" t="str">
        <f t="shared" si="160"/>
        <v>Support</v>
      </c>
      <c r="BI351" s="32">
        <f t="shared" si="161"/>
        <v>0</v>
      </c>
    </row>
    <row r="352" spans="1:61" x14ac:dyDescent="0.45">
      <c r="A352" s="30">
        <f>step3_validation[[#This Row],[Persona_ID]]</f>
        <v>351</v>
      </c>
      <c r="B352" s="31">
        <f>step3_validation[[#This Row],[Used_Seed]]</f>
        <v>392</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45.217165741187266</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8</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2">
        <f t="shared" si="140"/>
        <v>0</v>
      </c>
      <c r="AA352">
        <f>step3_validation[[#This Row],[AI_FAC1]]</f>
        <v>9</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3</v>
      </c>
      <c r="AF352">
        <f>step3_validation[[#This Row],[AI_FAC2]]</f>
        <v>10</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3</v>
      </c>
      <c r="AK352">
        <f>step3_validation[[#This Row],[AI_TRU1]]</f>
        <v>7</v>
      </c>
      <c r="AL352" t="str">
        <f t="shared" si="147"/>
        <v>Neutral</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1</v>
      </c>
      <c r="AP352">
        <f>step3_validation[[#This Row],[AI_TRU2]]</f>
        <v>9</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2">
        <f t="shared" si="152"/>
        <v>2</v>
      </c>
      <c r="AU352">
        <f>step3_validation[[#This Row],[AI_TRU3]]</f>
        <v>8</v>
      </c>
      <c r="AV352" t="str">
        <f t="shared" si="153"/>
        <v>Support</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3</v>
      </c>
      <c r="AZ352">
        <f>step3_validation[[#This Row],[AI_TRU4]]</f>
        <v>9</v>
      </c>
      <c r="BA352" t="str">
        <f t="shared" si="156"/>
        <v>Support</v>
      </c>
      <c r="BB352">
        <f>survey_responses[[#This Row],[Tôi thấy Nhà nước đã giải thích rõ ràng, minh bạch về lý do và mục tiêu của việc sửa đổi thuế lần này. - HUMAN-TRU4]]</f>
        <v>7</v>
      </c>
      <c r="BC352" t="str">
        <f t="shared" si="157"/>
        <v>Neutral</v>
      </c>
      <c r="BD352" s="32">
        <f t="shared" si="158"/>
        <v>2</v>
      </c>
      <c r="BE352">
        <f>step3_validation[[#This Row],[AI_OUT1]]</f>
        <v>10</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3</v>
      </c>
    </row>
    <row r="353" spans="1:61" x14ac:dyDescent="0.45">
      <c r="A353" s="30">
        <f>step3_validation[[#This Row],[Persona_ID]]</f>
        <v>352</v>
      </c>
      <c r="B353" s="31">
        <f>step3_validation[[#This Row],[Used_Seed]]</f>
        <v>393</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25.400215426678194</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5</v>
      </c>
      <c r="R353" t="str">
        <f t="shared" si="135"/>
        <v>Neutral</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1</v>
      </c>
      <c r="V353">
        <f>step3_validation[[#This Row],[AI_ENF2]]</f>
        <v>6</v>
      </c>
      <c r="W353" t="str">
        <f t="shared" si="138"/>
        <v>Neutral</v>
      </c>
      <c r="X353">
        <f>survey_responses[[#This Row],[Tôi tin rằng Nhà nước, cơ quan thuế có đủ khả năng và công nghệ để phát hiện, xử lý nghiêm các hành vi trốn thuế. - HUMAN-ENF2]]</f>
        <v>6</v>
      </c>
      <c r="Y353" t="str">
        <f t="shared" si="139"/>
        <v>Neutral</v>
      </c>
      <c r="Z353" s="32">
        <f t="shared" si="140"/>
        <v>0</v>
      </c>
      <c r="AA353">
        <f>step3_validation[[#This Row],[AI_FAC1]]</f>
        <v>8</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0</v>
      </c>
      <c r="AF353">
        <f>step3_validation[[#This Row],[AI_FAC2]]</f>
        <v>9</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2</v>
      </c>
      <c r="AK353">
        <f>step3_validation[[#This Row],[AI_TRU1]]</f>
        <v>7</v>
      </c>
      <c r="AL353" t="str">
        <f t="shared" si="147"/>
        <v>Neutral</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0</v>
      </c>
      <c r="AP353">
        <f>step3_validation[[#This Row],[AI_TRU2]]</f>
        <v>8</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2">
        <f t="shared" si="152"/>
        <v>1</v>
      </c>
      <c r="AU353">
        <f>step3_validation[[#This Row],[AI_TRU3]]</f>
        <v>7</v>
      </c>
      <c r="AV353" t="str">
        <f t="shared" si="153"/>
        <v>Neutral</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2</v>
      </c>
      <c r="AZ353">
        <f>step3_validation[[#This Row],[AI_TRU4]]</f>
        <v>6</v>
      </c>
      <c r="BA353" t="str">
        <f t="shared" si="156"/>
        <v>Neutral</v>
      </c>
      <c r="BB353">
        <f>survey_responses[[#This Row],[Tôi thấy Nhà nước đã giải thích rõ ràng, minh bạch về lý do và mục tiêu của việc sửa đổi thuế lần này. - HUMAN-TRU4]]</f>
        <v>6</v>
      </c>
      <c r="BC353" t="str">
        <f t="shared" si="157"/>
        <v>Neutral</v>
      </c>
      <c r="BD353" s="32">
        <f t="shared" si="158"/>
        <v>0</v>
      </c>
      <c r="BE353">
        <f>step3_validation[[#This Row],[AI_OUT1]]</f>
        <v>9</v>
      </c>
      <c r="BF353" t="str">
        <f t="shared" si="159"/>
        <v>Support</v>
      </c>
      <c r="BG353">
        <f>survey_responses[[#This Row],[Sau khi xem xét các quyền lợi và nghĩa vụ, bạn có ủng hộ và tuân thủ chính sách mới hiện nay? - HUMAN-OUT1]]</f>
        <v>7</v>
      </c>
      <c r="BH353" t="str">
        <f t="shared" si="160"/>
        <v>Neutral</v>
      </c>
      <c r="BI353" s="32">
        <f t="shared" si="161"/>
        <v>2</v>
      </c>
    </row>
    <row r="354" spans="1:61" x14ac:dyDescent="0.45">
      <c r="A354" s="30">
        <f>step3_validation[[#This Row],[Persona_ID]]</f>
        <v>353</v>
      </c>
      <c r="B354" s="31">
        <f>step3_validation[[#This Row],[Used_Seed]]</f>
        <v>394</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96.175741142293276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0</v>
      </c>
      <c r="V354">
        <f>step3_validation[[#This Row],[AI_ENF2]]</f>
        <v>8</v>
      </c>
      <c r="W354" t="str">
        <f t="shared" si="138"/>
        <v>Support</v>
      </c>
      <c r="X354">
        <f>survey_responses[[#This Row],[Tôi tin rằng Nhà nước, cơ quan thuế có đủ khả năng và công nghệ để phát hiện, xử lý nghiêm các hành vi trốn thuế. - HUMAN-ENF2]]</f>
        <v>7</v>
      </c>
      <c r="Y354" t="str">
        <f t="shared" si="139"/>
        <v>Neutral</v>
      </c>
      <c r="Z354" s="32">
        <f t="shared" si="140"/>
        <v>1</v>
      </c>
      <c r="AA354">
        <f>step3_validation[[#This Row],[AI_FAC1]]</f>
        <v>9</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1</v>
      </c>
      <c r="AF354">
        <f>step3_validation[[#This Row],[AI_FAC2]]</f>
        <v>9</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1</v>
      </c>
      <c r="AK354">
        <f>step3_validation[[#This Row],[AI_TRU1]]</f>
        <v>7</v>
      </c>
      <c r="AL354" t="str">
        <f t="shared" si="147"/>
        <v>Neutral</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1</v>
      </c>
      <c r="AP354">
        <f>step3_validation[[#This Row],[AI_TRU2]]</f>
        <v>9</v>
      </c>
      <c r="AQ354" t="str">
        <f t="shared" si="150"/>
        <v>Support</v>
      </c>
      <c r="AR354">
        <f>survey_responses[[#This Row],[Tôi thấy mức thuế tôi phải đóng theo phương án mới là công bằng (người thu nhập như tôi đóng mức này là hợp lý). - HUMAN-TRU2]]</f>
        <v>7</v>
      </c>
      <c r="AS354" t="str">
        <f t="shared" si="151"/>
        <v>Neutral</v>
      </c>
      <c r="AT354" s="32">
        <f t="shared" si="152"/>
        <v>2</v>
      </c>
      <c r="AU354">
        <f>step3_validation[[#This Row],[AI_TRU3]]</f>
        <v>8</v>
      </c>
      <c r="AV354" t="str">
        <f t="shared" si="153"/>
        <v>Support</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3</v>
      </c>
      <c r="AZ354">
        <f>step3_validation[[#This Row],[AI_TRU4]]</f>
        <v>9</v>
      </c>
      <c r="BA354" t="str">
        <f t="shared" si="156"/>
        <v>Support</v>
      </c>
      <c r="BB354">
        <f>survey_responses[[#This Row],[Tôi thấy Nhà nước đã giải thích rõ ràng, minh bạch về lý do và mục tiêu của việc sửa đổi thuế lần này. - HUMAN-TRU4]]</f>
        <v>7</v>
      </c>
      <c r="BC354" t="str">
        <f t="shared" si="157"/>
        <v>Neutral</v>
      </c>
      <c r="BD354" s="32">
        <f t="shared" si="158"/>
        <v>2</v>
      </c>
      <c r="BE354">
        <f>step3_validation[[#This Row],[AI_OUT1]]</f>
        <v>10</v>
      </c>
      <c r="BF354" t="str">
        <f t="shared" si="159"/>
        <v>Support</v>
      </c>
      <c r="BG354">
        <f>survey_responses[[#This Row],[Sau khi xem xét các quyền lợi và nghĩa vụ, bạn có ủng hộ và tuân thủ chính sách mới hiện nay? - HUMAN-OUT1]]</f>
        <v>7</v>
      </c>
      <c r="BH354" t="str">
        <f t="shared" si="160"/>
        <v>Neutral</v>
      </c>
      <c r="BI354" s="32">
        <f t="shared" si="161"/>
        <v>3</v>
      </c>
    </row>
    <row r="355" spans="1:61" x14ac:dyDescent="0.45">
      <c r="A355" s="30">
        <f>step3_validation[[#This Row],[Persona_ID]]</f>
        <v>354</v>
      </c>
      <c r="B355" s="31">
        <f>step3_validation[[#This Row],[Used_Seed]]</f>
        <v>395</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16.334482128975615</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6</v>
      </c>
      <c r="R355" t="str">
        <f t="shared" si="135"/>
        <v>Neutral</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3</v>
      </c>
      <c r="V355">
        <f>step3_validation[[#This Row],[AI_ENF2]]</f>
        <v>7</v>
      </c>
      <c r="W355" t="str">
        <f t="shared" si="138"/>
        <v>Neutral</v>
      </c>
      <c r="X355">
        <f>survey_responses[[#This Row],[Tôi tin rằng Nhà nước, cơ quan thuế có đủ khả năng và công nghệ để phát hiện, xử lý nghiêm các hành vi trốn thuế. - HUMAN-ENF2]]</f>
        <v>9</v>
      </c>
      <c r="Y355" t="str">
        <f t="shared" si="139"/>
        <v>Support</v>
      </c>
      <c r="Z355" s="32">
        <f t="shared" si="140"/>
        <v>2</v>
      </c>
      <c r="AA355">
        <f>step3_validation[[#This Row],[AI_FAC1]]</f>
        <v>9</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1</v>
      </c>
      <c r="AF355">
        <f>step3_validation[[#This Row],[AI_FAC2]]</f>
        <v>8</v>
      </c>
      <c r="AG355" t="str">
        <f t="shared" si="144"/>
        <v>Support</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2</v>
      </c>
      <c r="AK355">
        <f>step3_validation[[#This Row],[AI_TRU1]]</f>
        <v>7</v>
      </c>
      <c r="AL355" t="str">
        <f t="shared" si="147"/>
        <v>Neutral</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2</v>
      </c>
      <c r="AP355">
        <f>step3_validation[[#This Row],[AI_TRU2]]</f>
        <v>9</v>
      </c>
      <c r="AQ355" t="str">
        <f t="shared" si="150"/>
        <v>Support</v>
      </c>
      <c r="AR355">
        <f>survey_responses[[#This Row],[Tôi thấy mức thuế tôi phải đóng theo phương án mới là công bằng (người thu nhập như tôi đóng mức này là hợp lý). - HUMAN-TRU2]]</f>
        <v>10</v>
      </c>
      <c r="AS355" t="str">
        <f t="shared" si="151"/>
        <v>Support</v>
      </c>
      <c r="AT355" s="32">
        <f t="shared" si="152"/>
        <v>1</v>
      </c>
      <c r="AU355">
        <f>step3_validation[[#This Row],[AI_TRU3]]</f>
        <v>8</v>
      </c>
      <c r="AV355" t="str">
        <f t="shared" si="153"/>
        <v>Support</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0</v>
      </c>
      <c r="AZ355">
        <f>step3_validation[[#This Row],[AI_TRU4]]</f>
        <v>9</v>
      </c>
      <c r="BA355" t="str">
        <f t="shared" si="156"/>
        <v>Support</v>
      </c>
      <c r="BB355">
        <f>survey_responses[[#This Row],[Tôi thấy Nhà nước đã giải thích rõ ràng, minh bạch về lý do và mục tiêu của việc sửa đổi thuế lần này. - HUMAN-TRU4]]</f>
        <v>8</v>
      </c>
      <c r="BC355" t="str">
        <f t="shared" si="157"/>
        <v>Support</v>
      </c>
      <c r="BD355" s="32">
        <f t="shared" si="158"/>
        <v>1</v>
      </c>
      <c r="BE355">
        <f>step3_validation[[#This Row],[AI_OUT1]]</f>
        <v>8</v>
      </c>
      <c r="BF355" t="str">
        <f t="shared" si="159"/>
        <v>Support</v>
      </c>
      <c r="BG355">
        <f>survey_responses[[#This Row],[Sau khi xem xét các quyền lợi và nghĩa vụ, bạn có ủng hộ và tuân thủ chính sách mới hiện nay? - HUMAN-OUT1]]</f>
        <v>9</v>
      </c>
      <c r="BH355" t="str">
        <f t="shared" si="160"/>
        <v>Support</v>
      </c>
      <c r="BI355" s="32">
        <f t="shared" si="161"/>
        <v>1</v>
      </c>
    </row>
    <row r="356" spans="1:61" x14ac:dyDescent="0.45">
      <c r="A356" s="30">
        <f>step3_validation[[#This Row],[Persona_ID]]</f>
        <v>355</v>
      </c>
      <c r="B356" s="31">
        <f>step3_validation[[#This Row],[Used_Seed]]</f>
        <v>396</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12.946648626423238</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0</v>
      </c>
      <c r="V356">
        <f>step3_validation[[#This Row],[AI_ENF2]]</f>
        <v>7</v>
      </c>
      <c r="W356" t="str">
        <f t="shared" si="138"/>
        <v>Neutral</v>
      </c>
      <c r="X356">
        <f>survey_responses[[#This Row],[Tôi tin rằng Nhà nước, cơ quan thuế có đủ khả năng và công nghệ để phát hiện, xử lý nghiêm các hành vi trốn thuế. - HUMAN-ENF2]]</f>
        <v>8</v>
      </c>
      <c r="Y356" t="str">
        <f t="shared" si="139"/>
        <v>Support</v>
      </c>
      <c r="Z356" s="32">
        <f t="shared" si="140"/>
        <v>1</v>
      </c>
      <c r="AA356">
        <f>step3_validation[[#This Row],[AI_FAC1]]</f>
        <v>9</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1</v>
      </c>
      <c r="AF356">
        <f>step3_validation[[#This Row],[AI_FAC2]]</f>
        <v>8</v>
      </c>
      <c r="AG356" t="str">
        <f t="shared" si="144"/>
        <v>Support</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1</v>
      </c>
      <c r="AK356">
        <f>step3_validation[[#This Row],[AI_TRU1]]</f>
        <v>9</v>
      </c>
      <c r="AL356" t="str">
        <f t="shared" si="147"/>
        <v>Support</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1</v>
      </c>
      <c r="AP356">
        <f>step3_validation[[#This Row],[AI_TRU2]]</f>
        <v>8</v>
      </c>
      <c r="AQ356" t="str">
        <f t="shared" si="150"/>
        <v>Support</v>
      </c>
      <c r="AR356">
        <f>survey_responses[[#This Row],[Tôi thấy mức thuế tôi phải đóng theo phương án mới là công bằng (người thu nhập như tôi đóng mức này là hợp lý). - HUMAN-TRU2]]</f>
        <v>10</v>
      </c>
      <c r="AS356" t="str">
        <f t="shared" si="151"/>
        <v>Support</v>
      </c>
      <c r="AT356" s="32">
        <f t="shared" si="152"/>
        <v>2</v>
      </c>
      <c r="AU356">
        <f>step3_validation[[#This Row],[AI_TRU3]]</f>
        <v>9</v>
      </c>
      <c r="AV356" t="str">
        <f t="shared" si="153"/>
        <v>Support</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1</v>
      </c>
      <c r="AZ356">
        <f>step3_validation[[#This Row],[AI_TRU4]]</f>
        <v>7</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1</v>
      </c>
      <c r="BE356">
        <f>step3_validation[[#This Row],[AI_OUT1]]</f>
        <v>8</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1</v>
      </c>
    </row>
    <row r="357" spans="1:61" x14ac:dyDescent="0.45">
      <c r="A357" s="30">
        <f>step3_validation[[#This Row],[Persona_ID]]</f>
        <v>356</v>
      </c>
      <c r="B357" s="31">
        <f>step3_validation[[#This Row],[Used_Seed]]</f>
        <v>397</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16.375265889761035</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8</v>
      </c>
      <c r="R357" t="str">
        <f t="shared" si="135"/>
        <v>Support</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1</v>
      </c>
      <c r="V357">
        <f>step3_validation[[#This Row],[AI_ENF2]]</f>
        <v>8</v>
      </c>
      <c r="W357" t="str">
        <f t="shared" si="138"/>
        <v>Support</v>
      </c>
      <c r="X357">
        <f>survey_responses[[#This Row],[Tôi tin rằng Nhà nước, cơ quan thuế có đủ khả năng và công nghệ để phát hiện, xử lý nghiêm các hành vi trốn thuế. - HUMAN-ENF2]]</f>
        <v>7</v>
      </c>
      <c r="Y357" t="str">
        <f t="shared" si="139"/>
        <v>Neutral</v>
      </c>
      <c r="Z357" s="32">
        <f t="shared" si="140"/>
        <v>1</v>
      </c>
      <c r="AA357">
        <f>step3_validation[[#This Row],[AI_FAC1]]</f>
        <v>7</v>
      </c>
      <c r="AB357" t="str">
        <f t="shared" si="141"/>
        <v>Neutral</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1</v>
      </c>
      <c r="AF357">
        <f>step3_validation[[#This Row],[AI_FAC2]]</f>
        <v>9</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1</v>
      </c>
      <c r="AK357">
        <f>step3_validation[[#This Row],[AI_TRU1]]</f>
        <v>8</v>
      </c>
      <c r="AL357" t="str">
        <f t="shared" si="147"/>
        <v>Support</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1</v>
      </c>
      <c r="AP357">
        <f>step3_validation[[#This Row],[AI_TRU2]]</f>
        <v>9</v>
      </c>
      <c r="AQ357" t="str">
        <f t="shared" si="150"/>
        <v>Support</v>
      </c>
      <c r="AR357">
        <f>survey_responses[[#This Row],[Tôi thấy mức thuế tôi phải đóng theo phương án mới là công bằng (người thu nhập như tôi đóng mức này là hợp lý). - HUMAN-TRU2]]</f>
        <v>10</v>
      </c>
      <c r="AS357" t="str">
        <f t="shared" si="151"/>
        <v>Support</v>
      </c>
      <c r="AT357" s="32">
        <f t="shared" si="152"/>
        <v>1</v>
      </c>
      <c r="AU357">
        <f>step3_validation[[#This Row],[AI_TRU3]]</f>
        <v>7</v>
      </c>
      <c r="AV357" t="str">
        <f t="shared" si="153"/>
        <v>Neutral</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1</v>
      </c>
      <c r="AZ357">
        <f>step3_validation[[#This Row],[AI_TRU4]]</f>
        <v>8</v>
      </c>
      <c r="BA357" t="str">
        <f t="shared" si="156"/>
        <v>Support</v>
      </c>
      <c r="BB357">
        <f>survey_responses[[#This Row],[Tôi thấy Nhà nước đã giải thích rõ ràng, minh bạch về lý do và mục tiêu của việc sửa đổi thuế lần này. - HUMAN-TRU4]]</f>
        <v>8</v>
      </c>
      <c r="BC357" t="str">
        <f t="shared" si="157"/>
        <v>Support</v>
      </c>
      <c r="BD357" s="32">
        <f t="shared" si="158"/>
        <v>0</v>
      </c>
      <c r="BE357">
        <f>step3_validation[[#This Row],[AI_OUT1]]</f>
        <v>9</v>
      </c>
      <c r="BF357" t="str">
        <f t="shared" si="159"/>
        <v>Support</v>
      </c>
      <c r="BG357">
        <f>survey_responses[[#This Row],[Sau khi xem xét các quyền lợi và nghĩa vụ, bạn có ủng hộ và tuân thủ chính sách mới hiện nay? - HUMAN-OUT1]]</f>
        <v>10</v>
      </c>
      <c r="BH357" t="str">
        <f t="shared" si="160"/>
        <v>Support</v>
      </c>
      <c r="BI357" s="32">
        <f t="shared" si="161"/>
        <v>1</v>
      </c>
    </row>
    <row r="358" spans="1:61" x14ac:dyDescent="0.45">
      <c r="A358" s="30">
        <f>step3_validation[[#This Row],[Persona_ID]]</f>
        <v>357</v>
      </c>
      <c r="B358" s="31">
        <f>step3_validation[[#This Row],[Used_Seed]]</f>
        <v>398</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26.747151426270499</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8</v>
      </c>
      <c r="R358" t="str">
        <f t="shared" si="135"/>
        <v>Support</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1</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9</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0</v>
      </c>
      <c r="AK358">
        <f>step3_validation[[#This Row],[AI_TRU1]]</f>
        <v>7</v>
      </c>
      <c r="AL358" t="str">
        <f t="shared" si="147"/>
        <v>Neutral</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1</v>
      </c>
      <c r="AP358">
        <f>step3_validation[[#This Row],[AI_TRU2]]</f>
        <v>8</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2">
        <f t="shared" si="152"/>
        <v>0</v>
      </c>
      <c r="AU358">
        <f>step3_validation[[#This Row],[AI_TRU3]]</f>
        <v>7</v>
      </c>
      <c r="AV358" t="str">
        <f t="shared" si="153"/>
        <v>Neutral</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0</v>
      </c>
      <c r="AZ358">
        <f>step3_validation[[#This Row],[AI_TRU4]]</f>
        <v>8</v>
      </c>
      <c r="BA358" t="str">
        <f t="shared" si="156"/>
        <v>Support</v>
      </c>
      <c r="BB358">
        <f>survey_responses[[#This Row],[Tôi thấy Nhà nước đã giải thích rõ ràng, minh bạch về lý do và mục tiêu của việc sửa đổi thuế lần này. - HUMAN-TRU4]]</f>
        <v>7</v>
      </c>
      <c r="BC358" t="str">
        <f t="shared" si="157"/>
        <v>Neutral</v>
      </c>
      <c r="BD358" s="32">
        <f t="shared" si="158"/>
        <v>1</v>
      </c>
      <c r="BE358">
        <f>step3_validation[[#This Row],[AI_OUT1]]</f>
        <v>9</v>
      </c>
      <c r="BF358" t="str">
        <f t="shared" si="159"/>
        <v>Support</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399</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15.530543139297841</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8</v>
      </c>
      <c r="R359" t="str">
        <f t="shared" si="135"/>
        <v>Support</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7</v>
      </c>
      <c r="W359" t="str">
        <f t="shared" si="138"/>
        <v>Neutral</v>
      </c>
      <c r="X359">
        <f>survey_responses[[#This Row],[Tôi tin rằng Nhà nước, cơ quan thuế có đủ khả năng và công nghệ để phát hiện, xử lý nghiêm các hành vi trốn thuế. - HUMAN-ENF2]]</f>
        <v>7</v>
      </c>
      <c r="Y359" t="str">
        <f t="shared" si="139"/>
        <v>Neutral</v>
      </c>
      <c r="Z359" s="32">
        <f t="shared" si="140"/>
        <v>0</v>
      </c>
      <c r="AA359">
        <f>step3_validation[[#This Row],[AI_FAC1]]</f>
        <v>9</v>
      </c>
      <c r="AB359" t="str">
        <f t="shared" si="141"/>
        <v>Support</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2</v>
      </c>
      <c r="AF359">
        <f>step3_validation[[#This Row],[AI_FAC2]]</f>
        <v>8</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0</v>
      </c>
      <c r="AK359">
        <f>step3_validation[[#This Row],[AI_TRU1]]</f>
        <v>9</v>
      </c>
      <c r="AL359" t="str">
        <f t="shared" si="147"/>
        <v>Support</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2</v>
      </c>
      <c r="AP359">
        <f>step3_validation[[#This Row],[AI_TRU2]]</f>
        <v>8</v>
      </c>
      <c r="AQ359" t="str">
        <f t="shared" si="150"/>
        <v>Support</v>
      </c>
      <c r="AR359">
        <f>survey_responses[[#This Row],[Tôi thấy mức thuế tôi phải đóng theo phương án mới là công bằng (người thu nhập như tôi đóng mức này là hợp lý). - HUMAN-TRU2]]</f>
        <v>9</v>
      </c>
      <c r="AS359" t="str">
        <f t="shared" si="151"/>
        <v>Support</v>
      </c>
      <c r="AT359" s="32">
        <f t="shared" si="152"/>
        <v>1</v>
      </c>
      <c r="AU359">
        <f>step3_validation[[#This Row],[AI_TRU3]]</f>
        <v>9</v>
      </c>
      <c r="AV359" t="str">
        <f t="shared" si="153"/>
        <v>Support</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1</v>
      </c>
      <c r="AZ359">
        <f>step3_validation[[#This Row],[AI_TRU4]]</f>
        <v>8</v>
      </c>
      <c r="BA359" t="str">
        <f t="shared" si="156"/>
        <v>Support</v>
      </c>
      <c r="BB359">
        <f>survey_responses[[#This Row],[Tôi thấy Nhà nước đã giải thích rõ ràng, minh bạch về lý do và mục tiêu của việc sửa đổi thuế lần này. - HUMAN-TRU4]]</f>
        <v>8</v>
      </c>
      <c r="BC359" t="str">
        <f t="shared" si="157"/>
        <v>Support</v>
      </c>
      <c r="BD359" s="32">
        <f t="shared" si="158"/>
        <v>0</v>
      </c>
      <c r="BE359">
        <f>step3_validation[[#This Row],[AI_OUT1]]</f>
        <v>9</v>
      </c>
      <c r="BF359" t="str">
        <f t="shared" si="159"/>
        <v>Support</v>
      </c>
      <c r="BG359">
        <f>survey_responses[[#This Row],[Sau khi xem xét các quyền lợi và nghĩa vụ, bạn có ủng hộ và tuân thủ chính sách mới hiện nay? - HUMAN-OUT1]]</f>
        <v>8</v>
      </c>
      <c r="BH359" t="str">
        <f t="shared" si="160"/>
        <v>Support</v>
      </c>
      <c r="BI359" s="32">
        <f t="shared" si="161"/>
        <v>1</v>
      </c>
    </row>
    <row r="360" spans="1:61" x14ac:dyDescent="0.45">
      <c r="A360" s="30">
        <f>step3_validation[[#This Row],[Persona_ID]]</f>
        <v>359</v>
      </c>
      <c r="B360" s="31">
        <f>step3_validation[[#This Row],[Used_Seed]]</f>
        <v>400</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20.485635072954015</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3</v>
      </c>
      <c r="V360">
        <f>step3_validation[[#This Row],[AI_ENF2]]</f>
        <v>8</v>
      </c>
      <c r="W360" t="str">
        <f t="shared" si="138"/>
        <v>Support</v>
      </c>
      <c r="X360">
        <f>survey_responses[[#This Row],[Tôi tin rằng Nhà nước, cơ quan thuế có đủ khả năng và công nghệ để phát hiện, xử lý nghiêm các hành vi trốn thuế. - HUMAN-ENF2]]</f>
        <v>5</v>
      </c>
      <c r="Y360" t="str">
        <f t="shared" si="139"/>
        <v>Neutral</v>
      </c>
      <c r="Z360" s="32">
        <f t="shared" si="140"/>
        <v>3</v>
      </c>
      <c r="AA360">
        <f>step3_validation[[#This Row],[AI_FAC1]]</f>
        <v>9</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3</v>
      </c>
      <c r="AF360">
        <f>step3_validation[[#This Row],[AI_FAC2]]</f>
        <v>8</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1</v>
      </c>
      <c r="AK360">
        <f>step3_validation[[#This Row],[AI_TRU1]]</f>
        <v>9</v>
      </c>
      <c r="AL360" t="str">
        <f t="shared" si="147"/>
        <v>Support</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2</v>
      </c>
      <c r="AP360">
        <f>step3_validation[[#This Row],[AI_TRU2]]</f>
        <v>9</v>
      </c>
      <c r="AQ360" t="str">
        <f t="shared" si="150"/>
        <v>Support</v>
      </c>
      <c r="AR360">
        <f>survey_responses[[#This Row],[Tôi thấy mức thuế tôi phải đóng theo phương án mới là công bằng (người thu nhập như tôi đóng mức này là hợp lý). - HUMAN-TRU2]]</f>
        <v>6</v>
      </c>
      <c r="AS360" t="str">
        <f t="shared" si="151"/>
        <v>Neutral</v>
      </c>
      <c r="AT360" s="32">
        <f t="shared" si="152"/>
        <v>3</v>
      </c>
      <c r="AU360">
        <f>step3_validation[[#This Row],[AI_TRU3]]</f>
        <v>8</v>
      </c>
      <c r="AV360" t="str">
        <f t="shared" si="153"/>
        <v>Support</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4</v>
      </c>
      <c r="AZ360">
        <f>step3_validation[[#This Row],[AI_TRU4]]</f>
        <v>9</v>
      </c>
      <c r="BA360" t="str">
        <f t="shared" si="156"/>
        <v>Support</v>
      </c>
      <c r="BB360">
        <f>survey_responses[[#This Row],[Tôi thấy Nhà nước đã giải thích rõ ràng, minh bạch về lý do và mục tiêu của việc sửa đổi thuế lần này. - HUMAN-TRU4]]</f>
        <v>6</v>
      </c>
      <c r="BC360" t="str">
        <f t="shared" si="157"/>
        <v>Neutral</v>
      </c>
      <c r="BD360" s="32">
        <f t="shared" si="158"/>
        <v>3</v>
      </c>
      <c r="BE360">
        <f>step3_validation[[#This Row],[AI_OUT1]]</f>
        <v>10</v>
      </c>
      <c r="BF360" t="str">
        <f t="shared" si="159"/>
        <v>Support</v>
      </c>
      <c r="BG360">
        <f>survey_responses[[#This Row],[Sau khi xem xét các quyền lợi và nghĩa vụ, bạn có ủng hộ và tuân thủ chính sách mới hiện nay? - HUMAN-OUT1]]</f>
        <v>7</v>
      </c>
      <c r="BH360" t="str">
        <f t="shared" si="160"/>
        <v>Neutral</v>
      </c>
      <c r="BI360" s="32">
        <f t="shared" si="161"/>
        <v>3</v>
      </c>
    </row>
    <row r="361" spans="1:61" x14ac:dyDescent="0.45">
      <c r="A361" s="30">
        <f>step3_validation[[#This Row],[Persona_ID]]</f>
        <v>360</v>
      </c>
      <c r="B361" s="31">
        <f>step3_validation[[#This Row],[Used_Seed]]</f>
        <v>401</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20.857630152997423</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9</v>
      </c>
      <c r="R361" t="str">
        <f t="shared" si="135"/>
        <v>Support</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0</v>
      </c>
      <c r="V361">
        <f>step3_validation[[#This Row],[AI_ENF2]]</f>
        <v>8</v>
      </c>
      <c r="W361" t="str">
        <f t="shared" si="138"/>
        <v>Support</v>
      </c>
      <c r="X361">
        <f>survey_responses[[#This Row],[Tôi tin rằng Nhà nước, cơ quan thuế có đủ khả năng và công nghệ để phát hiện, xử lý nghiêm các hành vi trốn thuế. - HUMAN-ENF2]]</f>
        <v>8</v>
      </c>
      <c r="Y361" t="str">
        <f t="shared" si="139"/>
        <v>Support</v>
      </c>
      <c r="Z361" s="32">
        <f t="shared" si="140"/>
        <v>0</v>
      </c>
      <c r="AA361">
        <f>step3_validation[[#This Row],[AI_FAC1]]</f>
        <v>7</v>
      </c>
      <c r="AB361" t="str">
        <f t="shared" si="141"/>
        <v>Neutral</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1</v>
      </c>
      <c r="AF361">
        <f>step3_validation[[#This Row],[AI_FAC2]]</f>
        <v>8</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0</v>
      </c>
      <c r="AK361">
        <f>step3_validation[[#This Row],[AI_TRU1]]</f>
        <v>9</v>
      </c>
      <c r="AL361" t="str">
        <f t="shared" si="147"/>
        <v>Support</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2</v>
      </c>
      <c r="AP361">
        <f>step3_validation[[#This Row],[AI_TRU2]]</f>
        <v>8</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9</v>
      </c>
      <c r="AV361" t="str">
        <f t="shared" si="153"/>
        <v>Support</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3</v>
      </c>
      <c r="AZ361">
        <f>step3_validation[[#This Row],[AI_TRU4]]</f>
        <v>8</v>
      </c>
      <c r="BA361" t="str">
        <f t="shared" si="156"/>
        <v>Support</v>
      </c>
      <c r="BB361">
        <f>survey_responses[[#This Row],[Tôi thấy Nhà nước đã giải thích rõ ràng, minh bạch về lý do và mục tiêu của việc sửa đổi thuế lần này. - HUMAN-TRU4]]</f>
        <v>7</v>
      </c>
      <c r="BC361" t="str">
        <f t="shared" si="157"/>
        <v>Neutral</v>
      </c>
      <c r="BD361" s="32">
        <f t="shared" si="158"/>
        <v>1</v>
      </c>
      <c r="BE361">
        <f>step3_validation[[#This Row],[AI_OUT1]]</f>
        <v>9</v>
      </c>
      <c r="BF361" t="str">
        <f t="shared" si="159"/>
        <v>Support</v>
      </c>
      <c r="BG361">
        <f>survey_responses[[#This Row],[Sau khi xem xét các quyền lợi và nghĩa vụ, bạn có ủng hộ và tuân thủ chính sách mới hiện nay? - HUMAN-OUT1]]</f>
        <v>8</v>
      </c>
      <c r="BH361" t="str">
        <f t="shared" si="160"/>
        <v>Support</v>
      </c>
      <c r="BI361" s="32">
        <f t="shared" si="161"/>
        <v>1</v>
      </c>
    </row>
    <row r="362" spans="1:61" x14ac:dyDescent="0.45">
      <c r="A362" s="30">
        <f>step3_validation[[#This Row],[Persona_ID]]</f>
        <v>361</v>
      </c>
      <c r="B362" s="31">
        <f>step3_validation[[#This Row],[Used_Seed]]</f>
        <v>402</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7</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0</v>
      </c>
      <c r="V362">
        <f>step3_validation[[#This Row],[AI_ENF2]]</f>
        <v>8</v>
      </c>
      <c r="W362" t="str">
        <f t="shared" si="138"/>
        <v>Support</v>
      </c>
      <c r="X362">
        <f>survey_responses[[#This Row],[Tôi tin rằng Nhà nước, cơ quan thuế có đủ khả năng và công nghệ để phát hiện, xử lý nghiêm các hành vi trốn thuế. - HUMAN-ENF2]]</f>
        <v>7</v>
      </c>
      <c r="Y362" t="str">
        <f t="shared" si="139"/>
        <v>Neutral</v>
      </c>
      <c r="Z362" s="32">
        <f t="shared" si="140"/>
        <v>1</v>
      </c>
      <c r="AA362">
        <f>step3_validation[[#This Row],[AI_FAC1]]</f>
        <v>6</v>
      </c>
      <c r="AB362" t="str">
        <f t="shared" si="141"/>
        <v>Neutral</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2</v>
      </c>
      <c r="AF362">
        <f>step3_validation[[#This Row],[AI_FAC2]]</f>
        <v>9</v>
      </c>
      <c r="AG362" t="str">
        <f t="shared" si="144"/>
        <v>Support</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0</v>
      </c>
      <c r="AK362">
        <f>step3_validation[[#This Row],[AI_TRU1]]</f>
        <v>7</v>
      </c>
      <c r="AL362" t="str">
        <f t="shared" si="147"/>
        <v>Neutral</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0</v>
      </c>
      <c r="AP362">
        <f>step3_validation[[#This Row],[AI_TRU2]]</f>
        <v>9</v>
      </c>
      <c r="AQ362" t="str">
        <f t="shared" si="150"/>
        <v>Support</v>
      </c>
      <c r="AR362">
        <f>survey_responses[[#This Row],[Tôi thấy mức thuế tôi phải đóng theo phương án mới là công bằng (người thu nhập như tôi đóng mức này là hợp lý). - HUMAN-TRU2]]</f>
        <v>10</v>
      </c>
      <c r="AS362" t="str">
        <f t="shared" si="151"/>
        <v>Support</v>
      </c>
      <c r="AT362" s="32">
        <f t="shared" si="152"/>
        <v>1</v>
      </c>
      <c r="AU362">
        <f>step3_validation[[#This Row],[AI_TRU3]]</f>
        <v>8</v>
      </c>
      <c r="AV362" t="str">
        <f t="shared" si="153"/>
        <v>Support</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0</v>
      </c>
      <c r="AZ362">
        <f>step3_validation[[#This Row],[AI_TRU4]]</f>
        <v>7</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1</v>
      </c>
      <c r="BE362">
        <f>step3_validation[[#This Row],[AI_OUT1]]</f>
        <v>8</v>
      </c>
      <c r="BF362" t="str">
        <f t="shared" si="159"/>
        <v>Support</v>
      </c>
      <c r="BG362">
        <f>survey_responses[[#This Row],[Sau khi xem xét các quyền lợi và nghĩa vụ, bạn có ủng hộ và tuân thủ chính sách mới hiện nay? - HUMAN-OUT1]]</f>
        <v>10</v>
      </c>
      <c r="BH362" t="str">
        <f t="shared" si="160"/>
        <v>Support</v>
      </c>
      <c r="BI362" s="32">
        <f t="shared" si="161"/>
        <v>2</v>
      </c>
    </row>
    <row r="363" spans="1:61" x14ac:dyDescent="0.45">
      <c r="A363" s="30">
        <f>step3_validation[[#This Row],[Persona_ID]]</f>
        <v>362</v>
      </c>
      <c r="B363" s="31">
        <f>step3_validation[[#This Row],[Used_Seed]]</f>
        <v>403</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13.205822112677556</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7</v>
      </c>
      <c r="R363" t="str">
        <f t="shared" si="135"/>
        <v>Neutral</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4</v>
      </c>
      <c r="V363">
        <f>step3_validation[[#This Row],[AI_ENF2]]</f>
        <v>8</v>
      </c>
      <c r="W363" t="str">
        <f t="shared" si="138"/>
        <v>Support</v>
      </c>
      <c r="X363">
        <f>survey_responses[[#This Row],[Tôi tin rằng Nhà nước, cơ quan thuế có đủ khả năng và công nghệ để phát hiện, xử lý nghiêm các hành vi trốn thuế. - HUMAN-ENF2]]</f>
        <v>3</v>
      </c>
      <c r="Y363" t="str">
        <f t="shared" si="139"/>
        <v>Oppose</v>
      </c>
      <c r="Z363" s="32">
        <f t="shared" si="140"/>
        <v>5</v>
      </c>
      <c r="AA363">
        <f>step3_validation[[#This Row],[AI_FAC1]]</f>
        <v>9</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4</v>
      </c>
      <c r="AF363">
        <f>step3_validation[[#This Row],[AI_FAC2]]</f>
        <v>10</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4</v>
      </c>
      <c r="AK363">
        <f>step3_validation[[#This Row],[AI_TRU1]]</f>
        <v>8</v>
      </c>
      <c r="AL363" t="str">
        <f t="shared" si="147"/>
        <v>Support</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3</v>
      </c>
      <c r="AP363">
        <f>step3_validation[[#This Row],[AI_TRU2]]</f>
        <v>9</v>
      </c>
      <c r="AQ363" t="str">
        <f t="shared" si="150"/>
        <v>Support</v>
      </c>
      <c r="AR363">
        <f>survey_responses[[#This Row],[Tôi thấy mức thuế tôi phải đóng theo phương án mới là công bằng (người thu nhập như tôi đóng mức này là hợp lý). - HUMAN-TRU2]]</f>
        <v>6</v>
      </c>
      <c r="AS363" t="str">
        <f t="shared" si="151"/>
        <v>Neutral</v>
      </c>
      <c r="AT363" s="32">
        <f t="shared" si="152"/>
        <v>3</v>
      </c>
      <c r="AU363">
        <f>step3_validation[[#This Row],[AI_TRU3]]</f>
        <v>8</v>
      </c>
      <c r="AV363" t="str">
        <f t="shared" si="153"/>
        <v>Support</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4</v>
      </c>
      <c r="AZ363">
        <f>step3_validation[[#This Row],[AI_TRU4]]</f>
        <v>7</v>
      </c>
      <c r="BA363" t="str">
        <f t="shared" si="156"/>
        <v>Neutral</v>
      </c>
      <c r="BB363">
        <f>survey_responses[[#This Row],[Tôi thấy Nhà nước đã giải thích rõ ràng, minh bạch về lý do và mục tiêu của việc sửa đổi thuế lần này. - HUMAN-TRU4]]</f>
        <v>6</v>
      </c>
      <c r="BC363" t="str">
        <f t="shared" si="157"/>
        <v>Neutral</v>
      </c>
      <c r="BD363" s="32">
        <f t="shared" si="158"/>
        <v>1</v>
      </c>
      <c r="BE363">
        <f>step3_validation[[#This Row],[AI_OUT1]]</f>
        <v>9</v>
      </c>
      <c r="BF363" t="str">
        <f t="shared" si="159"/>
        <v>Support</v>
      </c>
      <c r="BG363">
        <f>survey_responses[[#This Row],[Sau khi xem xét các quyền lợi và nghĩa vụ, bạn có ủng hộ và tuân thủ chính sách mới hiện nay? - HUMAN-OUT1]]</f>
        <v>6</v>
      </c>
      <c r="BH363" t="str">
        <f t="shared" si="160"/>
        <v>Neutral</v>
      </c>
      <c r="BI363" s="32">
        <f t="shared" si="161"/>
        <v>3</v>
      </c>
    </row>
    <row r="364" spans="1:61" x14ac:dyDescent="0.45">
      <c r="A364" s="30">
        <f>step3_validation[[#This Row],[Persona_ID]]</f>
        <v>363</v>
      </c>
      <c r="B364" s="31">
        <f>step3_validation[[#This Row],[Used_Seed]]</f>
        <v>404</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25.535590056170005</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1</v>
      </c>
      <c r="V364">
        <f>step3_validation[[#This Row],[AI_ENF2]]</f>
        <v>8</v>
      </c>
      <c r="W364" t="str">
        <f t="shared" si="138"/>
        <v>Support</v>
      </c>
      <c r="X364">
        <f>survey_responses[[#This Row],[Tôi tin rằng Nhà nước, cơ quan thuế có đủ khả năng và công nghệ để phát hiện, xử lý nghiêm các hành vi trốn thuế. - HUMAN-ENF2]]</f>
        <v>8</v>
      </c>
      <c r="Y364" t="str">
        <f t="shared" si="139"/>
        <v>Support</v>
      </c>
      <c r="Z364" s="32">
        <f t="shared" si="140"/>
        <v>0</v>
      </c>
      <c r="AA364">
        <f>step3_validation[[#This Row],[AI_FAC1]]</f>
        <v>9</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4</v>
      </c>
      <c r="AF364">
        <f>step3_validation[[#This Row],[AI_FAC2]]</f>
        <v>9</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2</v>
      </c>
      <c r="AK364">
        <f>step3_validation[[#This Row],[AI_TRU1]]</f>
        <v>7</v>
      </c>
      <c r="AL364" t="str">
        <f t="shared" si="147"/>
        <v>Neutral</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2</v>
      </c>
      <c r="AP364">
        <f>step3_validation[[#This Row],[AI_TRU2]]</f>
        <v>9</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2">
        <f t="shared" si="152"/>
        <v>1</v>
      </c>
      <c r="AU364">
        <f>step3_validation[[#This Row],[AI_TRU3]]</f>
        <v>7</v>
      </c>
      <c r="AV364" t="str">
        <f t="shared" si="153"/>
        <v>Neutral</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2</v>
      </c>
      <c r="AZ364">
        <f>step3_validation[[#This Row],[AI_TRU4]]</f>
        <v>8</v>
      </c>
      <c r="BA364" t="str">
        <f t="shared" si="156"/>
        <v>Support</v>
      </c>
      <c r="BB364">
        <f>survey_responses[[#This Row],[Tôi thấy Nhà nước đã giải thích rõ ràng, minh bạch về lý do và mục tiêu của việc sửa đổi thuế lần này. - HUMAN-TRU4]]</f>
        <v>7</v>
      </c>
      <c r="BC364" t="str">
        <f t="shared" si="157"/>
        <v>Neutral</v>
      </c>
      <c r="BD364" s="32">
        <f t="shared" si="158"/>
        <v>1</v>
      </c>
      <c r="BE364">
        <f>step3_validation[[#This Row],[AI_OUT1]]</f>
        <v>9</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1</v>
      </c>
    </row>
    <row r="365" spans="1:61" x14ac:dyDescent="0.45">
      <c r="A365" s="30">
        <f>step3_validation[[#This Row],[Persona_ID]]</f>
        <v>364</v>
      </c>
      <c r="B365" s="31">
        <f>step3_validation[[#This Row],[Used_Seed]]</f>
        <v>405</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20.537112224734702</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2</v>
      </c>
      <c r="V365">
        <f>step3_validation[[#This Row],[AI_ENF2]]</f>
        <v>6</v>
      </c>
      <c r="W365" t="str">
        <f t="shared" si="138"/>
        <v>Neutral</v>
      </c>
      <c r="X365">
        <f>survey_responses[[#This Row],[Tôi tin rằng Nhà nước, cơ quan thuế có đủ khả năng và công nghệ để phát hiện, xử lý nghiêm các hành vi trốn thuế. - HUMAN-ENF2]]</f>
        <v>5</v>
      </c>
      <c r="Y365" t="str">
        <f t="shared" si="139"/>
        <v>Neutral</v>
      </c>
      <c r="Z365" s="32">
        <f t="shared" si="140"/>
        <v>1</v>
      </c>
      <c r="AA365">
        <f>step3_validation[[#This Row],[AI_FAC1]]</f>
        <v>9</v>
      </c>
      <c r="AB365" t="str">
        <f t="shared" si="141"/>
        <v>Support</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4</v>
      </c>
      <c r="AF365">
        <f>step3_validation[[#This Row],[AI_FAC2]]</f>
        <v>8</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1</v>
      </c>
      <c r="AK365">
        <f>step3_validation[[#This Row],[AI_TRU1]]</f>
        <v>7</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2</v>
      </c>
      <c r="AP365">
        <f>step3_validation[[#This Row],[AI_TRU2]]</f>
        <v>8</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2">
        <f t="shared" si="152"/>
        <v>1</v>
      </c>
      <c r="AU365">
        <f>step3_validation[[#This Row],[AI_TRU3]]</f>
        <v>7</v>
      </c>
      <c r="AV365" t="str">
        <f t="shared" si="153"/>
        <v>Neutral</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2</v>
      </c>
      <c r="AZ365">
        <f>step3_validation[[#This Row],[AI_TRU4]]</f>
        <v>6</v>
      </c>
      <c r="BA365" t="str">
        <f t="shared" si="156"/>
        <v>Neutral</v>
      </c>
      <c r="BB365">
        <f>survey_responses[[#This Row],[Tôi thấy Nhà nước đã giải thích rõ ràng, minh bạch về lý do và mục tiêu của việc sửa đổi thuế lần này. - HUMAN-TRU4]]</f>
        <v>6</v>
      </c>
      <c r="BC365" t="str">
        <f t="shared" si="157"/>
        <v>Neutral</v>
      </c>
      <c r="BD365" s="32">
        <f t="shared" si="158"/>
        <v>0</v>
      </c>
      <c r="BE365">
        <f>step3_validation[[#This Row],[AI_OUT1]]</f>
        <v>8</v>
      </c>
      <c r="BF365" t="str">
        <f t="shared" si="159"/>
        <v>Support</v>
      </c>
      <c r="BG365">
        <f>survey_responses[[#This Row],[Sau khi xem xét các quyền lợi và nghĩa vụ, bạn có ủng hộ và tuân thủ chính sách mới hiện nay? - HUMAN-OUT1]]</f>
        <v>7</v>
      </c>
      <c r="BH365" t="str">
        <f t="shared" si="160"/>
        <v>Neutral</v>
      </c>
      <c r="BI365" s="32">
        <f t="shared" si="161"/>
        <v>1</v>
      </c>
    </row>
    <row r="366" spans="1:61" x14ac:dyDescent="0.45">
      <c r="A366" s="30">
        <f>step3_validation[[#This Row],[Persona_ID]]</f>
        <v>365</v>
      </c>
      <c r="B366" s="31">
        <f>step3_validation[[#This Row],[Used_Seed]]</f>
        <v>406</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37.999691027175658</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2</v>
      </c>
      <c r="V366">
        <f>step3_validation[[#This Row],[AI_ENF2]]</f>
        <v>6</v>
      </c>
      <c r="W366" t="str">
        <f t="shared" si="138"/>
        <v>Neutral</v>
      </c>
      <c r="X366">
        <f>survey_responses[[#This Row],[Tôi tin rằng Nhà nước, cơ quan thuế có đủ khả năng và công nghệ để phát hiện, xử lý nghiêm các hành vi trốn thuế. - HUMAN-ENF2]]</f>
        <v>9</v>
      </c>
      <c r="Y366" t="str">
        <f t="shared" si="139"/>
        <v>Support</v>
      </c>
      <c r="Z366" s="32">
        <f t="shared" si="140"/>
        <v>3</v>
      </c>
      <c r="AA366">
        <f>step3_validation[[#This Row],[AI_FAC1]]</f>
        <v>8</v>
      </c>
      <c r="AB366" t="str">
        <f t="shared" si="141"/>
        <v>Support</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0</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0</v>
      </c>
      <c r="AK366">
        <f>step3_validation[[#This Row],[AI_TRU1]]</f>
        <v>7</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2</v>
      </c>
      <c r="AP366">
        <f>step3_validation[[#This Row],[AI_TRU2]]</f>
        <v>9</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2</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8</v>
      </c>
      <c r="BA366" t="str">
        <f t="shared" si="156"/>
        <v>Support</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9</v>
      </c>
      <c r="BF366" t="str">
        <f t="shared" si="159"/>
        <v>Support</v>
      </c>
      <c r="BG366">
        <f>survey_responses[[#This Row],[Sau khi xem xét các quyền lợi và nghĩa vụ, bạn có ủng hộ và tuân thủ chính sách mới hiện nay? - HUMAN-OUT1]]</f>
        <v>7</v>
      </c>
      <c r="BH366" t="str">
        <f t="shared" si="160"/>
        <v>Neutral</v>
      </c>
      <c r="BI366" s="32">
        <f t="shared" si="161"/>
        <v>2</v>
      </c>
    </row>
    <row r="367" spans="1:61" x14ac:dyDescent="0.45">
      <c r="A367" s="30">
        <f>step3_validation[[#This Row],[Persona_ID]]</f>
        <v>366</v>
      </c>
      <c r="B367" s="31">
        <f>step3_validation[[#This Row],[Used_Seed]]</f>
        <v>407</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57.008492890369311</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5</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2</v>
      </c>
      <c r="V367">
        <f>step3_validation[[#This Row],[AI_ENF2]]</f>
        <v>6</v>
      </c>
      <c r="W367" t="str">
        <f t="shared" si="138"/>
        <v>Neutral</v>
      </c>
      <c r="X367">
        <f>survey_responses[[#This Row],[Tôi tin rằng Nhà nước, cơ quan thuế có đủ khả năng và công nghệ để phát hiện, xử lý nghiêm các hành vi trốn thuế. - HUMAN-ENF2]]</f>
        <v>8</v>
      </c>
      <c r="Y367" t="str">
        <f t="shared" si="139"/>
        <v>Support</v>
      </c>
      <c r="Z367" s="32">
        <f t="shared" si="140"/>
        <v>2</v>
      </c>
      <c r="AA367">
        <f>step3_validation[[#This Row],[AI_FAC1]]</f>
        <v>9</v>
      </c>
      <c r="AB367" t="str">
        <f t="shared" si="141"/>
        <v>Support</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1</v>
      </c>
      <c r="AF367">
        <f>step3_validation[[#This Row],[AI_FAC2]]</f>
        <v>8</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0</v>
      </c>
      <c r="AK367">
        <f>step3_validation[[#This Row],[AI_TRU1]]</f>
        <v>7</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2</v>
      </c>
      <c r="AP367">
        <f>step3_validation[[#This Row],[AI_TRU2]]</f>
        <v>9</v>
      </c>
      <c r="AQ367" t="str">
        <f t="shared" si="150"/>
        <v>Support</v>
      </c>
      <c r="AR367">
        <f>survey_responses[[#This Row],[Tôi thấy mức thuế tôi phải đóng theo phương án mới là công bằng (người thu nhập như tôi đóng mức này là hợp lý). - HUMAN-TRU2]]</f>
        <v>6</v>
      </c>
      <c r="AS367" t="str">
        <f t="shared" si="151"/>
        <v>Neutral</v>
      </c>
      <c r="AT367" s="32">
        <f t="shared" si="152"/>
        <v>3</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2</v>
      </c>
      <c r="AZ367">
        <f>step3_validation[[#This Row],[AI_TRU4]]</f>
        <v>6</v>
      </c>
      <c r="BA367" t="str">
        <f t="shared" si="156"/>
        <v>Neutral</v>
      </c>
      <c r="BB367">
        <f>survey_responses[[#This Row],[Tôi thấy Nhà nước đã giải thích rõ ràng, minh bạch về lý do và mục tiêu của việc sửa đổi thuế lần này. - HUMAN-TRU4]]</f>
        <v>6</v>
      </c>
      <c r="BC367" t="str">
        <f t="shared" si="157"/>
        <v>Neutral</v>
      </c>
      <c r="BD367" s="32">
        <f t="shared" si="158"/>
        <v>0</v>
      </c>
      <c r="BE367">
        <f>step3_validation[[#This Row],[AI_OUT1]]</f>
        <v>9</v>
      </c>
      <c r="BF367" t="str">
        <f t="shared" si="159"/>
        <v>Support</v>
      </c>
      <c r="BG367">
        <f>survey_responses[[#This Row],[Sau khi xem xét các quyền lợi và nghĩa vụ, bạn có ủng hộ và tuân thủ chính sách mới hiện nay? - HUMAN-OUT1]]</f>
        <v>6</v>
      </c>
      <c r="BH367" t="str">
        <f t="shared" si="160"/>
        <v>Neutral</v>
      </c>
      <c r="BI367" s="32">
        <f t="shared" si="161"/>
        <v>3</v>
      </c>
    </row>
    <row r="368" spans="1:61" x14ac:dyDescent="0.45">
      <c r="A368" s="30">
        <f>step3_validation[[#This Row],[Persona_ID]]</f>
        <v>367</v>
      </c>
      <c r="B368" s="31">
        <f>step3_validation[[#This Row],[Used_Seed]]</f>
        <v>408</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14.489915005413165</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7</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1</v>
      </c>
      <c r="V368">
        <f>step3_validation[[#This Row],[AI_ENF2]]</f>
        <v>8</v>
      </c>
      <c r="W368" t="str">
        <f t="shared" si="138"/>
        <v>Support</v>
      </c>
      <c r="X368">
        <f>survey_responses[[#This Row],[Tôi tin rằng Nhà nước, cơ quan thuế có đủ khả năng và công nghệ để phát hiện, xử lý nghiêm các hành vi trốn thuế. - HUMAN-ENF2]]</f>
        <v>9</v>
      </c>
      <c r="Y368" t="str">
        <f t="shared" si="139"/>
        <v>Support</v>
      </c>
      <c r="Z368" s="32">
        <f t="shared" si="140"/>
        <v>1</v>
      </c>
      <c r="AA368">
        <f>step3_validation[[#This Row],[AI_FAC1]]</f>
        <v>9</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1</v>
      </c>
      <c r="AF368">
        <f>step3_validation[[#This Row],[AI_FAC2]]</f>
        <v>10</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2</v>
      </c>
      <c r="AK368">
        <f>step3_validation[[#This Row],[AI_TRU1]]</f>
        <v>9</v>
      </c>
      <c r="AL368" t="str">
        <f t="shared" si="147"/>
        <v>Support</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0</v>
      </c>
      <c r="AP368">
        <f>step3_validation[[#This Row],[AI_TRU2]]</f>
        <v>8</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2</v>
      </c>
      <c r="AU368">
        <f>step3_validation[[#This Row],[AI_TRU3]]</f>
        <v>9</v>
      </c>
      <c r="AV368" t="str">
        <f t="shared" si="153"/>
        <v>Support</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1</v>
      </c>
      <c r="AZ368">
        <f>step3_validation[[#This Row],[AI_TRU4]]</f>
        <v>8</v>
      </c>
      <c r="BA368" t="str">
        <f t="shared" si="156"/>
        <v>Support</v>
      </c>
      <c r="BB368">
        <f>survey_responses[[#This Row],[Tôi thấy Nhà nước đã giải thích rõ ràng, minh bạch về lý do và mục tiêu của việc sửa đổi thuế lần này. - HUMAN-TRU4]]</f>
        <v>9</v>
      </c>
      <c r="BC368" t="str">
        <f t="shared" si="157"/>
        <v>Support</v>
      </c>
      <c r="BD368" s="32">
        <f t="shared" si="158"/>
        <v>1</v>
      </c>
      <c r="BE368">
        <f>step3_validation[[#This Row],[AI_OUT1]]</f>
        <v>9</v>
      </c>
      <c r="BF368" t="str">
        <f t="shared" si="159"/>
        <v>Support</v>
      </c>
      <c r="BG368">
        <f>survey_responses[[#This Row],[Sau khi xem xét các quyền lợi và nghĩa vụ, bạn có ủng hộ và tuân thủ chính sách mới hiện nay? - HUMAN-OUT1]]</f>
        <v>10</v>
      </c>
      <c r="BH368" t="str">
        <f t="shared" si="160"/>
        <v>Support</v>
      </c>
      <c r="BI368" s="32">
        <f t="shared" si="161"/>
        <v>1</v>
      </c>
    </row>
    <row r="369" spans="1:61" x14ac:dyDescent="0.45">
      <c r="A369" s="30">
        <f>step3_validation[[#This Row],[Persona_ID]]</f>
        <v>368</v>
      </c>
      <c r="B369" s="31">
        <f>step3_validation[[#This Row],[Used_Seed]]</f>
        <v>409</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26.614885250121439</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7</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0</v>
      </c>
      <c r="V369">
        <f>step3_validation[[#This Row],[AI_ENF2]]</f>
        <v>6</v>
      </c>
      <c r="W369" t="str">
        <f t="shared" si="138"/>
        <v>Neutral</v>
      </c>
      <c r="X369">
        <f>survey_responses[[#This Row],[Tôi tin rằng Nhà nước, cơ quan thuế có đủ khả năng và công nghệ để phát hiện, xử lý nghiêm các hành vi trốn thuế. - HUMAN-ENF2]]</f>
        <v>7</v>
      </c>
      <c r="Y369" t="str">
        <f t="shared" si="139"/>
        <v>Neutral</v>
      </c>
      <c r="Z369" s="32">
        <f t="shared" si="140"/>
        <v>1</v>
      </c>
      <c r="AA369">
        <f>step3_validation[[#This Row],[AI_FAC1]]</f>
        <v>9</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1</v>
      </c>
      <c r="AF369">
        <f>step3_validation[[#This Row],[AI_FAC2]]</f>
        <v>8</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0</v>
      </c>
      <c r="AK369">
        <f>step3_validation[[#This Row],[AI_TRU1]]</f>
        <v>9</v>
      </c>
      <c r="AL369" t="str">
        <f t="shared" si="147"/>
        <v>Support</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3</v>
      </c>
      <c r="AP369">
        <f>step3_validation[[#This Row],[AI_TRU2]]</f>
        <v>9</v>
      </c>
      <c r="AQ369" t="str">
        <f t="shared" si="150"/>
        <v>Support</v>
      </c>
      <c r="AR369">
        <f>survey_responses[[#This Row],[Tôi thấy mức thuế tôi phải đóng theo phương án mới là công bằng (người thu nhập như tôi đóng mức này là hợp lý). - HUMAN-TRU2]]</f>
        <v>8</v>
      </c>
      <c r="AS369" t="str">
        <f t="shared" si="151"/>
        <v>Support</v>
      </c>
      <c r="AT369" s="32">
        <f t="shared" si="152"/>
        <v>1</v>
      </c>
      <c r="AU369">
        <f>step3_validation[[#This Row],[AI_TRU3]]</f>
        <v>8</v>
      </c>
      <c r="AV369" t="str">
        <f t="shared" si="153"/>
        <v>Support</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2</v>
      </c>
      <c r="AZ369">
        <f>step3_validation[[#This Row],[AI_TRU4]]</f>
        <v>9</v>
      </c>
      <c r="BA369" t="str">
        <f t="shared" si="156"/>
        <v>Support</v>
      </c>
      <c r="BB369">
        <f>survey_responses[[#This Row],[Tôi thấy Nhà nước đã giải thích rõ ràng, minh bạch về lý do và mục tiêu của việc sửa đổi thuế lần này. - HUMAN-TRU4]]</f>
        <v>7</v>
      </c>
      <c r="BC369" t="str">
        <f t="shared" si="157"/>
        <v>Neutral</v>
      </c>
      <c r="BD369" s="32">
        <f t="shared" si="158"/>
        <v>2</v>
      </c>
      <c r="BE369">
        <f>step3_validation[[#This Row],[AI_OUT1]]</f>
        <v>10</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2</v>
      </c>
    </row>
    <row r="370" spans="1:61" x14ac:dyDescent="0.45">
      <c r="A370" s="30">
        <f>step3_validation[[#This Row],[Persona_ID]]</f>
        <v>369</v>
      </c>
      <c r="B370" s="31">
        <f>step3_validation[[#This Row],[Used_Seed]]</f>
        <v>410</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13.067110338123854</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1</v>
      </c>
      <c r="V370">
        <f>step3_validation[[#This Row],[AI_ENF2]]</f>
        <v>6</v>
      </c>
      <c r="W370" t="str">
        <f t="shared" si="138"/>
        <v>Neutral</v>
      </c>
      <c r="X370">
        <f>survey_responses[[#This Row],[Tôi tin rằng Nhà nước, cơ quan thuế có đủ khả năng và công nghệ để phát hiện, xử lý nghiêm các hành vi trốn thuế. - HUMAN-ENF2]]</f>
        <v>6</v>
      </c>
      <c r="Y370" t="str">
        <f t="shared" si="139"/>
        <v>Neutral</v>
      </c>
      <c r="Z370" s="32">
        <f t="shared" si="140"/>
        <v>0</v>
      </c>
      <c r="AA370">
        <f>step3_validation[[#This Row],[AI_FAC1]]</f>
        <v>9</v>
      </c>
      <c r="AB370" t="str">
        <f t="shared" si="141"/>
        <v>Support</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1</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0</v>
      </c>
      <c r="AK370">
        <f>step3_validation[[#This Row],[AI_TRU1]]</f>
        <v>7</v>
      </c>
      <c r="AL370" t="str">
        <f t="shared" si="147"/>
        <v>Neutral</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1</v>
      </c>
      <c r="AP370">
        <f>step3_validation[[#This Row],[AI_TRU2]]</f>
        <v>8</v>
      </c>
      <c r="AQ370" t="str">
        <f t="shared" si="150"/>
        <v>Support</v>
      </c>
      <c r="AR370">
        <f>survey_responses[[#This Row],[Tôi thấy mức thuế tôi phải đóng theo phương án mới là công bằng (người thu nhập như tôi đóng mức này là hợp lý). - HUMAN-TRU2]]</f>
        <v>8</v>
      </c>
      <c r="AS370" t="str">
        <f t="shared" si="151"/>
        <v>Support</v>
      </c>
      <c r="AT370" s="32">
        <f t="shared" si="152"/>
        <v>0</v>
      </c>
      <c r="AU370">
        <f>step3_validation[[#This Row],[AI_TRU3]]</f>
        <v>6</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1</v>
      </c>
      <c r="AZ370">
        <f>step3_validation[[#This Row],[AI_TRU4]]</f>
        <v>7</v>
      </c>
      <c r="BA370" t="str">
        <f t="shared" si="156"/>
        <v>Neutral</v>
      </c>
      <c r="BB370">
        <f>survey_responses[[#This Row],[Tôi thấy Nhà nước đã giải thích rõ ràng, minh bạch về lý do và mục tiêu của việc sửa đổi thuế lần này. - HUMAN-TRU4]]</f>
        <v>7</v>
      </c>
      <c r="BC370" t="str">
        <f t="shared" si="157"/>
        <v>Neutral</v>
      </c>
      <c r="BD370" s="32">
        <f t="shared" si="158"/>
        <v>0</v>
      </c>
      <c r="BE370">
        <f>step3_validation[[#This Row],[AI_OUT1]]</f>
        <v>9</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1</v>
      </c>
    </row>
    <row r="371" spans="1:61" x14ac:dyDescent="0.45">
      <c r="A371" s="30">
        <f>step3_validation[[#This Row],[Persona_ID]]</f>
        <v>370</v>
      </c>
      <c r="B371" s="31">
        <f>step3_validation[[#This Row],[Used_Seed]]</f>
        <v>411</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20.907587209693709</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9</v>
      </c>
      <c r="R371" t="str">
        <f t="shared" si="135"/>
        <v>Support</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3</v>
      </c>
      <c r="V371">
        <f>step3_validation[[#This Row],[AI_ENF2]]</f>
        <v>8</v>
      </c>
      <c r="W371" t="str">
        <f t="shared" si="138"/>
        <v>Support</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9</v>
      </c>
      <c r="AB371" t="str">
        <f t="shared" si="141"/>
        <v>Support</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2</v>
      </c>
      <c r="AF371">
        <f>step3_validation[[#This Row],[AI_FAC2]]</f>
        <v>8</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1</v>
      </c>
      <c r="AK371">
        <f>step3_validation[[#This Row],[AI_TRU1]]</f>
        <v>9</v>
      </c>
      <c r="AL371" t="str">
        <f t="shared" si="147"/>
        <v>Support</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2</v>
      </c>
      <c r="AP371">
        <f>step3_validation[[#This Row],[AI_TRU2]]</f>
        <v>8</v>
      </c>
      <c r="AQ371" t="str">
        <f t="shared" si="150"/>
        <v>Support</v>
      </c>
      <c r="AR371">
        <f>survey_responses[[#This Row],[Tôi thấy mức thuế tôi phải đóng theo phương án mới là công bằng (người thu nhập như tôi đóng mức này là hợp lý). - HUMAN-TRU2]]</f>
        <v>9</v>
      </c>
      <c r="AS371" t="str">
        <f t="shared" si="151"/>
        <v>Support</v>
      </c>
      <c r="AT371" s="32">
        <f t="shared" si="152"/>
        <v>1</v>
      </c>
      <c r="AU371">
        <f>step3_validation[[#This Row],[AI_TRU3]]</f>
        <v>9</v>
      </c>
      <c r="AV371" t="str">
        <f t="shared" si="153"/>
        <v>Support</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0</v>
      </c>
      <c r="AZ371">
        <f>step3_validation[[#This Row],[AI_TRU4]]</f>
        <v>8</v>
      </c>
      <c r="BA371" t="str">
        <f t="shared" si="156"/>
        <v>Support</v>
      </c>
      <c r="BB371">
        <f>survey_responses[[#This Row],[Tôi thấy Nhà nước đã giải thích rõ ràng, minh bạch về lý do và mục tiêu của việc sửa đổi thuế lần này. - HUMAN-TRU4]]</f>
        <v>9</v>
      </c>
      <c r="BC371" t="str">
        <f t="shared" si="157"/>
        <v>Support</v>
      </c>
      <c r="BD371" s="32">
        <f t="shared" si="158"/>
        <v>1</v>
      </c>
      <c r="BE371">
        <f>step3_validation[[#This Row],[AI_OUT1]]</f>
        <v>9</v>
      </c>
      <c r="BF371" t="str">
        <f t="shared" si="159"/>
        <v>Support</v>
      </c>
      <c r="BG371">
        <f>survey_responses[[#This Row],[Sau khi xem xét các quyền lợi và nghĩa vụ, bạn có ủng hộ và tuân thủ chính sách mới hiện nay? - HUMAN-OUT1]]</f>
        <v>9</v>
      </c>
      <c r="BH371" t="str">
        <f t="shared" si="160"/>
        <v>Support</v>
      </c>
      <c r="BI371" s="32">
        <f t="shared" si="161"/>
        <v>0</v>
      </c>
    </row>
    <row r="372" spans="1:61" x14ac:dyDescent="0.45">
      <c r="A372" s="30">
        <f>step3_validation[[#This Row],[Persona_ID]]</f>
        <v>371</v>
      </c>
      <c r="B372" s="31">
        <f>step3_validation[[#This Row],[Used_Seed]]</f>
        <v>412</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64.058905665032313</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7</v>
      </c>
      <c r="R372" t="str">
        <f t="shared" si="135"/>
        <v>Neutral</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3</v>
      </c>
      <c r="V372">
        <f>step3_validation[[#This Row],[AI_ENF2]]</f>
        <v>8</v>
      </c>
      <c r="W372" t="str">
        <f t="shared" si="138"/>
        <v>Support</v>
      </c>
      <c r="X372">
        <f>survey_responses[[#This Row],[Tôi tin rằng Nhà nước, cơ quan thuế có đủ khả năng và công nghệ để phát hiện, xử lý nghiêm các hành vi trốn thuế. - HUMAN-ENF2]]</f>
        <v>4</v>
      </c>
      <c r="Y372" t="str">
        <f t="shared" si="139"/>
        <v>Oppose</v>
      </c>
      <c r="Z372" s="32">
        <f t="shared" si="140"/>
        <v>4</v>
      </c>
      <c r="AA372">
        <f>step3_validation[[#This Row],[AI_FAC1]]</f>
        <v>9</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4</v>
      </c>
      <c r="AF372">
        <f>step3_validation[[#This Row],[AI_FAC2]]</f>
        <v>9</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4</v>
      </c>
      <c r="AK372">
        <f>step3_validation[[#This Row],[AI_TRU1]]</f>
        <v>6</v>
      </c>
      <c r="AL372" t="str">
        <f t="shared" si="147"/>
        <v>Neutral</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1</v>
      </c>
      <c r="AP372">
        <f>step3_validation[[#This Row],[AI_TRU2]]</f>
        <v>8</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2">
        <f t="shared" si="152"/>
        <v>4</v>
      </c>
      <c r="AU372">
        <f>step3_validation[[#This Row],[AI_TRU3]]</f>
        <v>7</v>
      </c>
      <c r="AV372" t="str">
        <f t="shared" si="153"/>
        <v>Neutral</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2</v>
      </c>
      <c r="AZ372">
        <f>step3_validation[[#This Row],[AI_TRU4]]</f>
        <v>6</v>
      </c>
      <c r="BA372" t="str">
        <f t="shared" si="156"/>
        <v>Neutral</v>
      </c>
      <c r="BB372">
        <f>survey_responses[[#This Row],[Tôi thấy Nhà nước đã giải thích rõ ràng, minh bạch về lý do và mục tiêu của việc sửa đổi thuế lần này. - HUMAN-TRU4]]</f>
        <v>6</v>
      </c>
      <c r="BC372" t="str">
        <f t="shared" si="157"/>
        <v>Neutral</v>
      </c>
      <c r="BD372" s="32">
        <f t="shared" si="158"/>
        <v>0</v>
      </c>
      <c r="BE372">
        <f>step3_validation[[#This Row],[AI_OUT1]]</f>
        <v>9</v>
      </c>
      <c r="BF372" t="str">
        <f t="shared" si="159"/>
        <v>Support</v>
      </c>
      <c r="BG372">
        <f>survey_responses[[#This Row],[Sau khi xem xét các quyền lợi và nghĩa vụ, bạn có ủng hộ và tuân thủ chính sách mới hiện nay? - HUMAN-OUT1]]</f>
        <v>5</v>
      </c>
      <c r="BH372" t="str">
        <f t="shared" si="160"/>
        <v>Neutral</v>
      </c>
      <c r="BI372" s="32">
        <f t="shared" si="161"/>
        <v>4</v>
      </c>
    </row>
    <row r="373" spans="1:61" x14ac:dyDescent="0.45">
      <c r="A373" s="30">
        <f>step3_validation[[#This Row],[Persona_ID]]</f>
        <v>372</v>
      </c>
      <c r="B373" s="31">
        <f>step3_validation[[#This Row],[Used_Seed]]</f>
        <v>413</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41.561424816595256</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t="str">
        <f t="shared" si="135"/>
        <v>Neutral</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1</v>
      </c>
      <c r="V373">
        <f>step3_validation[[#This Row],[AI_ENF2]]</f>
        <v>8</v>
      </c>
      <c r="W373" t="str">
        <f t="shared" si="138"/>
        <v>Support</v>
      </c>
      <c r="X373">
        <f>survey_responses[[#This Row],[Tôi tin rằng Nhà nước, cơ quan thuế có đủ khả năng và công nghệ để phát hiện, xử lý nghiêm các hành vi trốn thuế. - HUMAN-ENF2]]</f>
        <v>6</v>
      </c>
      <c r="Y373" t="str">
        <f t="shared" si="139"/>
        <v>Neutral</v>
      </c>
      <c r="Z373" s="32">
        <f t="shared" si="140"/>
        <v>2</v>
      </c>
      <c r="AA373">
        <f>step3_validation[[#This Row],[AI_FAC1]]</f>
        <v>6</v>
      </c>
      <c r="AB373" t="str">
        <f t="shared" si="141"/>
        <v>Neutral</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2</v>
      </c>
      <c r="AF373">
        <f>step3_validation[[#This Row],[AI_FAC2]]</f>
        <v>9</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1</v>
      </c>
      <c r="AK373">
        <f>step3_validation[[#This Row],[AI_TRU1]]</f>
        <v>8</v>
      </c>
      <c r="AL373" t="str">
        <f t="shared" si="147"/>
        <v>Support</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2</v>
      </c>
      <c r="AP373">
        <f>step3_validation[[#This Row],[AI_TRU2]]</f>
        <v>9</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2">
        <f t="shared" si="152"/>
        <v>2</v>
      </c>
      <c r="AU373">
        <f>step3_validation[[#This Row],[AI_TRU3]]</f>
        <v>8</v>
      </c>
      <c r="AV373" t="str">
        <f t="shared" si="153"/>
        <v>Support</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3</v>
      </c>
      <c r="AZ373">
        <f>step3_validation[[#This Row],[AI_TRU4]]</f>
        <v>7</v>
      </c>
      <c r="BA373" t="str">
        <f t="shared" si="156"/>
        <v>Neutral</v>
      </c>
      <c r="BB373">
        <f>survey_responses[[#This Row],[Tôi thấy Nhà nước đã giải thích rõ ràng, minh bạch về lý do và mục tiêu của việc sửa đổi thuế lần này. - HUMAN-TRU4]]</f>
        <v>6</v>
      </c>
      <c r="BC373" t="str">
        <f t="shared" si="157"/>
        <v>Neutral</v>
      </c>
      <c r="BD373" s="32">
        <f t="shared" si="158"/>
        <v>1</v>
      </c>
      <c r="BE373">
        <f>step3_validation[[#This Row],[AI_OUT1]]</f>
        <v>8</v>
      </c>
      <c r="BF373" t="str">
        <f t="shared" si="159"/>
        <v>Support</v>
      </c>
      <c r="BG373">
        <f>survey_responses[[#This Row],[Sau khi xem xét các quyền lợi và nghĩa vụ, bạn có ủng hộ và tuân thủ chính sách mới hiện nay? - HUMAN-OUT1]]</f>
        <v>6</v>
      </c>
      <c r="BH373" t="str">
        <f t="shared" si="160"/>
        <v>Neutral</v>
      </c>
      <c r="BI373" s="32">
        <f t="shared" si="161"/>
        <v>2</v>
      </c>
    </row>
    <row r="374" spans="1:61" x14ac:dyDescent="0.45">
      <c r="A374" s="30">
        <f>step3_validation[[#This Row],[Persona_ID]]</f>
        <v>373</v>
      </c>
      <c r="B374" s="31">
        <f>step3_validation[[#This Row],[Used_Seed]]</f>
        <v>414</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90.612331568130955</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9</v>
      </c>
      <c r="R374" t="str">
        <f t="shared" si="135"/>
        <v>Support</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1</v>
      </c>
      <c r="V374">
        <f>step3_validation[[#This Row],[AI_ENF2]]</f>
        <v>8</v>
      </c>
      <c r="W374" t="str">
        <f t="shared" si="138"/>
        <v>Support</v>
      </c>
      <c r="X374">
        <f>survey_responses[[#This Row],[Tôi tin rằng Nhà nước, cơ quan thuế có đủ khả năng và công nghệ để phát hiện, xử lý nghiêm các hành vi trốn thuế. - HUMAN-ENF2]]</f>
        <v>8</v>
      </c>
      <c r="Y374" t="str">
        <f t="shared" si="139"/>
        <v>Support</v>
      </c>
      <c r="Z374" s="32">
        <f t="shared" si="140"/>
        <v>0</v>
      </c>
      <c r="AA374">
        <f>step3_validation[[#This Row],[AI_FAC1]]</f>
        <v>7</v>
      </c>
      <c r="AB374" t="str">
        <f t="shared" si="141"/>
        <v>Neutral</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2</v>
      </c>
      <c r="AF374">
        <f>step3_validation[[#This Row],[AI_FAC2]]</f>
        <v>8</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1</v>
      </c>
      <c r="AK374">
        <f>step3_validation[[#This Row],[AI_TRU1]]</f>
        <v>9</v>
      </c>
      <c r="AL374" t="str">
        <f t="shared" si="147"/>
        <v>Support</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4</v>
      </c>
      <c r="AP374">
        <f>step3_validation[[#This Row],[AI_TRU2]]</f>
        <v>9</v>
      </c>
      <c r="AQ374" t="str">
        <f t="shared" si="150"/>
        <v>Support</v>
      </c>
      <c r="AR374">
        <f>survey_responses[[#This Row],[Tôi thấy mức thuế tôi phải đóng theo phương án mới là công bằng (người thu nhập như tôi đóng mức này là hợp lý). - HUMAN-TRU2]]</f>
        <v>5</v>
      </c>
      <c r="AS374" t="str">
        <f t="shared" si="151"/>
        <v>Neutral</v>
      </c>
      <c r="AT374" s="32">
        <f t="shared" si="152"/>
        <v>4</v>
      </c>
      <c r="AU374">
        <f>step3_validation[[#This Row],[AI_TRU3]]</f>
        <v>8</v>
      </c>
      <c r="AV374" t="str">
        <f t="shared" si="153"/>
        <v>Support</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3</v>
      </c>
      <c r="AZ374">
        <f>step3_validation[[#This Row],[AI_TRU4]]</f>
        <v>9</v>
      </c>
      <c r="BA374" t="str">
        <f t="shared" si="156"/>
        <v>Support</v>
      </c>
      <c r="BB374">
        <f>survey_responses[[#This Row],[Tôi thấy Nhà nước đã giải thích rõ ràng, minh bạch về lý do và mục tiêu của việc sửa đổi thuế lần này. - HUMAN-TRU4]]</f>
        <v>6</v>
      </c>
      <c r="BC374" t="str">
        <f t="shared" si="157"/>
        <v>Neutral</v>
      </c>
      <c r="BD374" s="32">
        <f t="shared" si="158"/>
        <v>3</v>
      </c>
      <c r="BE374">
        <f>step3_validation[[#This Row],[AI_OUT1]]</f>
        <v>8</v>
      </c>
      <c r="BF374" t="str">
        <f t="shared" si="159"/>
        <v>Support</v>
      </c>
      <c r="BG374">
        <f>survey_responses[[#This Row],[Sau khi xem xét các quyền lợi và nghĩa vụ, bạn có ủng hộ và tuân thủ chính sách mới hiện nay? - HUMAN-OUT1]]</f>
        <v>5</v>
      </c>
      <c r="BH374" t="str">
        <f t="shared" si="160"/>
        <v>Neutral</v>
      </c>
      <c r="BI374" s="32">
        <f t="shared" si="161"/>
        <v>3</v>
      </c>
    </row>
    <row r="375" spans="1:61" x14ac:dyDescent="0.45">
      <c r="A375" s="30">
        <f>step3_validation[[#This Row],[Persona_ID]]</f>
        <v>374</v>
      </c>
      <c r="B375" s="31">
        <f>step3_validation[[#This Row],[Used_Seed]]</f>
        <v>415</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44.000095852944739</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9</v>
      </c>
      <c r="R375" t="str">
        <f t="shared" si="135"/>
        <v>Support</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3</v>
      </c>
      <c r="V375">
        <f>step3_validation[[#This Row],[AI_ENF2]]</f>
        <v>8</v>
      </c>
      <c r="W375" t="str">
        <f t="shared" si="138"/>
        <v>Support</v>
      </c>
      <c r="X375">
        <f>survey_responses[[#This Row],[Tôi tin rằng Nhà nước, cơ quan thuế có đủ khả năng và công nghệ để phát hiện, xử lý nghiêm các hành vi trốn thuế. - HUMAN-ENF2]]</f>
        <v>6</v>
      </c>
      <c r="Y375" t="str">
        <f t="shared" si="139"/>
        <v>Neutral</v>
      </c>
      <c r="Z375" s="32">
        <f t="shared" si="140"/>
        <v>2</v>
      </c>
      <c r="AA375">
        <f>step3_validation[[#This Row],[AI_FAC1]]</f>
        <v>9</v>
      </c>
      <c r="AB375" t="str">
        <f t="shared" si="141"/>
        <v>Support</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2</v>
      </c>
      <c r="AF375">
        <f>step3_validation[[#This Row],[AI_FAC2]]</f>
        <v>8</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1</v>
      </c>
      <c r="AK375">
        <f>step3_validation[[#This Row],[AI_TRU1]]</f>
        <v>9</v>
      </c>
      <c r="AL375" t="str">
        <f t="shared" si="147"/>
        <v>Support</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3</v>
      </c>
      <c r="AP375">
        <f>step3_validation[[#This Row],[AI_TRU2]]</f>
        <v>8</v>
      </c>
      <c r="AQ375" t="str">
        <f t="shared" si="150"/>
        <v>Support</v>
      </c>
      <c r="AR375">
        <f>survey_responses[[#This Row],[Tôi thấy mức thuế tôi phải đóng theo phương án mới là công bằng (người thu nhập như tôi đóng mức này là hợp lý). - HUMAN-TRU2]]</f>
        <v>6</v>
      </c>
      <c r="AS375" t="str">
        <f t="shared" si="151"/>
        <v>Neutral</v>
      </c>
      <c r="AT375" s="32">
        <f t="shared" si="152"/>
        <v>2</v>
      </c>
      <c r="AU375">
        <f>step3_validation[[#This Row],[AI_TRU3]]</f>
        <v>9</v>
      </c>
      <c r="AV375" t="str">
        <f t="shared" si="153"/>
        <v>Support</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3</v>
      </c>
      <c r="AZ375">
        <f>step3_validation[[#This Row],[AI_TRU4]]</f>
        <v>8</v>
      </c>
      <c r="BA375" t="str">
        <f t="shared" si="156"/>
        <v>Support</v>
      </c>
      <c r="BB375">
        <f>survey_responses[[#This Row],[Tôi thấy Nhà nước đã giải thích rõ ràng, minh bạch về lý do và mục tiêu của việc sửa đổi thuế lần này. - HUMAN-TRU4]]</f>
        <v>6</v>
      </c>
      <c r="BC375" t="str">
        <f t="shared" si="157"/>
        <v>Neutral</v>
      </c>
      <c r="BD375" s="32">
        <f t="shared" si="158"/>
        <v>2</v>
      </c>
      <c r="BE375">
        <f>step3_validation[[#This Row],[AI_OUT1]]</f>
        <v>9</v>
      </c>
      <c r="BF375" t="str">
        <f t="shared" si="159"/>
        <v>Support</v>
      </c>
      <c r="BG375">
        <f>survey_responses[[#This Row],[Sau khi xem xét các quyền lợi và nghĩa vụ, bạn có ủng hộ và tuân thủ chính sách mới hiện nay? - HUMAN-OUT1]]</f>
        <v>6</v>
      </c>
      <c r="BH375" t="str">
        <f t="shared" si="160"/>
        <v>Neutral</v>
      </c>
      <c r="BI375" s="32">
        <f t="shared" si="161"/>
        <v>3</v>
      </c>
    </row>
    <row r="376" spans="1:61" x14ac:dyDescent="0.45">
      <c r="A376" s="30">
        <f>step3_validation[[#This Row],[Persona_ID]]</f>
        <v>375</v>
      </c>
      <c r="B376" s="31">
        <f>step3_validation[[#This Row],[Used_Seed]]</f>
        <v>416</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68.19877745662771</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t="str">
        <f t="shared" si="135"/>
        <v>Neutral</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1</v>
      </c>
      <c r="V376">
        <f>step3_validation[[#This Row],[AI_ENF2]]</f>
        <v>7</v>
      </c>
      <c r="W376" t="str">
        <f t="shared" si="138"/>
        <v>Neutral</v>
      </c>
      <c r="X376">
        <f>survey_responses[[#This Row],[Tôi tin rằng Nhà nước, cơ quan thuế có đủ khả năng và công nghệ để phát hiện, xử lý nghiêm các hành vi trốn thuế. - HUMAN-ENF2]]</f>
        <v>8</v>
      </c>
      <c r="Y376" t="str">
        <f t="shared" si="139"/>
        <v>Support</v>
      </c>
      <c r="Z376" s="32">
        <f t="shared" si="140"/>
        <v>1</v>
      </c>
      <c r="AA376">
        <f>step3_validation[[#This Row],[AI_FAC1]]</f>
        <v>8</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0</v>
      </c>
      <c r="AF376">
        <f>step3_validation[[#This Row],[AI_FAC2]]</f>
        <v>8</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0</v>
      </c>
      <c r="AK376">
        <f>step3_validation[[#This Row],[AI_TRU1]]</f>
        <v>9</v>
      </c>
      <c r="AL376" t="str">
        <f t="shared" si="147"/>
        <v>Support</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2</v>
      </c>
      <c r="AP376">
        <f>step3_validation[[#This Row],[AI_TRU2]]</f>
        <v>8</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2">
        <f t="shared" si="152"/>
        <v>2</v>
      </c>
      <c r="AU376">
        <f>step3_validation[[#This Row],[AI_TRU3]]</f>
        <v>9</v>
      </c>
      <c r="AV376" t="str">
        <f t="shared" si="153"/>
        <v>Support</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3</v>
      </c>
      <c r="AZ376">
        <f>step3_validation[[#This Row],[AI_TRU4]]</f>
        <v>8</v>
      </c>
      <c r="BA376" t="str">
        <f t="shared" si="156"/>
        <v>Support</v>
      </c>
      <c r="BB376">
        <f>survey_responses[[#This Row],[Tôi thấy Nhà nước đã giải thích rõ ràng, minh bạch về lý do và mục tiêu của việc sửa đổi thuế lần này. - HUMAN-TRU4]]</f>
        <v>5</v>
      </c>
      <c r="BC376" t="str">
        <f t="shared" si="157"/>
        <v>Neutral</v>
      </c>
      <c r="BD376" s="32">
        <f t="shared" si="158"/>
        <v>3</v>
      </c>
      <c r="BE376">
        <f>step3_validation[[#This Row],[AI_OUT1]]</f>
        <v>9</v>
      </c>
      <c r="BF376" t="str">
        <f t="shared" si="159"/>
        <v>Support</v>
      </c>
      <c r="BG376">
        <f>survey_responses[[#This Row],[Sau khi xem xét các quyền lợi và nghĩa vụ, bạn có ủng hộ và tuân thủ chính sách mới hiện nay? - HUMAN-OUT1]]</f>
        <v>7</v>
      </c>
      <c r="BH376" t="str">
        <f t="shared" si="160"/>
        <v>Neutral</v>
      </c>
      <c r="BI376" s="32">
        <f t="shared" si="161"/>
        <v>2</v>
      </c>
    </row>
    <row r="377" spans="1:61" x14ac:dyDescent="0.45">
      <c r="A377" s="30">
        <f>step3_validation[[#This Row],[Persona_ID]]</f>
        <v>376</v>
      </c>
      <c r="B377" s="31">
        <f>step3_validation[[#This Row],[Used_Seed]]</f>
        <v>417</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18.778632115297356</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6</v>
      </c>
      <c r="R377" t="str">
        <f t="shared" si="135"/>
        <v>Neutral</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0</v>
      </c>
      <c r="V377">
        <f>step3_validation[[#This Row],[AI_ENF2]]</f>
        <v>8</v>
      </c>
      <c r="W377" t="str">
        <f t="shared" si="138"/>
        <v>Support</v>
      </c>
      <c r="X377">
        <f>survey_responses[[#This Row],[Tôi tin rằng Nhà nước, cơ quan thuế có đủ khả năng và công nghệ để phát hiện, xử lý nghiêm các hành vi trốn thuế. - HUMAN-ENF2]]</f>
        <v>6</v>
      </c>
      <c r="Y377" t="str">
        <f t="shared" si="139"/>
        <v>Neutral</v>
      </c>
      <c r="Z377" s="32">
        <f t="shared" si="140"/>
        <v>2</v>
      </c>
      <c r="AA377">
        <f>step3_validation[[#This Row],[AI_FAC1]]</f>
        <v>7</v>
      </c>
      <c r="AB377" t="str">
        <f t="shared" si="141"/>
        <v>Neutral</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2</v>
      </c>
      <c r="AF377">
        <f>step3_validation[[#This Row],[AI_FAC2]]</f>
        <v>9</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2</v>
      </c>
      <c r="AK377">
        <f>step3_validation[[#This Row],[AI_TRU1]]</f>
        <v>7</v>
      </c>
      <c r="AL377" t="str">
        <f t="shared" si="147"/>
        <v>Neutral</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1</v>
      </c>
      <c r="AP377">
        <f>step3_validation[[#This Row],[AI_TRU2]]</f>
        <v>8</v>
      </c>
      <c r="AQ377" t="str">
        <f t="shared" si="150"/>
        <v>Support</v>
      </c>
      <c r="AR377">
        <f>survey_responses[[#This Row],[Tôi thấy mức thuế tôi phải đóng theo phương án mới là công bằng (người thu nhập như tôi đóng mức này là hợp lý). - HUMAN-TRU2]]</f>
        <v>7</v>
      </c>
      <c r="AS377" t="str">
        <f t="shared" si="151"/>
        <v>Neutral</v>
      </c>
      <c r="AT377" s="32">
        <f t="shared" si="152"/>
        <v>1</v>
      </c>
      <c r="AU377">
        <f>step3_validation[[#This Row],[AI_TRU3]]</f>
        <v>7</v>
      </c>
      <c r="AV377" t="str">
        <f t="shared" si="153"/>
        <v>Neutral</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2</v>
      </c>
      <c r="AZ377">
        <f>step3_validation[[#This Row],[AI_TRU4]]</f>
        <v>6</v>
      </c>
      <c r="BA377" t="str">
        <f t="shared" si="156"/>
        <v>Neutral</v>
      </c>
      <c r="BB377">
        <f>survey_responses[[#This Row],[Tôi thấy Nhà nước đã giải thích rõ ràng, minh bạch về lý do và mục tiêu của việc sửa đổi thuế lần này. - HUMAN-TRU4]]</f>
        <v>6</v>
      </c>
      <c r="BC377" t="str">
        <f t="shared" si="157"/>
        <v>Neutral</v>
      </c>
      <c r="BD377" s="32">
        <f t="shared" si="158"/>
        <v>0</v>
      </c>
      <c r="BE377">
        <f>step3_validation[[#This Row],[AI_OUT1]]</f>
        <v>8</v>
      </c>
      <c r="BF377" t="str">
        <f t="shared" si="159"/>
        <v>Support</v>
      </c>
      <c r="BG377">
        <f>survey_responses[[#This Row],[Sau khi xem xét các quyền lợi và nghĩa vụ, bạn có ủng hộ và tuân thủ chính sách mới hiện nay? - HUMAN-OUT1]]</f>
        <v>7</v>
      </c>
      <c r="BH377" t="str">
        <f t="shared" si="160"/>
        <v>Neutral</v>
      </c>
      <c r="BI377" s="32">
        <f t="shared" si="161"/>
        <v>1</v>
      </c>
    </row>
    <row r="378" spans="1:61" x14ac:dyDescent="0.45">
      <c r="A378" s="30">
        <f>step3_validation[[#This Row],[Persona_ID]]</f>
        <v>377</v>
      </c>
      <c r="B378" s="31">
        <f>step3_validation[[#This Row],[Used_Seed]]</f>
        <v>418</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12.80522755237557</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8</v>
      </c>
      <c r="R378" t="str">
        <f t="shared" si="135"/>
        <v>Support</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1</v>
      </c>
      <c r="V378">
        <f>step3_validation[[#This Row],[AI_ENF2]]</f>
        <v>9</v>
      </c>
      <c r="W378" t="str">
        <f t="shared" si="138"/>
        <v>Support</v>
      </c>
      <c r="X378">
        <f>survey_responses[[#This Row],[Tôi tin rằng Nhà nước, cơ quan thuế có đủ khả năng và công nghệ để phát hiện, xử lý nghiêm các hành vi trốn thuế. - HUMAN-ENF2]]</f>
        <v>8</v>
      </c>
      <c r="Y378" t="str">
        <f t="shared" si="139"/>
        <v>Support</v>
      </c>
      <c r="Z378" s="32">
        <f t="shared" si="140"/>
        <v>1</v>
      </c>
      <c r="AA378">
        <f>step3_validation[[#This Row],[AI_FAC1]]</f>
        <v>8</v>
      </c>
      <c r="AB378" t="str">
        <f t="shared" si="141"/>
        <v>Support</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1</v>
      </c>
      <c r="AF378">
        <f>step3_validation[[#This Row],[AI_FAC2]]</f>
        <v>9</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2</v>
      </c>
      <c r="AK378">
        <f>step3_validation[[#This Row],[AI_TRU1]]</f>
        <v>8</v>
      </c>
      <c r="AL378" t="str">
        <f t="shared" si="147"/>
        <v>Support</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0</v>
      </c>
      <c r="AP378">
        <f>step3_validation[[#This Row],[AI_TRU2]]</f>
        <v>9</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0</v>
      </c>
      <c r="AU378">
        <f>step3_validation[[#This Row],[AI_TRU3]]</f>
        <v>8</v>
      </c>
      <c r="AV378" t="str">
        <f t="shared" si="153"/>
        <v>Support</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1</v>
      </c>
      <c r="AZ378">
        <f>step3_validation[[#This Row],[AI_TRU4]]</f>
        <v>9</v>
      </c>
      <c r="BA378" t="str">
        <f t="shared" si="156"/>
        <v>Support</v>
      </c>
      <c r="BB378">
        <f>survey_responses[[#This Row],[Tôi thấy Nhà nước đã giải thích rõ ràng, minh bạch về lý do và mục tiêu của việc sửa đổi thuế lần này. - HUMAN-TRU4]]</f>
        <v>7</v>
      </c>
      <c r="BC378" t="str">
        <f t="shared" si="157"/>
        <v>Neutral</v>
      </c>
      <c r="BD378" s="32">
        <f t="shared" si="158"/>
        <v>2</v>
      </c>
      <c r="BE378">
        <f>step3_validation[[#This Row],[AI_OUT1]]</f>
        <v>10</v>
      </c>
      <c r="BF378" t="str">
        <f t="shared" si="159"/>
        <v>Support</v>
      </c>
      <c r="BG378">
        <f>survey_responses[[#This Row],[Sau khi xem xét các quyền lợi và nghĩa vụ, bạn có ủng hộ và tuân thủ chính sách mới hiện nay? - HUMAN-OUT1]]</f>
        <v>8</v>
      </c>
      <c r="BH378" t="str">
        <f t="shared" si="160"/>
        <v>Support</v>
      </c>
      <c r="BI378" s="32">
        <f t="shared" si="161"/>
        <v>2</v>
      </c>
    </row>
    <row r="379" spans="1:61" x14ac:dyDescent="0.45">
      <c r="A379" s="30">
        <f>step3_validation[[#This Row],[Persona_ID]]</f>
        <v>378</v>
      </c>
      <c r="B379" s="31">
        <f>step3_validation[[#This Row],[Used_Seed]]</f>
        <v>419</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19.054677002787088</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t="str">
        <f t="shared" si="135"/>
        <v>Neutral</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1</v>
      </c>
      <c r="V379">
        <f>step3_validation[[#This Row],[AI_ENF2]]</f>
        <v>6</v>
      </c>
      <c r="W379" t="str">
        <f t="shared" si="138"/>
        <v>Neutral</v>
      </c>
      <c r="X379">
        <f>survey_responses[[#This Row],[Tôi tin rằng Nhà nước, cơ quan thuế có đủ khả năng và công nghệ để phát hiện, xử lý nghiêm các hành vi trốn thuế. - HUMAN-ENF2]]</f>
        <v>7</v>
      </c>
      <c r="Y379" t="str">
        <f t="shared" si="139"/>
        <v>Neutral</v>
      </c>
      <c r="Z379" s="32">
        <f t="shared" si="140"/>
        <v>1</v>
      </c>
      <c r="AA379">
        <f>step3_validation[[#This Row],[AI_FAC1]]</f>
        <v>8</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3</v>
      </c>
      <c r="AF379">
        <f>step3_validation[[#This Row],[AI_FAC2]]</f>
        <v>9</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1</v>
      </c>
      <c r="AK379">
        <f>step3_validation[[#This Row],[AI_TRU1]]</f>
        <v>7</v>
      </c>
      <c r="AL379" t="str">
        <f t="shared" si="147"/>
        <v>Neutral</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0</v>
      </c>
      <c r="AP379">
        <f>step3_validation[[#This Row],[AI_TRU2]]</f>
        <v>8</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2">
        <f t="shared" si="152"/>
        <v>1</v>
      </c>
      <c r="AU379">
        <f>step3_validation[[#This Row],[AI_TRU3]]</f>
        <v>7</v>
      </c>
      <c r="AV379" t="str">
        <f t="shared" si="153"/>
        <v>Neutral</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0</v>
      </c>
      <c r="AZ379">
        <f>step3_validation[[#This Row],[AI_TRU4]]</f>
        <v>6</v>
      </c>
      <c r="BA379" t="str">
        <f t="shared" si="156"/>
        <v>Neutral</v>
      </c>
      <c r="BB379">
        <f>survey_responses[[#This Row],[Tôi thấy Nhà nước đã giải thích rõ ràng, minh bạch về lý do và mục tiêu của việc sửa đổi thuế lần này. - HUMAN-TRU4]]</f>
        <v>7</v>
      </c>
      <c r="BC379" t="str">
        <f t="shared" si="157"/>
        <v>Neutral</v>
      </c>
      <c r="BD379" s="32">
        <f t="shared" si="158"/>
        <v>1</v>
      </c>
      <c r="BE379">
        <f>step3_validation[[#This Row],[AI_OUT1]]</f>
        <v>9</v>
      </c>
      <c r="BF379" t="str">
        <f t="shared" si="159"/>
        <v>Support</v>
      </c>
      <c r="BG379">
        <f>survey_responses[[#This Row],[Sau khi xem xét các quyền lợi và nghĩa vụ, bạn có ủng hộ và tuân thủ chính sách mới hiện nay? - HUMAN-OUT1]]</f>
        <v>8</v>
      </c>
      <c r="BH379" t="str">
        <f t="shared" si="160"/>
        <v>Support</v>
      </c>
      <c r="BI379" s="32">
        <f t="shared" si="161"/>
        <v>1</v>
      </c>
    </row>
    <row r="380" spans="1:61" x14ac:dyDescent="0.45">
      <c r="A380" s="30">
        <f>step3_validation[[#This Row],[Persona_ID]]</f>
        <v>379</v>
      </c>
      <c r="B380" s="31">
        <f>step3_validation[[#This Row],[Used_Seed]]</f>
        <v>420</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14.825139556692614</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9</v>
      </c>
      <c r="R380" t="str">
        <f t="shared" si="135"/>
        <v>Support</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1</v>
      </c>
      <c r="V380">
        <f>step3_validation[[#This Row],[AI_ENF2]]</f>
        <v>8</v>
      </c>
      <c r="W380" t="str">
        <f t="shared" si="138"/>
        <v>Support</v>
      </c>
      <c r="X380">
        <f>survey_responses[[#This Row],[Tôi tin rằng Nhà nước, cơ quan thuế có đủ khả năng và công nghệ để phát hiện, xử lý nghiêm các hành vi trốn thuế. - HUMAN-ENF2]]</f>
        <v>8</v>
      </c>
      <c r="Y380" t="str">
        <f t="shared" si="139"/>
        <v>Support</v>
      </c>
      <c r="Z380" s="32">
        <f t="shared" si="140"/>
        <v>0</v>
      </c>
      <c r="AA380">
        <f>step3_validation[[#This Row],[AI_FAC1]]</f>
        <v>7</v>
      </c>
      <c r="AB380" t="str">
        <f t="shared" si="141"/>
        <v>Neutral</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2</v>
      </c>
      <c r="AF380">
        <f>step3_validation[[#This Row],[AI_FAC2]]</f>
        <v>9</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0</v>
      </c>
      <c r="AK380">
        <f>step3_validation[[#This Row],[AI_TRU1]]</f>
        <v>8</v>
      </c>
      <c r="AL380" t="str">
        <f t="shared" si="147"/>
        <v>Support</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1</v>
      </c>
      <c r="AP380">
        <f>step3_validation[[#This Row],[AI_TRU2]]</f>
        <v>9</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0</v>
      </c>
      <c r="AU380">
        <f>step3_validation[[#This Row],[AI_TRU3]]</f>
        <v>8</v>
      </c>
      <c r="AV380" t="str">
        <f t="shared" si="153"/>
        <v>Support</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1</v>
      </c>
      <c r="AZ380">
        <f>step3_validation[[#This Row],[AI_TRU4]]</f>
        <v>9</v>
      </c>
      <c r="BA380" t="str">
        <f t="shared" si="156"/>
        <v>Support</v>
      </c>
      <c r="BB380">
        <f>survey_responses[[#This Row],[Tôi thấy Nhà nước đã giải thích rõ ràng, minh bạch về lý do và mục tiêu của việc sửa đổi thuế lần này. - HUMAN-TRU4]]</f>
        <v>7</v>
      </c>
      <c r="BC380" t="str">
        <f t="shared" si="157"/>
        <v>Neutral</v>
      </c>
      <c r="BD380" s="32">
        <f t="shared" si="158"/>
        <v>2</v>
      </c>
      <c r="BE380">
        <f>step3_validation[[#This Row],[AI_OUT1]]</f>
        <v>9</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0</v>
      </c>
    </row>
    <row r="381" spans="1:61" x14ac:dyDescent="0.45">
      <c r="A381" s="30">
        <f>step3_validation[[#This Row],[Persona_ID]]</f>
        <v>380</v>
      </c>
      <c r="B381" s="31">
        <f>step3_validation[[#This Row],[Used_Seed]]</f>
        <v>421</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18.625764953839678</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8</v>
      </c>
      <c r="R381" t="str">
        <f t="shared" si="135"/>
        <v>Support</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0</v>
      </c>
      <c r="V381">
        <f>step3_validation[[#This Row],[AI_ENF2]]</f>
        <v>9</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2">
        <f t="shared" si="140"/>
        <v>1</v>
      </c>
      <c r="AA381">
        <f>step3_validation[[#This Row],[AI_FAC1]]</f>
        <v>8</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3</v>
      </c>
      <c r="AF381">
        <f>step3_validation[[#This Row],[AI_FAC2]]</f>
        <v>9</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1</v>
      </c>
      <c r="AK381">
        <f>step3_validation[[#This Row],[AI_TRU1]]</f>
        <v>8</v>
      </c>
      <c r="AL381" t="str">
        <f t="shared" si="147"/>
        <v>Support</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2</v>
      </c>
      <c r="AP381">
        <f>step3_validation[[#This Row],[AI_TRU2]]</f>
        <v>9</v>
      </c>
      <c r="AQ381" t="str">
        <f t="shared" si="150"/>
        <v>Support</v>
      </c>
      <c r="AR381">
        <f>survey_responses[[#This Row],[Tôi thấy mức thuế tôi phải đóng theo phương án mới là công bằng (người thu nhập như tôi đóng mức này là hợp lý). - HUMAN-TRU2]]</f>
        <v>9</v>
      </c>
      <c r="AS381" t="str">
        <f t="shared" si="151"/>
        <v>Support</v>
      </c>
      <c r="AT381" s="32">
        <f t="shared" si="152"/>
        <v>0</v>
      </c>
      <c r="AU381">
        <f>step3_validation[[#This Row],[AI_TRU3]]</f>
        <v>8</v>
      </c>
      <c r="AV381" t="str">
        <f t="shared" si="153"/>
        <v>Support</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3</v>
      </c>
      <c r="AZ381">
        <f>step3_validation[[#This Row],[AI_TRU4]]</f>
        <v>9</v>
      </c>
      <c r="BA381" t="str">
        <f t="shared" si="156"/>
        <v>Support</v>
      </c>
      <c r="BB381">
        <f>survey_responses[[#This Row],[Tôi thấy Nhà nước đã giải thích rõ ràng, minh bạch về lý do và mục tiêu của việc sửa đổi thuế lần này. - HUMAN-TRU4]]</f>
        <v>7</v>
      </c>
      <c r="BC381" t="str">
        <f t="shared" si="157"/>
        <v>Neutral</v>
      </c>
      <c r="BD381" s="32">
        <f t="shared" si="158"/>
        <v>2</v>
      </c>
      <c r="BE381">
        <f>step3_validation[[#This Row],[AI_OUT1]]</f>
        <v>8</v>
      </c>
      <c r="BF381" t="str">
        <f t="shared" si="159"/>
        <v>Support</v>
      </c>
      <c r="BG381">
        <f>survey_responses[[#This Row],[Sau khi xem xét các quyền lợi và nghĩa vụ, bạn có ủng hộ và tuân thủ chính sách mới hiện nay? - HUMAN-OUT1]]</f>
        <v>8</v>
      </c>
      <c r="BH381" t="str">
        <f t="shared" si="160"/>
        <v>Support</v>
      </c>
      <c r="BI381" s="32">
        <f t="shared" si="161"/>
        <v>0</v>
      </c>
    </row>
    <row r="382" spans="1:61" x14ac:dyDescent="0.45">
      <c r="A382" s="30">
        <f>step3_validation[[#This Row],[Persona_ID]]</f>
        <v>381</v>
      </c>
      <c r="B382" s="31">
        <f>step3_validation[[#This Row],[Used_Seed]]</f>
        <v>422</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16.768256741385734</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8</v>
      </c>
      <c r="R382" t="str">
        <f t="shared" si="135"/>
        <v>Support</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1</v>
      </c>
      <c r="V382">
        <f>step3_validation[[#This Row],[AI_ENF2]]</f>
        <v>9</v>
      </c>
      <c r="W382" t="str">
        <f t="shared" si="138"/>
        <v>Support</v>
      </c>
      <c r="X382">
        <f>survey_responses[[#This Row],[Tôi tin rằng Nhà nước, cơ quan thuế có đủ khả năng và công nghệ để phát hiện, xử lý nghiêm các hành vi trốn thuế. - HUMAN-ENF2]]</f>
        <v>9</v>
      </c>
      <c r="Y382" t="str">
        <f t="shared" si="139"/>
        <v>Support</v>
      </c>
      <c r="Z382" s="32">
        <f t="shared" si="140"/>
        <v>0</v>
      </c>
      <c r="AA382">
        <f>step3_validation[[#This Row],[AI_FAC1]]</f>
        <v>9</v>
      </c>
      <c r="AB382" t="str">
        <f t="shared" si="141"/>
        <v>Support</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1</v>
      </c>
      <c r="AF382">
        <f>step3_validation[[#This Row],[AI_FAC2]]</f>
        <v>9</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0</v>
      </c>
      <c r="AK382">
        <f>step3_validation[[#This Row],[AI_TRU1]]</f>
        <v>8</v>
      </c>
      <c r="AL382" t="str">
        <f t="shared" si="147"/>
        <v>Support</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0</v>
      </c>
      <c r="AP382">
        <f>step3_validation[[#This Row],[AI_TRU2]]</f>
        <v>9</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2">
        <f t="shared" si="152"/>
        <v>1</v>
      </c>
      <c r="AU382">
        <f>step3_validation[[#This Row],[AI_TRU3]]</f>
        <v>8</v>
      </c>
      <c r="AV382" t="str">
        <f t="shared" si="153"/>
        <v>Support</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0</v>
      </c>
      <c r="AZ382">
        <f>step3_validation[[#This Row],[AI_TRU4]]</f>
        <v>9</v>
      </c>
      <c r="BA382" t="str">
        <f t="shared" si="156"/>
        <v>Support</v>
      </c>
      <c r="BB382">
        <f>survey_responses[[#This Row],[Tôi thấy Nhà nước đã giải thích rõ ràng, minh bạch về lý do và mục tiêu của việc sửa đổi thuế lần này. - HUMAN-TRU4]]</f>
        <v>8</v>
      </c>
      <c r="BC382" t="str">
        <f t="shared" si="157"/>
        <v>Support</v>
      </c>
      <c r="BD382" s="32">
        <f t="shared" si="158"/>
        <v>1</v>
      </c>
      <c r="BE382">
        <f>step3_validation[[#This Row],[AI_OUT1]]</f>
        <v>9</v>
      </c>
      <c r="BF382" t="str">
        <f t="shared" si="159"/>
        <v>Support</v>
      </c>
      <c r="BG382">
        <f>survey_responses[[#This Row],[Sau khi xem xét các quyền lợi và nghĩa vụ, bạn có ủng hộ và tuân thủ chính sách mới hiện nay? - HUMAN-OUT1]]</f>
        <v>10</v>
      </c>
      <c r="BH382" t="str">
        <f t="shared" si="160"/>
        <v>Support</v>
      </c>
      <c r="BI382" s="32">
        <f t="shared" si="161"/>
        <v>1</v>
      </c>
    </row>
    <row r="383" spans="1:61" x14ac:dyDescent="0.45">
      <c r="A383" s="30">
        <f>step3_validation[[#This Row],[Persona_ID]]</f>
        <v>382</v>
      </c>
      <c r="B383" s="31">
        <f>step3_validation[[#This Row],[Used_Seed]]</f>
        <v>423</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21.24022309656339</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t="str">
        <f t="shared" si="135"/>
        <v>Neutral</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2</v>
      </c>
      <c r="V383">
        <f>step3_validation[[#This Row],[AI_ENF2]]</f>
        <v>6</v>
      </c>
      <c r="W383" t="str">
        <f t="shared" si="138"/>
        <v>Neutral</v>
      </c>
      <c r="X383">
        <f>survey_responses[[#This Row],[Tôi tin rằng Nhà nước, cơ quan thuế có đủ khả năng và công nghệ để phát hiện, xử lý nghiêm các hành vi trốn thuế. - HUMAN-ENF2]]</f>
        <v>5</v>
      </c>
      <c r="Y383" t="str">
        <f t="shared" si="139"/>
        <v>Neutral</v>
      </c>
      <c r="Z383" s="32">
        <f t="shared" si="140"/>
        <v>1</v>
      </c>
      <c r="AA383">
        <f>step3_validation[[#This Row],[AI_FAC1]]</f>
        <v>9</v>
      </c>
      <c r="AB383" t="str">
        <f t="shared" si="141"/>
        <v>Support</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5</v>
      </c>
      <c r="AF383">
        <f>step3_validation[[#This Row],[AI_FAC2]]</f>
        <v>10</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2</v>
      </c>
      <c r="AK383">
        <f>step3_validation[[#This Row],[AI_TRU1]]</f>
        <v>8</v>
      </c>
      <c r="AL383" t="str">
        <f t="shared" si="147"/>
        <v>Support</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4</v>
      </c>
      <c r="AP383">
        <f>step3_validation[[#This Row],[AI_TRU2]]</f>
        <v>9</v>
      </c>
      <c r="AQ383" t="str">
        <f t="shared" si="150"/>
        <v>Support</v>
      </c>
      <c r="AR383">
        <f>survey_responses[[#This Row],[Tôi thấy mức thuế tôi phải đóng theo phương án mới là công bằng (người thu nhập như tôi đóng mức này là hợp lý). - HUMAN-TRU2]]</f>
        <v>8</v>
      </c>
      <c r="AS383" t="str">
        <f t="shared" si="151"/>
        <v>Support</v>
      </c>
      <c r="AT383" s="32">
        <f t="shared" si="152"/>
        <v>1</v>
      </c>
      <c r="AU383">
        <f>step3_validation[[#This Row],[AI_TRU3]]</f>
        <v>7</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3</v>
      </c>
      <c r="AZ383">
        <f>step3_validation[[#This Row],[AI_TRU4]]</f>
        <v>8</v>
      </c>
      <c r="BA383" t="str">
        <f t="shared" si="156"/>
        <v>Support</v>
      </c>
      <c r="BB383">
        <f>survey_responses[[#This Row],[Tôi thấy Nhà nước đã giải thích rõ ràng, minh bạch về lý do và mục tiêu của việc sửa đổi thuế lần này. - HUMAN-TRU4]]</f>
        <v>5</v>
      </c>
      <c r="BC383" t="str">
        <f t="shared" si="157"/>
        <v>Neutral</v>
      </c>
      <c r="BD383" s="32">
        <f t="shared" si="158"/>
        <v>3</v>
      </c>
      <c r="BE383">
        <f>step3_validation[[#This Row],[AI_OUT1]]</f>
        <v>9</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2</v>
      </c>
    </row>
    <row r="384" spans="1:61" x14ac:dyDescent="0.45">
      <c r="A384" s="30">
        <f>step3_validation[[#This Row],[Persona_ID]]</f>
        <v>383</v>
      </c>
      <c r="B384" s="31">
        <f>step3_validation[[#This Row],[Used_Seed]]</f>
        <v>424</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87.308382636723636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t="str">
        <f t="shared" si="135"/>
        <v>Neutral</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6</v>
      </c>
      <c r="V384">
        <f>step3_validation[[#This Row],[AI_ENF2]]</f>
        <v>8</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2">
        <f t="shared" si="140"/>
        <v>7</v>
      </c>
      <c r="AA384">
        <f>step3_validation[[#This Row],[AI_FAC1]]</f>
        <v>9</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5</v>
      </c>
      <c r="AF384">
        <f>step3_validation[[#This Row],[AI_FAC2]]</f>
        <v>9</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4</v>
      </c>
      <c r="AK384">
        <f>step3_validation[[#This Row],[AI_TRU1]]</f>
        <v>8</v>
      </c>
      <c r="AL384" t="str">
        <f t="shared" si="147"/>
        <v>Support</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3</v>
      </c>
      <c r="AP384">
        <f>step3_validation[[#This Row],[AI_TRU2]]</f>
        <v>9</v>
      </c>
      <c r="AQ384" t="str">
        <f t="shared" si="150"/>
        <v>Support</v>
      </c>
      <c r="AR384">
        <f>survey_responses[[#This Row],[Tôi thấy mức thuế tôi phải đóng theo phương án mới là công bằng (người thu nhập như tôi đóng mức này là hợp lý). - HUMAN-TRU2]]</f>
        <v>4</v>
      </c>
      <c r="AS384" t="str">
        <f t="shared" si="151"/>
        <v>Oppose</v>
      </c>
      <c r="AT384" s="32">
        <f t="shared" si="152"/>
        <v>5</v>
      </c>
      <c r="AU384">
        <f>step3_validation[[#This Row],[AI_TRU3]]</f>
        <v>8</v>
      </c>
      <c r="AV384" t="str">
        <f t="shared" si="153"/>
        <v>Support</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4</v>
      </c>
      <c r="AZ384">
        <f>step3_validation[[#This Row],[AI_TRU4]]</f>
        <v>7</v>
      </c>
      <c r="BA384" t="str">
        <f t="shared" si="156"/>
        <v>Neutral</v>
      </c>
      <c r="BB384">
        <f>survey_responses[[#This Row],[Tôi thấy Nhà nước đã giải thích rõ ràng, minh bạch về lý do và mục tiêu của việc sửa đổi thuế lần này. - HUMAN-TRU4]]</f>
        <v>5</v>
      </c>
      <c r="BC384" t="str">
        <f t="shared" si="157"/>
        <v>Neutral</v>
      </c>
      <c r="BD384" s="32">
        <f t="shared" si="158"/>
        <v>2</v>
      </c>
      <c r="BE384">
        <f>step3_validation[[#This Row],[AI_OUT1]]</f>
        <v>9</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6</v>
      </c>
    </row>
    <row r="385" spans="1:61" x14ac:dyDescent="0.45">
      <c r="A385" s="30">
        <f>step3_validation[[#This Row],[Persona_ID]]</f>
        <v>384</v>
      </c>
      <c r="B385" s="31">
        <f>step3_validation[[#This Row],[Used_Seed]]</f>
        <v>425</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9</v>
      </c>
      <c r="R385" t="str">
        <f t="shared" si="135"/>
        <v>Support</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2</v>
      </c>
      <c r="V385">
        <f>step3_validation[[#This Row],[AI_ENF2]]</f>
        <v>8</v>
      </c>
      <c r="W385" t="str">
        <f t="shared" si="138"/>
        <v>Support</v>
      </c>
      <c r="X385">
        <f>survey_responses[[#This Row],[Tôi tin rằng Nhà nước, cơ quan thuế có đủ khả năng và công nghệ để phát hiện, xử lý nghiêm các hành vi trốn thuế. - HUMAN-ENF2]]</f>
        <v>7</v>
      </c>
      <c r="Y385" t="str">
        <f t="shared" si="139"/>
        <v>Neutral</v>
      </c>
      <c r="Z385" s="32">
        <f t="shared" si="140"/>
        <v>1</v>
      </c>
      <c r="AA385">
        <f>step3_validation[[#This Row],[AI_FAC1]]</f>
        <v>9</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2</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1</v>
      </c>
      <c r="AK385">
        <f>step3_validation[[#This Row],[AI_TRU1]]</f>
        <v>9</v>
      </c>
      <c r="AL385" t="str">
        <f t="shared" si="147"/>
        <v>Support</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1</v>
      </c>
      <c r="AP385">
        <f>step3_validation[[#This Row],[AI_TRU2]]</f>
        <v>8</v>
      </c>
      <c r="AQ385" t="str">
        <f t="shared" si="150"/>
        <v>Support</v>
      </c>
      <c r="AR385">
        <f>survey_responses[[#This Row],[Tôi thấy mức thuế tôi phải đóng theo phương án mới là công bằng (người thu nhập như tôi đóng mức này là hợp lý). - HUMAN-TRU2]]</f>
        <v>10</v>
      </c>
      <c r="AS385" t="str">
        <f t="shared" si="151"/>
        <v>Support</v>
      </c>
      <c r="AT385" s="32">
        <f t="shared" si="152"/>
        <v>2</v>
      </c>
      <c r="AU385">
        <f>step3_validation[[#This Row],[AI_TRU3]]</f>
        <v>9</v>
      </c>
      <c r="AV385" t="str">
        <f t="shared" si="153"/>
        <v>Support</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1</v>
      </c>
      <c r="AZ385">
        <f>step3_validation[[#This Row],[AI_TRU4]]</f>
        <v>8</v>
      </c>
      <c r="BA385" t="str">
        <f t="shared" si="156"/>
        <v>Support</v>
      </c>
      <c r="BB385">
        <f>survey_responses[[#This Row],[Tôi thấy Nhà nước đã giải thích rõ ràng, minh bạch về lý do và mục tiêu của việc sửa đổi thuế lần này. - HUMAN-TRU4]]</f>
        <v>7</v>
      </c>
      <c r="BC385" t="str">
        <f t="shared" si="157"/>
        <v>Neutral</v>
      </c>
      <c r="BD385" s="32">
        <f t="shared" si="158"/>
        <v>1</v>
      </c>
      <c r="BE385">
        <f>step3_validation[[#This Row],[AI_OUT1]]</f>
        <v>9</v>
      </c>
      <c r="BF385" t="str">
        <f t="shared" si="159"/>
        <v>Support</v>
      </c>
      <c r="BG385">
        <f>survey_responses[[#This Row],[Sau khi xem xét các quyền lợi và nghĩa vụ, bạn có ủng hộ và tuân thủ chính sách mới hiện nay? - HUMAN-OUT1]]</f>
        <v>10</v>
      </c>
      <c r="BH385" t="str">
        <f t="shared" si="160"/>
        <v>Support</v>
      </c>
      <c r="BI385" s="32">
        <f t="shared" si="161"/>
        <v>1</v>
      </c>
    </row>
    <row r="386" spans="1:61" x14ac:dyDescent="0.45">
      <c r="A386" s="30">
        <f>step3_validation[[#This Row],[Persona_ID]]</f>
        <v>385</v>
      </c>
      <c r="B386" s="31">
        <f>step3_validation[[#This Row],[Used_Seed]]</f>
        <v>426</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46.438593179989148</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7</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4</v>
      </c>
      <c r="V386">
        <f>step3_validation[[#This Row],[AI_ENF2]]</f>
        <v>6</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3</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9</v>
      </c>
      <c r="AG386" t="str">
        <f t="shared" si="144"/>
        <v>Support</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3</v>
      </c>
      <c r="AK386">
        <f>step3_validation[[#This Row],[AI_TRU1]]</f>
        <v>8</v>
      </c>
      <c r="AL386" t="str">
        <f t="shared" si="147"/>
        <v>Support</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4</v>
      </c>
      <c r="AP386">
        <f>step3_validation[[#This Row],[AI_TRU2]]</f>
        <v>9</v>
      </c>
      <c r="AQ386" t="str">
        <f t="shared" si="150"/>
        <v>Support</v>
      </c>
      <c r="AR386">
        <f>survey_responses[[#This Row],[Tôi thấy mức thuế tôi phải đóng theo phương án mới là công bằng (người thu nhập như tôi đóng mức này là hợp lý). - HUMAN-TRU2]]</f>
        <v>5</v>
      </c>
      <c r="AS386" t="str">
        <f t="shared" si="151"/>
        <v>Neutral</v>
      </c>
      <c r="AT386" s="32">
        <f t="shared" si="152"/>
        <v>4</v>
      </c>
      <c r="AU386">
        <f>step3_validation[[#This Row],[AI_TRU3]]</f>
        <v>8</v>
      </c>
      <c r="AV386" t="str">
        <f t="shared" si="153"/>
        <v>Support</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4</v>
      </c>
      <c r="AZ386">
        <f>step3_validation[[#This Row],[AI_TRU4]]</f>
        <v>7</v>
      </c>
      <c r="BA386" t="str">
        <f t="shared" si="156"/>
        <v>Neutral</v>
      </c>
      <c r="BB386">
        <f>survey_responses[[#This Row],[Tôi thấy Nhà nước đã giải thích rõ ràng, minh bạch về lý do và mục tiêu của việc sửa đổi thuế lần này. - HUMAN-TRU4]]</f>
        <v>5</v>
      </c>
      <c r="BC386" t="str">
        <f t="shared" si="157"/>
        <v>Neutral</v>
      </c>
      <c r="BD386" s="32">
        <f t="shared" si="158"/>
        <v>2</v>
      </c>
      <c r="BE386">
        <f>step3_validation[[#This Row],[AI_OUT1]]</f>
        <v>9</v>
      </c>
      <c r="BF386" t="str">
        <f t="shared" si="159"/>
        <v>Support</v>
      </c>
      <c r="BG386">
        <f>survey_responses[[#This Row],[Sau khi xem xét các quyền lợi và nghĩa vụ, bạn có ủng hộ và tuân thủ chính sách mới hiện nay? - HUMAN-OUT1]]</f>
        <v>5</v>
      </c>
      <c r="BH386" t="str">
        <f t="shared" si="160"/>
        <v>Neutral</v>
      </c>
      <c r="BI386" s="32">
        <f t="shared" si="161"/>
        <v>4</v>
      </c>
    </row>
    <row r="387" spans="1:61" x14ac:dyDescent="0.45">
      <c r="A387" s="30">
        <f>step3_validation[[#This Row],[Persona_ID]]</f>
        <v>386</v>
      </c>
      <c r="B387" s="31">
        <f>step3_validation[[#This Row],[Used_Seed]]</f>
        <v>427</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28.744304073137172</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1</v>
      </c>
      <c r="V387">
        <f>step3_validation[[#This Row],[AI_ENF2]]</f>
        <v>8</v>
      </c>
      <c r="W387" t="str">
        <f t="shared" ref="W387:W404" si="165">IF(AND(V387&gt;=1,V387&lt;5),"Oppose",IF(AND(V387&gt;=5,V387&lt;8),"Neutral",IF(AND(V387&gt;=8,V387&lt;=10),"Support","")))</f>
        <v>Support</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0</v>
      </c>
      <c r="AA387">
        <f>step3_validation[[#This Row],[AI_FAC1]]</f>
        <v>6</v>
      </c>
      <c r="AB387" t="str">
        <f t="shared" ref="AB387:AB404" si="168">IF(AND(AA387&gt;=1,AA387&lt;5),"Oppose",IF(AND(AA387&gt;=5,AA387&lt;8),"Neutral",IF(AND(AA387&gt;=8,AA387&lt;=10),"Support","")))</f>
        <v>Neutral</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3</v>
      </c>
      <c r="AF387">
        <f>step3_validation[[#This Row],[AI_FAC2]]</f>
        <v>9</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1</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0</v>
      </c>
      <c r="AP387">
        <f>step3_validation[[#This Row],[AI_TRU2]]</f>
        <v>9</v>
      </c>
      <c r="AQ387" t="str">
        <f t="shared" ref="AQ387:AQ404" si="177">IF(AND(AP387&gt;=1,AP387&lt;5),"Oppose",IF(AND(AP387&gt;=5,AP387&lt;8),"Neutral",IF(AND(AP387&gt;=8,AP387&lt;=10),"Support","")))</f>
        <v>Support</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1</v>
      </c>
      <c r="AU387">
        <f>step3_validation[[#This Row],[AI_TRU3]]</f>
        <v>8</v>
      </c>
      <c r="AV387" t="str">
        <f t="shared" ref="AV387:AV404" si="180">IF(AND(AU387&gt;=1,AU387&lt;5),"Oppose",IF(AND(AU387&gt;=5,AU387&lt;8),"Neutral",IF(AND(AU387&gt;=8,AU387&lt;=10),"Support","")))</f>
        <v>Support</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1</v>
      </c>
      <c r="AZ387">
        <f>step3_validation[[#This Row],[AI_TRU4]]</f>
        <v>7</v>
      </c>
      <c r="BA387" t="str">
        <f t="shared" ref="BA387:BA404" si="183">IF(AND(AZ387&gt;=1,AZ387&lt;5),"Oppose",IF(AND(AZ387&gt;=5,AZ387&lt;8),"Neutral",IF(AND(AZ387&gt;=8,AZ387&lt;=10),"Support","")))</f>
        <v>Neutral</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0</v>
      </c>
      <c r="BE387">
        <f>step3_validation[[#This Row],[AI_OUT1]]</f>
        <v>9</v>
      </c>
      <c r="BF387" t="str">
        <f t="shared" ref="BF387:BF404" si="186">IF(AND(BE387&gt;=1,BE387&lt;5),"Oppose",IF(AND(BE387&gt;=5,BE387&lt;8),"Neutral",IF(AND(BE387&gt;=8,BE387&lt;=10),"Support","")))</f>
        <v>Support</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428</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55.342749637454453</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8</v>
      </c>
      <c r="R388" t="str">
        <f t="shared" si="162"/>
        <v>Support</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3</v>
      </c>
      <c r="V388">
        <f>step3_validation[[#This Row],[AI_ENF2]]</f>
        <v>8</v>
      </c>
      <c r="W388" t="str">
        <f t="shared" si="165"/>
        <v>Support</v>
      </c>
      <c r="X388">
        <f>survey_responses[[#This Row],[Tôi tin rằng Nhà nước, cơ quan thuế có đủ khả năng và công nghệ để phát hiện, xử lý nghiêm các hành vi trốn thuế. - HUMAN-ENF2]]</f>
        <v>5</v>
      </c>
      <c r="Y388" t="str">
        <f t="shared" si="166"/>
        <v>Neutral</v>
      </c>
      <c r="Z388" s="32">
        <f t="shared" si="167"/>
        <v>3</v>
      </c>
      <c r="AA388">
        <f>step3_validation[[#This Row],[AI_FAC1]]</f>
        <v>9</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4</v>
      </c>
      <c r="AF388">
        <f>step3_validation[[#This Row],[AI_FAC2]]</f>
        <v>9</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4</v>
      </c>
      <c r="AK388">
        <f>step3_validation[[#This Row],[AI_TRU1]]</f>
        <v>7</v>
      </c>
      <c r="AL388" t="str">
        <f t="shared" si="174"/>
        <v>Neutral</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2</v>
      </c>
      <c r="AP388">
        <f>step3_validation[[#This Row],[AI_TRU2]]</f>
        <v>8</v>
      </c>
      <c r="AQ388" t="str">
        <f t="shared" si="177"/>
        <v>Support</v>
      </c>
      <c r="AR388">
        <f>survey_responses[[#This Row],[Tôi thấy mức thuế tôi phải đóng theo phương án mới là công bằng (người thu nhập như tôi đóng mức này là hợp lý). - HUMAN-TRU2]]</f>
        <v>5</v>
      </c>
      <c r="AS388" t="str">
        <f t="shared" si="178"/>
        <v>Neutral</v>
      </c>
      <c r="AT388" s="32">
        <f t="shared" si="179"/>
        <v>3</v>
      </c>
      <c r="AU388">
        <f>step3_validation[[#This Row],[AI_TRU3]]</f>
        <v>7</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2</v>
      </c>
      <c r="AZ388">
        <f>step3_validation[[#This Row],[AI_TRU4]]</f>
        <v>8</v>
      </c>
      <c r="BA388" t="str">
        <f t="shared" si="183"/>
        <v>Support</v>
      </c>
      <c r="BB388">
        <f>survey_responses[[#This Row],[Tôi thấy Nhà nước đã giải thích rõ ràng, minh bạch về lý do và mục tiêu của việc sửa đổi thuế lần này. - HUMAN-TRU4]]</f>
        <v>5</v>
      </c>
      <c r="BC388" t="str">
        <f t="shared" si="184"/>
        <v>Neutral</v>
      </c>
      <c r="BD388" s="32">
        <f t="shared" si="185"/>
        <v>3</v>
      </c>
      <c r="BE388">
        <f>step3_validation[[#This Row],[AI_OUT1]]</f>
        <v>9</v>
      </c>
      <c r="BF388" t="str">
        <f t="shared" si="186"/>
        <v>Support</v>
      </c>
      <c r="BG388">
        <f>survey_responses[[#This Row],[Sau khi xem xét các quyền lợi và nghĩa vụ, bạn có ủng hộ và tuân thủ chính sách mới hiện nay? - HUMAN-OUT1]]</f>
        <v>5</v>
      </c>
      <c r="BH388" t="str">
        <f t="shared" si="187"/>
        <v>Neutral</v>
      </c>
      <c r="BI388" s="32">
        <f t="shared" si="188"/>
        <v>4</v>
      </c>
    </row>
    <row r="389" spans="1:61" x14ac:dyDescent="0.45">
      <c r="A389" s="30">
        <f>step3_validation[[#This Row],[Persona_ID]]</f>
        <v>388</v>
      </c>
      <c r="B389" s="31">
        <f>step3_validation[[#This Row],[Used_Seed]]</f>
        <v>429</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15.841877126292323</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9</v>
      </c>
      <c r="R389" t="str">
        <f t="shared" si="162"/>
        <v>Support</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2</v>
      </c>
      <c r="V389">
        <f>step3_validation[[#This Row],[AI_ENF2]]</f>
        <v>8</v>
      </c>
      <c r="W389" t="str">
        <f t="shared" si="165"/>
        <v>Support</v>
      </c>
      <c r="X389">
        <f>survey_responses[[#This Row],[Tôi tin rằng Nhà nước, cơ quan thuế có đủ khả năng và công nghệ để phát hiện, xử lý nghiêm các hành vi trốn thuế. - HUMAN-ENF2]]</f>
        <v>7</v>
      </c>
      <c r="Y389" t="str">
        <f t="shared" si="166"/>
        <v>Neutral</v>
      </c>
      <c r="Z389" s="32">
        <f t="shared" si="167"/>
        <v>1</v>
      </c>
      <c r="AA389">
        <f>step3_validation[[#This Row],[AI_FAC1]]</f>
        <v>7</v>
      </c>
      <c r="AB389" t="str">
        <f t="shared" si="168"/>
        <v>Neutral</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2</v>
      </c>
      <c r="AF389">
        <f>step3_validation[[#This Row],[AI_FAC2]]</f>
        <v>8</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0</v>
      </c>
      <c r="AK389">
        <f>step3_validation[[#This Row],[AI_TRU1]]</f>
        <v>9</v>
      </c>
      <c r="AL389" t="str">
        <f t="shared" si="174"/>
        <v>Support</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3</v>
      </c>
      <c r="AP389">
        <f>step3_validation[[#This Row],[AI_TRU2]]</f>
        <v>8</v>
      </c>
      <c r="AQ389" t="str">
        <f t="shared" si="177"/>
        <v>Support</v>
      </c>
      <c r="AR389">
        <f>survey_responses[[#This Row],[Tôi thấy mức thuế tôi phải đóng theo phương án mới là công bằng (người thu nhập như tôi đóng mức này là hợp lý). - HUMAN-TRU2]]</f>
        <v>8</v>
      </c>
      <c r="AS389" t="str">
        <f t="shared" si="178"/>
        <v>Support</v>
      </c>
      <c r="AT389" s="32">
        <f t="shared" si="179"/>
        <v>0</v>
      </c>
      <c r="AU389">
        <f>step3_validation[[#This Row],[AI_TRU3]]</f>
        <v>9</v>
      </c>
      <c r="AV389" t="str">
        <f t="shared" si="180"/>
        <v>Support</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4</v>
      </c>
      <c r="AZ389">
        <f>step3_validation[[#This Row],[AI_TRU4]]</f>
        <v>8</v>
      </c>
      <c r="BA389" t="str">
        <f t="shared" si="183"/>
        <v>Support</v>
      </c>
      <c r="BB389">
        <f>survey_responses[[#This Row],[Tôi thấy Nhà nước đã giải thích rõ ràng, minh bạch về lý do và mục tiêu của việc sửa đổi thuế lần này. - HUMAN-TRU4]]</f>
        <v>5</v>
      </c>
      <c r="BC389" t="str">
        <f t="shared" si="184"/>
        <v>Neutral</v>
      </c>
      <c r="BD389" s="32">
        <f t="shared" si="185"/>
        <v>3</v>
      </c>
      <c r="BE389">
        <f>step3_validation[[#This Row],[AI_OUT1]]</f>
        <v>9</v>
      </c>
      <c r="BF389" t="str">
        <f t="shared" si="186"/>
        <v>Support</v>
      </c>
      <c r="BG389">
        <f>survey_responses[[#This Row],[Sau khi xem xét các quyền lợi và nghĩa vụ, bạn có ủng hộ và tuân thủ chính sách mới hiện nay? - HUMAN-OUT1]]</f>
        <v>8</v>
      </c>
      <c r="BH389" t="str">
        <f t="shared" si="187"/>
        <v>Support</v>
      </c>
      <c r="BI389" s="32">
        <f t="shared" si="188"/>
        <v>1</v>
      </c>
    </row>
    <row r="390" spans="1:61" x14ac:dyDescent="0.45">
      <c r="A390" s="30">
        <f>step3_validation[[#This Row],[Persona_ID]]</f>
        <v>389</v>
      </c>
      <c r="B390" s="31">
        <f>step3_validation[[#This Row],[Used_Seed]]</f>
        <v>430</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19.134406829911434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6</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0</v>
      </c>
      <c r="V390">
        <f>step3_validation[[#This Row],[AI_ENF2]]</f>
        <v>8</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2">
        <f t="shared" si="167"/>
        <v>0</v>
      </c>
      <c r="AA390">
        <f>step3_validation[[#This Row],[AI_FAC1]]</f>
        <v>9</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2</v>
      </c>
      <c r="AF390">
        <f>step3_validation[[#This Row],[AI_FAC2]]</f>
        <v>8</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0</v>
      </c>
      <c r="AK390">
        <f>step3_validation[[#This Row],[AI_TRU1]]</f>
        <v>7</v>
      </c>
      <c r="AL390" t="str">
        <f t="shared" si="174"/>
        <v>Neutral</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1</v>
      </c>
      <c r="AP390">
        <f>step3_validation[[#This Row],[AI_TRU2]]</f>
        <v>9</v>
      </c>
      <c r="AQ390" t="str">
        <f t="shared" si="177"/>
        <v>Support</v>
      </c>
      <c r="AR390">
        <f>survey_responses[[#This Row],[Tôi thấy mức thuế tôi phải đóng theo phương án mới là công bằng (người thu nhập như tôi đóng mức này là hợp lý). - HUMAN-TRU2]]</f>
        <v>8</v>
      </c>
      <c r="AS390" t="str">
        <f t="shared" si="178"/>
        <v>Support</v>
      </c>
      <c r="AT390" s="32">
        <f t="shared" si="179"/>
        <v>1</v>
      </c>
      <c r="AU390">
        <f>step3_validation[[#This Row],[AI_TRU3]]</f>
        <v>8</v>
      </c>
      <c r="AV390" t="str">
        <f t="shared" si="180"/>
        <v>Support</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3</v>
      </c>
      <c r="AZ390">
        <f>step3_validation[[#This Row],[AI_TRU4]]</f>
        <v>9</v>
      </c>
      <c r="BA390" t="str">
        <f t="shared" si="183"/>
        <v>Support</v>
      </c>
      <c r="BB390">
        <f>survey_responses[[#This Row],[Tôi thấy Nhà nước đã giải thích rõ ràng, minh bạch về lý do và mục tiêu của việc sửa đổi thuế lần này. - HUMAN-TRU4]]</f>
        <v>5</v>
      </c>
      <c r="BC390" t="str">
        <f t="shared" si="184"/>
        <v>Neutral</v>
      </c>
      <c r="BD390" s="32">
        <f t="shared" si="185"/>
        <v>4</v>
      </c>
      <c r="BE390">
        <f>step3_validation[[#This Row],[AI_OUT1]]</f>
        <v>10</v>
      </c>
      <c r="BF390" t="str">
        <f t="shared" si="186"/>
        <v>Support</v>
      </c>
      <c r="BG390">
        <f>survey_responses[[#This Row],[Sau khi xem xét các quyền lợi và nghĩa vụ, bạn có ủng hộ và tuân thủ chính sách mới hiện nay? - HUMAN-OUT1]]</f>
        <v>8</v>
      </c>
      <c r="BH390" t="str">
        <f t="shared" si="187"/>
        <v>Support</v>
      </c>
      <c r="BI390" s="32">
        <f t="shared" si="188"/>
        <v>2</v>
      </c>
    </row>
    <row r="391" spans="1:61" x14ac:dyDescent="0.45">
      <c r="A391" s="30">
        <f>step3_validation[[#This Row],[Persona_ID]]</f>
        <v>390</v>
      </c>
      <c r="B391" s="31">
        <f>step3_validation[[#This Row],[Used_Seed]]</f>
        <v>431</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43.084629847160691</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3</v>
      </c>
      <c r="V391">
        <f>step3_validation[[#This Row],[AI_ENF2]]</f>
        <v>8</v>
      </c>
      <c r="W391" t="str">
        <f t="shared" si="165"/>
        <v>Support</v>
      </c>
      <c r="X391">
        <f>survey_responses[[#This Row],[Tôi tin rằng Nhà nước, cơ quan thuế có đủ khả năng và công nghệ để phát hiện, xử lý nghiêm các hành vi trốn thuế. - HUMAN-ENF2]]</f>
        <v>10</v>
      </c>
      <c r="Y391" t="str">
        <f t="shared" si="166"/>
        <v>Support</v>
      </c>
      <c r="Z391" s="32">
        <f t="shared" si="167"/>
        <v>2</v>
      </c>
      <c r="AA391">
        <f>step3_validation[[#This Row],[AI_FAC1]]</f>
        <v>9</v>
      </c>
      <c r="AB391" t="str">
        <f t="shared" si="168"/>
        <v>Support</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4</v>
      </c>
      <c r="AF391">
        <f>step3_validation[[#This Row],[AI_FAC2]]</f>
        <v>8</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1</v>
      </c>
      <c r="AK391">
        <f>step3_validation[[#This Row],[AI_TRU1]]</f>
        <v>7</v>
      </c>
      <c r="AL391" t="str">
        <f t="shared" si="174"/>
        <v>Neutral</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0</v>
      </c>
      <c r="AP391">
        <f>step3_validation[[#This Row],[AI_TRU2]]</f>
        <v>9</v>
      </c>
      <c r="AQ391" t="str">
        <f t="shared" si="177"/>
        <v>Support</v>
      </c>
      <c r="AR391">
        <f>survey_responses[[#This Row],[Tôi thấy mức thuế tôi phải đóng theo phương án mới là công bằng (người thu nhập như tôi đóng mức này là hợp lý). - HUMAN-TRU2]]</f>
        <v>8</v>
      </c>
      <c r="AS391" t="str">
        <f t="shared" si="178"/>
        <v>Support</v>
      </c>
      <c r="AT391" s="32">
        <f t="shared" si="179"/>
        <v>1</v>
      </c>
      <c r="AU391">
        <f>step3_validation[[#This Row],[AI_TRU3]]</f>
        <v>7</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2</v>
      </c>
      <c r="AZ391">
        <f>step3_validation[[#This Row],[AI_TRU4]]</f>
        <v>6</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1</v>
      </c>
      <c r="BE391">
        <f>step3_validation[[#This Row],[AI_OUT1]]</f>
        <v>8</v>
      </c>
      <c r="BF391" t="str">
        <f t="shared" si="186"/>
        <v>Support</v>
      </c>
      <c r="BG391">
        <f>survey_responses[[#This Row],[Sau khi xem xét các quyền lợi và nghĩa vụ, bạn có ủng hộ và tuân thủ chính sách mới hiện nay? - HUMAN-OUT1]]</f>
        <v>8</v>
      </c>
      <c r="BH391" t="str">
        <f t="shared" si="187"/>
        <v>Support</v>
      </c>
      <c r="BI391" s="32">
        <f t="shared" si="188"/>
        <v>0</v>
      </c>
    </row>
    <row r="392" spans="1:61" x14ac:dyDescent="0.45">
      <c r="A392" s="30">
        <f>step3_validation[[#This Row],[Persona_ID]]</f>
        <v>391</v>
      </c>
      <c r="B392" s="31">
        <f>step3_validation[[#This Row],[Used_Seed]]</f>
        <v>432</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12.513975961973156</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3</v>
      </c>
      <c r="V392">
        <f>step3_validation[[#This Row],[AI_ENF2]]</f>
        <v>8</v>
      </c>
      <c r="W392" t="str">
        <f t="shared" si="165"/>
        <v>Support</v>
      </c>
      <c r="X392">
        <f>survey_responses[[#This Row],[Tôi tin rằng Nhà nước, cơ quan thuế có đủ khả năng và công nghệ để phát hiện, xử lý nghiêm các hành vi trốn thuế. - HUMAN-ENF2]]</f>
        <v>5</v>
      </c>
      <c r="Y392" t="str">
        <f t="shared" si="166"/>
        <v>Neutral</v>
      </c>
      <c r="Z392" s="32">
        <f t="shared" si="167"/>
        <v>3</v>
      </c>
      <c r="AA392">
        <f>step3_validation[[#This Row],[AI_FAC1]]</f>
        <v>9</v>
      </c>
      <c r="AB392" t="str">
        <f t="shared" si="168"/>
        <v>Support</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2</v>
      </c>
      <c r="AF392">
        <f>step3_validation[[#This Row],[AI_FAC2]]</f>
        <v>9</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2</v>
      </c>
      <c r="AK392">
        <f>step3_validation[[#This Row],[AI_TRU1]]</f>
        <v>8</v>
      </c>
      <c r="AL392" t="str">
        <f t="shared" si="174"/>
        <v>Support</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3</v>
      </c>
      <c r="AP392">
        <f>step3_validation[[#This Row],[AI_TRU2]]</f>
        <v>9</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2">
        <f t="shared" si="179"/>
        <v>2</v>
      </c>
      <c r="AU392">
        <f>step3_validation[[#This Row],[AI_TRU3]]</f>
        <v>8</v>
      </c>
      <c r="AV392" t="str">
        <f t="shared" si="180"/>
        <v>Support</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3</v>
      </c>
      <c r="AZ392">
        <f>step3_validation[[#This Row],[AI_TRU4]]</f>
        <v>9</v>
      </c>
      <c r="BA392" t="str">
        <f t="shared" si="183"/>
        <v>Support</v>
      </c>
      <c r="BB392">
        <f>survey_responses[[#This Row],[Tôi thấy Nhà nước đã giải thích rõ ràng, minh bạch về lý do và mục tiêu của việc sửa đổi thuế lần này. - HUMAN-TRU4]]</f>
        <v>5</v>
      </c>
      <c r="BC392" t="str">
        <f t="shared" si="184"/>
        <v>Neutral</v>
      </c>
      <c r="BD392" s="32">
        <f t="shared" si="185"/>
        <v>4</v>
      </c>
      <c r="BE392">
        <f>step3_validation[[#This Row],[AI_OUT1]]</f>
        <v>10</v>
      </c>
      <c r="BF392" t="str">
        <f t="shared" si="186"/>
        <v>Support</v>
      </c>
      <c r="BG392">
        <f>survey_responses[[#This Row],[Sau khi xem xét các quyền lợi và nghĩa vụ, bạn có ủng hộ và tuân thủ chính sách mới hiện nay? - HUMAN-OUT1]]</f>
        <v>7</v>
      </c>
      <c r="BH392" t="str">
        <f t="shared" si="187"/>
        <v>Neutral</v>
      </c>
      <c r="BI392" s="32">
        <f t="shared" si="188"/>
        <v>3</v>
      </c>
    </row>
    <row r="393" spans="1:61" x14ac:dyDescent="0.45">
      <c r="A393" s="30">
        <f>step3_validation[[#This Row],[Persona_ID]]</f>
        <v>392</v>
      </c>
      <c r="B393" s="31">
        <f>step3_validation[[#This Row],[Used_Seed]]</f>
        <v>433</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181.80268236805213</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7</v>
      </c>
      <c r="R393" t="str">
        <f t="shared" si="162"/>
        <v>Neutral</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5</v>
      </c>
      <c r="V393">
        <f>step3_validation[[#This Row],[AI_ENF2]]</f>
        <v>8</v>
      </c>
      <c r="W393" t="str">
        <f t="shared" si="165"/>
        <v>Support</v>
      </c>
      <c r="X393">
        <f>survey_responses[[#This Row],[Tôi tin rằng Nhà nước, cơ quan thuế có đủ khả năng và công nghệ để phát hiện, xử lý nghiêm các hành vi trốn thuế. - HUMAN-ENF2]]</f>
        <v>3</v>
      </c>
      <c r="Y393" t="str">
        <f t="shared" si="166"/>
        <v>Oppose</v>
      </c>
      <c r="Z393" s="32">
        <f t="shared" si="167"/>
        <v>5</v>
      </c>
      <c r="AA393">
        <f>step3_validation[[#This Row],[AI_FAC1]]</f>
        <v>9</v>
      </c>
      <c r="AB393" t="str">
        <f t="shared" si="168"/>
        <v>Support</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6</v>
      </c>
      <c r="AF393">
        <f>step3_validation[[#This Row],[AI_FAC2]]</f>
        <v>9</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3</v>
      </c>
      <c r="AK393">
        <f>step3_validation[[#This Row],[AI_TRU1]]</f>
        <v>8</v>
      </c>
      <c r="AL393" t="str">
        <f t="shared" si="174"/>
        <v>Support</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3</v>
      </c>
      <c r="AP393">
        <f>step3_validation[[#This Row],[AI_TRU2]]</f>
        <v>8</v>
      </c>
      <c r="AQ393" t="str">
        <f t="shared" si="177"/>
        <v>Support</v>
      </c>
      <c r="AR393">
        <f>survey_responses[[#This Row],[Tôi thấy mức thuế tôi phải đóng theo phương án mới là công bằng (người thu nhập như tôi đóng mức này là hợp lý). - HUMAN-TRU2]]</f>
        <v>5</v>
      </c>
      <c r="AS393" t="str">
        <f t="shared" si="178"/>
        <v>Neutral</v>
      </c>
      <c r="AT393" s="32">
        <f t="shared" si="179"/>
        <v>3</v>
      </c>
      <c r="AU393">
        <f>step3_validation[[#This Row],[AI_TRU3]]</f>
        <v>7</v>
      </c>
      <c r="AV393" t="str">
        <f t="shared" si="180"/>
        <v>Neutral</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2</v>
      </c>
      <c r="AZ393">
        <f>step3_validation[[#This Row],[AI_TRU4]]</f>
        <v>6</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2">
        <f t="shared" si="185"/>
        <v>1</v>
      </c>
      <c r="BE393">
        <f>step3_validation[[#This Row],[AI_OUT1]]</f>
        <v>9</v>
      </c>
      <c r="BF393" t="str">
        <f t="shared" si="186"/>
        <v>Support</v>
      </c>
      <c r="BG393">
        <f>survey_responses[[#This Row],[Sau khi xem xét các quyền lợi và nghĩa vụ, bạn có ủng hộ và tuân thủ chính sách mới hiện nay? - HUMAN-OUT1]]</f>
        <v>5</v>
      </c>
      <c r="BH393" t="str">
        <f t="shared" si="187"/>
        <v>Neutral</v>
      </c>
      <c r="BI393" s="32">
        <f t="shared" si="188"/>
        <v>4</v>
      </c>
    </row>
    <row r="394" spans="1:61" x14ac:dyDescent="0.45">
      <c r="A394" s="30">
        <f>step3_validation[[#This Row],[Persona_ID]]</f>
        <v>393</v>
      </c>
      <c r="B394" s="31">
        <f>step3_validation[[#This Row],[Used_Seed]]</f>
        <v>434</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24.237912887979391</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0</v>
      </c>
      <c r="V394">
        <f>step3_validation[[#This Row],[AI_ENF2]]</f>
        <v>8</v>
      </c>
      <c r="W394" t="str">
        <f t="shared" si="165"/>
        <v>Support</v>
      </c>
      <c r="X394">
        <f>survey_responses[[#This Row],[Tôi tin rằng Nhà nước, cơ quan thuế có đủ khả năng và công nghệ để phát hiện, xử lý nghiêm các hành vi trốn thuế. - HUMAN-ENF2]]</f>
        <v>7</v>
      </c>
      <c r="Y394" t="str">
        <f t="shared" si="166"/>
        <v>Neutral</v>
      </c>
      <c r="Z394" s="32">
        <f t="shared" si="167"/>
        <v>1</v>
      </c>
      <c r="AA394">
        <f>step3_validation[[#This Row],[AI_FAC1]]</f>
        <v>9</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4</v>
      </c>
      <c r="AF394">
        <f>step3_validation[[#This Row],[AI_FAC2]]</f>
        <v>10</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2</v>
      </c>
      <c r="AK394">
        <f>step3_validation[[#This Row],[AI_TRU1]]</f>
        <v>7</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0</v>
      </c>
      <c r="AP394">
        <f>step3_validation[[#This Row],[AI_TRU2]]</f>
        <v>9</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2">
        <f t="shared" si="179"/>
        <v>2</v>
      </c>
      <c r="AU394">
        <f>step3_validation[[#This Row],[AI_TRU3]]</f>
        <v>7</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2</v>
      </c>
      <c r="AZ394">
        <f>step3_validation[[#This Row],[AI_TRU4]]</f>
        <v>8</v>
      </c>
      <c r="BA394" t="str">
        <f t="shared" si="183"/>
        <v>Support</v>
      </c>
      <c r="BB394">
        <f>survey_responses[[#This Row],[Tôi thấy Nhà nước đã giải thích rõ ràng, minh bạch về lý do và mục tiêu của việc sửa đổi thuế lần này. - HUMAN-TRU4]]</f>
        <v>6</v>
      </c>
      <c r="BC394" t="str">
        <f t="shared" si="184"/>
        <v>Neutral</v>
      </c>
      <c r="BD394" s="32">
        <f t="shared" si="185"/>
        <v>2</v>
      </c>
      <c r="BE394">
        <f>step3_validation[[#This Row],[AI_OUT1]]</f>
        <v>9</v>
      </c>
      <c r="BF394" t="str">
        <f t="shared" si="186"/>
        <v>Support</v>
      </c>
      <c r="BG394">
        <f>survey_responses[[#This Row],[Sau khi xem xét các quyền lợi và nghĩa vụ, bạn có ủng hộ và tuân thủ chính sách mới hiện nay? - HUMAN-OUT1]]</f>
        <v>7</v>
      </c>
      <c r="BH394" t="str">
        <f t="shared" si="187"/>
        <v>Neutral</v>
      </c>
      <c r="BI394" s="32">
        <f t="shared" si="188"/>
        <v>2</v>
      </c>
    </row>
    <row r="395" spans="1:61" x14ac:dyDescent="0.45">
      <c r="A395" s="30">
        <f>step3_validation[[#This Row],[Persona_ID]]</f>
        <v>394</v>
      </c>
      <c r="B395" s="31">
        <f>step3_validation[[#This Row],[Used_Seed]]</f>
        <v>435</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3</v>
      </c>
      <c r="R395" t="str">
        <f t="shared" si="162"/>
        <v>Oppose</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6</v>
      </c>
      <c r="V395">
        <f>step3_validation[[#This Row],[AI_ENF2]]</f>
        <v>3</v>
      </c>
      <c r="W395" t="str">
        <f t="shared" si="165"/>
        <v>Oppose</v>
      </c>
      <c r="X395">
        <f>survey_responses[[#This Row],[Tôi tin rằng Nhà nước, cơ quan thuế có đủ khả năng và công nghệ để phát hiện, xử lý nghiêm các hành vi trốn thuế. - HUMAN-ENF2]]</f>
        <v>9</v>
      </c>
      <c r="Y395" t="str">
        <f t="shared" si="166"/>
        <v>Support</v>
      </c>
      <c r="Z395" s="32">
        <f t="shared" si="167"/>
        <v>6</v>
      </c>
      <c r="AA395">
        <f>step3_validation[[#This Row],[AI_FAC1]]</f>
        <v>8</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1</v>
      </c>
      <c r="AF395">
        <f>step3_validation[[#This Row],[AI_FAC2]]</f>
        <v>9</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2</v>
      </c>
      <c r="AK395">
        <f>step3_validation[[#This Row],[AI_TRU1]]</f>
        <v>6</v>
      </c>
      <c r="AL395" t="str">
        <f t="shared" si="174"/>
        <v>Neutral</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2</v>
      </c>
      <c r="AP395">
        <f>step3_validation[[#This Row],[AI_TRU2]]</f>
        <v>6</v>
      </c>
      <c r="AQ395" t="str">
        <f t="shared" si="177"/>
        <v>Neutral</v>
      </c>
      <c r="AR395">
        <f>survey_responses[[#This Row],[Tôi thấy mức thuế tôi phải đóng theo phương án mới là công bằng (người thu nhập như tôi đóng mức này là hợp lý). - HUMAN-TRU2]]</f>
        <v>6</v>
      </c>
      <c r="AS395" t="str">
        <f t="shared" si="178"/>
        <v>Neutral</v>
      </c>
      <c r="AT395" s="32">
        <f t="shared" si="179"/>
        <v>0</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1</v>
      </c>
      <c r="AZ395">
        <f>step3_validation[[#This Row],[AI_TRU4]]</f>
        <v>6</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4</v>
      </c>
      <c r="BE395">
        <f>step3_validation[[#This Row],[AI_OUT1]]</f>
        <v>7</v>
      </c>
      <c r="BF395" t="str">
        <f t="shared" si="186"/>
        <v>Neutral</v>
      </c>
      <c r="BG395">
        <f>survey_responses[[#This Row],[Sau khi xem xét các quyền lợi và nghĩa vụ, bạn có ủng hộ và tuân thủ chính sách mới hiện nay? - HUMAN-OUT1]]</f>
        <v>10</v>
      </c>
      <c r="BH395" t="str">
        <f t="shared" si="187"/>
        <v>Support</v>
      </c>
      <c r="BI395" s="32">
        <f t="shared" si="188"/>
        <v>3</v>
      </c>
    </row>
    <row r="396" spans="1:61" x14ac:dyDescent="0.45">
      <c r="A396" s="30">
        <f>step3_validation[[#This Row],[Persona_ID]]</f>
        <v>395</v>
      </c>
      <c r="B396" s="31">
        <f>step3_validation[[#This Row],[Used_Seed]]</f>
        <v>436</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34.081530347075777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t="str">
        <f t="shared" si="162"/>
        <v>Neutral</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0</v>
      </c>
      <c r="V396">
        <f>step3_validation[[#This Row],[AI_ENF2]]</f>
        <v>8</v>
      </c>
      <c r="W396" t="str">
        <f t="shared" si="165"/>
        <v>Support</v>
      </c>
      <c r="X396">
        <f>survey_responses[[#This Row],[Tôi tin rằng Nhà nước, cơ quan thuế có đủ khả năng và công nghệ để phát hiện, xử lý nghiêm các hành vi trốn thuế. - HUMAN-ENF2]]</f>
        <v>7</v>
      </c>
      <c r="Y396" t="str">
        <f t="shared" si="166"/>
        <v>Neutral</v>
      </c>
      <c r="Z396" s="32">
        <f t="shared" si="167"/>
        <v>1</v>
      </c>
      <c r="AA396">
        <f>step3_validation[[#This Row],[AI_FAC1]]</f>
        <v>9</v>
      </c>
      <c r="AB396" t="str">
        <f t="shared" si="168"/>
        <v>Support</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4</v>
      </c>
      <c r="AF396">
        <f>step3_validation[[#This Row],[AI_FAC2]]</f>
        <v>9</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2</v>
      </c>
      <c r="AK396">
        <f>step3_validation[[#This Row],[AI_TRU1]]</f>
        <v>8</v>
      </c>
      <c r="AL396" t="str">
        <f t="shared" si="174"/>
        <v>Support</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3</v>
      </c>
      <c r="AP396">
        <f>step3_validation[[#This Row],[AI_TRU2]]</f>
        <v>9</v>
      </c>
      <c r="AQ396" t="str">
        <f t="shared" si="177"/>
        <v>Support</v>
      </c>
      <c r="AR396">
        <f>survey_responses[[#This Row],[Tôi thấy mức thuế tôi phải đóng theo phương án mới là công bằng (người thu nhập như tôi đóng mức này là hợp lý). - HUMAN-TRU2]]</f>
        <v>6</v>
      </c>
      <c r="AS396" t="str">
        <f t="shared" si="178"/>
        <v>Neutral</v>
      </c>
      <c r="AT396" s="32">
        <f t="shared" si="179"/>
        <v>3</v>
      </c>
      <c r="AU396">
        <f>step3_validation[[#This Row],[AI_TRU3]]</f>
        <v>8</v>
      </c>
      <c r="AV396" t="str">
        <f t="shared" si="180"/>
        <v>Support</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3</v>
      </c>
      <c r="AZ396">
        <f>step3_validation[[#This Row],[AI_TRU4]]</f>
        <v>9</v>
      </c>
      <c r="BA396" t="str">
        <f t="shared" si="183"/>
        <v>Support</v>
      </c>
      <c r="BB396">
        <f>survey_responses[[#This Row],[Tôi thấy Nhà nước đã giải thích rõ ràng, minh bạch về lý do và mục tiêu của việc sửa đổi thuế lần này. - HUMAN-TRU4]]</f>
        <v>6</v>
      </c>
      <c r="BC396" t="str">
        <f t="shared" si="184"/>
        <v>Neutral</v>
      </c>
      <c r="BD396" s="32">
        <f t="shared" si="185"/>
        <v>3</v>
      </c>
      <c r="BE396">
        <f>step3_validation[[#This Row],[AI_OUT1]]</f>
        <v>8</v>
      </c>
      <c r="BF396" t="str">
        <f t="shared" si="186"/>
        <v>Support</v>
      </c>
      <c r="BG396">
        <f>survey_responses[[#This Row],[Sau khi xem xét các quyền lợi và nghĩa vụ, bạn có ủng hộ và tuân thủ chính sách mới hiện nay? - HUMAN-OUT1]]</f>
        <v>6</v>
      </c>
      <c r="BH396" t="str">
        <f t="shared" si="187"/>
        <v>Neutral</v>
      </c>
      <c r="BI396" s="32">
        <f t="shared" si="188"/>
        <v>2</v>
      </c>
    </row>
    <row r="397" spans="1:61" x14ac:dyDescent="0.45">
      <c r="A397" s="30">
        <f>step3_validation[[#This Row],[Persona_ID]]</f>
        <v>396</v>
      </c>
      <c r="B397" s="31">
        <f>step3_validation[[#This Row],[Used_Seed]]</f>
        <v>437</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29.447497431690316</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7</v>
      </c>
      <c r="R397" t="str">
        <f t="shared" si="162"/>
        <v>Neutral</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5</v>
      </c>
      <c r="V397">
        <f>step3_validation[[#This Row],[AI_ENF2]]</f>
        <v>6</v>
      </c>
      <c r="W397" t="str">
        <f t="shared" si="165"/>
        <v>Neutral</v>
      </c>
      <c r="X397">
        <f>survey_responses[[#This Row],[Tôi tin rằng Nhà nước, cơ quan thuế có đủ khả năng và công nghệ để phát hiện, xử lý nghiêm các hành vi trốn thuế. - HUMAN-ENF2]]</f>
        <v>2</v>
      </c>
      <c r="Y397" t="str">
        <f t="shared" si="166"/>
        <v>Oppose</v>
      </c>
      <c r="Z397" s="32">
        <f t="shared" si="167"/>
        <v>4</v>
      </c>
      <c r="AA397">
        <f>step3_validation[[#This Row],[AI_FAC1]]</f>
        <v>8</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4</v>
      </c>
      <c r="AF397">
        <f>step3_validation[[#This Row],[AI_FAC2]]</f>
        <v>9</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4</v>
      </c>
      <c r="AK397">
        <f>step3_validation[[#This Row],[AI_TRU1]]</f>
        <v>8</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3</v>
      </c>
      <c r="AP397">
        <f>step3_validation[[#This Row],[AI_TRU2]]</f>
        <v>9</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2">
        <f t="shared" si="179"/>
        <v>6</v>
      </c>
      <c r="AU397">
        <f>step3_validation[[#This Row],[AI_TRU3]]</f>
        <v>8</v>
      </c>
      <c r="AV397" t="str">
        <f t="shared" si="180"/>
        <v>Support</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3</v>
      </c>
      <c r="AZ397">
        <f>step3_validation[[#This Row],[AI_TRU4]]</f>
        <v>7</v>
      </c>
      <c r="BA397" t="str">
        <f t="shared" si="183"/>
        <v>Neutral</v>
      </c>
      <c r="BB397">
        <f>survey_responses[[#This Row],[Tôi thấy Nhà nước đã giải thích rõ ràng, minh bạch về lý do và mục tiêu của việc sửa đổi thuế lần này. - HUMAN-TRU4]]</f>
        <v>5</v>
      </c>
      <c r="BC397" t="str">
        <f t="shared" si="184"/>
        <v>Neutral</v>
      </c>
      <c r="BD397" s="32">
        <f t="shared" si="185"/>
        <v>2</v>
      </c>
      <c r="BE397">
        <f>step3_validation[[#This Row],[AI_OUT1]]</f>
        <v>9</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4</v>
      </c>
    </row>
    <row r="398" spans="1:61" x14ac:dyDescent="0.45">
      <c r="A398" s="30">
        <f>step3_validation[[#This Row],[Persona_ID]]</f>
        <v>397</v>
      </c>
      <c r="B398" s="31">
        <f>step3_validation[[#This Row],[Used_Seed]]</f>
        <v>438</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28.524551732345792</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6</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2</v>
      </c>
      <c r="V398">
        <f>step3_validation[[#This Row],[AI_ENF2]]</f>
        <v>7</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2">
        <f t="shared" si="167"/>
        <v>1</v>
      </c>
      <c r="AA398">
        <f>step3_validation[[#This Row],[AI_FAC1]]</f>
        <v>8</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1</v>
      </c>
      <c r="AF398">
        <f>step3_validation[[#This Row],[AI_FAC2]]</f>
        <v>9</v>
      </c>
      <c r="AG398" t="str">
        <f t="shared" si="171"/>
        <v>Support</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2</v>
      </c>
      <c r="AK398">
        <f>step3_validation[[#This Row],[AI_TRU1]]</f>
        <v>7</v>
      </c>
      <c r="AL398" t="str">
        <f t="shared" si="174"/>
        <v>Neutral</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0</v>
      </c>
      <c r="AP398">
        <f>step3_validation[[#This Row],[AI_TRU2]]</f>
        <v>8</v>
      </c>
      <c r="AQ398" t="str">
        <f t="shared" si="177"/>
        <v>Support</v>
      </c>
      <c r="AR398">
        <f>survey_responses[[#This Row],[Tôi thấy mức thuế tôi phải đóng theo phương án mới là công bằng (người thu nhập như tôi đóng mức này là hợp lý). - HUMAN-TRU2]]</f>
        <v>8</v>
      </c>
      <c r="AS398" t="str">
        <f t="shared" si="178"/>
        <v>Support</v>
      </c>
      <c r="AT398" s="32">
        <f t="shared" si="179"/>
        <v>0</v>
      </c>
      <c r="AU398">
        <f>step3_validation[[#This Row],[AI_TRU3]]</f>
        <v>7</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0</v>
      </c>
      <c r="AZ398">
        <f>step3_validation[[#This Row],[AI_TRU4]]</f>
        <v>6</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2</v>
      </c>
      <c r="BE398">
        <f>step3_validation[[#This Row],[AI_OUT1]]</f>
        <v>8</v>
      </c>
      <c r="BF398" t="str">
        <f t="shared" si="186"/>
        <v>Support</v>
      </c>
      <c r="BG398">
        <f>survey_responses[[#This Row],[Sau khi xem xét các quyền lợi và nghĩa vụ, bạn có ủng hộ và tuân thủ chính sách mới hiện nay? - HUMAN-OUT1]]</f>
        <v>8</v>
      </c>
      <c r="BH398" t="str">
        <f t="shared" si="187"/>
        <v>Support</v>
      </c>
      <c r="BI398" s="32">
        <f t="shared" si="188"/>
        <v>0</v>
      </c>
    </row>
    <row r="399" spans="1:61" x14ac:dyDescent="0.45">
      <c r="A399" s="30">
        <f>step3_validation[[#This Row],[Persona_ID]]</f>
        <v>398</v>
      </c>
      <c r="B399" s="31">
        <f>step3_validation[[#This Row],[Used_Seed]]</f>
        <v>439</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6</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3</v>
      </c>
      <c r="V399">
        <f>step3_validation[[#This Row],[AI_ENF2]]</f>
        <v>7</v>
      </c>
      <c r="W399" t="str">
        <f t="shared" si="165"/>
        <v>Neutral</v>
      </c>
      <c r="X399">
        <f>survey_responses[[#This Row],[Tôi tin rằng Nhà nước, cơ quan thuế có đủ khả năng và công nghệ để phát hiện, xử lý nghiêm các hành vi trốn thuế. - HUMAN-ENF2]]</f>
        <v>9</v>
      </c>
      <c r="Y399" t="str">
        <f t="shared" si="166"/>
        <v>Support</v>
      </c>
      <c r="Z399" s="32">
        <f t="shared" si="167"/>
        <v>2</v>
      </c>
      <c r="AA399">
        <f>step3_validation[[#This Row],[AI_FAC1]]</f>
        <v>8</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0</v>
      </c>
      <c r="AF399">
        <f>step3_validation[[#This Row],[AI_FAC2]]</f>
        <v>9</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0</v>
      </c>
      <c r="AK399">
        <f>step3_validation[[#This Row],[AI_TRU1]]</f>
        <v>7</v>
      </c>
      <c r="AL399" t="str">
        <f t="shared" si="174"/>
        <v>Neutral</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0</v>
      </c>
      <c r="AP399">
        <f>step3_validation[[#This Row],[AI_TRU2]]</f>
        <v>8</v>
      </c>
      <c r="AQ399" t="str">
        <f t="shared" si="177"/>
        <v>Support</v>
      </c>
      <c r="AR399">
        <f>survey_responses[[#This Row],[Tôi thấy mức thuế tôi phải đóng theo phương án mới là công bằng (người thu nhập như tôi đóng mức này là hợp lý). - HUMAN-TRU2]]</f>
        <v>9</v>
      </c>
      <c r="AS399" t="str">
        <f t="shared" si="178"/>
        <v>Support</v>
      </c>
      <c r="AT399" s="32">
        <f t="shared" si="179"/>
        <v>1</v>
      </c>
      <c r="AU399">
        <f>step3_validation[[#This Row],[AI_TRU3]]</f>
        <v>9</v>
      </c>
      <c r="AV399" t="str">
        <f t="shared" si="180"/>
        <v>Support</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1</v>
      </c>
      <c r="AZ399">
        <f>step3_validation[[#This Row],[AI_TRU4]]</f>
        <v>7</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1</v>
      </c>
      <c r="BE399">
        <f>step3_validation[[#This Row],[AI_OUT1]]</f>
        <v>9</v>
      </c>
      <c r="BF399" t="str">
        <f t="shared" si="186"/>
        <v>Support</v>
      </c>
      <c r="BG399">
        <f>survey_responses[[#This Row],[Sau khi xem xét các quyền lợi và nghĩa vụ, bạn có ủng hộ và tuân thủ chính sách mới hiện nay? - HUMAN-OUT1]]</f>
        <v>8</v>
      </c>
      <c r="BH399" t="str">
        <f t="shared" si="187"/>
        <v>Support</v>
      </c>
      <c r="BI399" s="32">
        <f t="shared" si="188"/>
        <v>1</v>
      </c>
    </row>
    <row r="400" spans="1:61" x14ac:dyDescent="0.45">
      <c r="A400" s="30">
        <f>step3_validation[[#This Row],[Persona_ID]]</f>
        <v>399</v>
      </c>
      <c r="B400" s="31">
        <f>step3_validation[[#This Row],[Used_Seed]]</f>
        <v>440</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25.28387256684308</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0</v>
      </c>
      <c r="V400">
        <f>step3_validation[[#This Row],[AI_ENF2]]</f>
        <v>8</v>
      </c>
      <c r="W400" t="str">
        <f t="shared" si="165"/>
        <v>Support</v>
      </c>
      <c r="X400">
        <f>survey_responses[[#This Row],[Tôi tin rằng Nhà nước, cơ quan thuế có đủ khả năng và công nghệ để phát hiện, xử lý nghiêm các hành vi trốn thuế. - HUMAN-ENF2]]</f>
        <v>7</v>
      </c>
      <c r="Y400" t="str">
        <f t="shared" si="166"/>
        <v>Neutral</v>
      </c>
      <c r="Z400" s="32">
        <f t="shared" si="167"/>
        <v>1</v>
      </c>
      <c r="AA400">
        <f>step3_validation[[#This Row],[AI_FAC1]]</f>
        <v>7</v>
      </c>
      <c r="AB400" t="str">
        <f t="shared" si="168"/>
        <v>Neutral</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2</v>
      </c>
      <c r="AF400">
        <f>step3_validation[[#This Row],[AI_FAC2]]</f>
        <v>8</v>
      </c>
      <c r="AG400" t="str">
        <f t="shared" si="171"/>
        <v>Support</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0</v>
      </c>
      <c r="AK400">
        <f>step3_validation[[#This Row],[AI_TRU1]]</f>
        <v>7</v>
      </c>
      <c r="AL400" t="str">
        <f t="shared" si="174"/>
        <v>Neutral</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0</v>
      </c>
      <c r="AP400">
        <f>step3_validation[[#This Row],[AI_TRU2]]</f>
        <v>9</v>
      </c>
      <c r="AQ400" t="str">
        <f t="shared" si="177"/>
        <v>Support</v>
      </c>
      <c r="AR400">
        <f>survey_responses[[#This Row],[Tôi thấy mức thuế tôi phải đóng theo phương án mới là công bằng (người thu nhập như tôi đóng mức này là hợp lý). - HUMAN-TRU2]]</f>
        <v>8</v>
      </c>
      <c r="AS400" t="str">
        <f t="shared" si="178"/>
        <v>Support</v>
      </c>
      <c r="AT400" s="32">
        <f t="shared" si="179"/>
        <v>1</v>
      </c>
      <c r="AU400">
        <f>step3_validation[[#This Row],[AI_TRU3]]</f>
        <v>7</v>
      </c>
      <c r="AV400" t="str">
        <f t="shared" si="180"/>
        <v>Neutral</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1</v>
      </c>
      <c r="AZ400">
        <f>step3_validation[[#This Row],[AI_TRU4]]</f>
        <v>9</v>
      </c>
      <c r="BA400" t="str">
        <f t="shared" si="183"/>
        <v>Support</v>
      </c>
      <c r="BB400">
        <f>survey_responses[[#This Row],[Tôi thấy Nhà nước đã giải thích rõ ràng, minh bạch về lý do và mục tiêu của việc sửa đổi thuế lần này. - HUMAN-TRU4]]</f>
        <v>6</v>
      </c>
      <c r="BC400" t="str">
        <f t="shared" si="184"/>
        <v>Neutral</v>
      </c>
      <c r="BD400" s="32">
        <f t="shared" si="185"/>
        <v>3</v>
      </c>
      <c r="BE400">
        <f>step3_validation[[#This Row],[AI_OUT1]]</f>
        <v>8</v>
      </c>
      <c r="BF400" t="str">
        <f t="shared" si="186"/>
        <v>Support</v>
      </c>
      <c r="BG400">
        <f>survey_responses[[#This Row],[Sau khi xem xét các quyền lợi và nghĩa vụ, bạn có ủng hộ và tuân thủ chính sách mới hiện nay? - HUMAN-OUT1]]</f>
        <v>8</v>
      </c>
      <c r="BH400" t="str">
        <f t="shared" si="187"/>
        <v>Support</v>
      </c>
      <c r="BI400" s="32">
        <f t="shared" si="188"/>
        <v>0</v>
      </c>
    </row>
    <row r="401" spans="1:61" x14ac:dyDescent="0.45">
      <c r="A401" s="30">
        <f>step3_validation[[#This Row],[Persona_ID]]</f>
        <v>400</v>
      </c>
      <c r="B401" s="31">
        <f>step3_validation[[#This Row],[Used_Seed]]</f>
        <v>441</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44.616615906222172</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t="str">
        <f t="shared" si="162"/>
        <v>Neutral</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1</v>
      </c>
      <c r="V401">
        <f>step3_validation[[#This Row],[AI_ENF2]]</f>
        <v>6</v>
      </c>
      <c r="W401" t="str">
        <f t="shared" si="165"/>
        <v>Neutral</v>
      </c>
      <c r="X401">
        <f>survey_responses[[#This Row],[Tôi tin rằng Nhà nước, cơ quan thuế có đủ khả năng và công nghệ để phát hiện, xử lý nghiêm các hành vi trốn thuế. - HUMAN-ENF2]]</f>
        <v>9</v>
      </c>
      <c r="Y401" t="str">
        <f t="shared" si="166"/>
        <v>Support</v>
      </c>
      <c r="Z401" s="32">
        <f t="shared" si="167"/>
        <v>3</v>
      </c>
      <c r="AA401">
        <f>step3_validation[[#This Row],[AI_FAC1]]</f>
        <v>9</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1</v>
      </c>
      <c r="AF401">
        <f>step3_validation[[#This Row],[AI_FAC2]]</f>
        <v>10</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2</v>
      </c>
      <c r="AK401">
        <f>step3_validation[[#This Row],[AI_TRU1]]</f>
        <v>8</v>
      </c>
      <c r="AL401" t="str">
        <f t="shared" si="174"/>
        <v>Support</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1</v>
      </c>
      <c r="AP401">
        <f>step3_validation[[#This Row],[AI_TRU2]]</f>
        <v>9</v>
      </c>
      <c r="AQ401" t="str">
        <f t="shared" si="177"/>
        <v>Support</v>
      </c>
      <c r="AR401">
        <f>survey_responses[[#This Row],[Tôi thấy mức thuế tôi phải đóng theo phương án mới là công bằng (người thu nhập như tôi đóng mức này là hợp lý). - HUMAN-TRU2]]</f>
        <v>7</v>
      </c>
      <c r="AS401" t="str">
        <f t="shared" si="178"/>
        <v>Neutral</v>
      </c>
      <c r="AT401" s="32">
        <f t="shared" si="179"/>
        <v>2</v>
      </c>
      <c r="AU401">
        <f>step3_validation[[#This Row],[AI_TRU3]]</f>
        <v>8</v>
      </c>
      <c r="AV401" t="str">
        <f t="shared" si="180"/>
        <v>Support</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1</v>
      </c>
      <c r="AZ401">
        <f>step3_validation[[#This Row],[AI_TRU4]]</f>
        <v>7</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0</v>
      </c>
      <c r="BE401">
        <f>step3_validation[[#This Row],[AI_OUT1]]</f>
        <v>9</v>
      </c>
      <c r="BF401" t="str">
        <f t="shared" si="186"/>
        <v>Support</v>
      </c>
      <c r="BG401">
        <f>survey_responses[[#This Row],[Sau khi xem xét các quyền lợi và nghĩa vụ, bạn có ủng hộ và tuân thủ chính sách mới hiện nay? - HUMAN-OUT1]]</f>
        <v>8</v>
      </c>
      <c r="BH401" t="str">
        <f t="shared" si="187"/>
        <v>Support</v>
      </c>
      <c r="BI401" s="32">
        <f t="shared" si="188"/>
        <v>1</v>
      </c>
    </row>
    <row r="402" spans="1:61" x14ac:dyDescent="0.45">
      <c r="A402" s="30">
        <f>step3_validation[[#This Row],[Persona_ID]]</f>
        <v>401</v>
      </c>
      <c r="B402" s="31">
        <f>step3_validation[[#This Row],[Used_Seed]]</f>
        <v>442</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16.838207852079275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8</v>
      </c>
      <c r="R402" t="str">
        <f t="shared" si="162"/>
        <v>Support</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4</v>
      </c>
      <c r="V402">
        <f>step3_validation[[#This Row],[AI_ENF2]]</f>
        <v>7</v>
      </c>
      <c r="W402" t="str">
        <f t="shared" si="165"/>
        <v>Neutral</v>
      </c>
      <c r="X402">
        <f>survey_responses[[#This Row],[Tôi tin rằng Nhà nước, cơ quan thuế có đủ khả năng và công nghệ để phát hiện, xử lý nghiêm các hành vi trốn thuế. - HUMAN-ENF2]]</f>
        <v>4</v>
      </c>
      <c r="Y402" t="str">
        <f t="shared" si="166"/>
        <v>Oppose</v>
      </c>
      <c r="Z402" s="32">
        <f t="shared" si="167"/>
        <v>3</v>
      </c>
      <c r="AA402">
        <f>step3_validation[[#This Row],[AI_FAC1]]</f>
        <v>9</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6</v>
      </c>
      <c r="AF402">
        <f>step3_validation[[#This Row],[AI_FAC2]]</f>
        <v>8</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3</v>
      </c>
      <c r="AK402">
        <f>step3_validation[[#This Row],[AI_TRU1]]</f>
        <v>9</v>
      </c>
      <c r="AL402" t="str">
        <f t="shared" si="174"/>
        <v>Support</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4</v>
      </c>
      <c r="AP402">
        <f>step3_validation[[#This Row],[AI_TRU2]]</f>
        <v>8</v>
      </c>
      <c r="AQ402" t="str">
        <f t="shared" si="177"/>
        <v>Support</v>
      </c>
      <c r="AR402">
        <f>survey_responses[[#This Row],[Tôi thấy mức thuế tôi phải đóng theo phương án mới là công bằng (người thu nhập như tôi đóng mức này là hợp lý). - HUMAN-TRU2]]</f>
        <v>2</v>
      </c>
      <c r="AS402" t="str">
        <f t="shared" si="178"/>
        <v>Oppose</v>
      </c>
      <c r="AT402" s="32">
        <f t="shared" si="179"/>
        <v>6</v>
      </c>
      <c r="AU402">
        <f>step3_validation[[#This Row],[AI_TRU3]]</f>
        <v>9</v>
      </c>
      <c r="AV402" t="str">
        <f t="shared" si="180"/>
        <v>Support</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7</v>
      </c>
      <c r="AZ402">
        <f>step3_validation[[#This Row],[AI_TRU4]]</f>
        <v>8</v>
      </c>
      <c r="BA402" t="str">
        <f t="shared" si="183"/>
        <v>Support</v>
      </c>
      <c r="BB402">
        <f>survey_responses[[#This Row],[Tôi thấy Nhà nước đã giải thích rõ ràng, minh bạch về lý do và mục tiêu của việc sửa đổi thuế lần này. - HUMAN-TRU4]]</f>
        <v>5</v>
      </c>
      <c r="BC402" t="str">
        <f t="shared" si="184"/>
        <v>Neutral</v>
      </c>
      <c r="BD402" s="32">
        <f t="shared" si="185"/>
        <v>3</v>
      </c>
      <c r="BE402">
        <f>step3_validation[[#This Row],[AI_OUT1]]</f>
        <v>9</v>
      </c>
      <c r="BF402" t="str">
        <f t="shared" si="186"/>
        <v>Support</v>
      </c>
      <c r="BG402">
        <f>survey_responses[[#This Row],[Sau khi xem xét các quyền lợi và nghĩa vụ, bạn có ủng hộ và tuân thủ chính sách mới hiện nay? - HUMAN-OUT1]]</f>
        <v>2</v>
      </c>
      <c r="BH402" t="str">
        <f t="shared" si="187"/>
        <v>Oppose</v>
      </c>
      <c r="BI402" s="32">
        <f t="shared" si="188"/>
        <v>7</v>
      </c>
    </row>
    <row r="403" spans="1:61" x14ac:dyDescent="0.45">
      <c r="A403" s="30">
        <f>step3_validation[[#This Row],[Persona_ID]]</f>
        <v>402</v>
      </c>
      <c r="B403" s="31">
        <f>step3_validation[[#This Row],[Used_Seed]]</f>
        <v>443</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153.82185160621316</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0</v>
      </c>
      <c r="V403">
        <f>step3_validation[[#This Row],[AI_ENF2]]</f>
        <v>6</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2">
        <f t="shared" si="167"/>
        <v>1</v>
      </c>
      <c r="AA403">
        <f>step3_validation[[#This Row],[AI_FAC1]]</f>
        <v>8</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4</v>
      </c>
      <c r="AF403">
        <f>step3_validation[[#This Row],[AI_FAC2]]</f>
        <v>9</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3</v>
      </c>
      <c r="AK403">
        <f>step3_validation[[#This Row],[AI_TRU1]]</f>
        <v>8</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3</v>
      </c>
      <c r="AP403">
        <f>step3_validation[[#This Row],[AI_TRU2]]</f>
        <v>9</v>
      </c>
      <c r="AQ403" t="str">
        <f t="shared" si="177"/>
        <v>Support</v>
      </c>
      <c r="AR403">
        <f>survey_responses[[#This Row],[Tôi thấy mức thuế tôi phải đóng theo phương án mới là công bằng (người thu nhập như tôi đóng mức này là hợp lý). - HUMAN-TRU2]]</f>
        <v>4</v>
      </c>
      <c r="AS403" t="str">
        <f t="shared" si="178"/>
        <v>Oppose</v>
      </c>
      <c r="AT403" s="32">
        <f t="shared" si="179"/>
        <v>5</v>
      </c>
      <c r="AU403">
        <f>step3_validation[[#This Row],[AI_TRU3]]</f>
        <v>8</v>
      </c>
      <c r="AV403" t="str">
        <f t="shared" si="180"/>
        <v>Support</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3</v>
      </c>
      <c r="AZ403">
        <f>step3_validation[[#This Row],[AI_TRU4]]</f>
        <v>7</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2</v>
      </c>
      <c r="BE403">
        <f>step3_validation[[#This Row],[AI_OUT1]]</f>
        <v>9</v>
      </c>
      <c r="BF403" t="str">
        <f t="shared" si="186"/>
        <v>Support</v>
      </c>
      <c r="BG403">
        <f>survey_responses[[#This Row],[Sau khi xem xét các quyền lợi và nghĩa vụ, bạn có ủng hộ và tuân thủ chính sách mới hiện nay? - HUMAN-OUT1]]</f>
        <v>5</v>
      </c>
      <c r="BH403" t="str">
        <f t="shared" si="187"/>
        <v>Neutral</v>
      </c>
      <c r="BI403" s="32">
        <f t="shared" si="188"/>
        <v>4</v>
      </c>
    </row>
    <row r="404" spans="1:61" x14ac:dyDescent="0.45">
      <c r="A404" s="30">
        <f>step3_validation[[#This Row],[Persona_ID]]</f>
        <v>403</v>
      </c>
      <c r="B404" s="31">
        <f>step3_validation[[#This Row],[Used_Seed]]</f>
        <v>444</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27.132060902957004</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0</v>
      </c>
      <c r="V404">
        <f>step3_validation[[#This Row],[AI_ENF2]]</f>
        <v>8</v>
      </c>
      <c r="W404" t="str">
        <f t="shared" si="165"/>
        <v>Support</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9</v>
      </c>
      <c r="AB404" t="str">
        <f t="shared" si="168"/>
        <v>Support</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2</v>
      </c>
      <c r="AF404">
        <f>step3_validation[[#This Row],[AI_FAC2]]</f>
        <v>8</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1</v>
      </c>
      <c r="AK404">
        <f>step3_validation[[#This Row],[AI_TRU1]]</f>
        <v>9</v>
      </c>
      <c r="AL404" t="str">
        <f t="shared" si="174"/>
        <v>Support</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2</v>
      </c>
      <c r="AP404">
        <f>step3_validation[[#This Row],[AI_TRU2]]</f>
        <v>8</v>
      </c>
      <c r="AQ404" t="str">
        <f t="shared" si="177"/>
        <v>Support</v>
      </c>
      <c r="AR404">
        <f>survey_responses[[#This Row],[Tôi thấy mức thuế tôi phải đóng theo phương án mới là công bằng (người thu nhập như tôi đóng mức này là hợp lý). - HUMAN-TRU2]]</f>
        <v>7</v>
      </c>
      <c r="AS404" t="str">
        <f t="shared" si="178"/>
        <v>Neutral</v>
      </c>
      <c r="AT404" s="32">
        <f t="shared" si="179"/>
        <v>1</v>
      </c>
      <c r="AU404">
        <f>step3_validation[[#This Row],[AI_TRU3]]</f>
        <v>9</v>
      </c>
      <c r="AV404" t="str">
        <f t="shared" si="180"/>
        <v>Support</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2</v>
      </c>
      <c r="AZ404">
        <f>step3_validation[[#This Row],[AI_TRU4]]</f>
        <v>8</v>
      </c>
      <c r="BA404" t="str">
        <f t="shared" si="183"/>
        <v>Support</v>
      </c>
      <c r="BB404">
        <f>survey_responses[[#This Row],[Tôi thấy Nhà nước đã giải thích rõ ràng, minh bạch về lý do và mục tiêu của việc sửa đổi thuế lần này. - HUMAN-TRU4]]</f>
        <v>7</v>
      </c>
      <c r="BC404" t="str">
        <f t="shared" si="184"/>
        <v>Neutral</v>
      </c>
      <c r="BD404" s="32">
        <f t="shared" si="185"/>
        <v>1</v>
      </c>
      <c r="BE404">
        <f>step3_validation[[#This Row],[AI_OUT1]]</f>
        <v>9</v>
      </c>
      <c r="BF404" t="str">
        <f t="shared" si="186"/>
        <v>Support</v>
      </c>
      <c r="BG404">
        <f>survey_responses[[#This Row],[Sau khi xem xét các quyền lợi và nghĩa vụ, bạn có ủng hộ và tuân thủ chính sách mới hiện nay? - HUMAN-OUT1]]</f>
        <v>7</v>
      </c>
      <c r="BH404" t="str">
        <f t="shared" si="187"/>
        <v>Neutral</v>
      </c>
      <c r="BI404" s="32">
        <f t="shared" si="188"/>
        <v>2</v>
      </c>
    </row>
    <row r="405" spans="1:61" x14ac:dyDescent="0.45">
      <c r="U405">
        <f>AVERAGE(U2:U404)</f>
        <v>1.9478908188585609</v>
      </c>
      <c r="Z405">
        <f>AVERAGE(Z2:Z404)</f>
        <v>1.945409429280397</v>
      </c>
      <c r="AE405">
        <f>AVERAGE(AE2:AE404)</f>
        <v>2.6277915632754341</v>
      </c>
      <c r="AJ405">
        <f>AVERAGE(AJ2:AJ404)</f>
        <v>1.8808933002481389</v>
      </c>
      <c r="AO405">
        <f>AVERAGE(AO2:AO404)</f>
        <v>2.1066997518610422</v>
      </c>
      <c r="AT405">
        <f>AVERAGE(AT2:AT404)</f>
        <v>2.4218362282878414</v>
      </c>
      <c r="AY405">
        <f>AVERAGE(AY2:AY404)</f>
        <v>2.4789081885856081</v>
      </c>
      <c r="BD405">
        <f>AVERAGE(BD2:BD404)</f>
        <v>1.9727047146401986</v>
      </c>
      <c r="BI405">
        <f>AVERAGE(BI2:BI404)</f>
        <v>2.2679900744416872</v>
      </c>
    </row>
    <row r="406" spans="1:61" x14ac:dyDescent="0.45">
      <c r="Q406" t="s">
        <v>1</v>
      </c>
      <c r="R406">
        <f>COUNTIF($R$2:$R$404,"Oppose")</f>
        <v>6</v>
      </c>
      <c r="S406" t="s">
        <v>1</v>
      </c>
      <c r="T406">
        <f>COUNTIF($T$2:$T$404,"Oppose")</f>
        <v>55</v>
      </c>
      <c r="V406" t="s">
        <v>1</v>
      </c>
      <c r="W406">
        <f>COUNTIF($W$2:$W$404,"Oppose")</f>
        <v>4</v>
      </c>
      <c r="X406" t="s">
        <v>1</v>
      </c>
      <c r="Y406">
        <f>COUNTIF($Y$2:$Y$404,"Oppose")</f>
        <v>45</v>
      </c>
      <c r="AA406" t="s">
        <v>1</v>
      </c>
      <c r="AB406">
        <f>COUNTIF($AB$2:$AB$404,"Oppose")</f>
        <v>1</v>
      </c>
      <c r="AC406" t="s">
        <v>1</v>
      </c>
      <c r="AD406">
        <f>COUNTIF($AD$2:$AD$404,"Oppose")</f>
        <v>83</v>
      </c>
      <c r="AF406" t="s">
        <v>1</v>
      </c>
      <c r="AG406">
        <f>COUNTIF($AG$2:$AG$404,"Oppose")</f>
        <v>0</v>
      </c>
      <c r="AH406" t="s">
        <v>1</v>
      </c>
      <c r="AI406">
        <f>COUNTIF($AI$2:$AI$404,"Oppose")</f>
        <v>21</v>
      </c>
      <c r="AK406" t="s">
        <v>1</v>
      </c>
      <c r="AL406">
        <f>COUNTIF($AL$2:$AL$404,"Oppose")</f>
        <v>0</v>
      </c>
      <c r="AM406" t="s">
        <v>1</v>
      </c>
      <c r="AN406">
        <f>COUNTIF($AN$2:$AN$404,"Oppose")</f>
        <v>57</v>
      </c>
      <c r="AP406" t="s">
        <v>1</v>
      </c>
      <c r="AQ406">
        <f>COUNTIF($AQ$2:$AQ$404,"Oppose")</f>
        <v>0</v>
      </c>
      <c r="AR406" t="s">
        <v>1</v>
      </c>
      <c r="AS406">
        <f>COUNTIF($AS$2:$AS$404,"Oppose")</f>
        <v>70</v>
      </c>
      <c r="AU406" t="s">
        <v>1</v>
      </c>
      <c r="AV406">
        <f>COUNTIF($AV$2:$AV$404,"Oppose")</f>
        <v>1</v>
      </c>
      <c r="AW406" t="s">
        <v>1</v>
      </c>
      <c r="AX406">
        <f>COUNTIF($AX$2:$AX$404,"Oppose")</f>
        <v>72</v>
      </c>
      <c r="AZ406" t="s">
        <v>1</v>
      </c>
      <c r="BA406">
        <f>COUNTIF($BA$2:$BA$404,"Oppose")</f>
        <v>0</v>
      </c>
      <c r="BB406" t="s">
        <v>1</v>
      </c>
      <c r="BC406">
        <f>COUNTIF($BC$2:$BC$404,"Oppose")</f>
        <v>46</v>
      </c>
      <c r="BE406" t="s">
        <v>1</v>
      </c>
      <c r="BF406">
        <f>COUNTIF($BF$2:$BF$404,"Oppose")</f>
        <v>0</v>
      </c>
      <c r="BG406" t="s">
        <v>1</v>
      </c>
      <c r="BH406">
        <f>COUNTIF($BH$2:$BH$404,"Oppose")</f>
        <v>35</v>
      </c>
    </row>
    <row r="407" spans="1:61" x14ac:dyDescent="0.45">
      <c r="Q407" t="s">
        <v>2</v>
      </c>
      <c r="R407">
        <f>COUNTIF($R$2:$R$404,"Neutral")</f>
        <v>275</v>
      </c>
      <c r="S407" t="s">
        <v>2</v>
      </c>
      <c r="T407">
        <f>COUNTIF($T$2:$T$404,"Neutral")</f>
        <v>180</v>
      </c>
      <c r="V407" t="s">
        <v>2</v>
      </c>
      <c r="W407">
        <f>COUNTIF($W$2:$W$404,"Neutral")</f>
        <v>208</v>
      </c>
      <c r="X407" t="s">
        <v>2</v>
      </c>
      <c r="Y407">
        <f>COUNTIF($Y$2:$Y$404,"Neutral")</f>
        <v>166</v>
      </c>
      <c r="AA407" t="s">
        <v>2</v>
      </c>
      <c r="AB407">
        <f>COUNTIF($AB$2:$AB$404,"Neutral")</f>
        <v>83</v>
      </c>
      <c r="AC407" t="s">
        <v>2</v>
      </c>
      <c r="AD407">
        <f>COUNTIF($AD$2:$AD$404,"Neutral")</f>
        <v>177</v>
      </c>
      <c r="AF407" t="s">
        <v>2</v>
      </c>
      <c r="AG407">
        <f>COUNTIF($AG$2:$AG$404,"Neutral")</f>
        <v>10</v>
      </c>
      <c r="AH407" t="s">
        <v>2</v>
      </c>
      <c r="AI407">
        <f>COUNTIF($AI$2:$AI$404,"Neutral")</f>
        <v>185</v>
      </c>
      <c r="AK407" t="s">
        <v>2</v>
      </c>
      <c r="AL407">
        <f>COUNTIF($AL$2:$AL$404,"Neutral")</f>
        <v>185</v>
      </c>
      <c r="AM407" t="s">
        <v>2</v>
      </c>
      <c r="AN407">
        <f>COUNTIF($AN$2:$AN$404,"Neutral")</f>
        <v>218</v>
      </c>
      <c r="AP407" t="s">
        <v>2</v>
      </c>
      <c r="AQ407">
        <f>COUNTIF($AQ$2:$AQ$404,"Neutral")</f>
        <v>11</v>
      </c>
      <c r="AR407" t="s">
        <v>2</v>
      </c>
      <c r="AS407">
        <f>COUNTIF($AS$2:$AS$404,"Neutral")</f>
        <v>178</v>
      </c>
      <c r="AU407" t="s">
        <v>2</v>
      </c>
      <c r="AV407">
        <f>COUNTIF($AV$2:$AV$404,"Neutral")</f>
        <v>165</v>
      </c>
      <c r="AW407" t="s">
        <v>2</v>
      </c>
      <c r="AX407">
        <f>COUNTIF($AX$2:$AX$404,"Neutral")</f>
        <v>217</v>
      </c>
      <c r="AZ407" t="s">
        <v>2</v>
      </c>
      <c r="BA407">
        <f>COUNTIF($BA$2:$BA$404,"Neutral")</f>
        <v>184</v>
      </c>
      <c r="BB407" t="s">
        <v>2</v>
      </c>
      <c r="BC407">
        <f>COUNTIF($BC$2:$BC$404,"Neutral")</f>
        <v>235</v>
      </c>
      <c r="BE407" t="s">
        <v>2</v>
      </c>
      <c r="BF407">
        <f>COUNTIF($BF$2:$BF$404,"Neutral")</f>
        <v>13</v>
      </c>
      <c r="BG407" t="s">
        <v>2</v>
      </c>
      <c r="BH407">
        <f>COUNTIF($BH$2:$BH$404,"Neutral")</f>
        <v>194</v>
      </c>
    </row>
    <row r="408" spans="1:61" x14ac:dyDescent="0.45">
      <c r="Q408" t="s">
        <v>3</v>
      </c>
      <c r="R408">
        <f>COUNTIF($R$2:$R$404,"Support")</f>
        <v>122</v>
      </c>
      <c r="S408" t="s">
        <v>3</v>
      </c>
      <c r="T408">
        <f>COUNTIF($T$2:$T$404,"Support")</f>
        <v>168</v>
      </c>
      <c r="V408" t="s">
        <v>3</v>
      </c>
      <c r="W408">
        <f>COUNTIF($W$2:$W$404,"Support")</f>
        <v>190</v>
      </c>
      <c r="X408" t="s">
        <v>3</v>
      </c>
      <c r="Y408">
        <f>COUNTIF($Y$2:$Y$404,"Support")</f>
        <v>192</v>
      </c>
      <c r="AA408" t="s">
        <v>3</v>
      </c>
      <c r="AB408">
        <f>COUNTIF($AB$2:$AB$404,"Support")</f>
        <v>318</v>
      </c>
      <c r="AC408" t="s">
        <v>3</v>
      </c>
      <c r="AD408">
        <f>COUNTIF($AD$2:$AD$404,"Support")</f>
        <v>143</v>
      </c>
      <c r="AF408" t="s">
        <v>3</v>
      </c>
      <c r="AG408">
        <f>COUNTIF($AG$2:$AG$404,"Support")</f>
        <v>392</v>
      </c>
      <c r="AH408" t="s">
        <v>3</v>
      </c>
      <c r="AI408">
        <f>COUNTIF($AI$2:$AI$404,"Support")</f>
        <v>197</v>
      </c>
      <c r="AK408" t="s">
        <v>3</v>
      </c>
      <c r="AL408">
        <f>COUNTIF($AL$2:$AL$404,"Support")</f>
        <v>217</v>
      </c>
      <c r="AM408" t="s">
        <v>3</v>
      </c>
      <c r="AN408">
        <f>COUNTIF($AN$2:$AN$404,"Support")</f>
        <v>128</v>
      </c>
      <c r="AP408" t="s">
        <v>3</v>
      </c>
      <c r="AQ408">
        <f>COUNTIF($AQ$2:$AQ$404,"Support")</f>
        <v>391</v>
      </c>
      <c r="AR408" t="s">
        <v>3</v>
      </c>
      <c r="AS408">
        <f>COUNTIF($AS$2:$AS$404,"Support")</f>
        <v>155</v>
      </c>
      <c r="AU408" t="s">
        <v>3</v>
      </c>
      <c r="AV408">
        <f>COUNTIF($AV$2:$AV$404,"Support")</f>
        <v>236</v>
      </c>
      <c r="AW408" t="s">
        <v>3</v>
      </c>
      <c r="AX408">
        <f>COUNTIF($AX$2:$AX$404,"Support")</f>
        <v>114</v>
      </c>
      <c r="AZ408" t="s">
        <v>3</v>
      </c>
      <c r="BA408">
        <f>COUNTIF($BA$2:$BA$404,"Support")</f>
        <v>218</v>
      </c>
      <c r="BB408" t="s">
        <v>3</v>
      </c>
      <c r="BC408">
        <f>COUNTIF($BC$2:$BC$404,"Support")</f>
        <v>122</v>
      </c>
      <c r="BE408" t="s">
        <v>3</v>
      </c>
      <c r="BF408">
        <f>COUNTIF($BF$2:$BF$404,"Support")</f>
        <v>389</v>
      </c>
      <c r="BG408" t="s">
        <v>3</v>
      </c>
      <c r="BH408">
        <f>COUNTIF($BH$2:$BH$404,"Support")</f>
        <v>174</v>
      </c>
    </row>
    <row r="409" spans="1:61" x14ac:dyDescent="0.45">
      <c r="R409">
        <f>SUM(R406:R408)</f>
        <v>403</v>
      </c>
      <c r="T409">
        <f>SUM(T406:T408)</f>
        <v>403</v>
      </c>
      <c r="W409">
        <f>SUM(W406:W408)</f>
        <v>402</v>
      </c>
      <c r="Y409">
        <f>SUM(Y406:Y408)</f>
        <v>403</v>
      </c>
      <c r="AB409">
        <f>SUM(AB406:AB408)</f>
        <v>402</v>
      </c>
      <c r="AD409">
        <f>SUM(AD406:AD408)</f>
        <v>403</v>
      </c>
      <c r="AG409">
        <f>SUM(AG406:AG408)</f>
        <v>402</v>
      </c>
      <c r="AI409">
        <f>SUM(AI406:AI408)</f>
        <v>403</v>
      </c>
      <c r="AL409">
        <f>SUM(AL406:AL408)</f>
        <v>402</v>
      </c>
      <c r="AN409">
        <f>SUM(AN406:AN408)</f>
        <v>403</v>
      </c>
      <c r="AQ409">
        <f>SUM(AQ406:AQ408)</f>
        <v>402</v>
      </c>
      <c r="AS409">
        <f>SUM(AS406:AS408)</f>
        <v>403</v>
      </c>
      <c r="AV409">
        <f>SUM(AV406:AV408)</f>
        <v>402</v>
      </c>
      <c r="AX409">
        <f>SUM(AX406:AX408)</f>
        <v>403</v>
      </c>
      <c r="BA409">
        <f>SUM(BA406:BA408)</f>
        <v>402</v>
      </c>
      <c r="BC409">
        <f>SUM(BC406:BC408)</f>
        <v>403</v>
      </c>
      <c r="BF409">
        <f>SUM(BF406:BF408)</f>
        <v>402</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56B3-4301-4BDB-8555-EADDFD44B655}">
  <dimension ref="A1:BI405"/>
  <sheetViews>
    <sheetView topLeftCell="AP375" workbookViewId="0">
      <selection activeCell="BD2" sqref="BD2:BD404"/>
    </sheetView>
  </sheetViews>
  <sheetFormatPr defaultRowHeight="14.25" x14ac:dyDescent="0.45"/>
  <cols>
    <col min="1" max="16"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649</v>
      </c>
      <c r="S1" s="21" t="s">
        <v>126</v>
      </c>
      <c r="T1" s="21" t="s">
        <v>650</v>
      </c>
      <c r="U1" s="22" t="s">
        <v>48</v>
      </c>
      <c r="V1" s="22" t="s">
        <v>651</v>
      </c>
      <c r="W1" s="22" t="s">
        <v>131</v>
      </c>
      <c r="X1" s="22" t="s">
        <v>652</v>
      </c>
      <c r="Y1" s="18" t="s">
        <v>666</v>
      </c>
      <c r="Z1" s="20" t="s">
        <v>667</v>
      </c>
      <c r="AA1" s="21" t="s">
        <v>51</v>
      </c>
      <c r="AB1" s="21" t="s">
        <v>653</v>
      </c>
      <c r="AC1" s="21" t="s">
        <v>135</v>
      </c>
      <c r="AD1" s="21" t="s">
        <v>654</v>
      </c>
      <c r="AE1" s="22" t="s">
        <v>54</v>
      </c>
      <c r="AF1" s="22" t="s">
        <v>655</v>
      </c>
      <c r="AG1" s="22" t="s">
        <v>139</v>
      </c>
      <c r="AH1" s="22" t="s">
        <v>656</v>
      </c>
      <c r="AI1" s="18" t="s">
        <v>668</v>
      </c>
      <c r="AJ1" s="22" t="s">
        <v>669</v>
      </c>
      <c r="AK1" s="21" t="s">
        <v>57</v>
      </c>
      <c r="AL1" s="21" t="s">
        <v>657</v>
      </c>
      <c r="AM1" s="21" t="s">
        <v>143</v>
      </c>
      <c r="AN1" s="21" t="s">
        <v>658</v>
      </c>
      <c r="AO1" s="22" t="s">
        <v>60</v>
      </c>
      <c r="AP1" s="22" t="s">
        <v>659</v>
      </c>
      <c r="AQ1" s="22" t="s">
        <v>147</v>
      </c>
      <c r="AR1" s="22" t="s">
        <v>660</v>
      </c>
      <c r="AS1" s="21" t="s">
        <v>63</v>
      </c>
      <c r="AT1" s="21" t="s">
        <v>661</v>
      </c>
      <c r="AU1" s="21" t="s">
        <v>151</v>
      </c>
      <c r="AV1" s="21" t="s">
        <v>662</v>
      </c>
      <c r="AW1" s="22" t="s">
        <v>66</v>
      </c>
      <c r="AX1" s="22" t="s">
        <v>663</v>
      </c>
      <c r="AY1" s="22" t="s">
        <v>155</v>
      </c>
      <c r="AZ1" s="22" t="s">
        <v>156</v>
      </c>
      <c r="BA1" s="21" t="s">
        <v>670</v>
      </c>
      <c r="BB1" s="22" t="s">
        <v>671</v>
      </c>
      <c r="BC1" s="22" t="s">
        <v>672</v>
      </c>
      <c r="BD1" s="22" t="s">
        <v>673</v>
      </c>
      <c r="BE1" s="21" t="s">
        <v>69</v>
      </c>
      <c r="BF1" s="21" t="s">
        <v>664</v>
      </c>
      <c r="BG1" s="21" t="s">
        <v>159</v>
      </c>
      <c r="BH1" s="21" t="s">
        <v>665</v>
      </c>
      <c r="BI1" s="21" t="s">
        <v>161</v>
      </c>
    </row>
    <row r="2" spans="1:61" x14ac:dyDescent="0.45">
      <c r="A2" s="30">
        <f>step3_validation[[#This Row],[Persona_ID]]</f>
        <v>1</v>
      </c>
      <c r="B2" s="31">
        <f>step3_validation[[#This Row],[Used_Seed]]</f>
        <v>42</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15.708500157795985</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6</v>
      </c>
      <c r="R2">
        <f>(Q2-1)/9</f>
        <v>0.55555555555555558</v>
      </c>
      <c r="S2">
        <f>survey_responses[[#This Row],[Tôi tin rằng với các quy định quản lý thuế hiện nay, hành vi gian lận hoặc trốn thuế sẽ dễ dàng bị phát hiện và xử lý nghiêm. - HUMAN-ENF1]]</f>
        <v>10</v>
      </c>
      <c r="T2">
        <f>(S2-1)/9</f>
        <v>1</v>
      </c>
      <c r="U2">
        <f>step3_validation[[#This Row],[AI_ENF2]]</f>
        <v>7</v>
      </c>
      <c r="V2">
        <f>(U2-1)/9</f>
        <v>0.66666666666666663</v>
      </c>
      <c r="W2">
        <f>survey_responses[[#This Row],[Tôi tin rằng Nhà nước, cơ quan thuế có đủ khả năng và công nghệ để phát hiện, xử lý nghiêm các hành vi trốn thuế. - HUMAN-ENF2]]</f>
        <v>8</v>
      </c>
      <c r="X2">
        <f>(W2-1)/9</f>
        <v>0.77777777777777779</v>
      </c>
      <c r="Y2" s="32">
        <f>AVERAGE(R2,V2)</f>
        <v>0.61111111111111116</v>
      </c>
      <c r="Z2" s="32">
        <f>AVERAGE(T2,X2)</f>
        <v>0.88888888888888884</v>
      </c>
      <c r="AA2">
        <f>step3_validation[[#This Row],[AI_FAC1]]</f>
        <v>8</v>
      </c>
      <c r="AB2">
        <f>(AA2-1)/9</f>
        <v>0.77777777777777779</v>
      </c>
      <c r="AC2">
        <f>survey_responses[[#This Row],[Các thủ tục khai báo thuế VÀ/HOẶC quy trình làm việc với cơ quan thuế đơn giản, tiện lợi, nhanh chóng hơn so với trước đây. - HUMAN-FAC1]]</f>
        <v>5</v>
      </c>
      <c r="AD2">
        <f>(AC2-1)/9</f>
        <v>0.44444444444444442</v>
      </c>
      <c r="AE2">
        <f>step3_validation[[#This Row],[AI_FAC2]]</f>
        <v>9</v>
      </c>
      <c r="AF2">
        <f>(AE2-1)/9</f>
        <v>0.88888888888888884</v>
      </c>
      <c r="AG2">
        <f>survey_responses[[#This Row],[So với trước đây, tôi thấy cách tính thuế và các bậc thuế trong phương án mới đơn giản, dễ hiểu và dễ thực hiện hơn. - HUMAN-FAC2]]</f>
        <v>5</v>
      </c>
      <c r="AH2">
        <f>(AG2-1)/9</f>
        <v>0.44444444444444442</v>
      </c>
      <c r="AI2" s="32">
        <f>AVERAGE(AB2,AF2)</f>
        <v>0.83333333333333326</v>
      </c>
      <c r="AJ2" s="32">
        <f>AVERAGE(AD2,AH2)</f>
        <v>0.44444444444444442</v>
      </c>
      <c r="AK2">
        <f>step3_validation[[#This Row],[AI_TRU1]]</f>
        <v>7</v>
      </c>
      <c r="AL2">
        <f>(AK2-1)/9</f>
        <v>0.66666666666666663</v>
      </c>
      <c r="AM2">
        <f>survey_responses[[#This Row],[Tôi tin rằng Nhà nước, cơ quan thuế sẽ thực thi chính sách mới một cách khách quan, công tâm và đối xử bình đẳng với mọi người nộp thuế.  - HUMAN-TRU1]]</f>
        <v>10</v>
      </c>
      <c r="AN2">
        <f>(AM2-1)/9</f>
        <v>1</v>
      </c>
      <c r="AO2">
        <f>step3_validation[[#This Row],[AI_TRU2]]</f>
        <v>9</v>
      </c>
      <c r="AP2">
        <f>(AO2-1)/9</f>
        <v>0.88888888888888884</v>
      </c>
      <c r="AQ2">
        <f>survey_responses[[#This Row],[Tôi thấy mức thuế tôi phải đóng theo phương án mới là công bằng (người thu nhập như tôi đóng mức này là hợp lý). - HUMAN-TRU2]]</f>
        <v>10</v>
      </c>
      <c r="AR2">
        <f>(AQ2-1)/9</f>
        <v>1</v>
      </c>
      <c r="AS2">
        <f>step3_validation[[#This Row],[AI_TRU3]]</f>
        <v>8</v>
      </c>
      <c r="AT2">
        <f>(AS2-1)/9</f>
        <v>0.77777777777777779</v>
      </c>
      <c r="AU2">
        <f>survey_responses[[#This Row],[Tôi tin tưởng số tiền thuế tôi đóng sẽ được Nhà nước sử dụng hiệu quả để cải thiện dịch vụ công (y tế, đường xá...). - HUMAN-TRU3]]</f>
        <v>10</v>
      </c>
      <c r="AV2">
        <f>(AU2-1)/9</f>
        <v>1</v>
      </c>
      <c r="AW2">
        <f>step3_validation[[#This Row],[AI_TRU4]]</f>
        <v>9</v>
      </c>
      <c r="AX2">
        <f>(AW2-1)/9</f>
        <v>0.88888888888888884</v>
      </c>
      <c r="AY2">
        <f>survey_responses[[#This Row],[Tôi thấy Nhà nước đã giải thích rõ ràng, minh bạch về lý do và mục tiêu của việc sửa đổi thuế lần này. - HUMAN-TRU4]]</f>
        <v>10</v>
      </c>
      <c r="AZ2">
        <f>(AY2-1)/9</f>
        <v>1</v>
      </c>
      <c r="BA2" s="32">
        <f>AVERAGE(AL2,AP2,AT2,AX2)</f>
        <v>0.80555555555555547</v>
      </c>
      <c r="BB2" s="32">
        <f>AVERAGE(AN2,AR2,AV2,AZ2)</f>
        <v>1</v>
      </c>
      <c r="BC2" s="7">
        <f>(Y2+AI2+BA2)/3</f>
        <v>0.75</v>
      </c>
      <c r="BD2" s="7">
        <f>(Z2+AJ2+BB2)/3</f>
        <v>0.77777777777777768</v>
      </c>
      <c r="BE2">
        <f>step3_validation[[#This Row],[AI_OUT1]]</f>
        <v>8</v>
      </c>
      <c r="BF2">
        <f>(BE2-1)/9</f>
        <v>0.77777777777777779</v>
      </c>
      <c r="BG2">
        <f>survey_responses[[#This Row],[Sau khi xem xét các quyền lợi và nghĩa vụ, bạn có ủng hộ và tuân thủ chính sách mới hiện nay? - HUMAN-OUT1]]</f>
        <v>10</v>
      </c>
      <c r="BH2">
        <f>(BG2-1)/9</f>
        <v>1</v>
      </c>
      <c r="BI2" s="32">
        <f>ABS(BG2-BE2)</f>
        <v>2</v>
      </c>
    </row>
    <row r="3" spans="1:61" x14ac:dyDescent="0.45">
      <c r="A3" s="30">
        <f>step3_validation[[#This Row],[Persona_ID]]</f>
        <v>2</v>
      </c>
      <c r="B3" s="31">
        <f>step3_validation[[#This Row],[Used_Seed]]</f>
        <v>43</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15.684853202480896</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8</v>
      </c>
      <c r="R3">
        <f t="shared" ref="R3:R66" si="0">(Q3-1)/9</f>
        <v>0.77777777777777779</v>
      </c>
      <c r="S3">
        <f>survey_responses[[#This Row],[Tôi tin rằng với các quy định quản lý thuế hiện nay, hành vi gian lận hoặc trốn thuế sẽ dễ dàng bị phát hiện và xử lý nghiêm. - HUMAN-ENF1]]</f>
        <v>8</v>
      </c>
      <c r="T3">
        <f t="shared" ref="T3:T66" si="1">(S3-1)/9</f>
        <v>0.77777777777777779</v>
      </c>
      <c r="U3">
        <f>step3_validation[[#This Row],[AI_ENF2]]</f>
        <v>8</v>
      </c>
      <c r="V3">
        <f t="shared" ref="V3:V66" si="2">(U3-1)/9</f>
        <v>0.77777777777777779</v>
      </c>
      <c r="W3">
        <f>survey_responses[[#This Row],[Tôi tin rằng Nhà nước, cơ quan thuế có đủ khả năng và công nghệ để phát hiện, xử lý nghiêm các hành vi trốn thuế. - HUMAN-ENF2]]</f>
        <v>8</v>
      </c>
      <c r="X3">
        <f t="shared" ref="X3:X66" si="3">(W3-1)/9</f>
        <v>0.77777777777777779</v>
      </c>
      <c r="Y3" s="32">
        <f t="shared" ref="Y3:Y66" si="4">AVERAGE(R3,V3)</f>
        <v>0.77777777777777779</v>
      </c>
      <c r="Z3" s="32">
        <f t="shared" ref="Z3:Z66" si="5">AVERAGE(T3,X3)</f>
        <v>0.77777777777777779</v>
      </c>
      <c r="AA3">
        <f>step3_validation[[#This Row],[AI_FAC1]]</f>
        <v>9</v>
      </c>
      <c r="AB3">
        <f t="shared" ref="AB3:AB66" si="6">(AA3-1)/9</f>
        <v>0.88888888888888884</v>
      </c>
      <c r="AC3">
        <f>survey_responses[[#This Row],[Các thủ tục khai báo thuế VÀ/HOẶC quy trình làm việc với cơ quan thuế đơn giản, tiện lợi, nhanh chóng hơn so với trước đây. - HUMAN-FAC1]]</f>
        <v>6</v>
      </c>
      <c r="AD3">
        <f t="shared" ref="AD3:AD66" si="7">(AC3-1)/9</f>
        <v>0.55555555555555558</v>
      </c>
      <c r="AE3">
        <f>step3_validation[[#This Row],[AI_FAC2]]</f>
        <v>9</v>
      </c>
      <c r="AF3">
        <f t="shared" ref="AF3:AF66" si="8">(AE3-1)/9</f>
        <v>0.88888888888888884</v>
      </c>
      <c r="AG3">
        <f>survey_responses[[#This Row],[So với trước đây, tôi thấy cách tính thuế và các bậc thuế trong phương án mới đơn giản, dễ hiểu và dễ thực hiện hơn. - HUMAN-FAC2]]</f>
        <v>9</v>
      </c>
      <c r="AH3">
        <f t="shared" ref="AH3:AH66" si="9">(AG3-1)/9</f>
        <v>0.88888888888888884</v>
      </c>
      <c r="AI3" s="32">
        <f t="shared" ref="AI3:AI66" si="10">AVERAGE(AB3,AF3)</f>
        <v>0.88888888888888884</v>
      </c>
      <c r="AJ3" s="32">
        <f t="shared" ref="AJ3:AJ66" si="11">AVERAGE(AD3,AH3)</f>
        <v>0.72222222222222221</v>
      </c>
      <c r="AK3">
        <f>step3_validation[[#This Row],[AI_TRU1]]</f>
        <v>9</v>
      </c>
      <c r="AL3">
        <f t="shared" ref="AL3:AL66" si="12">(AK3-1)/9</f>
        <v>0.88888888888888884</v>
      </c>
      <c r="AM3">
        <f>survey_responses[[#This Row],[Tôi tin rằng Nhà nước, cơ quan thuế sẽ thực thi chính sách mới một cách khách quan, công tâm và đối xử bình đẳng với mọi người nộp thuế.  - HUMAN-TRU1]]</f>
        <v>10</v>
      </c>
      <c r="AN3">
        <f t="shared" ref="AN3:AN66" si="13">(AM3-1)/9</f>
        <v>1</v>
      </c>
      <c r="AO3">
        <f>step3_validation[[#This Row],[AI_TRU2]]</f>
        <v>9</v>
      </c>
      <c r="AP3">
        <f t="shared" ref="AP3:AP66" si="14">(AO3-1)/9</f>
        <v>0.88888888888888884</v>
      </c>
      <c r="AQ3">
        <f>survey_responses[[#This Row],[Tôi thấy mức thuế tôi phải đóng theo phương án mới là công bằng (người thu nhập như tôi đóng mức này là hợp lý). - HUMAN-TRU2]]</f>
        <v>9</v>
      </c>
      <c r="AR3">
        <f t="shared" ref="AR3:AR66" si="15">(AQ3-1)/9</f>
        <v>0.88888888888888884</v>
      </c>
      <c r="AS3">
        <f>step3_validation[[#This Row],[AI_TRU3]]</f>
        <v>8</v>
      </c>
      <c r="AT3">
        <f t="shared" ref="AT3:AT66" si="16">(AS3-1)/9</f>
        <v>0.77777777777777779</v>
      </c>
      <c r="AU3">
        <f>survey_responses[[#This Row],[Tôi tin tưởng số tiền thuế tôi đóng sẽ được Nhà nước sử dụng hiệu quả để cải thiện dịch vụ công (y tế, đường xá...). - HUMAN-TRU3]]</f>
        <v>8</v>
      </c>
      <c r="AV3">
        <f t="shared" ref="AV3:AV66" si="17">(AU3-1)/9</f>
        <v>0.77777777777777779</v>
      </c>
      <c r="AW3">
        <f>step3_validation[[#This Row],[AI_TRU4]]</f>
        <v>8</v>
      </c>
      <c r="AX3">
        <f t="shared" ref="AX3:AX66" si="18">(AW3-1)/9</f>
        <v>0.77777777777777779</v>
      </c>
      <c r="AY3">
        <f>survey_responses[[#This Row],[Tôi thấy Nhà nước đã giải thích rõ ràng, minh bạch về lý do và mục tiêu của việc sửa đổi thuế lần này. - HUMAN-TRU4]]</f>
        <v>9</v>
      </c>
      <c r="AZ3">
        <f t="shared" ref="AZ3:AZ66" si="19">(AY3-1)/9</f>
        <v>0.88888888888888884</v>
      </c>
      <c r="BA3" s="32">
        <f t="shared" ref="BA3:BA66" si="20">AVERAGE(AL3,AP3,AT3,AX3)</f>
        <v>0.83333333333333326</v>
      </c>
      <c r="BB3" s="32">
        <f t="shared" ref="BB3:BB66" si="21">AVERAGE(AN3,AR3,AV3,AZ3)</f>
        <v>0.88888888888888884</v>
      </c>
      <c r="BC3" s="7">
        <f t="shared" ref="BC3:BC66" si="22">(Y3+AI3+BA3)/3</f>
        <v>0.83333333333333337</v>
      </c>
      <c r="BD3" s="7">
        <f t="shared" ref="BD3:BD66" si="23">(Z3+AJ3+BB3)/3</f>
        <v>0.79629629629629628</v>
      </c>
      <c r="BE3">
        <f>step3_validation[[#This Row],[AI_OUT1]]</f>
        <v>9</v>
      </c>
      <c r="BF3">
        <f t="shared" ref="BF3:BF66" si="24">(BE3-1)/9</f>
        <v>0.88888888888888884</v>
      </c>
      <c r="BG3">
        <f>survey_responses[[#This Row],[Sau khi xem xét các quyền lợi và nghĩa vụ, bạn có ủng hộ và tuân thủ chính sách mới hiện nay? - HUMAN-OUT1]]</f>
        <v>10</v>
      </c>
      <c r="BH3">
        <f t="shared" ref="BH3:BH66" si="25">(BG3-1)/9</f>
        <v>1</v>
      </c>
      <c r="BI3" s="32">
        <f t="shared" ref="BI3:BI66" si="26">ABS(BG3-BE3)</f>
        <v>1</v>
      </c>
    </row>
    <row r="4" spans="1:61" x14ac:dyDescent="0.45">
      <c r="A4" s="30">
        <f>step3_validation[[#This Row],[Persona_ID]]</f>
        <v>3</v>
      </c>
      <c r="B4" s="31">
        <f>step3_validation[[#This Row],[Used_Seed]]</f>
        <v>44</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61.974847384930733</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7</v>
      </c>
      <c r="R4">
        <f t="shared" si="0"/>
        <v>0.66666666666666663</v>
      </c>
      <c r="S4">
        <f>survey_responses[[#This Row],[Tôi tin rằng với các quy định quản lý thuế hiện nay, hành vi gian lận hoặc trốn thuế sẽ dễ dàng bị phát hiện và xử lý nghiêm. - HUMAN-ENF1]]</f>
        <v>6</v>
      </c>
      <c r="T4">
        <f t="shared" si="1"/>
        <v>0.55555555555555558</v>
      </c>
      <c r="U4">
        <f>step3_validation[[#This Row],[AI_ENF2]]</f>
        <v>8</v>
      </c>
      <c r="V4">
        <f t="shared" si="2"/>
        <v>0.77777777777777779</v>
      </c>
      <c r="W4">
        <f>survey_responses[[#This Row],[Tôi tin rằng Nhà nước, cơ quan thuế có đủ khả năng và công nghệ để phát hiện, xử lý nghiêm các hành vi trốn thuế. - HUMAN-ENF2]]</f>
        <v>5</v>
      </c>
      <c r="X4">
        <f t="shared" si="3"/>
        <v>0.44444444444444442</v>
      </c>
      <c r="Y4" s="32">
        <f t="shared" si="4"/>
        <v>0.72222222222222221</v>
      </c>
      <c r="Z4" s="32">
        <f t="shared" si="5"/>
        <v>0.5</v>
      </c>
      <c r="AA4">
        <f>step3_validation[[#This Row],[AI_FAC1]]</f>
        <v>9</v>
      </c>
      <c r="AB4">
        <f t="shared" si="6"/>
        <v>0.88888888888888884</v>
      </c>
      <c r="AC4">
        <f>survey_responses[[#This Row],[Các thủ tục khai báo thuế VÀ/HOẶC quy trình làm việc với cơ quan thuế đơn giản, tiện lợi, nhanh chóng hơn so với trước đây. - HUMAN-FAC1]]</f>
        <v>4</v>
      </c>
      <c r="AD4">
        <f t="shared" si="7"/>
        <v>0.33333333333333331</v>
      </c>
      <c r="AE4">
        <f>step3_validation[[#This Row],[AI_FAC2]]</f>
        <v>9</v>
      </c>
      <c r="AF4">
        <f t="shared" si="8"/>
        <v>0.88888888888888884</v>
      </c>
      <c r="AG4">
        <f>survey_responses[[#This Row],[So với trước đây, tôi thấy cách tính thuế và các bậc thuế trong phương án mới đơn giản, dễ hiểu và dễ thực hiện hơn. - HUMAN-FAC2]]</f>
        <v>5</v>
      </c>
      <c r="AH4">
        <f t="shared" si="9"/>
        <v>0.44444444444444442</v>
      </c>
      <c r="AI4" s="32">
        <f t="shared" si="10"/>
        <v>0.88888888888888884</v>
      </c>
      <c r="AJ4" s="32">
        <f t="shared" si="11"/>
        <v>0.38888888888888884</v>
      </c>
      <c r="AK4">
        <f>step3_validation[[#This Row],[AI_TRU1]]</f>
        <v>7</v>
      </c>
      <c r="AL4">
        <f t="shared" si="12"/>
        <v>0.66666666666666663</v>
      </c>
      <c r="AM4">
        <f>survey_responses[[#This Row],[Tôi tin rằng Nhà nước, cơ quan thuế sẽ thực thi chính sách mới một cách khách quan, công tâm và đối xử bình đẳng với mọi người nộp thuế.  - HUMAN-TRU1]]</f>
        <v>4</v>
      </c>
      <c r="AN4">
        <f t="shared" si="13"/>
        <v>0.33333333333333331</v>
      </c>
      <c r="AO4">
        <f>step3_validation[[#This Row],[AI_TRU2]]</f>
        <v>8</v>
      </c>
      <c r="AP4">
        <f t="shared" si="14"/>
        <v>0.77777777777777779</v>
      </c>
      <c r="AQ4">
        <f>survey_responses[[#This Row],[Tôi thấy mức thuế tôi phải đóng theo phương án mới là công bằng (người thu nhập như tôi đóng mức này là hợp lý). - HUMAN-TRU2]]</f>
        <v>4</v>
      </c>
      <c r="AR4">
        <f t="shared" si="15"/>
        <v>0.33333333333333331</v>
      </c>
      <c r="AS4">
        <f>step3_validation[[#This Row],[AI_TRU3]]</f>
        <v>7</v>
      </c>
      <c r="AT4">
        <f t="shared" si="16"/>
        <v>0.66666666666666663</v>
      </c>
      <c r="AU4">
        <f>survey_responses[[#This Row],[Tôi tin tưởng số tiền thuế tôi đóng sẽ được Nhà nước sử dụng hiệu quả để cải thiện dịch vụ công (y tế, đường xá...). - HUMAN-TRU3]]</f>
        <v>4</v>
      </c>
      <c r="AV4">
        <f t="shared" si="17"/>
        <v>0.33333333333333331</v>
      </c>
      <c r="AW4">
        <f>step3_validation[[#This Row],[AI_TRU4]]</f>
        <v>6</v>
      </c>
      <c r="AX4">
        <f t="shared" si="18"/>
        <v>0.55555555555555558</v>
      </c>
      <c r="AY4">
        <f>survey_responses[[#This Row],[Tôi thấy Nhà nước đã giải thích rõ ràng, minh bạch về lý do và mục tiêu của việc sửa đổi thuế lần này. - HUMAN-TRU4]]</f>
        <v>10</v>
      </c>
      <c r="AZ4">
        <f t="shared" si="19"/>
        <v>1</v>
      </c>
      <c r="BA4" s="32">
        <f t="shared" si="20"/>
        <v>0.66666666666666674</v>
      </c>
      <c r="BB4" s="32">
        <f t="shared" si="21"/>
        <v>0.5</v>
      </c>
      <c r="BC4" s="7">
        <f t="shared" si="22"/>
        <v>0.75925925925925919</v>
      </c>
      <c r="BD4" s="7">
        <f t="shared" si="23"/>
        <v>0.46296296296296297</v>
      </c>
      <c r="BE4">
        <f>step3_validation[[#This Row],[AI_OUT1]]</f>
        <v>9</v>
      </c>
      <c r="BF4">
        <f t="shared" si="24"/>
        <v>0.88888888888888884</v>
      </c>
      <c r="BG4">
        <f>survey_responses[[#This Row],[Sau khi xem xét các quyền lợi và nghĩa vụ, bạn có ủng hộ và tuân thủ chính sách mới hiện nay? - HUMAN-OUT1]]</f>
        <v>4</v>
      </c>
      <c r="BH4">
        <f t="shared" si="25"/>
        <v>0.33333333333333331</v>
      </c>
      <c r="BI4" s="32">
        <f t="shared" si="26"/>
        <v>5</v>
      </c>
    </row>
    <row r="5" spans="1:61" x14ac:dyDescent="0.45">
      <c r="A5" s="30">
        <f>step3_validation[[#This Row],[Persona_ID]]</f>
        <v>4</v>
      </c>
      <c r="B5" s="31">
        <f>step3_validation[[#This Row],[Used_Seed]]</f>
        <v>45</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f t="shared" si="0"/>
        <v>0.66666666666666663</v>
      </c>
      <c r="S5">
        <f>survey_responses[[#This Row],[Tôi tin rằng với các quy định quản lý thuế hiện nay, hành vi gian lận hoặc trốn thuế sẽ dễ dàng bị phát hiện và xử lý nghiêm. - HUMAN-ENF1]]</f>
        <v>10</v>
      </c>
      <c r="T5">
        <f t="shared" si="1"/>
        <v>1</v>
      </c>
      <c r="U5">
        <f>step3_validation[[#This Row],[AI_ENF2]]</f>
        <v>6</v>
      </c>
      <c r="V5">
        <f t="shared" si="2"/>
        <v>0.55555555555555558</v>
      </c>
      <c r="W5">
        <f>survey_responses[[#This Row],[Tôi tin rằng Nhà nước, cơ quan thuế có đủ khả năng và công nghệ để phát hiện, xử lý nghiêm các hành vi trốn thuế. - HUMAN-ENF2]]</f>
        <v>10</v>
      </c>
      <c r="X5">
        <f t="shared" si="3"/>
        <v>1</v>
      </c>
      <c r="Y5" s="32">
        <f t="shared" si="4"/>
        <v>0.61111111111111116</v>
      </c>
      <c r="Z5" s="32">
        <f t="shared" si="5"/>
        <v>1</v>
      </c>
      <c r="AA5">
        <f>step3_validation[[#This Row],[AI_FAC1]]</f>
        <v>5</v>
      </c>
      <c r="AB5">
        <f t="shared" si="6"/>
        <v>0.44444444444444442</v>
      </c>
      <c r="AC5">
        <f>survey_responses[[#This Row],[Các thủ tục khai báo thuế VÀ/HOẶC quy trình làm việc với cơ quan thuế đơn giản, tiện lợi, nhanh chóng hơn so với trước đây. - HUMAN-FAC1]]</f>
        <v>8</v>
      </c>
      <c r="AD5">
        <f t="shared" si="7"/>
        <v>0.77777777777777779</v>
      </c>
      <c r="AE5">
        <f>step3_validation[[#This Row],[AI_FAC2]]</f>
        <v>8</v>
      </c>
      <c r="AF5">
        <f t="shared" si="8"/>
        <v>0.77777777777777779</v>
      </c>
      <c r="AG5">
        <f>survey_responses[[#This Row],[So với trước đây, tôi thấy cách tính thuế và các bậc thuế trong phương án mới đơn giản, dễ hiểu và dễ thực hiện hơn. - HUMAN-FAC2]]</f>
        <v>9</v>
      </c>
      <c r="AH5">
        <f t="shared" si="9"/>
        <v>0.88888888888888884</v>
      </c>
      <c r="AI5" s="32">
        <f t="shared" si="10"/>
        <v>0.61111111111111116</v>
      </c>
      <c r="AJ5" s="32">
        <f t="shared" si="11"/>
        <v>0.83333333333333326</v>
      </c>
      <c r="AK5">
        <f>step3_validation[[#This Row],[AI_TRU1]]</f>
        <v>7</v>
      </c>
      <c r="AL5">
        <f t="shared" si="12"/>
        <v>0.66666666666666663</v>
      </c>
      <c r="AM5">
        <f>survey_responses[[#This Row],[Tôi tin rằng Nhà nước, cơ quan thuế sẽ thực thi chính sách mới một cách khách quan, công tâm và đối xử bình đẳng với mọi người nộp thuế.  - HUMAN-TRU1]]</f>
        <v>9</v>
      </c>
      <c r="AN5">
        <f t="shared" si="13"/>
        <v>0.88888888888888884</v>
      </c>
      <c r="AO5">
        <f>step3_validation[[#This Row],[AI_TRU2]]</f>
        <v>9</v>
      </c>
      <c r="AP5">
        <f t="shared" si="14"/>
        <v>0.88888888888888884</v>
      </c>
      <c r="AQ5">
        <f>survey_responses[[#This Row],[Tôi thấy mức thuế tôi phải đóng theo phương án mới là công bằng (người thu nhập như tôi đóng mức này là hợp lý). - HUMAN-TRU2]]</f>
        <v>7</v>
      </c>
      <c r="AR5">
        <f t="shared" si="15"/>
        <v>0.66666666666666663</v>
      </c>
      <c r="AS5">
        <f>step3_validation[[#This Row],[AI_TRU3]]</f>
        <v>6</v>
      </c>
      <c r="AT5">
        <f t="shared" si="16"/>
        <v>0.55555555555555558</v>
      </c>
      <c r="AU5">
        <f>survey_responses[[#This Row],[Tôi tin tưởng số tiền thuế tôi đóng sẽ được Nhà nước sử dụng hiệu quả để cải thiện dịch vụ công (y tế, đường xá...). - HUMAN-TRU3]]</f>
        <v>10</v>
      </c>
      <c r="AV5">
        <f t="shared" si="17"/>
        <v>1</v>
      </c>
      <c r="AW5">
        <f>step3_validation[[#This Row],[AI_TRU4]]</f>
        <v>7</v>
      </c>
      <c r="AX5">
        <f t="shared" si="18"/>
        <v>0.66666666666666663</v>
      </c>
      <c r="AY5">
        <f>survey_responses[[#This Row],[Tôi thấy Nhà nước đã giải thích rõ ràng, minh bạch về lý do và mục tiêu của việc sửa đổi thuế lần này. - HUMAN-TRU4]]</f>
        <v>7</v>
      </c>
      <c r="AZ5">
        <f t="shared" si="19"/>
        <v>0.66666666666666663</v>
      </c>
      <c r="BA5" s="32">
        <f t="shared" si="20"/>
        <v>0.69444444444444431</v>
      </c>
      <c r="BB5" s="32">
        <f t="shared" si="21"/>
        <v>0.80555555555555547</v>
      </c>
      <c r="BC5" s="7">
        <f t="shared" si="22"/>
        <v>0.63888888888888884</v>
      </c>
      <c r="BD5" s="7">
        <f t="shared" si="23"/>
        <v>0.87962962962962965</v>
      </c>
      <c r="BE5">
        <f>step3_validation[[#This Row],[AI_OUT1]]</f>
        <v>9</v>
      </c>
      <c r="BF5">
        <f t="shared" si="24"/>
        <v>0.88888888888888884</v>
      </c>
      <c r="BG5">
        <f>survey_responses[[#This Row],[Sau khi xem xét các quyền lợi và nghĩa vụ, bạn có ủng hộ và tuân thủ chính sách mới hiện nay? - HUMAN-OUT1]]</f>
        <v>10</v>
      </c>
      <c r="BH5">
        <f t="shared" si="25"/>
        <v>1</v>
      </c>
      <c r="BI5" s="32">
        <f t="shared" si="26"/>
        <v>1</v>
      </c>
    </row>
    <row r="6" spans="1:61" x14ac:dyDescent="0.45">
      <c r="A6" s="30">
        <f>step3_validation[[#This Row],[Persona_ID]]</f>
        <v>5</v>
      </c>
      <c r="B6" s="31">
        <f>step3_validation[[#This Row],[Used_Seed]]</f>
        <v>46</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8</v>
      </c>
      <c r="R6">
        <f t="shared" si="0"/>
        <v>0.77777777777777779</v>
      </c>
      <c r="S6">
        <f>survey_responses[[#This Row],[Tôi tin rằng với các quy định quản lý thuế hiện nay, hành vi gian lận hoặc trốn thuế sẽ dễ dàng bị phát hiện và xử lý nghiêm. - HUMAN-ENF1]]</f>
        <v>9</v>
      </c>
      <c r="T6">
        <f t="shared" si="1"/>
        <v>0.88888888888888884</v>
      </c>
      <c r="U6">
        <f>step3_validation[[#This Row],[AI_ENF2]]</f>
        <v>9</v>
      </c>
      <c r="V6">
        <f t="shared" si="2"/>
        <v>0.88888888888888884</v>
      </c>
      <c r="W6">
        <f>survey_responses[[#This Row],[Tôi tin rằng Nhà nước, cơ quan thuế có đủ khả năng và công nghệ để phát hiện, xử lý nghiêm các hành vi trốn thuế. - HUMAN-ENF2]]</f>
        <v>9</v>
      </c>
      <c r="X6">
        <f t="shared" si="3"/>
        <v>0.88888888888888884</v>
      </c>
      <c r="Y6" s="32">
        <f t="shared" si="4"/>
        <v>0.83333333333333326</v>
      </c>
      <c r="Z6" s="32">
        <f t="shared" si="5"/>
        <v>0.88888888888888884</v>
      </c>
      <c r="AA6">
        <f>step3_validation[[#This Row],[AI_FAC1]]</f>
        <v>7</v>
      </c>
      <c r="AB6">
        <f t="shared" si="6"/>
        <v>0.66666666666666663</v>
      </c>
      <c r="AC6">
        <f>survey_responses[[#This Row],[Các thủ tục khai báo thuế VÀ/HOẶC quy trình làm việc với cơ quan thuế đơn giản, tiện lợi, nhanh chóng hơn so với trước đây. - HUMAN-FAC1]]</f>
        <v>10</v>
      </c>
      <c r="AD6">
        <f t="shared" si="7"/>
        <v>1</v>
      </c>
      <c r="AE6">
        <f>step3_validation[[#This Row],[AI_FAC2]]</f>
        <v>9</v>
      </c>
      <c r="AF6">
        <f t="shared" si="8"/>
        <v>0.88888888888888884</v>
      </c>
      <c r="AG6">
        <f>survey_responses[[#This Row],[So với trước đây, tôi thấy cách tính thuế và các bậc thuế trong phương án mới đơn giản, dễ hiểu và dễ thực hiện hơn. - HUMAN-FAC2]]</f>
        <v>9</v>
      </c>
      <c r="AH6">
        <f t="shared" si="9"/>
        <v>0.88888888888888884</v>
      </c>
      <c r="AI6" s="32">
        <f t="shared" si="10"/>
        <v>0.77777777777777768</v>
      </c>
      <c r="AJ6" s="32">
        <f t="shared" si="11"/>
        <v>0.94444444444444442</v>
      </c>
      <c r="AK6">
        <f>step3_validation[[#This Row],[AI_TRU1]]</f>
        <v>8</v>
      </c>
      <c r="AL6">
        <f t="shared" si="12"/>
        <v>0.77777777777777779</v>
      </c>
      <c r="AM6">
        <f>survey_responses[[#This Row],[Tôi tin rằng Nhà nước, cơ quan thuế sẽ thực thi chính sách mới một cách khách quan, công tâm và đối xử bình đẳng với mọi người nộp thuế.  - HUMAN-TRU1]]</f>
        <v>9</v>
      </c>
      <c r="AN6">
        <f t="shared" si="13"/>
        <v>0.88888888888888884</v>
      </c>
      <c r="AO6">
        <f>step3_validation[[#This Row],[AI_TRU2]]</f>
        <v>9</v>
      </c>
      <c r="AP6">
        <f t="shared" si="14"/>
        <v>0.88888888888888884</v>
      </c>
      <c r="AQ6">
        <f>survey_responses[[#This Row],[Tôi thấy mức thuế tôi phải đóng theo phương án mới là công bằng (người thu nhập như tôi đóng mức này là hợp lý). - HUMAN-TRU2]]</f>
        <v>9</v>
      </c>
      <c r="AR6">
        <f t="shared" si="15"/>
        <v>0.88888888888888884</v>
      </c>
      <c r="AS6">
        <f>step3_validation[[#This Row],[AI_TRU3]]</f>
        <v>8</v>
      </c>
      <c r="AT6">
        <f t="shared" si="16"/>
        <v>0.77777777777777779</v>
      </c>
      <c r="AU6">
        <f>survey_responses[[#This Row],[Tôi tin tưởng số tiền thuế tôi đóng sẽ được Nhà nước sử dụng hiệu quả để cải thiện dịch vụ công (y tế, đường xá...). - HUMAN-TRU3]]</f>
        <v>9</v>
      </c>
      <c r="AV6">
        <f t="shared" si="17"/>
        <v>0.88888888888888884</v>
      </c>
      <c r="AW6">
        <f>step3_validation[[#This Row],[AI_TRU4]]</f>
        <v>9</v>
      </c>
      <c r="AX6">
        <f t="shared" si="18"/>
        <v>0.88888888888888884</v>
      </c>
      <c r="AY6">
        <f>survey_responses[[#This Row],[Tôi thấy Nhà nước đã giải thích rõ ràng, minh bạch về lý do và mục tiêu của việc sửa đổi thuế lần này. - HUMAN-TRU4]]</f>
        <v>9</v>
      </c>
      <c r="AZ6">
        <f t="shared" si="19"/>
        <v>0.88888888888888884</v>
      </c>
      <c r="BA6" s="32">
        <f t="shared" si="20"/>
        <v>0.83333333333333326</v>
      </c>
      <c r="BB6" s="32">
        <f t="shared" si="21"/>
        <v>0.88888888888888884</v>
      </c>
      <c r="BC6" s="7">
        <f t="shared" si="22"/>
        <v>0.81481481481481477</v>
      </c>
      <c r="BD6" s="7">
        <f t="shared" si="23"/>
        <v>0.90740740740740744</v>
      </c>
      <c r="BE6">
        <f>step3_validation[[#This Row],[AI_OUT1]]</f>
        <v>8</v>
      </c>
      <c r="BF6">
        <f t="shared" si="24"/>
        <v>0.77777777777777779</v>
      </c>
      <c r="BG6">
        <f>survey_responses[[#This Row],[Sau khi xem xét các quyền lợi và nghĩa vụ, bạn có ủng hộ và tuân thủ chính sách mới hiện nay? - HUMAN-OUT1]]</f>
        <v>9</v>
      </c>
      <c r="BH6">
        <f t="shared" si="25"/>
        <v>0.88888888888888884</v>
      </c>
      <c r="BI6" s="32">
        <f t="shared" si="26"/>
        <v>1</v>
      </c>
    </row>
    <row r="7" spans="1:61" x14ac:dyDescent="0.45">
      <c r="A7" s="30">
        <f>step3_validation[[#This Row],[Persona_ID]]</f>
        <v>6</v>
      </c>
      <c r="B7" s="31">
        <f>step3_validation[[#This Row],[Used_Seed]]</f>
        <v>47</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89.18610610127881</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7</v>
      </c>
      <c r="R7">
        <f t="shared" si="0"/>
        <v>0.66666666666666663</v>
      </c>
      <c r="S7">
        <f>survey_responses[[#This Row],[Tôi tin rằng với các quy định quản lý thuế hiện nay, hành vi gian lận hoặc trốn thuế sẽ dễ dàng bị phát hiện và xử lý nghiêm. - HUMAN-ENF1]]</f>
        <v>8</v>
      </c>
      <c r="T7">
        <f t="shared" si="1"/>
        <v>0.77777777777777779</v>
      </c>
      <c r="U7">
        <f>step3_validation[[#This Row],[AI_ENF2]]</f>
        <v>0</v>
      </c>
      <c r="V7">
        <f t="shared" si="2"/>
        <v>-0.1111111111111111</v>
      </c>
      <c r="W7">
        <f>survey_responses[[#This Row],[Tôi tin rằng Nhà nước, cơ quan thuế có đủ khả năng và công nghệ để phát hiện, xử lý nghiêm các hành vi trốn thuế. - HUMAN-ENF2]]</f>
        <v>8</v>
      </c>
      <c r="X7">
        <f t="shared" si="3"/>
        <v>0.77777777777777779</v>
      </c>
      <c r="Y7" s="32">
        <f t="shared" si="4"/>
        <v>0.27777777777777779</v>
      </c>
      <c r="Z7" s="32">
        <f t="shared" si="5"/>
        <v>0.77777777777777779</v>
      </c>
      <c r="AA7">
        <f>step3_validation[[#This Row],[AI_FAC1]]</f>
        <v>0</v>
      </c>
      <c r="AB7">
        <f t="shared" si="6"/>
        <v>-0.1111111111111111</v>
      </c>
      <c r="AC7">
        <f>survey_responses[[#This Row],[Các thủ tục khai báo thuế VÀ/HOẶC quy trình làm việc với cơ quan thuế đơn giản, tiện lợi, nhanh chóng hơn so với trước đây. - HUMAN-FAC1]]</f>
        <v>5</v>
      </c>
      <c r="AD7">
        <f t="shared" si="7"/>
        <v>0.44444444444444442</v>
      </c>
      <c r="AE7">
        <f>step3_validation[[#This Row],[AI_FAC2]]</f>
        <v>0</v>
      </c>
      <c r="AF7">
        <f t="shared" si="8"/>
        <v>-0.1111111111111111</v>
      </c>
      <c r="AG7">
        <f>survey_responses[[#This Row],[So với trước đây, tôi thấy cách tính thuế và các bậc thuế trong phương án mới đơn giản, dễ hiểu và dễ thực hiện hơn. - HUMAN-FAC2]]</f>
        <v>8</v>
      </c>
      <c r="AH7">
        <f t="shared" si="9"/>
        <v>0.77777777777777779</v>
      </c>
      <c r="AI7" s="32">
        <f t="shared" si="10"/>
        <v>-0.1111111111111111</v>
      </c>
      <c r="AJ7" s="32">
        <f t="shared" si="11"/>
        <v>0.61111111111111116</v>
      </c>
      <c r="AK7">
        <f>step3_validation[[#This Row],[AI_TRU1]]</f>
        <v>0</v>
      </c>
      <c r="AL7">
        <f t="shared" si="12"/>
        <v>-0.1111111111111111</v>
      </c>
      <c r="AM7">
        <f>survey_responses[[#This Row],[Tôi tin rằng Nhà nước, cơ quan thuế sẽ thực thi chính sách mới một cách khách quan, công tâm và đối xử bình đẳng với mọi người nộp thuế.  - HUMAN-TRU1]]</f>
        <v>6</v>
      </c>
      <c r="AN7">
        <f t="shared" si="13"/>
        <v>0.55555555555555558</v>
      </c>
      <c r="AO7">
        <f>step3_validation[[#This Row],[AI_TRU2]]</f>
        <v>0</v>
      </c>
      <c r="AP7">
        <f t="shared" si="14"/>
        <v>-0.1111111111111111</v>
      </c>
      <c r="AQ7">
        <f>survey_responses[[#This Row],[Tôi thấy mức thuế tôi phải đóng theo phương án mới là công bằng (người thu nhập như tôi đóng mức này là hợp lý). - HUMAN-TRU2]]</f>
        <v>6</v>
      </c>
      <c r="AR7">
        <f t="shared" si="15"/>
        <v>0.55555555555555558</v>
      </c>
      <c r="AS7">
        <f>step3_validation[[#This Row],[AI_TRU3]]</f>
        <v>0</v>
      </c>
      <c r="AT7">
        <f t="shared" si="16"/>
        <v>-0.1111111111111111</v>
      </c>
      <c r="AU7">
        <f>survey_responses[[#This Row],[Tôi tin tưởng số tiền thuế tôi đóng sẽ được Nhà nước sử dụng hiệu quả để cải thiện dịch vụ công (y tế, đường xá...). - HUMAN-TRU3]]</f>
        <v>4</v>
      </c>
      <c r="AV7">
        <f t="shared" si="17"/>
        <v>0.33333333333333331</v>
      </c>
      <c r="AW7">
        <f>step3_validation[[#This Row],[AI_TRU4]]</f>
        <v>0</v>
      </c>
      <c r="AX7">
        <f t="shared" si="18"/>
        <v>-0.1111111111111111</v>
      </c>
      <c r="AY7">
        <f>survey_responses[[#This Row],[Tôi thấy Nhà nước đã giải thích rõ ràng, minh bạch về lý do và mục tiêu của việc sửa đổi thuế lần này. - HUMAN-TRU4]]</f>
        <v>5</v>
      </c>
      <c r="AZ7">
        <f t="shared" si="19"/>
        <v>0.44444444444444442</v>
      </c>
      <c r="BA7" s="32">
        <f t="shared" si="20"/>
        <v>-0.1111111111111111</v>
      </c>
      <c r="BB7" s="32">
        <f t="shared" si="21"/>
        <v>0.47222222222222221</v>
      </c>
      <c r="BC7" s="7">
        <f t="shared" si="22"/>
        <v>1.8518518518518528E-2</v>
      </c>
      <c r="BD7" s="7">
        <f t="shared" si="23"/>
        <v>0.62037037037037035</v>
      </c>
      <c r="BE7">
        <f>step3_validation[[#This Row],[AI_OUT1]]</f>
        <v>0</v>
      </c>
      <c r="BF7">
        <f t="shared" si="24"/>
        <v>-0.1111111111111111</v>
      </c>
      <c r="BG7">
        <f>survey_responses[[#This Row],[Sau khi xem xét các quyền lợi và nghĩa vụ, bạn có ủng hộ và tuân thủ chính sách mới hiện nay? - HUMAN-OUT1]]</f>
        <v>6</v>
      </c>
      <c r="BH7">
        <f t="shared" si="25"/>
        <v>0.55555555555555558</v>
      </c>
      <c r="BI7" s="32">
        <f t="shared" si="26"/>
        <v>6</v>
      </c>
    </row>
    <row r="8" spans="1:61" x14ac:dyDescent="0.45">
      <c r="A8" s="30">
        <f>step3_validation[[#This Row],[Persona_ID]]</f>
        <v>7</v>
      </c>
      <c r="B8" s="31">
        <f>step3_validation[[#This Row],[Used_Seed]]</f>
        <v>48</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21.534681572110244</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9</v>
      </c>
      <c r="R8">
        <f t="shared" si="0"/>
        <v>0.88888888888888884</v>
      </c>
      <c r="S8">
        <f>survey_responses[[#This Row],[Tôi tin rằng với các quy định quản lý thuế hiện nay, hành vi gian lận hoặc trốn thuế sẽ dễ dàng bị phát hiện và xử lý nghiêm. - HUMAN-ENF1]]</f>
        <v>5</v>
      </c>
      <c r="T8">
        <f t="shared" si="1"/>
        <v>0.44444444444444442</v>
      </c>
      <c r="U8">
        <f>step3_validation[[#This Row],[AI_ENF2]]</f>
        <v>8</v>
      </c>
      <c r="V8">
        <f t="shared" si="2"/>
        <v>0.77777777777777779</v>
      </c>
      <c r="W8">
        <f>survey_responses[[#This Row],[Tôi tin rằng Nhà nước, cơ quan thuế có đủ khả năng và công nghệ để phát hiện, xử lý nghiêm các hành vi trốn thuế. - HUMAN-ENF2]]</f>
        <v>4</v>
      </c>
      <c r="X8">
        <f t="shared" si="3"/>
        <v>0.33333333333333331</v>
      </c>
      <c r="Y8" s="32">
        <f t="shared" si="4"/>
        <v>0.83333333333333326</v>
      </c>
      <c r="Z8" s="32">
        <f t="shared" si="5"/>
        <v>0.38888888888888884</v>
      </c>
      <c r="AA8">
        <f>step3_validation[[#This Row],[AI_FAC1]]</f>
        <v>9</v>
      </c>
      <c r="AB8">
        <f t="shared" si="6"/>
        <v>0.88888888888888884</v>
      </c>
      <c r="AC8">
        <f>survey_responses[[#This Row],[Các thủ tục khai báo thuế VÀ/HOẶC quy trình làm việc với cơ quan thuế đơn giản, tiện lợi, nhanh chóng hơn so với trước đây. - HUMAN-FAC1]]</f>
        <v>4</v>
      </c>
      <c r="AD8">
        <f t="shared" si="7"/>
        <v>0.33333333333333331</v>
      </c>
      <c r="AE8">
        <f>step3_validation[[#This Row],[AI_FAC2]]</f>
        <v>8</v>
      </c>
      <c r="AF8">
        <f t="shared" si="8"/>
        <v>0.77777777777777779</v>
      </c>
      <c r="AG8">
        <f>survey_responses[[#This Row],[So với trước đây, tôi thấy cách tính thuế và các bậc thuế trong phương án mới đơn giản, dễ hiểu và dễ thực hiện hơn. - HUMAN-FAC2]]</f>
        <v>6</v>
      </c>
      <c r="AH8">
        <f t="shared" si="9"/>
        <v>0.55555555555555558</v>
      </c>
      <c r="AI8" s="32">
        <f t="shared" si="10"/>
        <v>0.83333333333333326</v>
      </c>
      <c r="AJ8" s="32">
        <f t="shared" si="11"/>
        <v>0.44444444444444442</v>
      </c>
      <c r="AK8">
        <f>step3_validation[[#This Row],[AI_TRU1]]</f>
        <v>9</v>
      </c>
      <c r="AL8">
        <f t="shared" si="12"/>
        <v>0.88888888888888884</v>
      </c>
      <c r="AM8">
        <f>survey_responses[[#This Row],[Tôi tin rằng Nhà nước, cơ quan thuế sẽ thực thi chính sách mới một cách khách quan, công tâm và đối xử bình đẳng với mọi người nộp thuế.  - HUMAN-TRU1]]</f>
        <v>6</v>
      </c>
      <c r="AN8">
        <f t="shared" si="13"/>
        <v>0.55555555555555558</v>
      </c>
      <c r="AO8">
        <f>step3_validation[[#This Row],[AI_TRU2]]</f>
        <v>8</v>
      </c>
      <c r="AP8">
        <f t="shared" si="14"/>
        <v>0.77777777777777779</v>
      </c>
      <c r="AQ8">
        <f>survey_responses[[#This Row],[Tôi thấy mức thuế tôi phải đóng theo phương án mới là công bằng (người thu nhập như tôi đóng mức này là hợp lý). - HUMAN-TRU2]]</f>
        <v>7</v>
      </c>
      <c r="AR8">
        <f t="shared" si="15"/>
        <v>0.66666666666666663</v>
      </c>
      <c r="AS8">
        <f>step3_validation[[#This Row],[AI_TRU3]]</f>
        <v>9</v>
      </c>
      <c r="AT8">
        <f t="shared" si="16"/>
        <v>0.88888888888888884</v>
      </c>
      <c r="AU8">
        <f>survey_responses[[#This Row],[Tôi tin tưởng số tiền thuế tôi đóng sẽ được Nhà nước sử dụng hiệu quả để cải thiện dịch vụ công (y tế, đường xá...). - HUMAN-TRU3]]</f>
        <v>2</v>
      </c>
      <c r="AV8">
        <f t="shared" si="17"/>
        <v>0.1111111111111111</v>
      </c>
      <c r="AW8">
        <f>step3_validation[[#This Row],[AI_TRU4]]</f>
        <v>8</v>
      </c>
      <c r="AX8">
        <f t="shared" si="18"/>
        <v>0.77777777777777779</v>
      </c>
      <c r="AY8">
        <f>survey_responses[[#This Row],[Tôi thấy Nhà nước đã giải thích rõ ràng, minh bạch về lý do và mục tiêu của việc sửa đổi thuế lần này. - HUMAN-TRU4]]</f>
        <v>4</v>
      </c>
      <c r="AZ8">
        <f t="shared" si="19"/>
        <v>0.33333333333333331</v>
      </c>
      <c r="BA8" s="32">
        <f t="shared" si="20"/>
        <v>0.83333333333333326</v>
      </c>
      <c r="BB8" s="32">
        <f t="shared" si="21"/>
        <v>0.41666666666666669</v>
      </c>
      <c r="BC8" s="7">
        <f t="shared" si="22"/>
        <v>0.83333333333333337</v>
      </c>
      <c r="BD8" s="7">
        <f t="shared" si="23"/>
        <v>0.41666666666666669</v>
      </c>
      <c r="BE8">
        <f>step3_validation[[#This Row],[AI_OUT1]]</f>
        <v>9</v>
      </c>
      <c r="BF8">
        <f t="shared" si="24"/>
        <v>0.88888888888888884</v>
      </c>
      <c r="BG8">
        <f>survey_responses[[#This Row],[Sau khi xem xét các quyền lợi và nghĩa vụ, bạn có ủng hộ và tuân thủ chính sách mới hiện nay? - HUMAN-OUT1]]</f>
        <v>4</v>
      </c>
      <c r="BH8">
        <f t="shared" si="25"/>
        <v>0.33333333333333331</v>
      </c>
      <c r="BI8" s="32">
        <f t="shared" si="26"/>
        <v>5</v>
      </c>
    </row>
    <row r="9" spans="1:61" x14ac:dyDescent="0.45">
      <c r="A9" s="30">
        <f>step3_validation[[#This Row],[Persona_ID]]</f>
        <v>8</v>
      </c>
      <c r="B9" s="31">
        <f>step3_validation[[#This Row],[Used_Seed]]</f>
        <v>49</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6</v>
      </c>
      <c r="R9">
        <f t="shared" si="0"/>
        <v>0.55555555555555558</v>
      </c>
      <c r="S9">
        <f>survey_responses[[#This Row],[Tôi tin rằng với các quy định quản lý thuế hiện nay, hành vi gian lận hoặc trốn thuế sẽ dễ dàng bị phát hiện và xử lý nghiêm. - HUMAN-ENF1]]</f>
        <v>1</v>
      </c>
      <c r="T9">
        <f t="shared" si="1"/>
        <v>0</v>
      </c>
      <c r="U9">
        <f>step3_validation[[#This Row],[AI_ENF2]]</f>
        <v>7</v>
      </c>
      <c r="V9">
        <f t="shared" si="2"/>
        <v>0.66666666666666663</v>
      </c>
      <c r="W9">
        <f>survey_responses[[#This Row],[Tôi tin rằng Nhà nước, cơ quan thuế có đủ khả năng và công nghệ để phát hiện, xử lý nghiêm các hành vi trốn thuế. - HUMAN-ENF2]]</f>
        <v>1</v>
      </c>
      <c r="X9">
        <f t="shared" si="3"/>
        <v>0</v>
      </c>
      <c r="Y9" s="32">
        <f t="shared" si="4"/>
        <v>0.61111111111111116</v>
      </c>
      <c r="Z9" s="32">
        <f t="shared" si="5"/>
        <v>0</v>
      </c>
      <c r="AA9">
        <f>step3_validation[[#This Row],[AI_FAC1]]</f>
        <v>9</v>
      </c>
      <c r="AB9">
        <f t="shared" si="6"/>
        <v>0.88888888888888884</v>
      </c>
      <c r="AC9">
        <f>survey_responses[[#This Row],[Các thủ tục khai báo thuế VÀ/HOẶC quy trình làm việc với cơ quan thuế đơn giản, tiện lợi, nhanh chóng hơn so với trước đây. - HUMAN-FAC1]]</f>
        <v>2</v>
      </c>
      <c r="AD9">
        <f t="shared" si="7"/>
        <v>0.1111111111111111</v>
      </c>
      <c r="AE9">
        <f>step3_validation[[#This Row],[AI_FAC2]]</f>
        <v>8</v>
      </c>
      <c r="AF9">
        <f t="shared" si="8"/>
        <v>0.77777777777777779</v>
      </c>
      <c r="AG9">
        <f>survey_responses[[#This Row],[So với trước đây, tôi thấy cách tính thuế và các bậc thuế trong phương án mới đơn giản, dễ hiểu và dễ thực hiện hơn. - HUMAN-FAC2]]</f>
        <v>3</v>
      </c>
      <c r="AH9">
        <f t="shared" si="9"/>
        <v>0.22222222222222221</v>
      </c>
      <c r="AI9" s="32">
        <f t="shared" si="10"/>
        <v>0.83333333333333326</v>
      </c>
      <c r="AJ9" s="32">
        <f t="shared" si="11"/>
        <v>0.16666666666666666</v>
      </c>
      <c r="AK9">
        <f>step3_validation[[#This Row],[AI_TRU1]]</f>
        <v>9</v>
      </c>
      <c r="AL9">
        <f t="shared" si="12"/>
        <v>0.88888888888888884</v>
      </c>
      <c r="AM9">
        <f>survey_responses[[#This Row],[Tôi tin rằng Nhà nước, cơ quan thuế sẽ thực thi chính sách mới một cách khách quan, công tâm và đối xử bình đẳng với mọi người nộp thuế.  - HUMAN-TRU1]]</f>
        <v>6</v>
      </c>
      <c r="AN9">
        <f t="shared" si="13"/>
        <v>0.55555555555555558</v>
      </c>
      <c r="AO9">
        <f>step3_validation[[#This Row],[AI_TRU2]]</f>
        <v>8</v>
      </c>
      <c r="AP9">
        <f t="shared" si="14"/>
        <v>0.77777777777777779</v>
      </c>
      <c r="AQ9">
        <f>survey_responses[[#This Row],[Tôi thấy mức thuế tôi phải đóng theo phương án mới là công bằng (người thu nhập như tôi đóng mức này là hợp lý). - HUMAN-TRU2]]</f>
        <v>2</v>
      </c>
      <c r="AR9">
        <f t="shared" si="15"/>
        <v>0.1111111111111111</v>
      </c>
      <c r="AS9">
        <f>step3_validation[[#This Row],[AI_TRU3]]</f>
        <v>9</v>
      </c>
      <c r="AT9">
        <f t="shared" si="16"/>
        <v>0.88888888888888884</v>
      </c>
      <c r="AU9">
        <f>survey_responses[[#This Row],[Tôi tin tưởng số tiền thuế tôi đóng sẽ được Nhà nước sử dụng hiệu quả để cải thiện dịch vụ công (y tế, đường xá...). - HUMAN-TRU3]]</f>
        <v>7</v>
      </c>
      <c r="AV9">
        <f t="shared" si="17"/>
        <v>0.66666666666666663</v>
      </c>
      <c r="AW9">
        <f>step3_validation[[#This Row],[AI_TRU4]]</f>
        <v>8</v>
      </c>
      <c r="AX9">
        <f t="shared" si="18"/>
        <v>0.77777777777777779</v>
      </c>
      <c r="AY9">
        <f>survey_responses[[#This Row],[Tôi thấy Nhà nước đã giải thích rõ ràng, minh bạch về lý do và mục tiêu của việc sửa đổi thuế lần này. - HUMAN-TRU4]]</f>
        <v>3</v>
      </c>
      <c r="AZ9">
        <f t="shared" si="19"/>
        <v>0.22222222222222221</v>
      </c>
      <c r="BA9" s="32">
        <f t="shared" si="20"/>
        <v>0.83333333333333326</v>
      </c>
      <c r="BB9" s="32">
        <f t="shared" si="21"/>
        <v>0.38888888888888895</v>
      </c>
      <c r="BC9" s="7">
        <f t="shared" si="22"/>
        <v>0.75925925925925919</v>
      </c>
      <c r="BD9" s="7">
        <f t="shared" si="23"/>
        <v>0.1851851851851852</v>
      </c>
      <c r="BE9">
        <f>step3_validation[[#This Row],[AI_OUT1]]</f>
        <v>9</v>
      </c>
      <c r="BF9">
        <f t="shared" si="24"/>
        <v>0.88888888888888884</v>
      </c>
      <c r="BG9">
        <f>survey_responses[[#This Row],[Sau khi xem xét các quyền lợi và nghĩa vụ, bạn có ủng hộ và tuân thủ chính sách mới hiện nay? - HUMAN-OUT1]]</f>
        <v>3</v>
      </c>
      <c r="BH9">
        <f t="shared" si="25"/>
        <v>0.22222222222222221</v>
      </c>
      <c r="BI9" s="32">
        <f t="shared" si="26"/>
        <v>6</v>
      </c>
    </row>
    <row r="10" spans="1:61" x14ac:dyDescent="0.45">
      <c r="A10" s="30">
        <f>step3_validation[[#This Row],[Persona_ID]]</f>
        <v>9</v>
      </c>
      <c r="B10" s="31">
        <f>step3_validation[[#This Row],[Used_Seed]]</f>
        <v>50</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15.095756759677263</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f t="shared" si="0"/>
        <v>0.66666666666666663</v>
      </c>
      <c r="S10">
        <f>survey_responses[[#This Row],[Tôi tin rằng với các quy định quản lý thuế hiện nay, hành vi gian lận hoặc trốn thuế sẽ dễ dàng bị phát hiện và xử lý nghiêm. - HUMAN-ENF1]]</f>
        <v>10</v>
      </c>
      <c r="T10">
        <f t="shared" si="1"/>
        <v>1</v>
      </c>
      <c r="U10">
        <f>step3_validation[[#This Row],[AI_ENF2]]</f>
        <v>8</v>
      </c>
      <c r="V10">
        <f t="shared" si="2"/>
        <v>0.77777777777777779</v>
      </c>
      <c r="W10">
        <f>survey_responses[[#This Row],[Tôi tin rằng Nhà nước, cơ quan thuế có đủ khả năng và công nghệ để phát hiện, xử lý nghiêm các hành vi trốn thuế. - HUMAN-ENF2]]</f>
        <v>10</v>
      </c>
      <c r="X10">
        <f t="shared" si="3"/>
        <v>1</v>
      </c>
      <c r="Y10" s="32">
        <f t="shared" si="4"/>
        <v>0.72222222222222221</v>
      </c>
      <c r="Z10" s="32">
        <f t="shared" si="5"/>
        <v>1</v>
      </c>
      <c r="AA10">
        <f>step3_validation[[#This Row],[AI_FAC1]]</f>
        <v>6</v>
      </c>
      <c r="AB10">
        <f t="shared" si="6"/>
        <v>0.55555555555555558</v>
      </c>
      <c r="AC10">
        <f>survey_responses[[#This Row],[Các thủ tục khai báo thuế VÀ/HOẶC quy trình làm việc với cơ quan thuế đơn giản, tiện lợi, nhanh chóng hơn so với trước đây. - HUMAN-FAC1]]</f>
        <v>8</v>
      </c>
      <c r="AD10">
        <f t="shared" si="7"/>
        <v>0.77777777777777779</v>
      </c>
      <c r="AE10">
        <f>step3_validation[[#This Row],[AI_FAC2]]</f>
        <v>9</v>
      </c>
      <c r="AF10">
        <f t="shared" si="8"/>
        <v>0.88888888888888884</v>
      </c>
      <c r="AG10">
        <f>survey_responses[[#This Row],[So với trước đây, tôi thấy cách tính thuế và các bậc thuế trong phương án mới đơn giản, dễ hiểu và dễ thực hiện hơn. - HUMAN-FAC2]]</f>
        <v>7</v>
      </c>
      <c r="AH10">
        <f t="shared" si="9"/>
        <v>0.66666666666666663</v>
      </c>
      <c r="AI10" s="32">
        <f t="shared" si="10"/>
        <v>0.72222222222222221</v>
      </c>
      <c r="AJ10" s="32">
        <f t="shared" si="11"/>
        <v>0.72222222222222221</v>
      </c>
      <c r="AK10">
        <f>step3_validation[[#This Row],[AI_TRU1]]</f>
        <v>7</v>
      </c>
      <c r="AL10">
        <f t="shared" si="12"/>
        <v>0.66666666666666663</v>
      </c>
      <c r="AM10">
        <f>survey_responses[[#This Row],[Tôi tin rằng Nhà nước, cơ quan thuế sẽ thực thi chính sách mới một cách khách quan, công tâm và đối xử bình đẳng với mọi người nộp thuế.  - HUMAN-TRU1]]</f>
        <v>7</v>
      </c>
      <c r="AN10">
        <f t="shared" si="13"/>
        <v>0.66666666666666663</v>
      </c>
      <c r="AO10">
        <f>step3_validation[[#This Row],[AI_TRU2]]</f>
        <v>9</v>
      </c>
      <c r="AP10">
        <f t="shared" si="14"/>
        <v>0.88888888888888884</v>
      </c>
      <c r="AQ10">
        <f>survey_responses[[#This Row],[Tôi thấy mức thuế tôi phải đóng theo phương án mới là công bằng (người thu nhập như tôi đóng mức này là hợp lý). - HUMAN-TRU2]]</f>
        <v>5</v>
      </c>
      <c r="AR10">
        <f t="shared" si="15"/>
        <v>0.44444444444444442</v>
      </c>
      <c r="AS10">
        <f>step3_validation[[#This Row],[AI_TRU3]]</f>
        <v>8</v>
      </c>
      <c r="AT10">
        <f t="shared" si="16"/>
        <v>0.77777777777777779</v>
      </c>
      <c r="AU10">
        <f>survey_responses[[#This Row],[Tôi tin tưởng số tiền thuế tôi đóng sẽ được Nhà nước sử dụng hiệu quả để cải thiện dịch vụ công (y tế, đường xá...). - HUMAN-TRU3]]</f>
        <v>5</v>
      </c>
      <c r="AV10">
        <f t="shared" si="17"/>
        <v>0.44444444444444442</v>
      </c>
      <c r="AW10">
        <f>step3_validation[[#This Row],[AI_TRU4]]</f>
        <v>7</v>
      </c>
      <c r="AX10">
        <f t="shared" si="18"/>
        <v>0.66666666666666663</v>
      </c>
      <c r="AY10">
        <f>survey_responses[[#This Row],[Tôi thấy Nhà nước đã giải thích rõ ràng, minh bạch về lý do và mục tiêu của việc sửa đổi thuế lần này. - HUMAN-TRU4]]</f>
        <v>9</v>
      </c>
      <c r="AZ10">
        <f t="shared" si="19"/>
        <v>0.88888888888888884</v>
      </c>
      <c r="BA10" s="32">
        <f t="shared" si="20"/>
        <v>0.74999999999999989</v>
      </c>
      <c r="BB10" s="32">
        <f t="shared" si="21"/>
        <v>0.61111111111111116</v>
      </c>
      <c r="BC10" s="7">
        <f t="shared" si="22"/>
        <v>0.7314814814814814</v>
      </c>
      <c r="BD10" s="7">
        <f t="shared" si="23"/>
        <v>0.77777777777777779</v>
      </c>
      <c r="BE10">
        <f>step3_validation[[#This Row],[AI_OUT1]]</f>
        <v>9</v>
      </c>
      <c r="BF10">
        <f t="shared" si="24"/>
        <v>0.88888888888888884</v>
      </c>
      <c r="BG10">
        <f>survey_responses[[#This Row],[Sau khi xem xét các quyền lợi và nghĩa vụ, bạn có ủng hộ và tuân thủ chính sách mới hiện nay? - HUMAN-OUT1]]</f>
        <v>8</v>
      </c>
      <c r="BH10">
        <f t="shared" si="25"/>
        <v>0.77777777777777779</v>
      </c>
      <c r="BI10" s="32">
        <f t="shared" si="26"/>
        <v>1</v>
      </c>
    </row>
    <row r="11" spans="1:61" x14ac:dyDescent="0.45">
      <c r="A11" s="30">
        <f>step3_validation[[#This Row],[Persona_ID]]</f>
        <v>10</v>
      </c>
      <c r="B11" s="31">
        <f>step3_validation[[#This Row],[Used_Seed]]</f>
        <v>51</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21.540417785271543</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7</v>
      </c>
      <c r="R11">
        <f t="shared" si="0"/>
        <v>0.66666666666666663</v>
      </c>
      <c r="S11">
        <f>survey_responses[[#This Row],[Tôi tin rằng với các quy định quản lý thuế hiện nay, hành vi gian lận hoặc trốn thuế sẽ dễ dàng bị phát hiện và xử lý nghiêm. - HUMAN-ENF1]]</f>
        <v>7</v>
      </c>
      <c r="T11">
        <f t="shared" si="1"/>
        <v>0.66666666666666663</v>
      </c>
      <c r="U11">
        <f>step3_validation[[#This Row],[AI_ENF2]]</f>
        <v>8</v>
      </c>
      <c r="V11">
        <f t="shared" si="2"/>
        <v>0.77777777777777779</v>
      </c>
      <c r="W11">
        <f>survey_responses[[#This Row],[Tôi tin rằng Nhà nước, cơ quan thuế có đủ khả năng và công nghệ để phát hiện, xử lý nghiêm các hành vi trốn thuế. - HUMAN-ENF2]]</f>
        <v>10</v>
      </c>
      <c r="X11">
        <f t="shared" si="3"/>
        <v>1</v>
      </c>
      <c r="Y11" s="32">
        <f t="shared" si="4"/>
        <v>0.72222222222222221</v>
      </c>
      <c r="Z11" s="32">
        <f t="shared" si="5"/>
        <v>0.83333333333333326</v>
      </c>
      <c r="AA11">
        <f>step3_validation[[#This Row],[AI_FAC1]]</f>
        <v>9</v>
      </c>
      <c r="AB11">
        <f t="shared" si="6"/>
        <v>0.88888888888888884</v>
      </c>
      <c r="AC11">
        <f>survey_responses[[#This Row],[Các thủ tục khai báo thuế VÀ/HOẶC quy trình làm việc với cơ quan thuế đơn giản, tiện lợi, nhanh chóng hơn so với trước đây. - HUMAN-FAC1]]</f>
        <v>1</v>
      </c>
      <c r="AD11">
        <f t="shared" si="7"/>
        <v>0</v>
      </c>
      <c r="AE11">
        <f>step3_validation[[#This Row],[AI_FAC2]]</f>
        <v>10</v>
      </c>
      <c r="AF11">
        <f t="shared" si="8"/>
        <v>1</v>
      </c>
      <c r="AG11">
        <f>survey_responses[[#This Row],[So với trước đây, tôi thấy cách tính thuế và các bậc thuế trong phương án mới đơn giản, dễ hiểu và dễ thực hiện hơn. - HUMAN-FAC2]]</f>
        <v>5</v>
      </c>
      <c r="AH11">
        <f t="shared" si="9"/>
        <v>0.44444444444444442</v>
      </c>
      <c r="AI11" s="32">
        <f t="shared" si="10"/>
        <v>0.94444444444444442</v>
      </c>
      <c r="AJ11" s="32">
        <f t="shared" si="11"/>
        <v>0.22222222222222221</v>
      </c>
      <c r="AK11">
        <f>step3_validation[[#This Row],[AI_TRU1]]</f>
        <v>8</v>
      </c>
      <c r="AL11">
        <f t="shared" si="12"/>
        <v>0.77777777777777779</v>
      </c>
      <c r="AM11">
        <f>survey_responses[[#This Row],[Tôi tin rằng Nhà nước, cơ quan thuế sẽ thực thi chính sách mới một cách khách quan, công tâm và đối xử bình đẳng với mọi người nộp thuế.  - HUMAN-TRU1]]</f>
        <v>8</v>
      </c>
      <c r="AN11">
        <f t="shared" si="13"/>
        <v>0.77777777777777779</v>
      </c>
      <c r="AO11">
        <f>step3_validation[[#This Row],[AI_TRU2]]</f>
        <v>9</v>
      </c>
      <c r="AP11">
        <f t="shared" si="14"/>
        <v>0.88888888888888884</v>
      </c>
      <c r="AQ11">
        <f>survey_responses[[#This Row],[Tôi thấy mức thuế tôi phải đóng theo phương án mới là công bằng (người thu nhập như tôi đóng mức này là hợp lý). - HUMAN-TRU2]]</f>
        <v>5</v>
      </c>
      <c r="AR11">
        <f t="shared" si="15"/>
        <v>0.44444444444444442</v>
      </c>
      <c r="AS11">
        <f>step3_validation[[#This Row],[AI_TRU3]]</f>
        <v>7</v>
      </c>
      <c r="AT11">
        <f t="shared" si="16"/>
        <v>0.66666666666666663</v>
      </c>
      <c r="AU11">
        <f>survey_responses[[#This Row],[Tôi tin tưởng số tiền thuế tôi đóng sẽ được Nhà nước sử dụng hiệu quả để cải thiện dịch vụ công (y tế, đường xá...). - HUMAN-TRU3]]</f>
        <v>5</v>
      </c>
      <c r="AV11">
        <f t="shared" si="17"/>
        <v>0.44444444444444442</v>
      </c>
      <c r="AW11">
        <f>step3_validation[[#This Row],[AI_TRU4]]</f>
        <v>9</v>
      </c>
      <c r="AX11">
        <f t="shared" si="18"/>
        <v>0.88888888888888884</v>
      </c>
      <c r="AY11">
        <f>survey_responses[[#This Row],[Tôi thấy Nhà nước đã giải thích rõ ràng, minh bạch về lý do và mục tiêu của việc sửa đổi thuế lần này. - HUMAN-TRU4]]</f>
        <v>5</v>
      </c>
      <c r="AZ11">
        <f t="shared" si="19"/>
        <v>0.44444444444444442</v>
      </c>
      <c r="BA11" s="32">
        <f t="shared" si="20"/>
        <v>0.80555555555555547</v>
      </c>
      <c r="BB11" s="32">
        <f t="shared" si="21"/>
        <v>0.52777777777777779</v>
      </c>
      <c r="BC11" s="7">
        <f t="shared" si="22"/>
        <v>0.82407407407407396</v>
      </c>
      <c r="BD11" s="7">
        <f t="shared" si="23"/>
        <v>0.52777777777777768</v>
      </c>
      <c r="BE11">
        <f>step3_validation[[#This Row],[AI_OUT1]]</f>
        <v>9</v>
      </c>
      <c r="BF11">
        <f t="shared" si="24"/>
        <v>0.88888888888888884</v>
      </c>
      <c r="BG11">
        <f>survey_responses[[#This Row],[Sau khi xem xét các quyền lợi và nghĩa vụ, bạn có ủng hộ và tuân thủ chính sách mới hiện nay? - HUMAN-OUT1]]</f>
        <v>10</v>
      </c>
      <c r="BH11">
        <f t="shared" si="25"/>
        <v>1</v>
      </c>
      <c r="BI11" s="32">
        <f t="shared" si="26"/>
        <v>1</v>
      </c>
    </row>
    <row r="12" spans="1:61" x14ac:dyDescent="0.45">
      <c r="A12" s="30">
        <f>step3_validation[[#This Row],[Persona_ID]]</f>
        <v>11</v>
      </c>
      <c r="B12" s="31">
        <f>step3_validation[[#This Row],[Used_Seed]]</f>
        <v>52</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41.474603139272951</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9</v>
      </c>
      <c r="R12">
        <f t="shared" si="0"/>
        <v>0.88888888888888884</v>
      </c>
      <c r="S12">
        <f>survey_responses[[#This Row],[Tôi tin rằng với các quy định quản lý thuế hiện nay, hành vi gian lận hoặc trốn thuế sẽ dễ dàng bị phát hiện và xử lý nghiêm. - HUMAN-ENF1]]</f>
        <v>10</v>
      </c>
      <c r="T12">
        <f t="shared" si="1"/>
        <v>1</v>
      </c>
      <c r="U12">
        <f>step3_validation[[#This Row],[AI_ENF2]]</f>
        <v>8</v>
      </c>
      <c r="V12">
        <f t="shared" si="2"/>
        <v>0.77777777777777779</v>
      </c>
      <c r="W12">
        <f>survey_responses[[#This Row],[Tôi tin rằng Nhà nước, cơ quan thuế có đủ khả năng và công nghệ để phát hiện, xử lý nghiêm các hành vi trốn thuế. - HUMAN-ENF2]]</f>
        <v>3</v>
      </c>
      <c r="X12">
        <f t="shared" si="3"/>
        <v>0.22222222222222221</v>
      </c>
      <c r="Y12" s="32">
        <f t="shared" si="4"/>
        <v>0.83333333333333326</v>
      </c>
      <c r="Z12" s="32">
        <f t="shared" si="5"/>
        <v>0.61111111111111116</v>
      </c>
      <c r="AA12">
        <f>step3_validation[[#This Row],[AI_FAC1]]</f>
        <v>9</v>
      </c>
      <c r="AB12">
        <f t="shared" si="6"/>
        <v>0.88888888888888884</v>
      </c>
      <c r="AC12">
        <f>survey_responses[[#This Row],[Các thủ tục khai báo thuế VÀ/HOẶC quy trình làm việc với cơ quan thuế đơn giản, tiện lợi, nhanh chóng hơn so với trước đây. - HUMAN-FAC1]]</f>
        <v>1</v>
      </c>
      <c r="AD12">
        <f t="shared" si="7"/>
        <v>0</v>
      </c>
      <c r="AE12">
        <f>step3_validation[[#This Row],[AI_FAC2]]</f>
        <v>8</v>
      </c>
      <c r="AF12">
        <f t="shared" si="8"/>
        <v>0.77777777777777779</v>
      </c>
      <c r="AG12">
        <f>survey_responses[[#This Row],[So với trước đây, tôi thấy cách tính thuế và các bậc thuế trong phương án mới đơn giản, dễ hiểu và dễ thực hiện hơn. - HUMAN-FAC2]]</f>
        <v>7</v>
      </c>
      <c r="AH12">
        <f t="shared" si="9"/>
        <v>0.66666666666666663</v>
      </c>
      <c r="AI12" s="32">
        <f t="shared" si="10"/>
        <v>0.83333333333333326</v>
      </c>
      <c r="AJ12" s="32">
        <f t="shared" si="11"/>
        <v>0.33333333333333331</v>
      </c>
      <c r="AK12">
        <f>step3_validation[[#This Row],[AI_TRU1]]</f>
        <v>9</v>
      </c>
      <c r="AL12">
        <f t="shared" si="12"/>
        <v>0.88888888888888884</v>
      </c>
      <c r="AM12">
        <f>survey_responses[[#This Row],[Tôi tin rằng Nhà nước, cơ quan thuế sẽ thực thi chính sách mới một cách khách quan, công tâm và đối xử bình đẳng với mọi người nộp thuế.  - HUMAN-TRU1]]</f>
        <v>1</v>
      </c>
      <c r="AN12">
        <f t="shared" si="13"/>
        <v>0</v>
      </c>
      <c r="AO12">
        <f>step3_validation[[#This Row],[AI_TRU2]]</f>
        <v>8</v>
      </c>
      <c r="AP12">
        <f t="shared" si="14"/>
        <v>0.77777777777777779</v>
      </c>
      <c r="AQ12">
        <f>survey_responses[[#This Row],[Tôi thấy mức thuế tôi phải đóng theo phương án mới là công bằng (người thu nhập như tôi đóng mức này là hợp lý). - HUMAN-TRU2]]</f>
        <v>5</v>
      </c>
      <c r="AR12">
        <f t="shared" si="15"/>
        <v>0.44444444444444442</v>
      </c>
      <c r="AS12">
        <f>step3_validation[[#This Row],[AI_TRU3]]</f>
        <v>9</v>
      </c>
      <c r="AT12">
        <f t="shared" si="16"/>
        <v>0.88888888888888884</v>
      </c>
      <c r="AU12">
        <f>survey_responses[[#This Row],[Tôi tin tưởng số tiền thuế tôi đóng sẽ được Nhà nước sử dụng hiệu quả để cải thiện dịch vụ công (y tế, đường xá...). - HUMAN-TRU3]]</f>
        <v>1</v>
      </c>
      <c r="AV12">
        <f t="shared" si="17"/>
        <v>0</v>
      </c>
      <c r="AW12">
        <f>step3_validation[[#This Row],[AI_TRU4]]</f>
        <v>8</v>
      </c>
      <c r="AX12">
        <f t="shared" si="18"/>
        <v>0.77777777777777779</v>
      </c>
      <c r="AY12">
        <f>survey_responses[[#This Row],[Tôi thấy Nhà nước đã giải thích rõ ràng, minh bạch về lý do và mục tiêu của việc sửa đổi thuế lần này. - HUMAN-TRU4]]</f>
        <v>8</v>
      </c>
      <c r="AZ12">
        <f t="shared" si="19"/>
        <v>0.77777777777777779</v>
      </c>
      <c r="BA12" s="32">
        <f t="shared" si="20"/>
        <v>0.83333333333333326</v>
      </c>
      <c r="BB12" s="32">
        <f t="shared" si="21"/>
        <v>0.30555555555555558</v>
      </c>
      <c r="BC12" s="7">
        <f t="shared" si="22"/>
        <v>0.83333333333333337</v>
      </c>
      <c r="BD12" s="7">
        <f t="shared" si="23"/>
        <v>0.41666666666666669</v>
      </c>
      <c r="BE12">
        <f>step3_validation[[#This Row],[AI_OUT1]]</f>
        <v>9</v>
      </c>
      <c r="BF12">
        <f t="shared" si="24"/>
        <v>0.88888888888888884</v>
      </c>
      <c r="BG12">
        <f>survey_responses[[#This Row],[Sau khi xem xét các quyền lợi và nghĩa vụ, bạn có ủng hộ và tuân thủ chính sách mới hiện nay? - HUMAN-OUT1]]</f>
        <v>6</v>
      </c>
      <c r="BH12">
        <f t="shared" si="25"/>
        <v>0.55555555555555558</v>
      </c>
      <c r="BI12" s="32">
        <f t="shared" si="26"/>
        <v>3</v>
      </c>
    </row>
    <row r="13" spans="1:61" x14ac:dyDescent="0.45">
      <c r="A13" s="30">
        <f>step3_validation[[#This Row],[Persona_ID]]</f>
        <v>12</v>
      </c>
      <c r="B13" s="31">
        <f>step3_validation[[#This Row],[Used_Seed]]</f>
        <v>53</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9</v>
      </c>
      <c r="R13">
        <f t="shared" si="0"/>
        <v>0.88888888888888884</v>
      </c>
      <c r="S13">
        <f>survey_responses[[#This Row],[Tôi tin rằng với các quy định quản lý thuế hiện nay, hành vi gian lận hoặc trốn thuế sẽ dễ dàng bị phát hiện và xử lý nghiêm. - HUMAN-ENF1]]</f>
        <v>5</v>
      </c>
      <c r="T13">
        <f t="shared" si="1"/>
        <v>0.44444444444444442</v>
      </c>
      <c r="U13">
        <f>step3_validation[[#This Row],[AI_ENF2]]</f>
        <v>8</v>
      </c>
      <c r="V13">
        <f t="shared" si="2"/>
        <v>0.77777777777777779</v>
      </c>
      <c r="W13">
        <f>survey_responses[[#This Row],[Tôi tin rằng Nhà nước, cơ quan thuế có đủ khả năng và công nghệ để phát hiện, xử lý nghiêm các hành vi trốn thuế. - HUMAN-ENF2]]</f>
        <v>8</v>
      </c>
      <c r="X13">
        <f t="shared" si="3"/>
        <v>0.77777777777777779</v>
      </c>
      <c r="Y13" s="32">
        <f t="shared" si="4"/>
        <v>0.83333333333333326</v>
      </c>
      <c r="Z13" s="32">
        <f t="shared" si="5"/>
        <v>0.61111111111111116</v>
      </c>
      <c r="AA13">
        <f>step3_validation[[#This Row],[AI_FAC1]]</f>
        <v>9</v>
      </c>
      <c r="AB13">
        <f t="shared" si="6"/>
        <v>0.88888888888888884</v>
      </c>
      <c r="AC13">
        <f>survey_responses[[#This Row],[Các thủ tục khai báo thuế VÀ/HOẶC quy trình làm việc với cơ quan thuế đơn giản, tiện lợi, nhanh chóng hơn so với trước đây. - HUMAN-FAC1]]</f>
        <v>5</v>
      </c>
      <c r="AD13">
        <f t="shared" si="7"/>
        <v>0.44444444444444442</v>
      </c>
      <c r="AE13">
        <f>step3_validation[[#This Row],[AI_FAC2]]</f>
        <v>8</v>
      </c>
      <c r="AF13">
        <f t="shared" si="8"/>
        <v>0.77777777777777779</v>
      </c>
      <c r="AG13">
        <f>survey_responses[[#This Row],[So với trước đây, tôi thấy cách tính thuế và các bậc thuế trong phương án mới đơn giản, dễ hiểu và dễ thực hiện hơn. - HUMAN-FAC2]]</f>
        <v>5</v>
      </c>
      <c r="AH13">
        <f t="shared" si="9"/>
        <v>0.44444444444444442</v>
      </c>
      <c r="AI13" s="32">
        <f t="shared" si="10"/>
        <v>0.83333333333333326</v>
      </c>
      <c r="AJ13" s="32">
        <f t="shared" si="11"/>
        <v>0.44444444444444442</v>
      </c>
      <c r="AK13">
        <f>step3_validation[[#This Row],[AI_TRU1]]</f>
        <v>9</v>
      </c>
      <c r="AL13">
        <f t="shared" si="12"/>
        <v>0.88888888888888884</v>
      </c>
      <c r="AM13">
        <f>survey_responses[[#This Row],[Tôi tin rằng Nhà nước, cơ quan thuế sẽ thực thi chính sách mới một cách khách quan, công tâm và đối xử bình đẳng với mọi người nộp thuế.  - HUMAN-TRU1]]</f>
        <v>6</v>
      </c>
      <c r="AN13">
        <f t="shared" si="13"/>
        <v>0.55555555555555558</v>
      </c>
      <c r="AO13">
        <f>step3_validation[[#This Row],[AI_TRU2]]</f>
        <v>8</v>
      </c>
      <c r="AP13">
        <f t="shared" si="14"/>
        <v>0.77777777777777779</v>
      </c>
      <c r="AQ13">
        <f>survey_responses[[#This Row],[Tôi thấy mức thuế tôi phải đóng theo phương án mới là công bằng (người thu nhập như tôi đóng mức này là hợp lý). - HUMAN-TRU2]]</f>
        <v>5</v>
      </c>
      <c r="AR13">
        <f t="shared" si="15"/>
        <v>0.44444444444444442</v>
      </c>
      <c r="AS13">
        <f>step3_validation[[#This Row],[AI_TRU3]]</f>
        <v>9</v>
      </c>
      <c r="AT13">
        <f t="shared" si="16"/>
        <v>0.88888888888888884</v>
      </c>
      <c r="AU13">
        <f>survey_responses[[#This Row],[Tôi tin tưởng số tiền thuế tôi đóng sẽ được Nhà nước sử dụng hiệu quả để cải thiện dịch vụ công (y tế, đường xá...). - HUMAN-TRU3]]</f>
        <v>5</v>
      </c>
      <c r="AV13">
        <f t="shared" si="17"/>
        <v>0.44444444444444442</v>
      </c>
      <c r="AW13">
        <f>step3_validation[[#This Row],[AI_TRU4]]</f>
        <v>8</v>
      </c>
      <c r="AX13">
        <f t="shared" si="18"/>
        <v>0.77777777777777779</v>
      </c>
      <c r="AY13">
        <f>survey_responses[[#This Row],[Tôi thấy Nhà nước đã giải thích rõ ràng, minh bạch về lý do và mục tiêu của việc sửa đổi thuế lần này. - HUMAN-TRU4]]</f>
        <v>5</v>
      </c>
      <c r="AZ13">
        <f t="shared" si="19"/>
        <v>0.44444444444444442</v>
      </c>
      <c r="BA13" s="32">
        <f t="shared" si="20"/>
        <v>0.83333333333333326</v>
      </c>
      <c r="BB13" s="32">
        <f t="shared" si="21"/>
        <v>0.47222222222222221</v>
      </c>
      <c r="BC13" s="7">
        <f t="shared" si="22"/>
        <v>0.83333333333333337</v>
      </c>
      <c r="BD13" s="7">
        <f t="shared" si="23"/>
        <v>0.50925925925925919</v>
      </c>
      <c r="BE13">
        <f>step3_validation[[#This Row],[AI_OUT1]]</f>
        <v>9</v>
      </c>
      <c r="BF13">
        <f t="shared" si="24"/>
        <v>0.88888888888888884</v>
      </c>
      <c r="BG13">
        <f>survey_responses[[#This Row],[Sau khi xem xét các quyền lợi và nghĩa vụ, bạn có ủng hộ và tuân thủ chính sách mới hiện nay? - HUMAN-OUT1]]</f>
        <v>5</v>
      </c>
      <c r="BH13">
        <f t="shared" si="25"/>
        <v>0.44444444444444442</v>
      </c>
      <c r="BI13" s="32">
        <f t="shared" si="26"/>
        <v>4</v>
      </c>
    </row>
    <row r="14" spans="1:61" x14ac:dyDescent="0.45">
      <c r="A14" s="30">
        <f>step3_validation[[#This Row],[Persona_ID]]</f>
        <v>13</v>
      </c>
      <c r="B14" s="31">
        <f>step3_validation[[#This Row],[Used_Seed]]</f>
        <v>54</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5</v>
      </c>
      <c r="R14">
        <f t="shared" si="0"/>
        <v>0.44444444444444442</v>
      </c>
      <c r="S14">
        <f>survey_responses[[#This Row],[Tôi tin rằng với các quy định quản lý thuế hiện nay, hành vi gian lận hoặc trốn thuế sẽ dễ dàng bị phát hiện và xử lý nghiêm. - HUMAN-ENF1]]</f>
        <v>8</v>
      </c>
      <c r="T14">
        <f t="shared" si="1"/>
        <v>0.77777777777777779</v>
      </c>
      <c r="U14">
        <f>step3_validation[[#This Row],[AI_ENF2]]</f>
        <v>6</v>
      </c>
      <c r="V14">
        <f t="shared" si="2"/>
        <v>0.55555555555555558</v>
      </c>
      <c r="W14">
        <f>survey_responses[[#This Row],[Tôi tin rằng Nhà nước, cơ quan thuế có đủ khả năng và công nghệ để phát hiện, xử lý nghiêm các hành vi trốn thuế. - HUMAN-ENF2]]</f>
        <v>7</v>
      </c>
      <c r="X14">
        <f t="shared" si="3"/>
        <v>0.66666666666666663</v>
      </c>
      <c r="Y14" s="32">
        <f t="shared" si="4"/>
        <v>0.5</v>
      </c>
      <c r="Z14" s="32">
        <f t="shared" si="5"/>
        <v>0.72222222222222221</v>
      </c>
      <c r="AA14">
        <f>step3_validation[[#This Row],[AI_FAC1]]</f>
        <v>8</v>
      </c>
      <c r="AB14">
        <f t="shared" si="6"/>
        <v>0.77777777777777779</v>
      </c>
      <c r="AC14">
        <f>survey_responses[[#This Row],[Các thủ tục khai báo thuế VÀ/HOẶC quy trình làm việc với cơ quan thuế đơn giản, tiện lợi, nhanh chóng hơn so với trước đây. - HUMAN-FAC1]]</f>
        <v>7</v>
      </c>
      <c r="AD14">
        <f t="shared" si="7"/>
        <v>0.66666666666666663</v>
      </c>
      <c r="AE14">
        <f>step3_validation[[#This Row],[AI_FAC2]]</f>
        <v>7</v>
      </c>
      <c r="AF14">
        <f t="shared" si="8"/>
        <v>0.66666666666666663</v>
      </c>
      <c r="AG14">
        <f>survey_responses[[#This Row],[So với trước đây, tôi thấy cách tính thuế và các bậc thuế trong phương án mới đơn giản, dễ hiểu và dễ thực hiện hơn. - HUMAN-FAC2]]</f>
        <v>7</v>
      </c>
      <c r="AH14">
        <f t="shared" si="9"/>
        <v>0.66666666666666663</v>
      </c>
      <c r="AI14" s="32">
        <f t="shared" si="10"/>
        <v>0.72222222222222221</v>
      </c>
      <c r="AJ14" s="32">
        <f t="shared" si="11"/>
        <v>0.66666666666666663</v>
      </c>
      <c r="AK14">
        <f>step3_validation[[#This Row],[AI_TRU1]]</f>
        <v>9</v>
      </c>
      <c r="AL14">
        <f t="shared" si="12"/>
        <v>0.88888888888888884</v>
      </c>
      <c r="AM14">
        <f>survey_responses[[#This Row],[Tôi tin rằng Nhà nước, cơ quan thuế sẽ thực thi chính sách mới một cách khách quan, công tâm và đối xử bình đẳng với mọi người nộp thuế.  - HUMAN-TRU1]]</f>
        <v>7</v>
      </c>
      <c r="AN14">
        <f t="shared" si="13"/>
        <v>0.66666666666666663</v>
      </c>
      <c r="AO14">
        <f>step3_validation[[#This Row],[AI_TRU2]]</f>
        <v>8</v>
      </c>
      <c r="AP14">
        <f t="shared" si="14"/>
        <v>0.77777777777777779</v>
      </c>
      <c r="AQ14">
        <f>survey_responses[[#This Row],[Tôi thấy mức thuế tôi phải đóng theo phương án mới là công bằng (người thu nhập như tôi đóng mức này là hợp lý). - HUMAN-TRU2]]</f>
        <v>8</v>
      </c>
      <c r="AR14">
        <f t="shared" si="15"/>
        <v>0.77777777777777779</v>
      </c>
      <c r="AS14">
        <f>step3_validation[[#This Row],[AI_TRU3]]</f>
        <v>9</v>
      </c>
      <c r="AT14">
        <f t="shared" si="16"/>
        <v>0.88888888888888884</v>
      </c>
      <c r="AU14">
        <f>survey_responses[[#This Row],[Tôi tin tưởng số tiền thuế tôi đóng sẽ được Nhà nước sử dụng hiệu quả để cải thiện dịch vụ công (y tế, đường xá...). - HUMAN-TRU3]]</f>
        <v>7</v>
      </c>
      <c r="AV14">
        <f t="shared" si="17"/>
        <v>0.66666666666666663</v>
      </c>
      <c r="AW14">
        <f>step3_validation[[#This Row],[AI_TRU4]]</f>
        <v>7</v>
      </c>
      <c r="AX14">
        <f t="shared" si="18"/>
        <v>0.66666666666666663</v>
      </c>
      <c r="AY14">
        <f>survey_responses[[#This Row],[Tôi thấy Nhà nước đã giải thích rõ ràng, minh bạch về lý do và mục tiêu của việc sửa đổi thuế lần này. - HUMAN-TRU4]]</f>
        <v>7</v>
      </c>
      <c r="AZ14">
        <f t="shared" si="19"/>
        <v>0.66666666666666663</v>
      </c>
      <c r="BA14" s="32">
        <f t="shared" si="20"/>
        <v>0.80555555555555547</v>
      </c>
      <c r="BB14" s="32">
        <f t="shared" si="21"/>
        <v>0.69444444444444442</v>
      </c>
      <c r="BC14" s="7">
        <f t="shared" si="22"/>
        <v>0.67592592592592593</v>
      </c>
      <c r="BD14" s="7">
        <f t="shared" si="23"/>
        <v>0.69444444444444431</v>
      </c>
      <c r="BE14">
        <f>step3_validation[[#This Row],[AI_OUT1]]</f>
        <v>9</v>
      </c>
      <c r="BF14">
        <f t="shared" si="24"/>
        <v>0.88888888888888884</v>
      </c>
      <c r="BG14">
        <f>survey_responses[[#This Row],[Sau khi xem xét các quyền lợi và nghĩa vụ, bạn có ủng hộ và tuân thủ chính sách mới hiện nay? - HUMAN-OUT1]]</f>
        <v>7</v>
      </c>
      <c r="BH14">
        <f t="shared" si="25"/>
        <v>0.66666666666666663</v>
      </c>
      <c r="BI14" s="32">
        <f t="shared" si="26"/>
        <v>2</v>
      </c>
    </row>
    <row r="15" spans="1:61" x14ac:dyDescent="0.45">
      <c r="A15" s="30">
        <f>step3_validation[[#This Row],[Persona_ID]]</f>
        <v>14</v>
      </c>
      <c r="B15" s="31">
        <f>step3_validation[[#This Row],[Used_Seed]]</f>
        <v>55</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19.483840115751267</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7</v>
      </c>
      <c r="R15">
        <f t="shared" si="0"/>
        <v>0.66666666666666663</v>
      </c>
      <c r="S15">
        <f>survey_responses[[#This Row],[Tôi tin rằng với các quy định quản lý thuế hiện nay, hành vi gian lận hoặc trốn thuế sẽ dễ dàng bị phát hiện và xử lý nghiêm. - HUMAN-ENF1]]</f>
        <v>10</v>
      </c>
      <c r="T15">
        <f t="shared" si="1"/>
        <v>1</v>
      </c>
      <c r="U15">
        <f>step3_validation[[#This Row],[AI_ENF2]]</f>
        <v>6</v>
      </c>
      <c r="V15">
        <f t="shared" si="2"/>
        <v>0.55555555555555558</v>
      </c>
      <c r="W15">
        <f>survey_responses[[#This Row],[Tôi tin rằng Nhà nước, cơ quan thuế có đủ khả năng và công nghệ để phát hiện, xử lý nghiêm các hành vi trốn thuế. - HUMAN-ENF2]]</f>
        <v>10</v>
      </c>
      <c r="X15">
        <f t="shared" si="3"/>
        <v>1</v>
      </c>
      <c r="Y15" s="32">
        <f t="shared" si="4"/>
        <v>0.61111111111111116</v>
      </c>
      <c r="Z15" s="32">
        <f t="shared" si="5"/>
        <v>1</v>
      </c>
      <c r="AA15">
        <f>step3_validation[[#This Row],[AI_FAC1]]</f>
        <v>8</v>
      </c>
      <c r="AB15">
        <f t="shared" si="6"/>
        <v>0.77777777777777779</v>
      </c>
      <c r="AC15">
        <f>survey_responses[[#This Row],[Các thủ tục khai báo thuế VÀ/HOẶC quy trình làm việc với cơ quan thuế đơn giản, tiện lợi, nhanh chóng hơn so với trước đây. - HUMAN-FAC1]]</f>
        <v>8</v>
      </c>
      <c r="AD15">
        <f t="shared" si="7"/>
        <v>0.77777777777777779</v>
      </c>
      <c r="AE15">
        <f>step3_validation[[#This Row],[AI_FAC2]]</f>
        <v>9</v>
      </c>
      <c r="AF15">
        <f t="shared" si="8"/>
        <v>0.88888888888888884</v>
      </c>
      <c r="AG15">
        <f>survey_responses[[#This Row],[So với trước đây, tôi thấy cách tính thuế và các bậc thuế trong phương án mới đơn giản, dễ hiểu và dễ thực hiện hơn. - HUMAN-FAC2]]</f>
        <v>8</v>
      </c>
      <c r="AH15">
        <f t="shared" si="9"/>
        <v>0.77777777777777779</v>
      </c>
      <c r="AI15" s="32">
        <f t="shared" si="10"/>
        <v>0.83333333333333326</v>
      </c>
      <c r="AJ15" s="32">
        <f t="shared" si="11"/>
        <v>0.77777777777777779</v>
      </c>
      <c r="AK15">
        <f>step3_validation[[#This Row],[AI_TRU1]]</f>
        <v>6</v>
      </c>
      <c r="AL15">
        <f t="shared" si="12"/>
        <v>0.55555555555555558</v>
      </c>
      <c r="AM15">
        <f>survey_responses[[#This Row],[Tôi tin rằng Nhà nước, cơ quan thuế sẽ thực thi chính sách mới một cách khách quan, công tâm và đối xử bình đẳng với mọi người nộp thuế.  - HUMAN-TRU1]]</f>
        <v>8</v>
      </c>
      <c r="AN15">
        <f t="shared" si="13"/>
        <v>0.77777777777777779</v>
      </c>
      <c r="AO15">
        <f>step3_validation[[#This Row],[AI_TRU2]]</f>
        <v>8</v>
      </c>
      <c r="AP15">
        <f t="shared" si="14"/>
        <v>0.77777777777777779</v>
      </c>
      <c r="AQ15">
        <f>survey_responses[[#This Row],[Tôi thấy mức thuế tôi phải đóng theo phương án mới là công bằng (người thu nhập như tôi đóng mức này là hợp lý). - HUMAN-TRU2]]</f>
        <v>6</v>
      </c>
      <c r="AR15">
        <f t="shared" si="15"/>
        <v>0.55555555555555558</v>
      </c>
      <c r="AS15">
        <f>step3_validation[[#This Row],[AI_TRU3]]</f>
        <v>7</v>
      </c>
      <c r="AT15">
        <f t="shared" si="16"/>
        <v>0.66666666666666663</v>
      </c>
      <c r="AU15">
        <f>survey_responses[[#This Row],[Tôi tin tưởng số tiền thuế tôi đóng sẽ được Nhà nước sử dụng hiệu quả để cải thiện dịch vụ công (y tế, đường xá...). - HUMAN-TRU3]]</f>
        <v>6</v>
      </c>
      <c r="AV15">
        <f t="shared" si="17"/>
        <v>0.55555555555555558</v>
      </c>
      <c r="AW15">
        <f>step3_validation[[#This Row],[AI_TRU4]]</f>
        <v>6</v>
      </c>
      <c r="AX15">
        <f t="shared" si="18"/>
        <v>0.55555555555555558</v>
      </c>
      <c r="AY15">
        <f>survey_responses[[#This Row],[Tôi thấy Nhà nước đã giải thích rõ ràng, minh bạch về lý do và mục tiêu của việc sửa đổi thuế lần này. - HUMAN-TRU4]]</f>
        <v>5</v>
      </c>
      <c r="AZ15">
        <f t="shared" si="19"/>
        <v>0.44444444444444442</v>
      </c>
      <c r="BA15" s="32">
        <f t="shared" si="20"/>
        <v>0.63888888888888884</v>
      </c>
      <c r="BB15" s="32">
        <f t="shared" si="21"/>
        <v>0.58333333333333337</v>
      </c>
      <c r="BC15" s="7">
        <f t="shared" si="22"/>
        <v>0.69444444444444431</v>
      </c>
      <c r="BD15" s="7">
        <f t="shared" si="23"/>
        <v>0.78703703703703709</v>
      </c>
      <c r="BE15">
        <f>step3_validation[[#This Row],[AI_OUT1]]</f>
        <v>8</v>
      </c>
      <c r="BF15">
        <f t="shared" si="24"/>
        <v>0.77777777777777779</v>
      </c>
      <c r="BG15">
        <f>survey_responses[[#This Row],[Sau khi xem xét các quyền lợi và nghĩa vụ, bạn có ủng hộ và tuân thủ chính sách mới hiện nay? - HUMAN-OUT1]]</f>
        <v>5</v>
      </c>
      <c r="BH15">
        <f t="shared" si="25"/>
        <v>0.44444444444444442</v>
      </c>
      <c r="BI15" s="32">
        <f t="shared" si="26"/>
        <v>3</v>
      </c>
    </row>
    <row r="16" spans="1:61" x14ac:dyDescent="0.45">
      <c r="A16" s="30">
        <f>step3_validation[[#This Row],[Persona_ID]]</f>
        <v>15</v>
      </c>
      <c r="B16" s="31">
        <f>step3_validation[[#This Row],[Used_Seed]]</f>
        <v>56</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36.542032616513914</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7</v>
      </c>
      <c r="R16">
        <f t="shared" si="0"/>
        <v>0.66666666666666663</v>
      </c>
      <c r="S16">
        <f>survey_responses[[#This Row],[Tôi tin rằng với các quy định quản lý thuế hiện nay, hành vi gian lận hoặc trốn thuế sẽ dễ dàng bị phát hiện và xử lý nghiêm. - HUMAN-ENF1]]</f>
        <v>7</v>
      </c>
      <c r="T16">
        <f t="shared" si="1"/>
        <v>0.66666666666666663</v>
      </c>
      <c r="U16">
        <f>step3_validation[[#This Row],[AI_ENF2]]</f>
        <v>8</v>
      </c>
      <c r="V16">
        <f t="shared" si="2"/>
        <v>0.77777777777777779</v>
      </c>
      <c r="W16">
        <f>survey_responses[[#This Row],[Tôi tin rằng Nhà nước, cơ quan thuế có đủ khả năng và công nghệ để phát hiện, xử lý nghiêm các hành vi trốn thuế. - HUMAN-ENF2]]</f>
        <v>9</v>
      </c>
      <c r="X16">
        <f t="shared" si="3"/>
        <v>0.88888888888888884</v>
      </c>
      <c r="Y16" s="32">
        <f t="shared" si="4"/>
        <v>0.72222222222222221</v>
      </c>
      <c r="Z16" s="32">
        <f t="shared" si="5"/>
        <v>0.77777777777777768</v>
      </c>
      <c r="AA16">
        <f>step3_validation[[#This Row],[AI_FAC1]]</f>
        <v>6</v>
      </c>
      <c r="AB16">
        <f t="shared" si="6"/>
        <v>0.55555555555555558</v>
      </c>
      <c r="AC16">
        <f>survey_responses[[#This Row],[Các thủ tục khai báo thuế VÀ/HOẶC quy trình làm việc với cơ quan thuế đơn giản, tiện lợi, nhanh chóng hơn so với trước đây. - HUMAN-FAC1]]</f>
        <v>3</v>
      </c>
      <c r="AD16">
        <f t="shared" si="7"/>
        <v>0.22222222222222221</v>
      </c>
      <c r="AE16">
        <f>step3_validation[[#This Row],[AI_FAC2]]</f>
        <v>9</v>
      </c>
      <c r="AF16">
        <f t="shared" si="8"/>
        <v>0.88888888888888884</v>
      </c>
      <c r="AG16">
        <f>survey_responses[[#This Row],[So với trước đây, tôi thấy cách tính thuế và các bậc thuế trong phương án mới đơn giản, dễ hiểu và dễ thực hiện hơn. - HUMAN-FAC2]]</f>
        <v>6</v>
      </c>
      <c r="AH16">
        <f t="shared" si="9"/>
        <v>0.55555555555555558</v>
      </c>
      <c r="AI16" s="32">
        <f t="shared" si="10"/>
        <v>0.72222222222222221</v>
      </c>
      <c r="AJ16" s="32">
        <f t="shared" si="11"/>
        <v>0.3888888888888889</v>
      </c>
      <c r="AK16">
        <f>step3_validation[[#This Row],[AI_TRU1]]</f>
        <v>7</v>
      </c>
      <c r="AL16">
        <f t="shared" si="12"/>
        <v>0.66666666666666663</v>
      </c>
      <c r="AM16">
        <f>survey_responses[[#This Row],[Tôi tin rằng Nhà nước, cơ quan thuế sẽ thực thi chính sách mới một cách khách quan, công tâm và đối xử bình đẳng với mọi người nộp thuế.  - HUMAN-TRU1]]</f>
        <v>1</v>
      </c>
      <c r="AN16">
        <f t="shared" si="13"/>
        <v>0</v>
      </c>
      <c r="AO16">
        <f>step3_validation[[#This Row],[AI_TRU2]]</f>
        <v>9</v>
      </c>
      <c r="AP16">
        <f t="shared" si="14"/>
        <v>0.88888888888888884</v>
      </c>
      <c r="AQ16">
        <f>survey_responses[[#This Row],[Tôi thấy mức thuế tôi phải đóng theo phương án mới là công bằng (người thu nhập như tôi đóng mức này là hợp lý). - HUMAN-TRU2]]</f>
        <v>1</v>
      </c>
      <c r="AR16">
        <f t="shared" si="15"/>
        <v>0</v>
      </c>
      <c r="AS16">
        <f>step3_validation[[#This Row],[AI_TRU3]]</f>
        <v>8</v>
      </c>
      <c r="AT16">
        <f t="shared" si="16"/>
        <v>0.77777777777777779</v>
      </c>
      <c r="AU16">
        <f>survey_responses[[#This Row],[Tôi tin tưởng số tiền thuế tôi đóng sẽ được Nhà nước sử dụng hiệu quả để cải thiện dịch vụ công (y tế, đường xá...). - HUMAN-TRU3]]</f>
        <v>1</v>
      </c>
      <c r="AV16">
        <f t="shared" si="17"/>
        <v>0</v>
      </c>
      <c r="AW16">
        <f>step3_validation[[#This Row],[AI_TRU4]]</f>
        <v>7</v>
      </c>
      <c r="AX16">
        <f t="shared" si="18"/>
        <v>0.66666666666666663</v>
      </c>
      <c r="AY16">
        <f>survey_responses[[#This Row],[Tôi thấy Nhà nước đã giải thích rõ ràng, minh bạch về lý do và mục tiêu của việc sửa đổi thuế lần này. - HUMAN-TRU4]]</f>
        <v>1</v>
      </c>
      <c r="AZ16">
        <f t="shared" si="19"/>
        <v>0</v>
      </c>
      <c r="BA16" s="32">
        <f t="shared" si="20"/>
        <v>0.74999999999999989</v>
      </c>
      <c r="BB16" s="32">
        <f t="shared" si="21"/>
        <v>0</v>
      </c>
      <c r="BC16" s="7">
        <f t="shared" si="22"/>
        <v>0.7314814814814814</v>
      </c>
      <c r="BD16" s="7">
        <f t="shared" si="23"/>
        <v>0.38888888888888884</v>
      </c>
      <c r="BE16">
        <f>step3_validation[[#This Row],[AI_OUT1]]</f>
        <v>9</v>
      </c>
      <c r="BF16">
        <f t="shared" si="24"/>
        <v>0.88888888888888884</v>
      </c>
      <c r="BG16">
        <f>survey_responses[[#This Row],[Sau khi xem xét các quyền lợi và nghĩa vụ, bạn có ủng hộ và tuân thủ chính sách mới hiện nay? - HUMAN-OUT1]]</f>
        <v>1</v>
      </c>
      <c r="BH16">
        <f t="shared" si="25"/>
        <v>0</v>
      </c>
      <c r="BI16" s="32">
        <f t="shared" si="26"/>
        <v>8</v>
      </c>
    </row>
    <row r="17" spans="1:61" x14ac:dyDescent="0.45">
      <c r="A17" s="30">
        <f>step3_validation[[#This Row],[Persona_ID]]</f>
        <v>16</v>
      </c>
      <c r="B17" s="31">
        <f>step3_validation[[#This Row],[Used_Seed]]</f>
        <v>57</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91.383156706793713</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8</v>
      </c>
      <c r="R17">
        <f t="shared" si="0"/>
        <v>0.77777777777777779</v>
      </c>
      <c r="S17">
        <f>survey_responses[[#This Row],[Tôi tin rằng với các quy định quản lý thuế hiện nay, hành vi gian lận hoặc trốn thuế sẽ dễ dàng bị phát hiện và xử lý nghiêm. - HUMAN-ENF1]]</f>
        <v>8</v>
      </c>
      <c r="T17">
        <f t="shared" si="1"/>
        <v>0.77777777777777779</v>
      </c>
      <c r="U17">
        <f>step3_validation[[#This Row],[AI_ENF2]]</f>
        <v>9</v>
      </c>
      <c r="V17">
        <f t="shared" si="2"/>
        <v>0.88888888888888884</v>
      </c>
      <c r="W17">
        <f>survey_responses[[#This Row],[Tôi tin rằng Nhà nước, cơ quan thuế có đủ khả năng và công nghệ để phát hiện, xử lý nghiêm các hành vi trốn thuế. - HUMAN-ENF2]]</f>
        <v>8</v>
      </c>
      <c r="X17">
        <f t="shared" si="3"/>
        <v>0.77777777777777779</v>
      </c>
      <c r="Y17" s="32">
        <f t="shared" si="4"/>
        <v>0.83333333333333326</v>
      </c>
      <c r="Z17" s="32">
        <f t="shared" si="5"/>
        <v>0.77777777777777779</v>
      </c>
      <c r="AA17">
        <f>step3_validation[[#This Row],[AI_FAC1]]</f>
        <v>9</v>
      </c>
      <c r="AB17">
        <f t="shared" si="6"/>
        <v>0.88888888888888884</v>
      </c>
      <c r="AC17">
        <f>survey_responses[[#This Row],[Các thủ tục khai báo thuế VÀ/HOẶC quy trình làm việc với cơ quan thuế đơn giản, tiện lợi, nhanh chóng hơn so với trước đây. - HUMAN-FAC1]]</f>
        <v>8</v>
      </c>
      <c r="AD17">
        <f t="shared" si="7"/>
        <v>0.77777777777777779</v>
      </c>
      <c r="AE17">
        <f>step3_validation[[#This Row],[AI_FAC2]]</f>
        <v>10</v>
      </c>
      <c r="AF17">
        <f t="shared" si="8"/>
        <v>1</v>
      </c>
      <c r="AG17">
        <f>survey_responses[[#This Row],[So với trước đây, tôi thấy cách tính thuế và các bậc thuế trong phương án mới đơn giản, dễ hiểu và dễ thực hiện hơn. - HUMAN-FAC2]]</f>
        <v>9</v>
      </c>
      <c r="AH17">
        <f t="shared" si="9"/>
        <v>0.88888888888888884</v>
      </c>
      <c r="AI17" s="32">
        <f t="shared" si="10"/>
        <v>0.94444444444444442</v>
      </c>
      <c r="AJ17" s="32">
        <f t="shared" si="11"/>
        <v>0.83333333333333326</v>
      </c>
      <c r="AK17">
        <f>step3_validation[[#This Row],[AI_TRU1]]</f>
        <v>9</v>
      </c>
      <c r="AL17">
        <f t="shared" si="12"/>
        <v>0.88888888888888884</v>
      </c>
      <c r="AM17">
        <f>survey_responses[[#This Row],[Tôi tin rằng Nhà nước, cơ quan thuế sẽ thực thi chính sách mới một cách khách quan, công tâm và đối xử bình đẳng với mọi người nộp thuế.  - HUMAN-TRU1]]</f>
        <v>7</v>
      </c>
      <c r="AN17">
        <f t="shared" si="13"/>
        <v>0.66666666666666663</v>
      </c>
      <c r="AO17">
        <f>step3_validation[[#This Row],[AI_TRU2]]</f>
        <v>8</v>
      </c>
      <c r="AP17">
        <f t="shared" si="14"/>
        <v>0.77777777777777779</v>
      </c>
      <c r="AQ17">
        <f>survey_responses[[#This Row],[Tôi thấy mức thuế tôi phải đóng theo phương án mới là công bằng (người thu nhập như tôi đóng mức này là hợp lý). - HUMAN-TRU2]]</f>
        <v>7</v>
      </c>
      <c r="AR17">
        <f t="shared" si="15"/>
        <v>0.66666666666666663</v>
      </c>
      <c r="AS17">
        <f>step3_validation[[#This Row],[AI_TRU3]]</f>
        <v>9</v>
      </c>
      <c r="AT17">
        <f t="shared" si="16"/>
        <v>0.88888888888888884</v>
      </c>
      <c r="AU17">
        <f>survey_responses[[#This Row],[Tôi tin tưởng số tiền thuế tôi đóng sẽ được Nhà nước sử dụng hiệu quả để cải thiện dịch vụ công (y tế, đường xá...). - HUMAN-TRU3]]</f>
        <v>9</v>
      </c>
      <c r="AV17">
        <f t="shared" si="17"/>
        <v>0.88888888888888884</v>
      </c>
      <c r="AW17">
        <f>step3_validation[[#This Row],[AI_TRU4]]</f>
        <v>8</v>
      </c>
      <c r="AX17">
        <f t="shared" si="18"/>
        <v>0.77777777777777779</v>
      </c>
      <c r="AY17">
        <f>survey_responses[[#This Row],[Tôi thấy Nhà nước đã giải thích rõ ràng, minh bạch về lý do và mục tiêu của việc sửa đổi thuế lần này. - HUMAN-TRU4]]</f>
        <v>8</v>
      </c>
      <c r="AZ17">
        <f t="shared" si="19"/>
        <v>0.77777777777777779</v>
      </c>
      <c r="BA17" s="32">
        <f t="shared" si="20"/>
        <v>0.83333333333333326</v>
      </c>
      <c r="BB17" s="32">
        <f t="shared" si="21"/>
        <v>0.75</v>
      </c>
      <c r="BC17" s="7">
        <f t="shared" si="22"/>
        <v>0.87037037037037024</v>
      </c>
      <c r="BD17" s="7">
        <f t="shared" si="23"/>
        <v>0.78703703703703709</v>
      </c>
      <c r="BE17">
        <f>step3_validation[[#This Row],[AI_OUT1]]</f>
        <v>9</v>
      </c>
      <c r="BF17">
        <f t="shared" si="24"/>
        <v>0.88888888888888884</v>
      </c>
      <c r="BG17">
        <f>survey_responses[[#This Row],[Sau khi xem xét các quyền lợi và nghĩa vụ, bạn có ủng hộ và tuân thủ chính sách mới hiện nay? - HUMAN-OUT1]]</f>
        <v>7</v>
      </c>
      <c r="BH17">
        <f t="shared" si="25"/>
        <v>0.66666666666666663</v>
      </c>
      <c r="BI17" s="32">
        <f t="shared" si="26"/>
        <v>2</v>
      </c>
    </row>
    <row r="18" spans="1:61" x14ac:dyDescent="0.45">
      <c r="A18" s="30">
        <f>step3_validation[[#This Row],[Persona_ID]]</f>
        <v>17</v>
      </c>
      <c r="B18" s="31">
        <f>step3_validation[[#This Row],[Used_Seed]]</f>
        <v>58</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19.406149604180847</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8</v>
      </c>
      <c r="R18">
        <f t="shared" si="0"/>
        <v>0.77777777777777779</v>
      </c>
      <c r="S18">
        <f>survey_responses[[#This Row],[Tôi tin rằng với các quy định quản lý thuế hiện nay, hành vi gian lận hoặc trốn thuế sẽ dễ dàng bị phát hiện và xử lý nghiêm. - HUMAN-ENF1]]</f>
        <v>6</v>
      </c>
      <c r="T18">
        <f t="shared" si="1"/>
        <v>0.55555555555555558</v>
      </c>
      <c r="U18">
        <f>step3_validation[[#This Row],[AI_ENF2]]</f>
        <v>9</v>
      </c>
      <c r="V18">
        <f t="shared" si="2"/>
        <v>0.88888888888888884</v>
      </c>
      <c r="W18">
        <f>survey_responses[[#This Row],[Tôi tin rằng Nhà nước, cơ quan thuế có đủ khả năng và công nghệ để phát hiện, xử lý nghiêm các hành vi trốn thuế. - HUMAN-ENF2]]</f>
        <v>7</v>
      </c>
      <c r="X18">
        <f t="shared" si="3"/>
        <v>0.66666666666666663</v>
      </c>
      <c r="Y18" s="32">
        <f t="shared" si="4"/>
        <v>0.83333333333333326</v>
      </c>
      <c r="Z18" s="32">
        <f t="shared" si="5"/>
        <v>0.61111111111111116</v>
      </c>
      <c r="AA18">
        <f>step3_validation[[#This Row],[AI_FAC1]]</f>
        <v>8</v>
      </c>
      <c r="AB18">
        <f t="shared" si="6"/>
        <v>0.77777777777777779</v>
      </c>
      <c r="AC18">
        <f>survey_responses[[#This Row],[Các thủ tục khai báo thuế VÀ/HOẶC quy trình làm việc với cơ quan thuế đơn giản, tiện lợi, nhanh chóng hơn so với trước đây. - HUMAN-FAC1]]</f>
        <v>5</v>
      </c>
      <c r="AD18">
        <f t="shared" si="7"/>
        <v>0.44444444444444442</v>
      </c>
      <c r="AE18">
        <f>step3_validation[[#This Row],[AI_FAC2]]</f>
        <v>9</v>
      </c>
      <c r="AF18">
        <f t="shared" si="8"/>
        <v>0.88888888888888884</v>
      </c>
      <c r="AG18">
        <f>survey_responses[[#This Row],[So với trước đây, tôi thấy cách tính thuế và các bậc thuế trong phương án mới đơn giản, dễ hiểu và dễ thực hiện hơn. - HUMAN-FAC2]]</f>
        <v>5</v>
      </c>
      <c r="AH18">
        <f t="shared" si="9"/>
        <v>0.44444444444444442</v>
      </c>
      <c r="AI18" s="32">
        <f t="shared" si="10"/>
        <v>0.83333333333333326</v>
      </c>
      <c r="AJ18" s="32">
        <f t="shared" si="11"/>
        <v>0.44444444444444442</v>
      </c>
      <c r="AK18">
        <f>step3_validation[[#This Row],[AI_TRU1]]</f>
        <v>8</v>
      </c>
      <c r="AL18">
        <f t="shared" si="12"/>
        <v>0.77777777777777779</v>
      </c>
      <c r="AM18">
        <f>survey_responses[[#This Row],[Tôi tin rằng Nhà nước, cơ quan thuế sẽ thực thi chính sách mới một cách khách quan, công tâm và đối xử bình đẳng với mọi người nộp thuế.  - HUMAN-TRU1]]</f>
        <v>6</v>
      </c>
      <c r="AN18">
        <f t="shared" si="13"/>
        <v>0.55555555555555558</v>
      </c>
      <c r="AO18">
        <f>step3_validation[[#This Row],[AI_TRU2]]</f>
        <v>9</v>
      </c>
      <c r="AP18">
        <f t="shared" si="14"/>
        <v>0.88888888888888884</v>
      </c>
      <c r="AQ18">
        <f>survey_responses[[#This Row],[Tôi thấy mức thuế tôi phải đóng theo phương án mới là công bằng (người thu nhập như tôi đóng mức này là hợp lý). - HUMAN-TRU2]]</f>
        <v>7</v>
      </c>
      <c r="AR18">
        <f t="shared" si="15"/>
        <v>0.66666666666666663</v>
      </c>
      <c r="AS18">
        <f>step3_validation[[#This Row],[AI_TRU3]]</f>
        <v>8</v>
      </c>
      <c r="AT18">
        <f t="shared" si="16"/>
        <v>0.77777777777777779</v>
      </c>
      <c r="AU18">
        <f>survey_responses[[#This Row],[Tôi tin tưởng số tiền thuế tôi đóng sẽ được Nhà nước sử dụng hiệu quả để cải thiện dịch vụ công (y tế, đường xá...). - HUMAN-TRU3]]</f>
        <v>3</v>
      </c>
      <c r="AV18">
        <f t="shared" si="17"/>
        <v>0.22222222222222221</v>
      </c>
      <c r="AW18">
        <f>step3_validation[[#This Row],[AI_TRU4]]</f>
        <v>9</v>
      </c>
      <c r="AX18">
        <f t="shared" si="18"/>
        <v>0.88888888888888884</v>
      </c>
      <c r="AY18">
        <f>survey_responses[[#This Row],[Tôi thấy Nhà nước đã giải thích rõ ràng, minh bạch về lý do và mục tiêu của việc sửa đổi thuế lần này. - HUMAN-TRU4]]</f>
        <v>4</v>
      </c>
      <c r="AZ18">
        <f t="shared" si="19"/>
        <v>0.33333333333333331</v>
      </c>
      <c r="BA18" s="32">
        <f t="shared" si="20"/>
        <v>0.83333333333333326</v>
      </c>
      <c r="BB18" s="32">
        <f t="shared" si="21"/>
        <v>0.44444444444444448</v>
      </c>
      <c r="BC18" s="7">
        <f t="shared" si="22"/>
        <v>0.83333333333333337</v>
      </c>
      <c r="BD18" s="7">
        <f t="shared" si="23"/>
        <v>0.5</v>
      </c>
      <c r="BE18">
        <f>step3_validation[[#This Row],[AI_OUT1]]</f>
        <v>9</v>
      </c>
      <c r="BF18">
        <f t="shared" si="24"/>
        <v>0.88888888888888884</v>
      </c>
      <c r="BG18">
        <f>survey_responses[[#This Row],[Sau khi xem xét các quyền lợi và nghĩa vụ, bạn có ủng hộ và tuân thủ chính sách mới hiện nay? - HUMAN-OUT1]]</f>
        <v>5</v>
      </c>
      <c r="BH18">
        <f t="shared" si="25"/>
        <v>0.44444444444444442</v>
      </c>
      <c r="BI18" s="32">
        <f t="shared" si="26"/>
        <v>4</v>
      </c>
    </row>
    <row r="19" spans="1:61" x14ac:dyDescent="0.45">
      <c r="A19" s="30">
        <f>step3_validation[[#This Row],[Persona_ID]]</f>
        <v>18</v>
      </c>
      <c r="B19" s="31">
        <f>step3_validation[[#This Row],[Used_Seed]]</f>
        <v>59</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15.487894146924615</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f t="shared" si="0"/>
        <v>0.66666666666666663</v>
      </c>
      <c r="S19">
        <f>survey_responses[[#This Row],[Tôi tin rằng với các quy định quản lý thuế hiện nay, hành vi gian lận hoặc trốn thuế sẽ dễ dàng bị phát hiện và xử lý nghiêm. - HUMAN-ENF1]]</f>
        <v>6</v>
      </c>
      <c r="T19">
        <f t="shared" si="1"/>
        <v>0.55555555555555558</v>
      </c>
      <c r="U19">
        <f>step3_validation[[#This Row],[AI_ENF2]]</f>
        <v>8</v>
      </c>
      <c r="V19">
        <f t="shared" si="2"/>
        <v>0.77777777777777779</v>
      </c>
      <c r="W19">
        <f>survey_responses[[#This Row],[Tôi tin rằng Nhà nước, cơ quan thuế có đủ khả năng và công nghệ để phát hiện, xử lý nghiêm các hành vi trốn thuế. - HUMAN-ENF2]]</f>
        <v>8</v>
      </c>
      <c r="X19">
        <f t="shared" si="3"/>
        <v>0.77777777777777779</v>
      </c>
      <c r="Y19" s="32">
        <f t="shared" si="4"/>
        <v>0.72222222222222221</v>
      </c>
      <c r="Z19" s="32">
        <f t="shared" si="5"/>
        <v>0.66666666666666674</v>
      </c>
      <c r="AA19">
        <f>step3_validation[[#This Row],[AI_FAC1]]</f>
        <v>7</v>
      </c>
      <c r="AB19">
        <f t="shared" si="6"/>
        <v>0.66666666666666663</v>
      </c>
      <c r="AC19">
        <f>survey_responses[[#This Row],[Các thủ tục khai báo thuế VÀ/HOẶC quy trình làm việc với cơ quan thuế đơn giản, tiện lợi, nhanh chóng hơn so với trước đây. - HUMAN-FAC1]]</f>
        <v>7</v>
      </c>
      <c r="AD19">
        <f t="shared" si="7"/>
        <v>0.66666666666666663</v>
      </c>
      <c r="AE19">
        <f>step3_validation[[#This Row],[AI_FAC2]]</f>
        <v>9</v>
      </c>
      <c r="AF19">
        <f t="shared" si="8"/>
        <v>0.88888888888888884</v>
      </c>
      <c r="AG19">
        <f>survey_responses[[#This Row],[So với trước đây, tôi thấy cách tính thuế và các bậc thuế trong phương án mới đơn giản, dễ hiểu và dễ thực hiện hơn. - HUMAN-FAC2]]</f>
        <v>8</v>
      </c>
      <c r="AH19">
        <f t="shared" si="9"/>
        <v>0.77777777777777779</v>
      </c>
      <c r="AI19" s="32">
        <f t="shared" si="10"/>
        <v>0.77777777777777768</v>
      </c>
      <c r="AJ19" s="32">
        <f t="shared" si="11"/>
        <v>0.72222222222222221</v>
      </c>
      <c r="AK19">
        <f>step3_validation[[#This Row],[AI_TRU1]]</f>
        <v>6</v>
      </c>
      <c r="AL19">
        <f t="shared" si="12"/>
        <v>0.55555555555555558</v>
      </c>
      <c r="AM19">
        <f>survey_responses[[#This Row],[Tôi tin rằng Nhà nước, cơ quan thuế sẽ thực thi chính sách mới một cách khách quan, công tâm và đối xử bình đẳng với mọi người nộp thuế.  - HUMAN-TRU1]]</f>
        <v>8</v>
      </c>
      <c r="AN19">
        <f t="shared" si="13"/>
        <v>0.77777777777777779</v>
      </c>
      <c r="AO19">
        <f>step3_validation[[#This Row],[AI_TRU2]]</f>
        <v>8</v>
      </c>
      <c r="AP19">
        <f t="shared" si="14"/>
        <v>0.77777777777777779</v>
      </c>
      <c r="AQ19">
        <f>survey_responses[[#This Row],[Tôi thấy mức thuế tôi phải đóng theo phương án mới là công bằng (người thu nhập như tôi đóng mức này là hợp lý). - HUMAN-TRU2]]</f>
        <v>7</v>
      </c>
      <c r="AR19">
        <f t="shared" si="15"/>
        <v>0.66666666666666663</v>
      </c>
      <c r="AS19">
        <f>step3_validation[[#This Row],[AI_TRU3]]</f>
        <v>7</v>
      </c>
      <c r="AT19">
        <f t="shared" si="16"/>
        <v>0.66666666666666663</v>
      </c>
      <c r="AU19">
        <f>survey_responses[[#This Row],[Tôi tin tưởng số tiền thuế tôi đóng sẽ được Nhà nước sử dụng hiệu quả để cải thiện dịch vụ công (y tế, đường xá...). - HUMAN-TRU3]]</f>
        <v>7</v>
      </c>
      <c r="AV19">
        <f t="shared" si="17"/>
        <v>0.66666666666666663</v>
      </c>
      <c r="AW19">
        <f>step3_validation[[#This Row],[AI_TRU4]]</f>
        <v>6</v>
      </c>
      <c r="AX19">
        <f t="shared" si="18"/>
        <v>0.55555555555555558</v>
      </c>
      <c r="AY19">
        <f>survey_responses[[#This Row],[Tôi thấy Nhà nước đã giải thích rõ ràng, minh bạch về lý do và mục tiêu của việc sửa đổi thuế lần này. - HUMAN-TRU4]]</f>
        <v>6</v>
      </c>
      <c r="AZ19">
        <f t="shared" si="19"/>
        <v>0.55555555555555558</v>
      </c>
      <c r="BA19" s="32">
        <f t="shared" si="20"/>
        <v>0.63888888888888884</v>
      </c>
      <c r="BB19" s="32">
        <f t="shared" si="21"/>
        <v>0.66666666666666674</v>
      </c>
      <c r="BC19" s="7">
        <f t="shared" si="22"/>
        <v>0.71296296296296291</v>
      </c>
      <c r="BD19" s="7">
        <f t="shared" si="23"/>
        <v>0.68518518518518512</v>
      </c>
      <c r="BE19">
        <f>step3_validation[[#This Row],[AI_OUT1]]</f>
        <v>9</v>
      </c>
      <c r="BF19">
        <f t="shared" si="24"/>
        <v>0.88888888888888884</v>
      </c>
      <c r="BG19">
        <f>survey_responses[[#This Row],[Sau khi xem xét các quyền lợi và nghĩa vụ, bạn có ủng hộ và tuân thủ chính sách mới hiện nay? - HUMAN-OUT1]]</f>
        <v>8</v>
      </c>
      <c r="BH19">
        <f t="shared" si="25"/>
        <v>0.77777777777777779</v>
      </c>
      <c r="BI19" s="32">
        <f t="shared" si="26"/>
        <v>1</v>
      </c>
    </row>
    <row r="20" spans="1:61" x14ac:dyDescent="0.45">
      <c r="A20" s="30">
        <f>step3_validation[[#This Row],[Persona_ID]]</f>
        <v>19</v>
      </c>
      <c r="B20" s="31">
        <f>step3_validation[[#This Row],[Used_Seed]]</f>
        <v>60</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210.91384645517641</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f t="shared" si="0"/>
        <v>0.66666666666666663</v>
      </c>
      <c r="S20">
        <f>survey_responses[[#This Row],[Tôi tin rằng với các quy định quản lý thuế hiện nay, hành vi gian lận hoặc trốn thuế sẽ dễ dàng bị phát hiện và xử lý nghiêm. - HUMAN-ENF1]]</f>
        <v>10</v>
      </c>
      <c r="T20">
        <f t="shared" si="1"/>
        <v>1</v>
      </c>
      <c r="U20">
        <f>step3_validation[[#This Row],[AI_ENF2]]</f>
        <v>6</v>
      </c>
      <c r="V20">
        <f t="shared" si="2"/>
        <v>0.55555555555555558</v>
      </c>
      <c r="W20">
        <f>survey_responses[[#This Row],[Tôi tin rằng Nhà nước, cơ quan thuế có đủ khả năng và công nghệ để phát hiện, xử lý nghiêm các hành vi trốn thuế. - HUMAN-ENF2]]</f>
        <v>10</v>
      </c>
      <c r="X20">
        <f t="shared" si="3"/>
        <v>1</v>
      </c>
      <c r="Y20" s="32">
        <f t="shared" si="4"/>
        <v>0.61111111111111116</v>
      </c>
      <c r="Z20" s="32">
        <f t="shared" si="5"/>
        <v>1</v>
      </c>
      <c r="AA20">
        <f>step3_validation[[#This Row],[AI_FAC1]]</f>
        <v>8</v>
      </c>
      <c r="AB20">
        <f t="shared" si="6"/>
        <v>0.77777777777777779</v>
      </c>
      <c r="AC20">
        <f>survey_responses[[#This Row],[Các thủ tục khai báo thuế VÀ/HOẶC quy trình làm việc với cơ quan thuế đơn giản, tiện lợi, nhanh chóng hơn so với trước đây. - HUMAN-FAC1]]</f>
        <v>5</v>
      </c>
      <c r="AD20">
        <f t="shared" si="7"/>
        <v>0.44444444444444442</v>
      </c>
      <c r="AE20">
        <f>step3_validation[[#This Row],[AI_FAC2]]</f>
        <v>9</v>
      </c>
      <c r="AF20">
        <f t="shared" si="8"/>
        <v>0.88888888888888884</v>
      </c>
      <c r="AG20">
        <f>survey_responses[[#This Row],[So với trước đây, tôi thấy cách tính thuế và các bậc thuế trong phương án mới đơn giản, dễ hiểu và dễ thực hiện hơn. - HUMAN-FAC2]]</f>
        <v>5</v>
      </c>
      <c r="AH20">
        <f t="shared" si="9"/>
        <v>0.44444444444444442</v>
      </c>
      <c r="AI20" s="32">
        <f t="shared" si="10"/>
        <v>0.83333333333333326</v>
      </c>
      <c r="AJ20" s="32">
        <f t="shared" si="11"/>
        <v>0.44444444444444442</v>
      </c>
      <c r="AK20">
        <f>step3_validation[[#This Row],[AI_TRU1]]</f>
        <v>8</v>
      </c>
      <c r="AL20">
        <f t="shared" si="12"/>
        <v>0.77777777777777779</v>
      </c>
      <c r="AM20">
        <f>survey_responses[[#This Row],[Tôi tin rằng Nhà nước, cơ quan thuế sẽ thực thi chính sách mới một cách khách quan, công tâm và đối xử bình đẳng với mọi người nộp thuế.  - HUMAN-TRU1]]</f>
        <v>5</v>
      </c>
      <c r="AN20">
        <f t="shared" si="13"/>
        <v>0.44444444444444442</v>
      </c>
      <c r="AO20">
        <f>step3_validation[[#This Row],[AI_TRU2]]</f>
        <v>9</v>
      </c>
      <c r="AP20">
        <f t="shared" si="14"/>
        <v>0.88888888888888884</v>
      </c>
      <c r="AQ20">
        <f>survey_responses[[#This Row],[Tôi thấy mức thuế tôi phải đóng theo phương án mới là công bằng (người thu nhập như tôi đóng mức này là hợp lý). - HUMAN-TRU2]]</f>
        <v>3</v>
      </c>
      <c r="AR20">
        <f t="shared" si="15"/>
        <v>0.22222222222222221</v>
      </c>
      <c r="AS20">
        <f>step3_validation[[#This Row],[AI_TRU3]]</f>
        <v>7</v>
      </c>
      <c r="AT20">
        <f t="shared" si="16"/>
        <v>0.66666666666666663</v>
      </c>
      <c r="AU20">
        <f>survey_responses[[#This Row],[Tôi tin tưởng số tiền thuế tôi đóng sẽ được Nhà nước sử dụng hiệu quả để cải thiện dịch vụ công (y tế, đường xá...). - HUMAN-TRU3]]</f>
        <v>2</v>
      </c>
      <c r="AV20">
        <f t="shared" si="17"/>
        <v>0.1111111111111111</v>
      </c>
      <c r="AW20">
        <f>step3_validation[[#This Row],[AI_TRU4]]</f>
        <v>8</v>
      </c>
      <c r="AX20">
        <f t="shared" si="18"/>
        <v>0.77777777777777779</v>
      </c>
      <c r="AY20">
        <f>survey_responses[[#This Row],[Tôi thấy Nhà nước đã giải thích rõ ràng, minh bạch về lý do và mục tiêu của việc sửa đổi thuế lần này. - HUMAN-TRU4]]</f>
        <v>5</v>
      </c>
      <c r="AZ20">
        <f t="shared" si="19"/>
        <v>0.44444444444444442</v>
      </c>
      <c r="BA20" s="32">
        <f t="shared" si="20"/>
        <v>0.77777777777777768</v>
      </c>
      <c r="BB20" s="32">
        <f t="shared" si="21"/>
        <v>0.30555555555555552</v>
      </c>
      <c r="BC20" s="7">
        <f t="shared" si="22"/>
        <v>0.74074074074074081</v>
      </c>
      <c r="BD20" s="7">
        <f t="shared" si="23"/>
        <v>0.58333333333333337</v>
      </c>
      <c r="BE20">
        <f>step3_validation[[#This Row],[AI_OUT1]]</f>
        <v>9</v>
      </c>
      <c r="BF20">
        <f t="shared" si="24"/>
        <v>0.88888888888888884</v>
      </c>
      <c r="BG20">
        <f>survey_responses[[#This Row],[Sau khi xem xét các quyền lợi và nghĩa vụ, bạn có ủng hộ và tuân thủ chính sách mới hiện nay? - HUMAN-OUT1]]</f>
        <v>8</v>
      </c>
      <c r="BH20">
        <f t="shared" si="25"/>
        <v>0.77777777777777779</v>
      </c>
      <c r="BI20" s="32">
        <f t="shared" si="26"/>
        <v>1</v>
      </c>
    </row>
    <row r="21" spans="1:61" x14ac:dyDescent="0.45">
      <c r="A21" s="30">
        <f>step3_validation[[#This Row],[Persona_ID]]</f>
        <v>20</v>
      </c>
      <c r="B21" s="31">
        <f>step3_validation[[#This Row],[Used_Seed]]</f>
        <v>61</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65.060057414795708</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7</v>
      </c>
      <c r="R21">
        <f t="shared" si="0"/>
        <v>0.66666666666666663</v>
      </c>
      <c r="S21">
        <f>survey_responses[[#This Row],[Tôi tin rằng với các quy định quản lý thuế hiện nay, hành vi gian lận hoặc trốn thuế sẽ dễ dàng bị phát hiện và xử lý nghiêm. - HUMAN-ENF1]]</f>
        <v>9</v>
      </c>
      <c r="T21">
        <f t="shared" si="1"/>
        <v>0.88888888888888884</v>
      </c>
      <c r="U21">
        <f>step3_validation[[#This Row],[AI_ENF2]]</f>
        <v>8</v>
      </c>
      <c r="V21">
        <f t="shared" si="2"/>
        <v>0.77777777777777779</v>
      </c>
      <c r="W21">
        <f>survey_responses[[#This Row],[Tôi tin rằng Nhà nước, cơ quan thuế có đủ khả năng và công nghệ để phát hiện, xử lý nghiêm các hành vi trốn thuế. - HUMAN-ENF2]]</f>
        <v>9</v>
      </c>
      <c r="X21">
        <f t="shared" si="3"/>
        <v>0.88888888888888884</v>
      </c>
      <c r="Y21" s="32">
        <f t="shared" si="4"/>
        <v>0.72222222222222221</v>
      </c>
      <c r="Z21" s="32">
        <f t="shared" si="5"/>
        <v>0.88888888888888884</v>
      </c>
      <c r="AA21">
        <f>step3_validation[[#This Row],[AI_FAC1]]</f>
        <v>9</v>
      </c>
      <c r="AB21">
        <f t="shared" si="6"/>
        <v>0.88888888888888884</v>
      </c>
      <c r="AC21">
        <f>survey_responses[[#This Row],[Các thủ tục khai báo thuế VÀ/HOẶC quy trình làm việc với cơ quan thuế đơn giản, tiện lợi, nhanh chóng hơn so với trước đây. - HUMAN-FAC1]]</f>
        <v>7</v>
      </c>
      <c r="AD21">
        <f t="shared" si="7"/>
        <v>0.66666666666666663</v>
      </c>
      <c r="AE21">
        <f>step3_validation[[#This Row],[AI_FAC2]]</f>
        <v>9</v>
      </c>
      <c r="AF21">
        <f t="shared" si="8"/>
        <v>0.88888888888888884</v>
      </c>
      <c r="AG21">
        <f>survey_responses[[#This Row],[So với trước đây, tôi thấy cách tính thuế và các bậc thuế trong phương án mới đơn giản, dễ hiểu và dễ thực hiện hơn. - HUMAN-FAC2]]</f>
        <v>9</v>
      </c>
      <c r="AH21">
        <f t="shared" si="9"/>
        <v>0.88888888888888884</v>
      </c>
      <c r="AI21" s="32">
        <f t="shared" si="10"/>
        <v>0.88888888888888884</v>
      </c>
      <c r="AJ21" s="32">
        <f t="shared" si="11"/>
        <v>0.77777777777777768</v>
      </c>
      <c r="AK21">
        <f>step3_validation[[#This Row],[AI_TRU1]]</f>
        <v>7</v>
      </c>
      <c r="AL21">
        <f t="shared" si="12"/>
        <v>0.66666666666666663</v>
      </c>
      <c r="AM21">
        <f>survey_responses[[#This Row],[Tôi tin rằng Nhà nước, cơ quan thuế sẽ thực thi chính sách mới một cách khách quan, công tâm và đối xử bình đẳng với mọi người nộp thuế.  - HUMAN-TRU1]]</f>
        <v>7</v>
      </c>
      <c r="AN21">
        <f t="shared" si="13"/>
        <v>0.66666666666666663</v>
      </c>
      <c r="AO21">
        <f>step3_validation[[#This Row],[AI_TRU2]]</f>
        <v>8</v>
      </c>
      <c r="AP21">
        <f t="shared" si="14"/>
        <v>0.77777777777777779</v>
      </c>
      <c r="AQ21">
        <f>survey_responses[[#This Row],[Tôi thấy mức thuế tôi phải đóng theo phương án mới là công bằng (người thu nhập như tôi đóng mức này là hợp lý). - HUMAN-TRU2]]</f>
        <v>8</v>
      </c>
      <c r="AR21">
        <f t="shared" si="15"/>
        <v>0.77777777777777779</v>
      </c>
      <c r="AS21">
        <f>step3_validation[[#This Row],[AI_TRU3]]</f>
        <v>7</v>
      </c>
      <c r="AT21">
        <f t="shared" si="16"/>
        <v>0.66666666666666663</v>
      </c>
      <c r="AU21">
        <f>survey_responses[[#This Row],[Tôi tin tưởng số tiền thuế tôi đóng sẽ được Nhà nước sử dụng hiệu quả để cải thiện dịch vụ công (y tế, đường xá...). - HUMAN-TRU3]]</f>
        <v>5</v>
      </c>
      <c r="AV21">
        <f t="shared" si="17"/>
        <v>0.44444444444444442</v>
      </c>
      <c r="AW21">
        <f>step3_validation[[#This Row],[AI_TRU4]]</f>
        <v>6</v>
      </c>
      <c r="AX21">
        <f t="shared" si="18"/>
        <v>0.55555555555555558</v>
      </c>
      <c r="AY21">
        <f>survey_responses[[#This Row],[Tôi thấy Nhà nước đã giải thích rõ ràng, minh bạch về lý do và mục tiêu của việc sửa đổi thuế lần này. - HUMAN-TRU4]]</f>
        <v>5</v>
      </c>
      <c r="AZ21">
        <f t="shared" si="19"/>
        <v>0.44444444444444442</v>
      </c>
      <c r="BA21" s="32">
        <f t="shared" si="20"/>
        <v>0.66666666666666674</v>
      </c>
      <c r="BB21" s="32">
        <f t="shared" si="21"/>
        <v>0.58333333333333326</v>
      </c>
      <c r="BC21" s="7">
        <f t="shared" si="22"/>
        <v>0.75925925925925919</v>
      </c>
      <c r="BD21" s="7">
        <f t="shared" si="23"/>
        <v>0.75</v>
      </c>
      <c r="BE21">
        <f>step3_validation[[#This Row],[AI_OUT1]]</f>
        <v>8</v>
      </c>
      <c r="BF21">
        <f t="shared" si="24"/>
        <v>0.77777777777777779</v>
      </c>
      <c r="BG21">
        <f>survey_responses[[#This Row],[Sau khi xem xét các quyền lợi và nghĩa vụ, bạn có ủng hộ và tuân thủ chính sách mới hiện nay? - HUMAN-OUT1]]</f>
        <v>6</v>
      </c>
      <c r="BH21">
        <f t="shared" si="25"/>
        <v>0.55555555555555558</v>
      </c>
      <c r="BI21" s="32">
        <f t="shared" si="26"/>
        <v>2</v>
      </c>
    </row>
    <row r="22" spans="1:61" x14ac:dyDescent="0.45">
      <c r="A22" s="30">
        <f>step3_validation[[#This Row],[Persona_ID]]</f>
        <v>21</v>
      </c>
      <c r="B22" s="31">
        <f>step3_validation[[#This Row],[Used_Seed]]</f>
        <v>62</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156.3407739523318</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8</v>
      </c>
      <c r="R22">
        <f t="shared" si="0"/>
        <v>0.77777777777777779</v>
      </c>
      <c r="S22">
        <f>survey_responses[[#This Row],[Tôi tin rằng với các quy định quản lý thuế hiện nay, hành vi gian lận hoặc trốn thuế sẽ dễ dàng bị phát hiện và xử lý nghiêm. - HUMAN-ENF1]]</f>
        <v>10</v>
      </c>
      <c r="T22">
        <f t="shared" si="1"/>
        <v>1</v>
      </c>
      <c r="U22">
        <f>step3_validation[[#This Row],[AI_ENF2]]</f>
        <v>9</v>
      </c>
      <c r="V22">
        <f t="shared" si="2"/>
        <v>0.88888888888888884</v>
      </c>
      <c r="W22">
        <f>survey_responses[[#This Row],[Tôi tin rằng Nhà nước, cơ quan thuế có đủ khả năng và công nghệ để phát hiện, xử lý nghiêm các hành vi trốn thuế. - HUMAN-ENF2]]</f>
        <v>10</v>
      </c>
      <c r="X22">
        <f t="shared" si="3"/>
        <v>1</v>
      </c>
      <c r="Y22" s="32">
        <f t="shared" si="4"/>
        <v>0.83333333333333326</v>
      </c>
      <c r="Z22" s="32">
        <f t="shared" si="5"/>
        <v>1</v>
      </c>
      <c r="AA22">
        <f>step3_validation[[#This Row],[AI_FAC1]]</f>
        <v>8</v>
      </c>
      <c r="AB22">
        <f t="shared" si="6"/>
        <v>0.77777777777777779</v>
      </c>
      <c r="AC22">
        <f>survey_responses[[#This Row],[Các thủ tục khai báo thuế VÀ/HOẶC quy trình làm việc với cơ quan thuế đơn giản, tiện lợi, nhanh chóng hơn so với trước đây. - HUMAN-FAC1]]</f>
        <v>8</v>
      </c>
      <c r="AD22">
        <f t="shared" si="7"/>
        <v>0.77777777777777779</v>
      </c>
      <c r="AE22">
        <f>step3_validation[[#This Row],[AI_FAC2]]</f>
        <v>9</v>
      </c>
      <c r="AF22">
        <f t="shared" si="8"/>
        <v>0.88888888888888884</v>
      </c>
      <c r="AG22">
        <f>survey_responses[[#This Row],[So với trước đây, tôi thấy cách tính thuế và các bậc thuế trong phương án mới đơn giản, dễ hiểu và dễ thực hiện hơn. - HUMAN-FAC2]]</f>
        <v>7</v>
      </c>
      <c r="AH22">
        <f t="shared" si="9"/>
        <v>0.66666666666666663</v>
      </c>
      <c r="AI22" s="32">
        <f t="shared" si="10"/>
        <v>0.83333333333333326</v>
      </c>
      <c r="AJ22" s="32">
        <f t="shared" si="11"/>
        <v>0.72222222222222221</v>
      </c>
      <c r="AK22">
        <f>step3_validation[[#This Row],[AI_TRU1]]</f>
        <v>8</v>
      </c>
      <c r="AL22">
        <f t="shared" si="12"/>
        <v>0.77777777777777779</v>
      </c>
      <c r="AM22">
        <f>survey_responses[[#This Row],[Tôi tin rằng Nhà nước, cơ quan thuế sẽ thực thi chính sách mới một cách khách quan, công tâm và đối xử bình đẳng với mọi người nộp thuế.  - HUMAN-TRU1]]</f>
        <v>7</v>
      </c>
      <c r="AN22">
        <f t="shared" si="13"/>
        <v>0.66666666666666663</v>
      </c>
      <c r="AO22">
        <f>step3_validation[[#This Row],[AI_TRU2]]</f>
        <v>9</v>
      </c>
      <c r="AP22">
        <f t="shared" si="14"/>
        <v>0.88888888888888884</v>
      </c>
      <c r="AQ22">
        <f>survey_responses[[#This Row],[Tôi thấy mức thuế tôi phải đóng theo phương án mới là công bằng (người thu nhập như tôi đóng mức này là hợp lý). - HUMAN-TRU2]]</f>
        <v>7</v>
      </c>
      <c r="AR22">
        <f t="shared" si="15"/>
        <v>0.66666666666666663</v>
      </c>
      <c r="AS22">
        <f>step3_validation[[#This Row],[AI_TRU3]]</f>
        <v>8</v>
      </c>
      <c r="AT22">
        <f t="shared" si="16"/>
        <v>0.77777777777777779</v>
      </c>
      <c r="AU22">
        <f>survey_responses[[#This Row],[Tôi tin tưởng số tiền thuế tôi đóng sẽ được Nhà nước sử dụng hiệu quả để cải thiện dịch vụ công (y tế, đường xá...). - HUMAN-TRU3]]</f>
        <v>2</v>
      </c>
      <c r="AV22">
        <f t="shared" si="17"/>
        <v>0.1111111111111111</v>
      </c>
      <c r="AW22">
        <f>step3_validation[[#This Row],[AI_TRU4]]</f>
        <v>9</v>
      </c>
      <c r="AX22">
        <f t="shared" si="18"/>
        <v>0.88888888888888884</v>
      </c>
      <c r="AY22">
        <f>survey_responses[[#This Row],[Tôi thấy Nhà nước đã giải thích rõ ràng, minh bạch về lý do và mục tiêu của việc sửa đổi thuế lần này. - HUMAN-TRU4]]</f>
        <v>3</v>
      </c>
      <c r="AZ22">
        <f t="shared" si="19"/>
        <v>0.22222222222222221</v>
      </c>
      <c r="BA22" s="32">
        <f t="shared" si="20"/>
        <v>0.83333333333333326</v>
      </c>
      <c r="BB22" s="32">
        <f t="shared" si="21"/>
        <v>0.41666666666666663</v>
      </c>
      <c r="BC22" s="7">
        <f t="shared" si="22"/>
        <v>0.83333333333333337</v>
      </c>
      <c r="BD22" s="7">
        <f t="shared" si="23"/>
        <v>0.71296296296296291</v>
      </c>
      <c r="BE22">
        <f>step3_validation[[#This Row],[AI_OUT1]]</f>
        <v>9</v>
      </c>
      <c r="BF22">
        <f t="shared" si="24"/>
        <v>0.88888888888888884</v>
      </c>
      <c r="BG22">
        <f>survey_responses[[#This Row],[Sau khi xem xét các quyền lợi và nghĩa vụ, bạn có ủng hộ và tuân thủ chính sách mới hiện nay? - HUMAN-OUT1]]</f>
        <v>3</v>
      </c>
      <c r="BH22">
        <f t="shared" si="25"/>
        <v>0.22222222222222221</v>
      </c>
      <c r="BI22" s="32">
        <f t="shared" si="26"/>
        <v>6</v>
      </c>
    </row>
    <row r="23" spans="1:61" x14ac:dyDescent="0.45">
      <c r="A23" s="30">
        <f>step3_validation[[#This Row],[Persona_ID]]</f>
        <v>22</v>
      </c>
      <c r="B23" s="31">
        <f>step3_validation[[#This Row],[Used_Seed]]</f>
        <v>63</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15.17780202053744</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f t="shared" si="0"/>
        <v>0.66666666666666663</v>
      </c>
      <c r="S23">
        <f>survey_responses[[#This Row],[Tôi tin rằng với các quy định quản lý thuế hiện nay, hành vi gian lận hoặc trốn thuế sẽ dễ dàng bị phát hiện và xử lý nghiêm. - HUMAN-ENF1]]</f>
        <v>8</v>
      </c>
      <c r="T23">
        <f t="shared" si="1"/>
        <v>0.77777777777777779</v>
      </c>
      <c r="U23">
        <f>step3_validation[[#This Row],[AI_ENF2]]</f>
        <v>8</v>
      </c>
      <c r="V23">
        <f t="shared" si="2"/>
        <v>0.77777777777777779</v>
      </c>
      <c r="W23">
        <f>survey_responses[[#This Row],[Tôi tin rằng Nhà nước, cơ quan thuế có đủ khả năng và công nghệ để phát hiện, xử lý nghiêm các hành vi trốn thuế. - HUMAN-ENF2]]</f>
        <v>8</v>
      </c>
      <c r="X23">
        <f t="shared" si="3"/>
        <v>0.77777777777777779</v>
      </c>
      <c r="Y23" s="32">
        <f t="shared" si="4"/>
        <v>0.72222222222222221</v>
      </c>
      <c r="Z23" s="32">
        <f t="shared" si="5"/>
        <v>0.77777777777777779</v>
      </c>
      <c r="AA23">
        <f>step3_validation[[#This Row],[AI_FAC1]]</f>
        <v>9</v>
      </c>
      <c r="AB23">
        <f t="shared" si="6"/>
        <v>0.88888888888888884</v>
      </c>
      <c r="AC23">
        <f>survey_responses[[#This Row],[Các thủ tục khai báo thuế VÀ/HOẶC quy trình làm việc với cơ quan thuế đơn giản, tiện lợi, nhanh chóng hơn so với trước đây. - HUMAN-FAC1]]</f>
        <v>5</v>
      </c>
      <c r="AD23">
        <f t="shared" si="7"/>
        <v>0.44444444444444442</v>
      </c>
      <c r="AE23">
        <f>step3_validation[[#This Row],[AI_FAC2]]</f>
        <v>9</v>
      </c>
      <c r="AF23">
        <f t="shared" si="8"/>
        <v>0.88888888888888884</v>
      </c>
      <c r="AG23">
        <f>survey_responses[[#This Row],[So với trước đây, tôi thấy cách tính thuế và các bậc thuế trong phương án mới đơn giản, dễ hiểu và dễ thực hiện hơn. - HUMAN-FAC2]]</f>
        <v>8</v>
      </c>
      <c r="AH23">
        <f t="shared" si="9"/>
        <v>0.77777777777777779</v>
      </c>
      <c r="AI23" s="32">
        <f t="shared" si="10"/>
        <v>0.88888888888888884</v>
      </c>
      <c r="AJ23" s="32">
        <f t="shared" si="11"/>
        <v>0.61111111111111116</v>
      </c>
      <c r="AK23">
        <f>step3_validation[[#This Row],[AI_TRU1]]</f>
        <v>8</v>
      </c>
      <c r="AL23">
        <f t="shared" si="12"/>
        <v>0.77777777777777779</v>
      </c>
      <c r="AM23">
        <f>survey_responses[[#This Row],[Tôi tin rằng Nhà nước, cơ quan thuế sẽ thực thi chính sách mới một cách khách quan, công tâm và đối xử bình đẳng với mọi người nộp thuế.  - HUMAN-TRU1]]</f>
        <v>8</v>
      </c>
      <c r="AN23">
        <f t="shared" si="13"/>
        <v>0.77777777777777779</v>
      </c>
      <c r="AO23">
        <f>step3_validation[[#This Row],[AI_TRU2]]</f>
        <v>9</v>
      </c>
      <c r="AP23">
        <f t="shared" si="14"/>
        <v>0.88888888888888884</v>
      </c>
      <c r="AQ23">
        <f>survey_responses[[#This Row],[Tôi thấy mức thuế tôi phải đóng theo phương án mới là công bằng (người thu nhập như tôi đóng mức này là hợp lý). - HUMAN-TRU2]]</f>
        <v>8</v>
      </c>
      <c r="AR23">
        <f t="shared" si="15"/>
        <v>0.77777777777777779</v>
      </c>
      <c r="AS23">
        <f>step3_validation[[#This Row],[AI_TRU3]]</f>
        <v>8</v>
      </c>
      <c r="AT23">
        <f t="shared" si="16"/>
        <v>0.77777777777777779</v>
      </c>
      <c r="AU23">
        <f>survey_responses[[#This Row],[Tôi tin tưởng số tiền thuế tôi đóng sẽ được Nhà nước sử dụng hiệu quả để cải thiện dịch vụ công (y tế, đường xá...). - HUMAN-TRU3]]</f>
        <v>8</v>
      </c>
      <c r="AV23">
        <f t="shared" si="17"/>
        <v>0.77777777777777779</v>
      </c>
      <c r="AW23">
        <f>step3_validation[[#This Row],[AI_TRU4]]</f>
        <v>7</v>
      </c>
      <c r="AX23">
        <f t="shared" si="18"/>
        <v>0.66666666666666663</v>
      </c>
      <c r="AY23">
        <f>survey_responses[[#This Row],[Tôi thấy Nhà nước đã giải thích rõ ràng, minh bạch về lý do và mục tiêu của việc sửa đổi thuế lần này. - HUMAN-TRU4]]</f>
        <v>8</v>
      </c>
      <c r="AZ23">
        <f t="shared" si="19"/>
        <v>0.77777777777777779</v>
      </c>
      <c r="BA23" s="32">
        <f t="shared" si="20"/>
        <v>0.77777777777777768</v>
      </c>
      <c r="BB23" s="32">
        <f t="shared" si="21"/>
        <v>0.77777777777777779</v>
      </c>
      <c r="BC23" s="7">
        <f t="shared" si="22"/>
        <v>0.79629629629629628</v>
      </c>
      <c r="BD23" s="7">
        <f t="shared" si="23"/>
        <v>0.72222222222222221</v>
      </c>
      <c r="BE23">
        <f>step3_validation[[#This Row],[AI_OUT1]]</f>
        <v>9</v>
      </c>
      <c r="BF23">
        <f t="shared" si="24"/>
        <v>0.88888888888888884</v>
      </c>
      <c r="BG23">
        <f>survey_responses[[#This Row],[Sau khi xem xét các quyền lợi và nghĩa vụ, bạn có ủng hộ và tuân thủ chính sách mới hiện nay? - HUMAN-OUT1]]</f>
        <v>8</v>
      </c>
      <c r="BH23">
        <f t="shared" si="25"/>
        <v>0.77777777777777779</v>
      </c>
      <c r="BI23" s="32">
        <f t="shared" si="26"/>
        <v>1</v>
      </c>
    </row>
    <row r="24" spans="1:61" x14ac:dyDescent="0.45">
      <c r="A24" s="30">
        <f>step3_validation[[#This Row],[Persona_ID]]</f>
        <v>23</v>
      </c>
      <c r="B24" s="31">
        <f>step3_validation[[#This Row],[Used_Seed]]</f>
        <v>64</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90.91008276878496</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8</v>
      </c>
      <c r="R24">
        <f t="shared" si="0"/>
        <v>0.77777777777777779</v>
      </c>
      <c r="S24">
        <f>survey_responses[[#This Row],[Tôi tin rằng với các quy định quản lý thuế hiện nay, hành vi gian lận hoặc trốn thuế sẽ dễ dàng bị phát hiện và xử lý nghiêm. - HUMAN-ENF1]]</f>
        <v>5</v>
      </c>
      <c r="T24">
        <f t="shared" si="1"/>
        <v>0.44444444444444442</v>
      </c>
      <c r="U24">
        <f>step3_validation[[#This Row],[AI_ENF2]]</f>
        <v>7</v>
      </c>
      <c r="V24">
        <f t="shared" si="2"/>
        <v>0.66666666666666663</v>
      </c>
      <c r="W24">
        <f>survey_responses[[#This Row],[Tôi tin rằng Nhà nước, cơ quan thuế có đủ khả năng và công nghệ để phát hiện, xử lý nghiêm các hành vi trốn thuế. - HUMAN-ENF2]]</f>
        <v>5</v>
      </c>
      <c r="X24">
        <f t="shared" si="3"/>
        <v>0.44444444444444442</v>
      </c>
      <c r="Y24" s="32">
        <f t="shared" si="4"/>
        <v>0.72222222222222221</v>
      </c>
      <c r="Z24" s="32">
        <f t="shared" si="5"/>
        <v>0.44444444444444442</v>
      </c>
      <c r="AA24">
        <f>step3_validation[[#This Row],[AI_FAC1]]</f>
        <v>9</v>
      </c>
      <c r="AB24">
        <f t="shared" si="6"/>
        <v>0.88888888888888884</v>
      </c>
      <c r="AC24">
        <f>survey_responses[[#This Row],[Các thủ tục khai báo thuế VÀ/HOẶC quy trình làm việc với cơ quan thuế đơn giản, tiện lợi, nhanh chóng hơn so với trước đây. - HUMAN-FAC1]]</f>
        <v>5</v>
      </c>
      <c r="AD24">
        <f t="shared" si="7"/>
        <v>0.44444444444444442</v>
      </c>
      <c r="AE24">
        <f>step3_validation[[#This Row],[AI_FAC2]]</f>
        <v>8</v>
      </c>
      <c r="AF24">
        <f t="shared" si="8"/>
        <v>0.77777777777777779</v>
      </c>
      <c r="AG24">
        <f>survey_responses[[#This Row],[So với trước đây, tôi thấy cách tính thuế và các bậc thuế trong phương án mới đơn giản, dễ hiểu và dễ thực hiện hơn. - HUMAN-FAC2]]</f>
        <v>5</v>
      </c>
      <c r="AH24">
        <f t="shared" si="9"/>
        <v>0.44444444444444442</v>
      </c>
      <c r="AI24" s="32">
        <f t="shared" si="10"/>
        <v>0.83333333333333326</v>
      </c>
      <c r="AJ24" s="32">
        <f t="shared" si="11"/>
        <v>0.44444444444444442</v>
      </c>
      <c r="AK24">
        <f>step3_validation[[#This Row],[AI_TRU1]]</f>
        <v>9</v>
      </c>
      <c r="AL24">
        <f t="shared" si="12"/>
        <v>0.88888888888888884</v>
      </c>
      <c r="AM24">
        <f>survey_responses[[#This Row],[Tôi tin rằng Nhà nước, cơ quan thuế sẽ thực thi chính sách mới một cách khách quan, công tâm và đối xử bình đẳng với mọi người nộp thuế.  - HUMAN-TRU1]]</f>
        <v>5</v>
      </c>
      <c r="AN24">
        <f t="shared" si="13"/>
        <v>0.44444444444444442</v>
      </c>
      <c r="AO24">
        <f>step3_validation[[#This Row],[AI_TRU2]]</f>
        <v>8</v>
      </c>
      <c r="AP24">
        <f t="shared" si="14"/>
        <v>0.77777777777777779</v>
      </c>
      <c r="AQ24">
        <f>survey_responses[[#This Row],[Tôi thấy mức thuế tôi phải đóng theo phương án mới là công bằng (người thu nhập như tôi đóng mức này là hợp lý). - HUMAN-TRU2]]</f>
        <v>5</v>
      </c>
      <c r="AR24">
        <f t="shared" si="15"/>
        <v>0.44444444444444442</v>
      </c>
      <c r="AS24">
        <f>step3_validation[[#This Row],[AI_TRU3]]</f>
        <v>9</v>
      </c>
      <c r="AT24">
        <f t="shared" si="16"/>
        <v>0.88888888888888884</v>
      </c>
      <c r="AU24">
        <f>survey_responses[[#This Row],[Tôi tin tưởng số tiền thuế tôi đóng sẽ được Nhà nước sử dụng hiệu quả để cải thiện dịch vụ công (y tế, đường xá...). - HUMAN-TRU3]]</f>
        <v>5</v>
      </c>
      <c r="AV24">
        <f t="shared" si="17"/>
        <v>0.44444444444444442</v>
      </c>
      <c r="AW24">
        <f>step3_validation[[#This Row],[AI_TRU4]]</f>
        <v>8</v>
      </c>
      <c r="AX24">
        <f t="shared" si="18"/>
        <v>0.77777777777777779</v>
      </c>
      <c r="AY24">
        <f>survey_responses[[#This Row],[Tôi thấy Nhà nước đã giải thích rõ ràng, minh bạch về lý do và mục tiêu của việc sửa đổi thuế lần này. - HUMAN-TRU4]]</f>
        <v>5</v>
      </c>
      <c r="AZ24">
        <f t="shared" si="19"/>
        <v>0.44444444444444442</v>
      </c>
      <c r="BA24" s="32">
        <f t="shared" si="20"/>
        <v>0.83333333333333326</v>
      </c>
      <c r="BB24" s="32">
        <f t="shared" si="21"/>
        <v>0.44444444444444442</v>
      </c>
      <c r="BC24" s="7">
        <f t="shared" si="22"/>
        <v>0.79629629629629617</v>
      </c>
      <c r="BD24" s="7">
        <f t="shared" si="23"/>
        <v>0.44444444444444442</v>
      </c>
      <c r="BE24">
        <f>step3_validation[[#This Row],[AI_OUT1]]</f>
        <v>9</v>
      </c>
      <c r="BF24">
        <f t="shared" si="24"/>
        <v>0.88888888888888884</v>
      </c>
      <c r="BG24">
        <f>survey_responses[[#This Row],[Sau khi xem xét các quyền lợi và nghĩa vụ, bạn có ủng hộ và tuân thủ chính sách mới hiện nay? - HUMAN-OUT1]]</f>
        <v>5</v>
      </c>
      <c r="BH24">
        <f t="shared" si="25"/>
        <v>0.44444444444444442</v>
      </c>
      <c r="BI24" s="32">
        <f t="shared" si="26"/>
        <v>4</v>
      </c>
    </row>
    <row r="25" spans="1:61" x14ac:dyDescent="0.45">
      <c r="A25" s="30">
        <f>step3_validation[[#This Row],[Persona_ID]]</f>
        <v>24</v>
      </c>
      <c r="B25" s="31">
        <f>step3_validation[[#This Row],[Used_Seed]]</f>
        <v>65</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24.600300732680093</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9</v>
      </c>
      <c r="R25">
        <f t="shared" si="0"/>
        <v>0.88888888888888884</v>
      </c>
      <c r="S25">
        <f>survey_responses[[#This Row],[Tôi tin rằng với các quy định quản lý thuế hiện nay, hành vi gian lận hoặc trốn thuế sẽ dễ dàng bị phát hiện và xử lý nghiêm. - HUMAN-ENF1]]</f>
        <v>9</v>
      </c>
      <c r="T25">
        <f t="shared" si="1"/>
        <v>0.88888888888888884</v>
      </c>
      <c r="U25">
        <f>step3_validation[[#This Row],[AI_ENF2]]</f>
        <v>7</v>
      </c>
      <c r="V25">
        <f t="shared" si="2"/>
        <v>0.66666666666666663</v>
      </c>
      <c r="W25">
        <f>survey_responses[[#This Row],[Tôi tin rằng Nhà nước, cơ quan thuế có đủ khả năng và công nghệ để phát hiện, xử lý nghiêm các hành vi trốn thuế. - HUMAN-ENF2]]</f>
        <v>8</v>
      </c>
      <c r="X25">
        <f t="shared" si="3"/>
        <v>0.77777777777777779</v>
      </c>
      <c r="Y25" s="32">
        <f t="shared" si="4"/>
        <v>0.77777777777777768</v>
      </c>
      <c r="Z25" s="32">
        <f t="shared" si="5"/>
        <v>0.83333333333333326</v>
      </c>
      <c r="AA25">
        <f>step3_validation[[#This Row],[AI_FAC1]]</f>
        <v>9</v>
      </c>
      <c r="AB25">
        <f t="shared" si="6"/>
        <v>0.88888888888888884</v>
      </c>
      <c r="AC25">
        <f>survey_responses[[#This Row],[Các thủ tục khai báo thuế VÀ/HOẶC quy trình làm việc với cơ quan thuế đơn giản, tiện lợi, nhanh chóng hơn so với trước đây. - HUMAN-FAC1]]</f>
        <v>6</v>
      </c>
      <c r="AD25">
        <f t="shared" si="7"/>
        <v>0.55555555555555558</v>
      </c>
      <c r="AE25">
        <f>step3_validation[[#This Row],[AI_FAC2]]</f>
        <v>8</v>
      </c>
      <c r="AF25">
        <f t="shared" si="8"/>
        <v>0.77777777777777779</v>
      </c>
      <c r="AG25">
        <f>survey_responses[[#This Row],[So với trước đây, tôi thấy cách tính thuế và các bậc thuế trong phương án mới đơn giản, dễ hiểu và dễ thực hiện hơn. - HUMAN-FAC2]]</f>
        <v>9</v>
      </c>
      <c r="AH25">
        <f t="shared" si="9"/>
        <v>0.88888888888888884</v>
      </c>
      <c r="AI25" s="32">
        <f t="shared" si="10"/>
        <v>0.83333333333333326</v>
      </c>
      <c r="AJ25" s="32">
        <f t="shared" si="11"/>
        <v>0.72222222222222221</v>
      </c>
      <c r="AK25">
        <f>step3_validation[[#This Row],[AI_TRU1]]</f>
        <v>9</v>
      </c>
      <c r="AL25">
        <f t="shared" si="12"/>
        <v>0.88888888888888884</v>
      </c>
      <c r="AM25">
        <f>survey_responses[[#This Row],[Tôi tin rằng Nhà nước, cơ quan thuế sẽ thực thi chính sách mới một cách khách quan, công tâm và đối xử bình đẳng với mọi người nộp thuế.  - HUMAN-TRU1]]</f>
        <v>8</v>
      </c>
      <c r="AN25">
        <f t="shared" si="13"/>
        <v>0.77777777777777779</v>
      </c>
      <c r="AO25">
        <f>step3_validation[[#This Row],[AI_TRU2]]</f>
        <v>8</v>
      </c>
      <c r="AP25">
        <f t="shared" si="14"/>
        <v>0.77777777777777779</v>
      </c>
      <c r="AQ25">
        <f>survey_responses[[#This Row],[Tôi thấy mức thuế tôi phải đóng theo phương án mới là công bằng (người thu nhập như tôi đóng mức này là hợp lý). - HUMAN-TRU2]]</f>
        <v>10</v>
      </c>
      <c r="AR25">
        <f t="shared" si="15"/>
        <v>1</v>
      </c>
      <c r="AS25">
        <f>step3_validation[[#This Row],[AI_TRU3]]</f>
        <v>9</v>
      </c>
      <c r="AT25">
        <f t="shared" si="16"/>
        <v>0.88888888888888884</v>
      </c>
      <c r="AU25">
        <f>survey_responses[[#This Row],[Tôi tin tưởng số tiền thuế tôi đóng sẽ được Nhà nước sử dụng hiệu quả để cải thiện dịch vụ công (y tế, đường xá...). - HUMAN-TRU3]]</f>
        <v>6</v>
      </c>
      <c r="AV25">
        <f t="shared" si="17"/>
        <v>0.55555555555555558</v>
      </c>
      <c r="AW25">
        <f>step3_validation[[#This Row],[AI_TRU4]]</f>
        <v>8</v>
      </c>
      <c r="AX25">
        <f t="shared" si="18"/>
        <v>0.77777777777777779</v>
      </c>
      <c r="AY25">
        <f>survey_responses[[#This Row],[Tôi thấy Nhà nước đã giải thích rõ ràng, minh bạch về lý do và mục tiêu của việc sửa đổi thuế lần này. - HUMAN-TRU4]]</f>
        <v>6</v>
      </c>
      <c r="AZ25">
        <f t="shared" si="19"/>
        <v>0.55555555555555558</v>
      </c>
      <c r="BA25" s="32">
        <f t="shared" si="20"/>
        <v>0.83333333333333326</v>
      </c>
      <c r="BB25" s="32">
        <f t="shared" si="21"/>
        <v>0.7222222222222221</v>
      </c>
      <c r="BC25" s="7">
        <f t="shared" si="22"/>
        <v>0.81481481481481477</v>
      </c>
      <c r="BD25" s="7">
        <f t="shared" si="23"/>
        <v>0.75925925925925919</v>
      </c>
      <c r="BE25">
        <f>step3_validation[[#This Row],[AI_OUT1]]</f>
        <v>9</v>
      </c>
      <c r="BF25">
        <f t="shared" si="24"/>
        <v>0.88888888888888884</v>
      </c>
      <c r="BG25">
        <f>survey_responses[[#This Row],[Sau khi xem xét các quyền lợi và nghĩa vụ, bạn có ủng hộ và tuân thủ chính sách mới hiện nay? - HUMAN-OUT1]]</f>
        <v>8</v>
      </c>
      <c r="BH25">
        <f t="shared" si="25"/>
        <v>0.77777777777777779</v>
      </c>
      <c r="BI25" s="32">
        <f t="shared" si="26"/>
        <v>1</v>
      </c>
    </row>
    <row r="26" spans="1:61" x14ac:dyDescent="0.45">
      <c r="A26" s="30">
        <f>step3_validation[[#This Row],[Persona_ID]]</f>
        <v>25</v>
      </c>
      <c r="B26" s="31">
        <f>step3_validation[[#This Row],[Used_Seed]]</f>
        <v>66</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33.604279442095795</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f t="shared" si="0"/>
        <v>0.66666666666666663</v>
      </c>
      <c r="S26">
        <f>survey_responses[[#This Row],[Tôi tin rằng với các quy định quản lý thuế hiện nay, hành vi gian lận hoặc trốn thuế sẽ dễ dàng bị phát hiện và xử lý nghiêm. - HUMAN-ENF1]]</f>
        <v>6</v>
      </c>
      <c r="T26">
        <f t="shared" si="1"/>
        <v>0.55555555555555558</v>
      </c>
      <c r="U26">
        <f>step3_validation[[#This Row],[AI_ENF2]]</f>
        <v>7</v>
      </c>
      <c r="V26">
        <f t="shared" si="2"/>
        <v>0.66666666666666663</v>
      </c>
      <c r="W26">
        <f>survey_responses[[#This Row],[Tôi tin rằng Nhà nước, cơ quan thuế có đủ khả năng và công nghệ để phát hiện, xử lý nghiêm các hành vi trốn thuế. - HUMAN-ENF2]]</f>
        <v>7</v>
      </c>
      <c r="X26">
        <f t="shared" si="3"/>
        <v>0.66666666666666663</v>
      </c>
      <c r="Y26" s="32">
        <f t="shared" si="4"/>
        <v>0.66666666666666663</v>
      </c>
      <c r="Z26" s="32">
        <f t="shared" si="5"/>
        <v>0.61111111111111116</v>
      </c>
      <c r="AA26">
        <f>step3_validation[[#This Row],[AI_FAC1]]</f>
        <v>8</v>
      </c>
      <c r="AB26">
        <f t="shared" si="6"/>
        <v>0.77777777777777779</v>
      </c>
      <c r="AC26">
        <f>survey_responses[[#This Row],[Các thủ tục khai báo thuế VÀ/HOẶC quy trình làm việc với cơ quan thuế đơn giản, tiện lợi, nhanh chóng hơn so với trước đây. - HUMAN-FAC1]]</f>
        <v>5</v>
      </c>
      <c r="AD26">
        <f t="shared" si="7"/>
        <v>0.44444444444444442</v>
      </c>
      <c r="AE26">
        <f>step3_validation[[#This Row],[AI_FAC2]]</f>
        <v>9</v>
      </c>
      <c r="AF26">
        <f t="shared" si="8"/>
        <v>0.88888888888888884</v>
      </c>
      <c r="AG26">
        <f>survey_responses[[#This Row],[So với trước đây, tôi thấy cách tính thuế và các bậc thuế trong phương án mới đơn giản, dễ hiểu và dễ thực hiện hơn. - HUMAN-FAC2]]</f>
        <v>6</v>
      </c>
      <c r="AH26">
        <f t="shared" si="9"/>
        <v>0.55555555555555558</v>
      </c>
      <c r="AI26" s="32">
        <f t="shared" si="10"/>
        <v>0.83333333333333326</v>
      </c>
      <c r="AJ26" s="32">
        <f t="shared" si="11"/>
        <v>0.5</v>
      </c>
      <c r="AK26">
        <f>step3_validation[[#This Row],[AI_TRU1]]</f>
        <v>8</v>
      </c>
      <c r="AL26">
        <f t="shared" si="12"/>
        <v>0.77777777777777779</v>
      </c>
      <c r="AM26">
        <f>survey_responses[[#This Row],[Tôi tin rằng Nhà nước, cơ quan thuế sẽ thực thi chính sách mới một cách khách quan, công tâm và đối xử bình đẳng với mọi người nộp thuế.  - HUMAN-TRU1]]</f>
        <v>7</v>
      </c>
      <c r="AN26">
        <f t="shared" si="13"/>
        <v>0.66666666666666663</v>
      </c>
      <c r="AO26">
        <f>step3_validation[[#This Row],[AI_TRU2]]</f>
        <v>9</v>
      </c>
      <c r="AP26">
        <f t="shared" si="14"/>
        <v>0.88888888888888884</v>
      </c>
      <c r="AQ26">
        <f>survey_responses[[#This Row],[Tôi thấy mức thuế tôi phải đóng theo phương án mới là công bằng (người thu nhập như tôi đóng mức này là hợp lý). - HUMAN-TRU2]]</f>
        <v>7</v>
      </c>
      <c r="AR26">
        <f t="shared" si="15"/>
        <v>0.66666666666666663</v>
      </c>
      <c r="AS26">
        <f>step3_validation[[#This Row],[AI_TRU3]]</f>
        <v>8</v>
      </c>
      <c r="AT26">
        <f t="shared" si="16"/>
        <v>0.77777777777777779</v>
      </c>
      <c r="AU26">
        <f>survey_responses[[#This Row],[Tôi tin tưởng số tiền thuế tôi đóng sẽ được Nhà nước sử dụng hiệu quả để cải thiện dịch vụ công (y tế, đường xá...). - HUMAN-TRU3]]</f>
        <v>3</v>
      </c>
      <c r="AV26">
        <f t="shared" si="17"/>
        <v>0.22222222222222221</v>
      </c>
      <c r="AW26">
        <f>step3_validation[[#This Row],[AI_TRU4]]</f>
        <v>7</v>
      </c>
      <c r="AX26">
        <f t="shared" si="18"/>
        <v>0.66666666666666663</v>
      </c>
      <c r="AY26">
        <f>survey_responses[[#This Row],[Tôi thấy Nhà nước đã giải thích rõ ràng, minh bạch về lý do và mục tiêu của việc sửa đổi thuế lần này. - HUMAN-TRU4]]</f>
        <v>3</v>
      </c>
      <c r="AZ26">
        <f t="shared" si="19"/>
        <v>0.22222222222222221</v>
      </c>
      <c r="BA26" s="32">
        <f t="shared" si="20"/>
        <v>0.77777777777777768</v>
      </c>
      <c r="BB26" s="32">
        <f t="shared" si="21"/>
        <v>0.44444444444444442</v>
      </c>
      <c r="BC26" s="7">
        <f t="shared" si="22"/>
        <v>0.75925925925925919</v>
      </c>
      <c r="BD26" s="7">
        <f t="shared" si="23"/>
        <v>0.51851851851851849</v>
      </c>
      <c r="BE26">
        <f>step3_validation[[#This Row],[AI_OUT1]]</f>
        <v>9</v>
      </c>
      <c r="BF26">
        <f t="shared" si="24"/>
        <v>0.88888888888888884</v>
      </c>
      <c r="BG26">
        <f>survey_responses[[#This Row],[Sau khi xem xét các quyền lợi và nghĩa vụ, bạn có ủng hộ và tuân thủ chính sách mới hiện nay? - HUMAN-OUT1]]</f>
        <v>5</v>
      </c>
      <c r="BH26">
        <f t="shared" si="25"/>
        <v>0.44444444444444442</v>
      </c>
      <c r="BI26" s="32">
        <f t="shared" si="26"/>
        <v>4</v>
      </c>
    </row>
    <row r="27" spans="1:61" x14ac:dyDescent="0.45">
      <c r="A27" s="30">
        <f>step3_validation[[#This Row],[Persona_ID]]</f>
        <v>26</v>
      </c>
      <c r="B27" s="31">
        <f>step3_validation[[#This Row],[Used_Seed]]</f>
        <v>67</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9</v>
      </c>
      <c r="R27">
        <f t="shared" si="0"/>
        <v>0.88888888888888884</v>
      </c>
      <c r="S27">
        <f>survey_responses[[#This Row],[Tôi tin rằng với các quy định quản lý thuế hiện nay, hành vi gian lận hoặc trốn thuế sẽ dễ dàng bị phát hiện và xử lý nghiêm. - HUMAN-ENF1]]</f>
        <v>10</v>
      </c>
      <c r="T27">
        <f t="shared" si="1"/>
        <v>1</v>
      </c>
      <c r="U27">
        <f>step3_validation[[#This Row],[AI_ENF2]]</f>
        <v>8</v>
      </c>
      <c r="V27">
        <f t="shared" si="2"/>
        <v>0.77777777777777779</v>
      </c>
      <c r="W27">
        <f>survey_responses[[#This Row],[Tôi tin rằng Nhà nước, cơ quan thuế có đủ khả năng và công nghệ để phát hiện, xử lý nghiêm các hành vi trốn thuế. - HUMAN-ENF2]]</f>
        <v>10</v>
      </c>
      <c r="X27">
        <f t="shared" si="3"/>
        <v>1</v>
      </c>
      <c r="Y27" s="32">
        <f t="shared" si="4"/>
        <v>0.83333333333333326</v>
      </c>
      <c r="Z27" s="32">
        <f t="shared" si="5"/>
        <v>1</v>
      </c>
      <c r="AA27">
        <f>step3_validation[[#This Row],[AI_FAC1]]</f>
        <v>9</v>
      </c>
      <c r="AB27">
        <f t="shared" si="6"/>
        <v>0.88888888888888884</v>
      </c>
      <c r="AC27">
        <f>survey_responses[[#This Row],[Các thủ tục khai báo thuế VÀ/HOẶC quy trình làm việc với cơ quan thuế đơn giản, tiện lợi, nhanh chóng hơn so với trước đây. - HUMAN-FAC1]]</f>
        <v>10</v>
      </c>
      <c r="AD27">
        <f t="shared" si="7"/>
        <v>1</v>
      </c>
      <c r="AE27">
        <f>step3_validation[[#This Row],[AI_FAC2]]</f>
        <v>8</v>
      </c>
      <c r="AF27">
        <f t="shared" si="8"/>
        <v>0.77777777777777779</v>
      </c>
      <c r="AG27">
        <f>survey_responses[[#This Row],[So với trước đây, tôi thấy cách tính thuế và các bậc thuế trong phương án mới đơn giản, dễ hiểu và dễ thực hiện hơn. - HUMAN-FAC2]]</f>
        <v>6</v>
      </c>
      <c r="AH27">
        <f t="shared" si="9"/>
        <v>0.55555555555555558</v>
      </c>
      <c r="AI27" s="32">
        <f t="shared" si="10"/>
        <v>0.83333333333333326</v>
      </c>
      <c r="AJ27" s="32">
        <f t="shared" si="11"/>
        <v>0.77777777777777779</v>
      </c>
      <c r="AK27">
        <f>step3_validation[[#This Row],[AI_TRU1]]</f>
        <v>9</v>
      </c>
      <c r="AL27">
        <f t="shared" si="12"/>
        <v>0.88888888888888884</v>
      </c>
      <c r="AM27">
        <f>survey_responses[[#This Row],[Tôi tin rằng Nhà nước, cơ quan thuế sẽ thực thi chính sách mới một cách khách quan, công tâm và đối xử bình đẳng với mọi người nộp thuế.  - HUMAN-TRU1]]</f>
        <v>6</v>
      </c>
      <c r="AN27">
        <f t="shared" si="13"/>
        <v>0.55555555555555558</v>
      </c>
      <c r="AO27">
        <f>step3_validation[[#This Row],[AI_TRU2]]</f>
        <v>8</v>
      </c>
      <c r="AP27">
        <f t="shared" si="14"/>
        <v>0.77777777777777779</v>
      </c>
      <c r="AQ27">
        <f>survey_responses[[#This Row],[Tôi thấy mức thuế tôi phải đóng theo phương án mới là công bằng (người thu nhập như tôi đóng mức này là hợp lý). - HUMAN-TRU2]]</f>
        <v>10</v>
      </c>
      <c r="AR27">
        <f t="shared" si="15"/>
        <v>1</v>
      </c>
      <c r="AS27">
        <f>step3_validation[[#This Row],[AI_TRU3]]</f>
        <v>9</v>
      </c>
      <c r="AT27">
        <f t="shared" si="16"/>
        <v>0.88888888888888884</v>
      </c>
      <c r="AU27">
        <f>survey_responses[[#This Row],[Tôi tin tưởng số tiền thuế tôi đóng sẽ được Nhà nước sử dụng hiệu quả để cải thiện dịch vụ công (y tế, đường xá...). - HUMAN-TRU3]]</f>
        <v>1</v>
      </c>
      <c r="AV27">
        <f t="shared" si="17"/>
        <v>0</v>
      </c>
      <c r="AW27">
        <f>step3_validation[[#This Row],[AI_TRU4]]</f>
        <v>8</v>
      </c>
      <c r="AX27">
        <f t="shared" si="18"/>
        <v>0.77777777777777779</v>
      </c>
      <c r="AY27">
        <f>survey_responses[[#This Row],[Tôi thấy Nhà nước đã giải thích rõ ràng, minh bạch về lý do và mục tiêu của việc sửa đổi thuế lần này. - HUMAN-TRU4]]</f>
        <v>4</v>
      </c>
      <c r="AZ27">
        <f t="shared" si="19"/>
        <v>0.33333333333333331</v>
      </c>
      <c r="BA27" s="32">
        <f t="shared" si="20"/>
        <v>0.83333333333333326</v>
      </c>
      <c r="BB27" s="32">
        <f t="shared" si="21"/>
        <v>0.47222222222222221</v>
      </c>
      <c r="BC27" s="7">
        <f t="shared" si="22"/>
        <v>0.83333333333333337</v>
      </c>
      <c r="BD27" s="7">
        <f t="shared" si="23"/>
        <v>0.75</v>
      </c>
      <c r="BE27">
        <f>step3_validation[[#This Row],[AI_OUT1]]</f>
        <v>9</v>
      </c>
      <c r="BF27">
        <f t="shared" si="24"/>
        <v>0.88888888888888884</v>
      </c>
      <c r="BG27">
        <f>survey_responses[[#This Row],[Sau khi xem xét các quyền lợi và nghĩa vụ, bạn có ủng hộ và tuân thủ chính sách mới hiện nay? - HUMAN-OUT1]]</f>
        <v>10</v>
      </c>
      <c r="BH27">
        <f t="shared" si="25"/>
        <v>1</v>
      </c>
      <c r="BI27" s="32">
        <f t="shared" si="26"/>
        <v>1</v>
      </c>
    </row>
    <row r="28" spans="1:61" x14ac:dyDescent="0.45">
      <c r="A28" s="30">
        <f>step3_validation[[#This Row],[Persona_ID]]</f>
        <v>27</v>
      </c>
      <c r="B28" s="31">
        <f>step3_validation[[#This Row],[Used_Seed]]</f>
        <v>68</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f t="shared" si="0"/>
        <v>0.66666666666666663</v>
      </c>
      <c r="S28">
        <f>survey_responses[[#This Row],[Tôi tin rằng với các quy định quản lý thuế hiện nay, hành vi gian lận hoặc trốn thuế sẽ dễ dàng bị phát hiện và xử lý nghiêm. - HUMAN-ENF1]]</f>
        <v>1</v>
      </c>
      <c r="T28">
        <f t="shared" si="1"/>
        <v>0</v>
      </c>
      <c r="U28">
        <f>step3_validation[[#This Row],[AI_ENF2]]</f>
        <v>6</v>
      </c>
      <c r="V28">
        <f t="shared" si="2"/>
        <v>0.55555555555555558</v>
      </c>
      <c r="W28">
        <f>survey_responses[[#This Row],[Tôi tin rằng Nhà nước, cơ quan thuế có đủ khả năng và công nghệ để phát hiện, xử lý nghiêm các hành vi trốn thuế. - HUMAN-ENF2]]</f>
        <v>1</v>
      </c>
      <c r="X28">
        <f t="shared" si="3"/>
        <v>0</v>
      </c>
      <c r="Y28" s="32">
        <f t="shared" si="4"/>
        <v>0.61111111111111116</v>
      </c>
      <c r="Z28" s="32">
        <f t="shared" si="5"/>
        <v>0</v>
      </c>
      <c r="AA28">
        <f>step3_validation[[#This Row],[AI_FAC1]]</f>
        <v>9</v>
      </c>
      <c r="AB28">
        <f t="shared" si="6"/>
        <v>0.88888888888888884</v>
      </c>
      <c r="AC28">
        <f>survey_responses[[#This Row],[Các thủ tục khai báo thuế VÀ/HOẶC quy trình làm việc với cơ quan thuế đơn giản, tiện lợi, nhanh chóng hơn so với trước đây. - HUMAN-FAC1]]</f>
        <v>1</v>
      </c>
      <c r="AD28">
        <f t="shared" si="7"/>
        <v>0</v>
      </c>
      <c r="AE28">
        <f>step3_validation[[#This Row],[AI_FAC2]]</f>
        <v>8</v>
      </c>
      <c r="AF28">
        <f t="shared" si="8"/>
        <v>0.77777777777777779</v>
      </c>
      <c r="AG28">
        <f>survey_responses[[#This Row],[So với trước đây, tôi thấy cách tính thuế và các bậc thuế trong phương án mới đơn giản, dễ hiểu và dễ thực hiện hơn. - HUMAN-FAC2]]</f>
        <v>1</v>
      </c>
      <c r="AH28">
        <f t="shared" si="9"/>
        <v>0</v>
      </c>
      <c r="AI28" s="32">
        <f t="shared" si="10"/>
        <v>0.83333333333333326</v>
      </c>
      <c r="AJ28" s="32">
        <f t="shared" si="11"/>
        <v>0</v>
      </c>
      <c r="AK28">
        <f>step3_validation[[#This Row],[AI_TRU1]]</f>
        <v>7</v>
      </c>
      <c r="AL28">
        <f t="shared" si="12"/>
        <v>0.66666666666666663</v>
      </c>
      <c r="AM28">
        <f>survey_responses[[#This Row],[Tôi tin rằng Nhà nước, cơ quan thuế sẽ thực thi chính sách mới một cách khách quan, công tâm và đối xử bình đẳng với mọi người nộp thuế.  - HUMAN-TRU1]]</f>
        <v>1</v>
      </c>
      <c r="AN28">
        <f t="shared" si="13"/>
        <v>0</v>
      </c>
      <c r="AO28">
        <f>step3_validation[[#This Row],[AI_TRU2]]</f>
        <v>9</v>
      </c>
      <c r="AP28">
        <f t="shared" si="14"/>
        <v>0.88888888888888884</v>
      </c>
      <c r="AQ28">
        <f>survey_responses[[#This Row],[Tôi thấy mức thuế tôi phải đóng theo phương án mới là công bằng (người thu nhập như tôi đóng mức này là hợp lý). - HUMAN-TRU2]]</f>
        <v>1</v>
      </c>
      <c r="AR28">
        <f t="shared" si="15"/>
        <v>0</v>
      </c>
      <c r="AS28">
        <f>step3_validation[[#This Row],[AI_TRU3]]</f>
        <v>8</v>
      </c>
      <c r="AT28">
        <f t="shared" si="16"/>
        <v>0.77777777777777779</v>
      </c>
      <c r="AU28">
        <f>survey_responses[[#This Row],[Tôi tin tưởng số tiền thuế tôi đóng sẽ được Nhà nước sử dụng hiệu quả để cải thiện dịch vụ công (y tế, đường xá...). - HUMAN-TRU3]]</f>
        <v>1</v>
      </c>
      <c r="AV28">
        <f t="shared" si="17"/>
        <v>0</v>
      </c>
      <c r="AW28">
        <f>step3_validation[[#This Row],[AI_TRU4]]</f>
        <v>7</v>
      </c>
      <c r="AX28">
        <f t="shared" si="18"/>
        <v>0.66666666666666663</v>
      </c>
      <c r="AY28">
        <f>survey_responses[[#This Row],[Tôi thấy Nhà nước đã giải thích rõ ràng, minh bạch về lý do và mục tiêu của việc sửa đổi thuế lần này. - HUMAN-TRU4]]</f>
        <v>1</v>
      </c>
      <c r="AZ28">
        <f t="shared" si="19"/>
        <v>0</v>
      </c>
      <c r="BA28" s="32">
        <f t="shared" si="20"/>
        <v>0.74999999999999989</v>
      </c>
      <c r="BB28" s="32">
        <f t="shared" si="21"/>
        <v>0</v>
      </c>
      <c r="BC28" s="7">
        <f t="shared" si="22"/>
        <v>0.7314814814814814</v>
      </c>
      <c r="BD28" s="7">
        <f t="shared" si="23"/>
        <v>0</v>
      </c>
      <c r="BE28">
        <f>step3_validation[[#This Row],[AI_OUT1]]</f>
        <v>9</v>
      </c>
      <c r="BF28">
        <f t="shared" si="24"/>
        <v>0.88888888888888884</v>
      </c>
      <c r="BG28">
        <f>survey_responses[[#This Row],[Sau khi xem xét các quyền lợi và nghĩa vụ, bạn có ủng hộ và tuân thủ chính sách mới hiện nay? - HUMAN-OUT1]]</f>
        <v>1</v>
      </c>
      <c r="BH28">
        <f t="shared" si="25"/>
        <v>0</v>
      </c>
      <c r="BI28" s="32">
        <f t="shared" si="26"/>
        <v>8</v>
      </c>
    </row>
    <row r="29" spans="1:61" x14ac:dyDescent="0.45">
      <c r="A29" s="30">
        <f>step3_validation[[#This Row],[Persona_ID]]</f>
        <v>28</v>
      </c>
      <c r="B29" s="31">
        <f>step3_validation[[#This Row],[Used_Seed]]</f>
        <v>69</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16.336053168367823</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7</v>
      </c>
      <c r="R29">
        <f t="shared" si="0"/>
        <v>0.66666666666666663</v>
      </c>
      <c r="S29">
        <f>survey_responses[[#This Row],[Tôi tin rằng với các quy định quản lý thuế hiện nay, hành vi gian lận hoặc trốn thuế sẽ dễ dàng bị phát hiện và xử lý nghiêm. - HUMAN-ENF1]]</f>
        <v>1</v>
      </c>
      <c r="T29">
        <f t="shared" si="1"/>
        <v>0</v>
      </c>
      <c r="U29">
        <f>step3_validation[[#This Row],[AI_ENF2]]</f>
        <v>9</v>
      </c>
      <c r="V29">
        <f t="shared" si="2"/>
        <v>0.88888888888888884</v>
      </c>
      <c r="W29">
        <f>survey_responses[[#This Row],[Tôi tin rằng Nhà nước, cơ quan thuế có đủ khả năng và công nghệ để phát hiện, xử lý nghiêm các hành vi trốn thuế. - HUMAN-ENF2]]</f>
        <v>1</v>
      </c>
      <c r="X29">
        <f t="shared" si="3"/>
        <v>0</v>
      </c>
      <c r="Y29" s="32">
        <f t="shared" si="4"/>
        <v>0.77777777777777768</v>
      </c>
      <c r="Z29" s="32">
        <f t="shared" si="5"/>
        <v>0</v>
      </c>
      <c r="AA29">
        <f>step3_validation[[#This Row],[AI_FAC1]]</f>
        <v>8</v>
      </c>
      <c r="AB29">
        <f t="shared" si="6"/>
        <v>0.77777777777777779</v>
      </c>
      <c r="AC29">
        <f>survey_responses[[#This Row],[Các thủ tục khai báo thuế VÀ/HOẶC quy trình làm việc với cơ quan thuế đơn giản, tiện lợi, nhanh chóng hơn so với trước đây. - HUMAN-FAC1]]</f>
        <v>1</v>
      </c>
      <c r="AD29">
        <f t="shared" si="7"/>
        <v>0</v>
      </c>
      <c r="AE29">
        <f>step3_validation[[#This Row],[AI_FAC2]]</f>
        <v>9</v>
      </c>
      <c r="AF29">
        <f t="shared" si="8"/>
        <v>0.88888888888888884</v>
      </c>
      <c r="AG29">
        <f>survey_responses[[#This Row],[So với trước đây, tôi thấy cách tính thuế và các bậc thuế trong phương án mới đơn giản, dễ hiểu và dễ thực hiện hơn. - HUMAN-FAC2]]</f>
        <v>1</v>
      </c>
      <c r="AH29">
        <f t="shared" si="9"/>
        <v>0</v>
      </c>
      <c r="AI29" s="32">
        <f t="shared" si="10"/>
        <v>0.83333333333333326</v>
      </c>
      <c r="AJ29" s="32">
        <f t="shared" si="11"/>
        <v>0</v>
      </c>
      <c r="AK29">
        <f>step3_validation[[#This Row],[AI_TRU1]]</f>
        <v>6</v>
      </c>
      <c r="AL29">
        <f t="shared" si="12"/>
        <v>0.55555555555555558</v>
      </c>
      <c r="AM29">
        <f>survey_responses[[#This Row],[Tôi tin rằng Nhà nước, cơ quan thuế sẽ thực thi chính sách mới một cách khách quan, công tâm và đối xử bình đẳng với mọi người nộp thuế.  - HUMAN-TRU1]]</f>
        <v>1</v>
      </c>
      <c r="AN29">
        <f t="shared" si="13"/>
        <v>0</v>
      </c>
      <c r="AO29">
        <f>step3_validation[[#This Row],[AI_TRU2]]</f>
        <v>8</v>
      </c>
      <c r="AP29">
        <f t="shared" si="14"/>
        <v>0.77777777777777779</v>
      </c>
      <c r="AQ29">
        <f>survey_responses[[#This Row],[Tôi thấy mức thuế tôi phải đóng theo phương án mới là công bằng (người thu nhập như tôi đóng mức này là hợp lý). - HUMAN-TRU2]]</f>
        <v>1</v>
      </c>
      <c r="AR29">
        <f t="shared" si="15"/>
        <v>0</v>
      </c>
      <c r="AS29">
        <f>step3_validation[[#This Row],[AI_TRU3]]</f>
        <v>9</v>
      </c>
      <c r="AT29">
        <f t="shared" si="16"/>
        <v>0.88888888888888884</v>
      </c>
      <c r="AU29">
        <f>survey_responses[[#This Row],[Tôi tin tưởng số tiền thuế tôi đóng sẽ được Nhà nước sử dụng hiệu quả để cải thiện dịch vụ công (y tế, đường xá...). - HUMAN-TRU3]]</f>
        <v>1</v>
      </c>
      <c r="AV29">
        <f t="shared" si="17"/>
        <v>0</v>
      </c>
      <c r="AW29">
        <f>step3_validation[[#This Row],[AI_TRU4]]</f>
        <v>7</v>
      </c>
      <c r="AX29">
        <f t="shared" si="18"/>
        <v>0.66666666666666663</v>
      </c>
      <c r="AY29">
        <f>survey_responses[[#This Row],[Tôi thấy Nhà nước đã giải thích rõ ràng, minh bạch về lý do và mục tiêu của việc sửa đổi thuế lần này. - HUMAN-TRU4]]</f>
        <v>1</v>
      </c>
      <c r="AZ29">
        <f t="shared" si="19"/>
        <v>0</v>
      </c>
      <c r="BA29" s="32">
        <f t="shared" si="20"/>
        <v>0.72222222222222221</v>
      </c>
      <c r="BB29" s="32">
        <f t="shared" si="21"/>
        <v>0</v>
      </c>
      <c r="BC29" s="7">
        <f t="shared" si="22"/>
        <v>0.77777777777777768</v>
      </c>
      <c r="BD29" s="7">
        <f t="shared" si="23"/>
        <v>0</v>
      </c>
      <c r="BE29">
        <f>step3_validation[[#This Row],[AI_OUT1]]</f>
        <v>9</v>
      </c>
      <c r="BF29">
        <f t="shared" si="24"/>
        <v>0.88888888888888884</v>
      </c>
      <c r="BG29">
        <f>survey_responses[[#This Row],[Sau khi xem xét các quyền lợi và nghĩa vụ, bạn có ủng hộ và tuân thủ chính sách mới hiện nay? - HUMAN-OUT1]]</f>
        <v>1</v>
      </c>
      <c r="BH29">
        <f t="shared" si="25"/>
        <v>0</v>
      </c>
      <c r="BI29" s="32">
        <f t="shared" si="26"/>
        <v>8</v>
      </c>
    </row>
    <row r="30" spans="1:61" x14ac:dyDescent="0.45">
      <c r="A30" s="30">
        <f>step3_validation[[#This Row],[Persona_ID]]</f>
        <v>29</v>
      </c>
      <c r="B30" s="31">
        <f>step3_validation[[#This Row],[Used_Seed]]</f>
        <v>70</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16.4628292036559</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7</v>
      </c>
      <c r="R30">
        <f t="shared" si="0"/>
        <v>0.66666666666666663</v>
      </c>
      <c r="S30">
        <f>survey_responses[[#This Row],[Tôi tin rằng với các quy định quản lý thuế hiện nay, hành vi gian lận hoặc trốn thuế sẽ dễ dàng bị phát hiện và xử lý nghiêm. - HUMAN-ENF1]]</f>
        <v>10</v>
      </c>
      <c r="T30">
        <f t="shared" si="1"/>
        <v>1</v>
      </c>
      <c r="U30">
        <f>step3_validation[[#This Row],[AI_ENF2]]</f>
        <v>8</v>
      </c>
      <c r="V30">
        <f t="shared" si="2"/>
        <v>0.77777777777777779</v>
      </c>
      <c r="W30">
        <f>survey_responses[[#This Row],[Tôi tin rằng Nhà nước, cơ quan thuế có đủ khả năng và công nghệ để phát hiện, xử lý nghiêm các hành vi trốn thuế. - HUMAN-ENF2]]</f>
        <v>10</v>
      </c>
      <c r="X30">
        <f t="shared" si="3"/>
        <v>1</v>
      </c>
      <c r="Y30" s="32">
        <f t="shared" si="4"/>
        <v>0.72222222222222221</v>
      </c>
      <c r="Z30" s="32">
        <f t="shared" si="5"/>
        <v>1</v>
      </c>
      <c r="AA30">
        <f>step3_validation[[#This Row],[AI_FAC1]]</f>
        <v>9</v>
      </c>
      <c r="AB30">
        <f t="shared" si="6"/>
        <v>0.88888888888888884</v>
      </c>
      <c r="AC30">
        <f>survey_responses[[#This Row],[Các thủ tục khai báo thuế VÀ/HOẶC quy trình làm việc với cơ quan thuế đơn giản, tiện lợi, nhanh chóng hơn so với trước đây. - HUMAN-FAC1]]</f>
        <v>9</v>
      </c>
      <c r="AD30">
        <f t="shared" si="7"/>
        <v>0.88888888888888884</v>
      </c>
      <c r="AE30">
        <f>step3_validation[[#This Row],[AI_FAC2]]</f>
        <v>9</v>
      </c>
      <c r="AF30">
        <f t="shared" si="8"/>
        <v>0.88888888888888884</v>
      </c>
      <c r="AG30">
        <f>survey_responses[[#This Row],[So với trước đây, tôi thấy cách tính thuế và các bậc thuế trong phương án mới đơn giản, dễ hiểu và dễ thực hiện hơn. - HUMAN-FAC2]]</f>
        <v>10</v>
      </c>
      <c r="AH30">
        <f t="shared" si="9"/>
        <v>1</v>
      </c>
      <c r="AI30" s="32">
        <f t="shared" si="10"/>
        <v>0.88888888888888884</v>
      </c>
      <c r="AJ30" s="32">
        <f t="shared" si="11"/>
        <v>0.94444444444444442</v>
      </c>
      <c r="AK30">
        <f>step3_validation[[#This Row],[AI_TRU1]]</f>
        <v>8</v>
      </c>
      <c r="AL30">
        <f t="shared" si="12"/>
        <v>0.77777777777777779</v>
      </c>
      <c r="AM30">
        <f>survey_responses[[#This Row],[Tôi tin rằng Nhà nước, cơ quan thuế sẽ thực thi chính sách mới một cách khách quan, công tâm và đối xử bình đẳng với mọi người nộp thuế.  - HUMAN-TRU1]]</f>
        <v>10</v>
      </c>
      <c r="AN30">
        <f t="shared" si="13"/>
        <v>1</v>
      </c>
      <c r="AO30">
        <f>step3_validation[[#This Row],[AI_TRU2]]</f>
        <v>9</v>
      </c>
      <c r="AP30">
        <f t="shared" si="14"/>
        <v>0.88888888888888884</v>
      </c>
      <c r="AQ30">
        <f>survey_responses[[#This Row],[Tôi thấy mức thuế tôi phải đóng theo phương án mới là công bằng (người thu nhập như tôi đóng mức này là hợp lý). - HUMAN-TRU2]]</f>
        <v>9</v>
      </c>
      <c r="AR30">
        <f t="shared" si="15"/>
        <v>0.88888888888888884</v>
      </c>
      <c r="AS30">
        <f>step3_validation[[#This Row],[AI_TRU3]]</f>
        <v>8</v>
      </c>
      <c r="AT30">
        <f t="shared" si="16"/>
        <v>0.77777777777777779</v>
      </c>
      <c r="AU30">
        <f>survey_responses[[#This Row],[Tôi tin tưởng số tiền thuế tôi đóng sẽ được Nhà nước sử dụng hiệu quả để cải thiện dịch vụ công (y tế, đường xá...). - HUMAN-TRU3]]</f>
        <v>10</v>
      </c>
      <c r="AV30">
        <f t="shared" si="17"/>
        <v>1</v>
      </c>
      <c r="AW30">
        <f>step3_validation[[#This Row],[AI_TRU4]]</f>
        <v>9</v>
      </c>
      <c r="AX30">
        <f t="shared" si="18"/>
        <v>0.88888888888888884</v>
      </c>
      <c r="AY30">
        <f>survey_responses[[#This Row],[Tôi thấy Nhà nước đã giải thích rõ ràng, minh bạch về lý do và mục tiêu của việc sửa đổi thuế lần này. - HUMAN-TRU4]]</f>
        <v>10</v>
      </c>
      <c r="AZ30">
        <f t="shared" si="19"/>
        <v>1</v>
      </c>
      <c r="BA30" s="32">
        <f t="shared" si="20"/>
        <v>0.83333333333333326</v>
      </c>
      <c r="BB30" s="32">
        <f t="shared" si="21"/>
        <v>0.97222222222222221</v>
      </c>
      <c r="BC30" s="7">
        <f t="shared" si="22"/>
        <v>0.81481481481481488</v>
      </c>
      <c r="BD30" s="7">
        <f t="shared" si="23"/>
        <v>0.97222222222222221</v>
      </c>
      <c r="BE30">
        <f>step3_validation[[#This Row],[AI_OUT1]]</f>
        <v>8</v>
      </c>
      <c r="BF30">
        <f t="shared" si="24"/>
        <v>0.77777777777777779</v>
      </c>
      <c r="BG30">
        <f>survey_responses[[#This Row],[Sau khi xem xét các quyền lợi và nghĩa vụ, bạn có ủng hộ và tuân thủ chính sách mới hiện nay? - HUMAN-OUT1]]</f>
        <v>10</v>
      </c>
      <c r="BH30">
        <f t="shared" si="25"/>
        <v>1</v>
      </c>
      <c r="BI30" s="32">
        <f t="shared" si="26"/>
        <v>2</v>
      </c>
    </row>
    <row r="31" spans="1:61" x14ac:dyDescent="0.45">
      <c r="A31" s="30">
        <f>step3_validation[[#This Row],[Persona_ID]]</f>
        <v>30</v>
      </c>
      <c r="B31" s="31">
        <f>step3_validation[[#This Row],[Used_Seed]]</f>
        <v>71</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12.223520163452035</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7</v>
      </c>
      <c r="R31">
        <f t="shared" si="0"/>
        <v>0.66666666666666663</v>
      </c>
      <c r="S31">
        <f>survey_responses[[#This Row],[Tôi tin rằng với các quy định quản lý thuế hiện nay, hành vi gian lận hoặc trốn thuế sẽ dễ dàng bị phát hiện và xử lý nghiêm. - HUMAN-ENF1]]</f>
        <v>10</v>
      </c>
      <c r="T31">
        <f t="shared" si="1"/>
        <v>1</v>
      </c>
      <c r="U31">
        <f>step3_validation[[#This Row],[AI_ENF2]]</f>
        <v>8</v>
      </c>
      <c r="V31">
        <f t="shared" si="2"/>
        <v>0.77777777777777779</v>
      </c>
      <c r="W31">
        <f>survey_responses[[#This Row],[Tôi tin rằng Nhà nước, cơ quan thuế có đủ khả năng và công nghệ để phát hiện, xử lý nghiêm các hành vi trốn thuế. - HUMAN-ENF2]]</f>
        <v>10</v>
      </c>
      <c r="X31">
        <f t="shared" si="3"/>
        <v>1</v>
      </c>
      <c r="Y31" s="32">
        <f t="shared" si="4"/>
        <v>0.72222222222222221</v>
      </c>
      <c r="Z31" s="32">
        <f t="shared" si="5"/>
        <v>1</v>
      </c>
      <c r="AA31">
        <f>step3_validation[[#This Row],[AI_FAC1]]</f>
        <v>9</v>
      </c>
      <c r="AB31">
        <f t="shared" si="6"/>
        <v>0.88888888888888884</v>
      </c>
      <c r="AC31">
        <f>survey_responses[[#This Row],[Các thủ tục khai báo thuế VÀ/HOẶC quy trình làm việc với cơ quan thuế đơn giản, tiện lợi, nhanh chóng hơn so với trước đây. - HUMAN-FAC1]]</f>
        <v>9</v>
      </c>
      <c r="AD31">
        <f t="shared" si="7"/>
        <v>0.88888888888888884</v>
      </c>
      <c r="AE31">
        <f>step3_validation[[#This Row],[AI_FAC2]]</f>
        <v>8</v>
      </c>
      <c r="AF31">
        <f t="shared" si="8"/>
        <v>0.77777777777777779</v>
      </c>
      <c r="AG31">
        <f>survey_responses[[#This Row],[So với trước đây, tôi thấy cách tính thuế và các bậc thuế trong phương án mới đơn giản, dễ hiểu và dễ thực hiện hơn. - HUMAN-FAC2]]</f>
        <v>10</v>
      </c>
      <c r="AH31">
        <f t="shared" si="9"/>
        <v>1</v>
      </c>
      <c r="AI31" s="32">
        <f t="shared" si="10"/>
        <v>0.83333333333333326</v>
      </c>
      <c r="AJ31" s="32">
        <f t="shared" si="11"/>
        <v>0.94444444444444442</v>
      </c>
      <c r="AK31">
        <f>step3_validation[[#This Row],[AI_TRU1]]</f>
        <v>7</v>
      </c>
      <c r="AL31">
        <f t="shared" si="12"/>
        <v>0.66666666666666663</v>
      </c>
      <c r="AM31">
        <f>survey_responses[[#This Row],[Tôi tin rằng Nhà nước, cơ quan thuế sẽ thực thi chính sách mới một cách khách quan, công tâm và đối xử bình đẳng với mọi người nộp thuế.  - HUMAN-TRU1]]</f>
        <v>10</v>
      </c>
      <c r="AN31">
        <f t="shared" si="13"/>
        <v>1</v>
      </c>
      <c r="AO31">
        <f>step3_validation[[#This Row],[AI_TRU2]]</f>
        <v>8</v>
      </c>
      <c r="AP31">
        <f t="shared" si="14"/>
        <v>0.77777777777777779</v>
      </c>
      <c r="AQ31">
        <f>survey_responses[[#This Row],[Tôi thấy mức thuế tôi phải đóng theo phương án mới là công bằng (người thu nhập như tôi đóng mức này là hợp lý). - HUMAN-TRU2]]</f>
        <v>10</v>
      </c>
      <c r="AR31">
        <f t="shared" si="15"/>
        <v>1</v>
      </c>
      <c r="AS31">
        <f>step3_validation[[#This Row],[AI_TRU3]]</f>
        <v>9</v>
      </c>
      <c r="AT31">
        <f t="shared" si="16"/>
        <v>0.88888888888888884</v>
      </c>
      <c r="AU31">
        <f>survey_responses[[#This Row],[Tôi tin tưởng số tiền thuế tôi đóng sẽ được Nhà nước sử dụng hiệu quả để cải thiện dịch vụ công (y tế, đường xá...). - HUMAN-TRU3]]</f>
        <v>10</v>
      </c>
      <c r="AV31">
        <f t="shared" si="17"/>
        <v>1</v>
      </c>
      <c r="AW31">
        <f>step3_validation[[#This Row],[AI_TRU4]]</f>
        <v>8</v>
      </c>
      <c r="AX31">
        <f t="shared" si="18"/>
        <v>0.77777777777777779</v>
      </c>
      <c r="AY31">
        <f>survey_responses[[#This Row],[Tôi thấy Nhà nước đã giải thích rõ ràng, minh bạch về lý do và mục tiêu của việc sửa đổi thuế lần này. - HUMAN-TRU4]]</f>
        <v>10</v>
      </c>
      <c r="AZ31">
        <f t="shared" si="19"/>
        <v>1</v>
      </c>
      <c r="BA31" s="32">
        <f t="shared" si="20"/>
        <v>0.77777777777777768</v>
      </c>
      <c r="BB31" s="32">
        <f t="shared" si="21"/>
        <v>1</v>
      </c>
      <c r="BC31" s="7">
        <f t="shared" si="22"/>
        <v>0.77777777777777768</v>
      </c>
      <c r="BD31" s="7">
        <f t="shared" si="23"/>
        <v>0.98148148148148151</v>
      </c>
      <c r="BE31">
        <f>step3_validation[[#This Row],[AI_OUT1]]</f>
        <v>9</v>
      </c>
      <c r="BF31">
        <f t="shared" si="24"/>
        <v>0.88888888888888884</v>
      </c>
      <c r="BG31">
        <f>survey_responses[[#This Row],[Sau khi xem xét các quyền lợi và nghĩa vụ, bạn có ủng hộ và tuân thủ chính sách mới hiện nay? - HUMAN-OUT1]]</f>
        <v>10</v>
      </c>
      <c r="BH31">
        <f t="shared" si="25"/>
        <v>1</v>
      </c>
      <c r="BI31" s="32">
        <f t="shared" si="26"/>
        <v>1</v>
      </c>
    </row>
    <row r="32" spans="1:61" x14ac:dyDescent="0.45">
      <c r="A32" s="30">
        <f>step3_validation[[#This Row],[Persona_ID]]</f>
        <v>31</v>
      </c>
      <c r="B32" s="31">
        <f>step3_validation[[#This Row],[Used_Seed]]</f>
        <v>72</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27.385769839953532</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7</v>
      </c>
      <c r="R32">
        <f t="shared" si="0"/>
        <v>0.66666666666666663</v>
      </c>
      <c r="S32">
        <f>survey_responses[[#This Row],[Tôi tin rằng với các quy định quản lý thuế hiện nay, hành vi gian lận hoặc trốn thuế sẽ dễ dàng bị phát hiện và xử lý nghiêm. - HUMAN-ENF1]]</f>
        <v>10</v>
      </c>
      <c r="T32">
        <f t="shared" si="1"/>
        <v>1</v>
      </c>
      <c r="U32">
        <f>step3_validation[[#This Row],[AI_ENF2]]</f>
        <v>6</v>
      </c>
      <c r="V32">
        <f t="shared" si="2"/>
        <v>0.55555555555555558</v>
      </c>
      <c r="W32">
        <f>survey_responses[[#This Row],[Tôi tin rằng Nhà nước, cơ quan thuế có đủ khả năng và công nghệ để phát hiện, xử lý nghiêm các hành vi trốn thuế. - HUMAN-ENF2]]</f>
        <v>7</v>
      </c>
      <c r="X32">
        <f t="shared" si="3"/>
        <v>0.66666666666666663</v>
      </c>
      <c r="Y32" s="32">
        <f t="shared" si="4"/>
        <v>0.61111111111111116</v>
      </c>
      <c r="Z32" s="32">
        <f t="shared" si="5"/>
        <v>0.83333333333333326</v>
      </c>
      <c r="AA32">
        <f>step3_validation[[#This Row],[AI_FAC1]]</f>
        <v>8</v>
      </c>
      <c r="AB32">
        <f t="shared" si="6"/>
        <v>0.77777777777777779</v>
      </c>
      <c r="AC32">
        <f>survey_responses[[#This Row],[Các thủ tục khai báo thuế VÀ/HOẶC quy trình làm việc với cơ quan thuế đơn giản, tiện lợi, nhanh chóng hơn so với trước đây. - HUMAN-FAC1]]</f>
        <v>10</v>
      </c>
      <c r="AD32">
        <f t="shared" si="7"/>
        <v>1</v>
      </c>
      <c r="AE32">
        <f>step3_validation[[#This Row],[AI_FAC2]]</f>
        <v>9</v>
      </c>
      <c r="AF32">
        <f t="shared" si="8"/>
        <v>0.88888888888888884</v>
      </c>
      <c r="AG32">
        <f>survey_responses[[#This Row],[So với trước đây, tôi thấy cách tính thuế và các bậc thuế trong phương án mới đơn giản, dễ hiểu và dễ thực hiện hơn. - HUMAN-FAC2]]</f>
        <v>7</v>
      </c>
      <c r="AH32">
        <f t="shared" si="9"/>
        <v>0.66666666666666663</v>
      </c>
      <c r="AI32" s="32">
        <f t="shared" si="10"/>
        <v>0.83333333333333326</v>
      </c>
      <c r="AJ32" s="32">
        <f t="shared" si="11"/>
        <v>0.83333333333333326</v>
      </c>
      <c r="AK32">
        <f>step3_validation[[#This Row],[AI_TRU1]]</f>
        <v>7</v>
      </c>
      <c r="AL32">
        <f t="shared" si="12"/>
        <v>0.66666666666666663</v>
      </c>
      <c r="AM32">
        <f>survey_responses[[#This Row],[Tôi tin rằng Nhà nước, cơ quan thuế sẽ thực thi chính sách mới một cách khách quan, công tâm và đối xử bình đẳng với mọi người nộp thuế.  - HUMAN-TRU1]]</f>
        <v>10</v>
      </c>
      <c r="AN32">
        <f t="shared" si="13"/>
        <v>1</v>
      </c>
      <c r="AO32">
        <f>step3_validation[[#This Row],[AI_TRU2]]</f>
        <v>9</v>
      </c>
      <c r="AP32">
        <f t="shared" si="14"/>
        <v>0.88888888888888884</v>
      </c>
      <c r="AQ32">
        <f>survey_responses[[#This Row],[Tôi thấy mức thuế tôi phải đóng theo phương án mới là công bằng (người thu nhập như tôi đóng mức này là hợp lý). - HUMAN-TRU2]]</f>
        <v>10</v>
      </c>
      <c r="AR32">
        <f t="shared" si="15"/>
        <v>1</v>
      </c>
      <c r="AS32">
        <f>step3_validation[[#This Row],[AI_TRU3]]</f>
        <v>8</v>
      </c>
      <c r="AT32">
        <f t="shared" si="16"/>
        <v>0.77777777777777779</v>
      </c>
      <c r="AU32">
        <f>survey_responses[[#This Row],[Tôi tin tưởng số tiền thuế tôi đóng sẽ được Nhà nước sử dụng hiệu quả để cải thiện dịch vụ công (y tế, đường xá...). - HUMAN-TRU3]]</f>
        <v>3</v>
      </c>
      <c r="AV32">
        <f t="shared" si="17"/>
        <v>0.22222222222222221</v>
      </c>
      <c r="AW32">
        <f>step3_validation[[#This Row],[AI_TRU4]]</f>
        <v>7</v>
      </c>
      <c r="AX32">
        <f t="shared" si="18"/>
        <v>0.66666666666666663</v>
      </c>
      <c r="AY32">
        <f>survey_responses[[#This Row],[Tôi thấy Nhà nước đã giải thích rõ ràng, minh bạch về lý do và mục tiêu của việc sửa đổi thuế lần này. - HUMAN-TRU4]]</f>
        <v>5</v>
      </c>
      <c r="AZ32">
        <f t="shared" si="19"/>
        <v>0.44444444444444442</v>
      </c>
      <c r="BA32" s="32">
        <f t="shared" si="20"/>
        <v>0.74999999999999989</v>
      </c>
      <c r="BB32" s="32">
        <f t="shared" si="21"/>
        <v>0.66666666666666674</v>
      </c>
      <c r="BC32" s="7">
        <f t="shared" si="22"/>
        <v>0.7314814814814814</v>
      </c>
      <c r="BD32" s="7">
        <f t="shared" si="23"/>
        <v>0.77777777777777768</v>
      </c>
      <c r="BE32">
        <f>step3_validation[[#This Row],[AI_OUT1]]</f>
        <v>9</v>
      </c>
      <c r="BF32">
        <f t="shared" si="24"/>
        <v>0.88888888888888884</v>
      </c>
      <c r="BG32">
        <f>survey_responses[[#This Row],[Sau khi xem xét các quyền lợi và nghĩa vụ, bạn có ủng hộ và tuân thủ chính sách mới hiện nay? - HUMAN-OUT1]]</f>
        <v>8</v>
      </c>
      <c r="BH32">
        <f t="shared" si="25"/>
        <v>0.77777777777777779</v>
      </c>
      <c r="BI32" s="32">
        <f t="shared" si="26"/>
        <v>1</v>
      </c>
    </row>
    <row r="33" spans="1:61" x14ac:dyDescent="0.45">
      <c r="A33" s="30">
        <f>step3_validation[[#This Row],[Persona_ID]]</f>
        <v>32</v>
      </c>
      <c r="B33" s="31">
        <f>step3_validation[[#This Row],[Used_Seed]]</f>
        <v>73</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26.973310439591643</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7</v>
      </c>
      <c r="R33">
        <f t="shared" si="0"/>
        <v>0.66666666666666663</v>
      </c>
      <c r="S33">
        <f>survey_responses[[#This Row],[Tôi tin rằng với các quy định quản lý thuế hiện nay, hành vi gian lận hoặc trốn thuế sẽ dễ dàng bị phát hiện và xử lý nghiêm. - HUMAN-ENF1]]</f>
        <v>5</v>
      </c>
      <c r="T33">
        <f t="shared" si="1"/>
        <v>0.44444444444444442</v>
      </c>
      <c r="U33">
        <f>step3_validation[[#This Row],[AI_ENF2]]</f>
        <v>6</v>
      </c>
      <c r="V33">
        <f t="shared" si="2"/>
        <v>0.55555555555555558</v>
      </c>
      <c r="W33">
        <f>survey_responses[[#This Row],[Tôi tin rằng Nhà nước, cơ quan thuế có đủ khả năng và công nghệ để phát hiện, xử lý nghiêm các hành vi trốn thuế. - HUMAN-ENF2]]</f>
        <v>5</v>
      </c>
      <c r="X33">
        <f t="shared" si="3"/>
        <v>0.44444444444444442</v>
      </c>
      <c r="Y33" s="32">
        <f t="shared" si="4"/>
        <v>0.61111111111111116</v>
      </c>
      <c r="Z33" s="32">
        <f t="shared" si="5"/>
        <v>0.44444444444444442</v>
      </c>
      <c r="AA33">
        <f>step3_validation[[#This Row],[AI_FAC1]]</f>
        <v>9</v>
      </c>
      <c r="AB33">
        <f t="shared" si="6"/>
        <v>0.88888888888888884</v>
      </c>
      <c r="AC33">
        <f>survey_responses[[#This Row],[Các thủ tục khai báo thuế VÀ/HOẶC quy trình làm việc với cơ quan thuế đơn giản, tiện lợi, nhanh chóng hơn so với trước đây. - HUMAN-FAC1]]</f>
        <v>5</v>
      </c>
      <c r="AD33">
        <f t="shared" si="7"/>
        <v>0.44444444444444442</v>
      </c>
      <c r="AE33">
        <f>step3_validation[[#This Row],[AI_FAC2]]</f>
        <v>8</v>
      </c>
      <c r="AF33">
        <f t="shared" si="8"/>
        <v>0.77777777777777779</v>
      </c>
      <c r="AG33">
        <f>survey_responses[[#This Row],[So với trước đây, tôi thấy cách tính thuế và các bậc thuế trong phương án mới đơn giản, dễ hiểu và dễ thực hiện hơn. - HUMAN-FAC2]]</f>
        <v>5</v>
      </c>
      <c r="AH33">
        <f t="shared" si="9"/>
        <v>0.44444444444444442</v>
      </c>
      <c r="AI33" s="32">
        <f t="shared" si="10"/>
        <v>0.83333333333333326</v>
      </c>
      <c r="AJ33" s="32">
        <f t="shared" si="11"/>
        <v>0.44444444444444442</v>
      </c>
      <c r="AK33">
        <f>step3_validation[[#This Row],[AI_TRU1]]</f>
        <v>7</v>
      </c>
      <c r="AL33">
        <f t="shared" si="12"/>
        <v>0.66666666666666663</v>
      </c>
      <c r="AM33">
        <f>survey_responses[[#This Row],[Tôi tin rằng Nhà nước, cơ quan thuế sẽ thực thi chính sách mới một cách khách quan, công tâm và đối xử bình đẳng với mọi người nộp thuế.  - HUMAN-TRU1]]</f>
        <v>5</v>
      </c>
      <c r="AN33">
        <f t="shared" si="13"/>
        <v>0.44444444444444442</v>
      </c>
      <c r="AO33">
        <f>step3_validation[[#This Row],[AI_TRU2]]</f>
        <v>8</v>
      </c>
      <c r="AP33">
        <f t="shared" si="14"/>
        <v>0.77777777777777779</v>
      </c>
      <c r="AQ33">
        <f>survey_responses[[#This Row],[Tôi thấy mức thuế tôi phải đóng theo phương án mới là công bằng (người thu nhập như tôi đóng mức này là hợp lý). - HUMAN-TRU2]]</f>
        <v>5</v>
      </c>
      <c r="AR33">
        <f t="shared" si="15"/>
        <v>0.44444444444444442</v>
      </c>
      <c r="AS33">
        <f>step3_validation[[#This Row],[AI_TRU3]]</f>
        <v>7</v>
      </c>
      <c r="AT33">
        <f t="shared" si="16"/>
        <v>0.66666666666666663</v>
      </c>
      <c r="AU33">
        <f>survey_responses[[#This Row],[Tôi tin tưởng số tiền thuế tôi đóng sẽ được Nhà nước sử dụng hiệu quả để cải thiện dịch vụ công (y tế, đường xá...). - HUMAN-TRU3]]</f>
        <v>5</v>
      </c>
      <c r="AV33">
        <f t="shared" si="17"/>
        <v>0.44444444444444442</v>
      </c>
      <c r="AW33">
        <f>step3_validation[[#This Row],[AI_TRU4]]</f>
        <v>6</v>
      </c>
      <c r="AX33">
        <f t="shared" si="18"/>
        <v>0.55555555555555558</v>
      </c>
      <c r="AY33">
        <f>survey_responses[[#This Row],[Tôi thấy Nhà nước đã giải thích rõ ràng, minh bạch về lý do và mục tiêu của việc sửa đổi thuế lần này. - HUMAN-TRU4]]</f>
        <v>5</v>
      </c>
      <c r="AZ33">
        <f t="shared" si="19"/>
        <v>0.44444444444444442</v>
      </c>
      <c r="BA33" s="32">
        <f t="shared" si="20"/>
        <v>0.66666666666666674</v>
      </c>
      <c r="BB33" s="32">
        <f t="shared" si="21"/>
        <v>0.44444444444444442</v>
      </c>
      <c r="BC33" s="7">
        <f t="shared" si="22"/>
        <v>0.70370370370370372</v>
      </c>
      <c r="BD33" s="7">
        <f t="shared" si="23"/>
        <v>0.44444444444444442</v>
      </c>
      <c r="BE33">
        <f>step3_validation[[#This Row],[AI_OUT1]]</f>
        <v>8</v>
      </c>
      <c r="BF33">
        <f t="shared" si="24"/>
        <v>0.77777777777777779</v>
      </c>
      <c r="BG33">
        <f>survey_responses[[#This Row],[Sau khi xem xét các quyền lợi và nghĩa vụ, bạn có ủng hộ và tuân thủ chính sách mới hiện nay? - HUMAN-OUT1]]</f>
        <v>5</v>
      </c>
      <c r="BH33">
        <f t="shared" si="25"/>
        <v>0.44444444444444442</v>
      </c>
      <c r="BI33" s="32">
        <f t="shared" si="26"/>
        <v>3</v>
      </c>
    </row>
    <row r="34" spans="1:61" x14ac:dyDescent="0.45">
      <c r="A34" s="30">
        <f>step3_validation[[#This Row],[Persona_ID]]</f>
        <v>33</v>
      </c>
      <c r="B34" s="31">
        <f>step3_validation[[#This Row],[Used_Seed]]</f>
        <v>74</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30.936371302917472</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f t="shared" si="0"/>
        <v>0.66666666666666663</v>
      </c>
      <c r="S34">
        <f>survey_responses[[#This Row],[Tôi tin rằng với các quy định quản lý thuế hiện nay, hành vi gian lận hoặc trốn thuế sẽ dễ dàng bị phát hiện và xử lý nghiêm. - HUMAN-ENF1]]</f>
        <v>8</v>
      </c>
      <c r="T34">
        <f t="shared" si="1"/>
        <v>0.77777777777777779</v>
      </c>
      <c r="U34">
        <f>step3_validation[[#This Row],[AI_ENF2]]</f>
        <v>7</v>
      </c>
      <c r="V34">
        <f t="shared" si="2"/>
        <v>0.66666666666666663</v>
      </c>
      <c r="W34">
        <f>survey_responses[[#This Row],[Tôi tin rằng Nhà nước, cơ quan thuế có đủ khả năng và công nghệ để phát hiện, xử lý nghiêm các hành vi trốn thuế. - HUMAN-ENF2]]</f>
        <v>9</v>
      </c>
      <c r="X34">
        <f t="shared" si="3"/>
        <v>0.88888888888888884</v>
      </c>
      <c r="Y34" s="32">
        <f t="shared" si="4"/>
        <v>0.66666666666666663</v>
      </c>
      <c r="Z34" s="32">
        <f t="shared" si="5"/>
        <v>0.83333333333333326</v>
      </c>
      <c r="AA34">
        <f>step3_validation[[#This Row],[AI_FAC1]]</f>
        <v>9</v>
      </c>
      <c r="AB34">
        <f t="shared" si="6"/>
        <v>0.88888888888888884</v>
      </c>
      <c r="AC34">
        <f>survey_responses[[#This Row],[Các thủ tục khai báo thuế VÀ/HOẶC quy trình làm việc với cơ quan thuế đơn giản, tiện lợi, nhanh chóng hơn so với trước đây. - HUMAN-FAC1]]</f>
        <v>7</v>
      </c>
      <c r="AD34">
        <f t="shared" si="7"/>
        <v>0.66666666666666663</v>
      </c>
      <c r="AE34">
        <f>step3_validation[[#This Row],[AI_FAC2]]</f>
        <v>9</v>
      </c>
      <c r="AF34">
        <f t="shared" si="8"/>
        <v>0.88888888888888884</v>
      </c>
      <c r="AG34">
        <f>survey_responses[[#This Row],[So với trước đây, tôi thấy cách tính thuế và các bậc thuế trong phương án mới đơn giản, dễ hiểu và dễ thực hiện hơn. - HUMAN-FAC2]]</f>
        <v>8</v>
      </c>
      <c r="AH34">
        <f t="shared" si="9"/>
        <v>0.77777777777777779</v>
      </c>
      <c r="AI34" s="32">
        <f t="shared" si="10"/>
        <v>0.88888888888888884</v>
      </c>
      <c r="AJ34" s="32">
        <f t="shared" si="11"/>
        <v>0.72222222222222221</v>
      </c>
      <c r="AK34">
        <f>step3_validation[[#This Row],[AI_TRU1]]</f>
        <v>8</v>
      </c>
      <c r="AL34">
        <f t="shared" si="12"/>
        <v>0.77777777777777779</v>
      </c>
      <c r="AM34">
        <f>survey_responses[[#This Row],[Tôi tin rằng Nhà nước, cơ quan thuế sẽ thực thi chính sách mới một cách khách quan, công tâm và đối xử bình đẳng với mọi người nộp thuế.  - HUMAN-TRU1]]</f>
        <v>8</v>
      </c>
      <c r="AN34">
        <f t="shared" si="13"/>
        <v>0.77777777777777779</v>
      </c>
      <c r="AO34">
        <f>step3_validation[[#This Row],[AI_TRU2]]</f>
        <v>9</v>
      </c>
      <c r="AP34">
        <f t="shared" si="14"/>
        <v>0.88888888888888884</v>
      </c>
      <c r="AQ34">
        <f>survey_responses[[#This Row],[Tôi thấy mức thuế tôi phải đóng theo phương án mới là công bằng (người thu nhập như tôi đóng mức này là hợp lý). - HUMAN-TRU2]]</f>
        <v>8</v>
      </c>
      <c r="AR34">
        <f t="shared" si="15"/>
        <v>0.77777777777777779</v>
      </c>
      <c r="AS34">
        <f>step3_validation[[#This Row],[AI_TRU3]]</f>
        <v>8</v>
      </c>
      <c r="AT34">
        <f t="shared" si="16"/>
        <v>0.77777777777777779</v>
      </c>
      <c r="AU34">
        <f>survey_responses[[#This Row],[Tôi tin tưởng số tiền thuế tôi đóng sẽ được Nhà nước sử dụng hiệu quả để cải thiện dịch vụ công (y tế, đường xá...). - HUMAN-TRU3]]</f>
        <v>3</v>
      </c>
      <c r="AV34">
        <f t="shared" si="17"/>
        <v>0.22222222222222221</v>
      </c>
      <c r="AW34">
        <f>step3_validation[[#This Row],[AI_TRU4]]</f>
        <v>7</v>
      </c>
      <c r="AX34">
        <f t="shared" si="18"/>
        <v>0.66666666666666663</v>
      </c>
      <c r="AY34">
        <f>survey_responses[[#This Row],[Tôi thấy Nhà nước đã giải thích rõ ràng, minh bạch về lý do và mục tiêu của việc sửa đổi thuế lần này. - HUMAN-TRU4]]</f>
        <v>6</v>
      </c>
      <c r="AZ34">
        <f t="shared" si="19"/>
        <v>0.55555555555555558</v>
      </c>
      <c r="BA34" s="32">
        <f t="shared" si="20"/>
        <v>0.77777777777777768</v>
      </c>
      <c r="BB34" s="32">
        <f t="shared" si="21"/>
        <v>0.58333333333333326</v>
      </c>
      <c r="BC34" s="7">
        <f t="shared" si="22"/>
        <v>0.77777777777777768</v>
      </c>
      <c r="BD34" s="7">
        <f t="shared" si="23"/>
        <v>0.7129629629629628</v>
      </c>
      <c r="BE34">
        <f>step3_validation[[#This Row],[AI_OUT1]]</f>
        <v>9</v>
      </c>
      <c r="BF34">
        <f t="shared" si="24"/>
        <v>0.88888888888888884</v>
      </c>
      <c r="BG34">
        <f>survey_responses[[#This Row],[Sau khi xem xét các quyền lợi và nghĩa vụ, bạn có ủng hộ và tuân thủ chính sách mới hiện nay? - HUMAN-OUT1]]</f>
        <v>7</v>
      </c>
      <c r="BH34">
        <f t="shared" si="25"/>
        <v>0.66666666666666663</v>
      </c>
      <c r="BI34" s="32">
        <f t="shared" si="26"/>
        <v>2</v>
      </c>
    </row>
    <row r="35" spans="1:61" x14ac:dyDescent="0.45">
      <c r="A35" s="30">
        <f>step3_validation[[#This Row],[Persona_ID]]</f>
        <v>34</v>
      </c>
      <c r="B35" s="31">
        <f>step3_validation[[#This Row],[Used_Seed]]</f>
        <v>75</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14.135256727553292</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9</v>
      </c>
      <c r="R35">
        <f t="shared" si="0"/>
        <v>0.88888888888888884</v>
      </c>
      <c r="S35">
        <f>survey_responses[[#This Row],[Tôi tin rằng với các quy định quản lý thuế hiện nay, hành vi gian lận hoặc trốn thuế sẽ dễ dàng bị phát hiện và xử lý nghiêm. - HUMAN-ENF1]]</f>
        <v>10</v>
      </c>
      <c r="T35">
        <f t="shared" si="1"/>
        <v>1</v>
      </c>
      <c r="U35">
        <f>step3_validation[[#This Row],[AI_ENF2]]</f>
        <v>8</v>
      </c>
      <c r="V35">
        <f t="shared" si="2"/>
        <v>0.77777777777777779</v>
      </c>
      <c r="W35">
        <f>survey_responses[[#This Row],[Tôi tin rằng Nhà nước, cơ quan thuế có đủ khả năng và công nghệ để phát hiện, xử lý nghiêm các hành vi trốn thuế. - HUMAN-ENF2]]</f>
        <v>10</v>
      </c>
      <c r="X35">
        <f t="shared" si="3"/>
        <v>1</v>
      </c>
      <c r="Y35" s="32">
        <f t="shared" si="4"/>
        <v>0.83333333333333326</v>
      </c>
      <c r="Z35" s="32">
        <f t="shared" si="5"/>
        <v>1</v>
      </c>
      <c r="AA35">
        <f>step3_validation[[#This Row],[AI_FAC1]]</f>
        <v>9</v>
      </c>
      <c r="AB35">
        <f t="shared" si="6"/>
        <v>0.88888888888888884</v>
      </c>
      <c r="AC35">
        <f>survey_responses[[#This Row],[Các thủ tục khai báo thuế VÀ/HOẶC quy trình làm việc với cơ quan thuế đơn giản, tiện lợi, nhanh chóng hơn so với trước đây. - HUMAN-FAC1]]</f>
        <v>10</v>
      </c>
      <c r="AD35">
        <f t="shared" si="7"/>
        <v>1</v>
      </c>
      <c r="AE35">
        <f>step3_validation[[#This Row],[AI_FAC2]]</f>
        <v>8</v>
      </c>
      <c r="AF35">
        <f t="shared" si="8"/>
        <v>0.77777777777777779</v>
      </c>
      <c r="AG35">
        <f>survey_responses[[#This Row],[So với trước đây, tôi thấy cách tính thuế và các bậc thuế trong phương án mới đơn giản, dễ hiểu và dễ thực hiện hơn. - HUMAN-FAC2]]</f>
        <v>10</v>
      </c>
      <c r="AH35">
        <f t="shared" si="9"/>
        <v>1</v>
      </c>
      <c r="AI35" s="32">
        <f t="shared" si="10"/>
        <v>0.83333333333333326</v>
      </c>
      <c r="AJ35" s="32">
        <f t="shared" si="11"/>
        <v>1</v>
      </c>
      <c r="AK35">
        <f>step3_validation[[#This Row],[AI_TRU1]]</f>
        <v>9</v>
      </c>
      <c r="AL35">
        <f t="shared" si="12"/>
        <v>0.88888888888888884</v>
      </c>
      <c r="AM35">
        <f>survey_responses[[#This Row],[Tôi tin rằng Nhà nước, cơ quan thuế sẽ thực thi chính sách mới một cách khách quan, công tâm và đối xử bình đẳng với mọi người nộp thuế.  - HUMAN-TRU1]]</f>
        <v>10</v>
      </c>
      <c r="AN35">
        <f t="shared" si="13"/>
        <v>1</v>
      </c>
      <c r="AO35">
        <f>step3_validation[[#This Row],[AI_TRU2]]</f>
        <v>8</v>
      </c>
      <c r="AP35">
        <f t="shared" si="14"/>
        <v>0.77777777777777779</v>
      </c>
      <c r="AQ35">
        <f>survey_responses[[#This Row],[Tôi thấy mức thuế tôi phải đóng theo phương án mới là công bằng (người thu nhập như tôi đóng mức này là hợp lý). - HUMAN-TRU2]]</f>
        <v>10</v>
      </c>
      <c r="AR35">
        <f t="shared" si="15"/>
        <v>1</v>
      </c>
      <c r="AS35">
        <f>step3_validation[[#This Row],[AI_TRU3]]</f>
        <v>9</v>
      </c>
      <c r="AT35">
        <f t="shared" si="16"/>
        <v>0.88888888888888884</v>
      </c>
      <c r="AU35">
        <f>survey_responses[[#This Row],[Tôi tin tưởng số tiền thuế tôi đóng sẽ được Nhà nước sử dụng hiệu quả để cải thiện dịch vụ công (y tế, đường xá...). - HUMAN-TRU3]]</f>
        <v>10</v>
      </c>
      <c r="AV35">
        <f t="shared" si="17"/>
        <v>1</v>
      </c>
      <c r="AW35">
        <f>step3_validation[[#This Row],[AI_TRU4]]</f>
        <v>8</v>
      </c>
      <c r="AX35">
        <f t="shared" si="18"/>
        <v>0.77777777777777779</v>
      </c>
      <c r="AY35">
        <f>survey_responses[[#This Row],[Tôi thấy Nhà nước đã giải thích rõ ràng, minh bạch về lý do và mục tiêu của việc sửa đổi thuế lần này. - HUMAN-TRU4]]</f>
        <v>10</v>
      </c>
      <c r="AZ35">
        <f t="shared" si="19"/>
        <v>1</v>
      </c>
      <c r="BA35" s="32">
        <f t="shared" si="20"/>
        <v>0.83333333333333326</v>
      </c>
      <c r="BB35" s="32">
        <f t="shared" si="21"/>
        <v>1</v>
      </c>
      <c r="BC35" s="7">
        <f t="shared" si="22"/>
        <v>0.83333333333333337</v>
      </c>
      <c r="BD35" s="7">
        <f t="shared" si="23"/>
        <v>1</v>
      </c>
      <c r="BE35">
        <f>step3_validation[[#This Row],[AI_OUT1]]</f>
        <v>9</v>
      </c>
      <c r="BF35">
        <f t="shared" si="24"/>
        <v>0.88888888888888884</v>
      </c>
      <c r="BG35">
        <f>survey_responses[[#This Row],[Sau khi xem xét các quyền lợi và nghĩa vụ, bạn có ủng hộ và tuân thủ chính sách mới hiện nay? - HUMAN-OUT1]]</f>
        <v>10</v>
      </c>
      <c r="BH35">
        <f t="shared" si="25"/>
        <v>1</v>
      </c>
      <c r="BI35" s="32">
        <f t="shared" si="26"/>
        <v>1</v>
      </c>
    </row>
    <row r="36" spans="1:61" x14ac:dyDescent="0.45">
      <c r="A36" s="30">
        <f>step3_validation[[#This Row],[Persona_ID]]</f>
        <v>35</v>
      </c>
      <c r="B36" s="31">
        <f>step3_validation[[#This Row],[Used_Seed]]</f>
        <v>76</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16.728124504466535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6</v>
      </c>
      <c r="R36">
        <f t="shared" si="0"/>
        <v>0.55555555555555558</v>
      </c>
      <c r="S36">
        <f>survey_responses[[#This Row],[Tôi tin rằng với các quy định quản lý thuế hiện nay, hành vi gian lận hoặc trốn thuế sẽ dễ dàng bị phát hiện và xử lý nghiêm. - HUMAN-ENF1]]</f>
        <v>10</v>
      </c>
      <c r="T36">
        <f t="shared" si="1"/>
        <v>1</v>
      </c>
      <c r="U36">
        <f>step3_validation[[#This Row],[AI_ENF2]]</f>
        <v>7</v>
      </c>
      <c r="V36">
        <f t="shared" si="2"/>
        <v>0.66666666666666663</v>
      </c>
      <c r="W36">
        <f>survey_responses[[#This Row],[Tôi tin rằng Nhà nước, cơ quan thuế có đủ khả năng và công nghệ để phát hiện, xử lý nghiêm các hành vi trốn thuế. - HUMAN-ENF2]]</f>
        <v>10</v>
      </c>
      <c r="X36">
        <f t="shared" si="3"/>
        <v>1</v>
      </c>
      <c r="Y36" s="32">
        <f t="shared" si="4"/>
        <v>0.61111111111111116</v>
      </c>
      <c r="Z36" s="32">
        <f t="shared" si="5"/>
        <v>1</v>
      </c>
      <c r="AA36">
        <f>step3_validation[[#This Row],[AI_FAC1]]</f>
        <v>9</v>
      </c>
      <c r="AB36">
        <f t="shared" si="6"/>
        <v>0.88888888888888884</v>
      </c>
      <c r="AC36">
        <f>survey_responses[[#This Row],[Các thủ tục khai báo thuế VÀ/HOẶC quy trình làm việc với cơ quan thuế đơn giản, tiện lợi, nhanh chóng hơn so với trước đây. - HUMAN-FAC1]]</f>
        <v>10</v>
      </c>
      <c r="AD36">
        <f t="shared" si="7"/>
        <v>1</v>
      </c>
      <c r="AE36">
        <f>step3_validation[[#This Row],[AI_FAC2]]</f>
        <v>10</v>
      </c>
      <c r="AF36">
        <f t="shared" si="8"/>
        <v>1</v>
      </c>
      <c r="AG36">
        <f>survey_responses[[#This Row],[So với trước đây, tôi thấy cách tính thuế và các bậc thuế trong phương án mới đơn giản, dễ hiểu và dễ thực hiện hơn. - HUMAN-FAC2]]</f>
        <v>10</v>
      </c>
      <c r="AH36">
        <f t="shared" si="9"/>
        <v>1</v>
      </c>
      <c r="AI36" s="32">
        <f t="shared" si="10"/>
        <v>0.94444444444444442</v>
      </c>
      <c r="AJ36" s="32">
        <f t="shared" si="11"/>
        <v>1</v>
      </c>
      <c r="AK36">
        <f>step3_validation[[#This Row],[AI_TRU1]]</f>
        <v>8</v>
      </c>
      <c r="AL36">
        <f t="shared" si="12"/>
        <v>0.77777777777777779</v>
      </c>
      <c r="AM36">
        <f>survey_responses[[#This Row],[Tôi tin rằng Nhà nước, cơ quan thuế sẽ thực thi chính sách mới một cách khách quan, công tâm và đối xử bình đẳng với mọi người nộp thuế.  - HUMAN-TRU1]]</f>
        <v>10</v>
      </c>
      <c r="AN36">
        <f t="shared" si="13"/>
        <v>1</v>
      </c>
      <c r="AO36">
        <f>step3_validation[[#This Row],[AI_TRU2]]</f>
        <v>9</v>
      </c>
      <c r="AP36">
        <f t="shared" si="14"/>
        <v>0.88888888888888884</v>
      </c>
      <c r="AQ36">
        <f>survey_responses[[#This Row],[Tôi thấy mức thuế tôi phải đóng theo phương án mới là công bằng (người thu nhập như tôi đóng mức này là hợp lý). - HUMAN-TRU2]]</f>
        <v>10</v>
      </c>
      <c r="AR36">
        <f t="shared" si="15"/>
        <v>1</v>
      </c>
      <c r="AS36">
        <f>step3_validation[[#This Row],[AI_TRU3]]</f>
        <v>8</v>
      </c>
      <c r="AT36">
        <f t="shared" si="16"/>
        <v>0.77777777777777779</v>
      </c>
      <c r="AU36">
        <f>survey_responses[[#This Row],[Tôi tin tưởng số tiền thuế tôi đóng sẽ được Nhà nước sử dụng hiệu quả để cải thiện dịch vụ công (y tế, đường xá...). - HUMAN-TRU3]]</f>
        <v>10</v>
      </c>
      <c r="AV36">
        <f t="shared" si="17"/>
        <v>1</v>
      </c>
      <c r="AW36">
        <f>step3_validation[[#This Row],[AI_TRU4]]</f>
        <v>9</v>
      </c>
      <c r="AX36">
        <f t="shared" si="18"/>
        <v>0.88888888888888884</v>
      </c>
      <c r="AY36">
        <f>survey_responses[[#This Row],[Tôi thấy Nhà nước đã giải thích rõ ràng, minh bạch về lý do và mục tiêu của việc sửa đổi thuế lần này. - HUMAN-TRU4]]</f>
        <v>10</v>
      </c>
      <c r="AZ36">
        <f t="shared" si="19"/>
        <v>1</v>
      </c>
      <c r="BA36" s="32">
        <f t="shared" si="20"/>
        <v>0.83333333333333326</v>
      </c>
      <c r="BB36" s="32">
        <f t="shared" si="21"/>
        <v>1</v>
      </c>
      <c r="BC36" s="7">
        <f t="shared" si="22"/>
        <v>0.79629629629629628</v>
      </c>
      <c r="BD36" s="7">
        <f t="shared" si="23"/>
        <v>1</v>
      </c>
      <c r="BE36">
        <f>step3_validation[[#This Row],[AI_OUT1]]</f>
        <v>9</v>
      </c>
      <c r="BF36">
        <f t="shared" si="24"/>
        <v>0.88888888888888884</v>
      </c>
      <c r="BG36">
        <f>survey_responses[[#This Row],[Sau khi xem xét các quyền lợi và nghĩa vụ, bạn có ủng hộ và tuân thủ chính sách mới hiện nay? - HUMAN-OUT1]]</f>
        <v>10</v>
      </c>
      <c r="BH36">
        <f t="shared" si="25"/>
        <v>1</v>
      </c>
      <c r="BI36" s="32">
        <f t="shared" si="26"/>
        <v>1</v>
      </c>
    </row>
    <row r="37" spans="1:61" x14ac:dyDescent="0.45">
      <c r="A37" s="30">
        <f>step3_validation[[#This Row],[Persona_ID]]</f>
        <v>36</v>
      </c>
      <c r="B37" s="31">
        <f>step3_validation[[#This Row],[Used_Seed]]</f>
        <v>77</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13.9578050881882</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f t="shared" si="0"/>
        <v>0.66666666666666663</v>
      </c>
      <c r="S37">
        <f>survey_responses[[#This Row],[Tôi tin rằng với các quy định quản lý thuế hiện nay, hành vi gian lận hoặc trốn thuế sẽ dễ dàng bị phát hiện và xử lý nghiêm. - HUMAN-ENF1]]</f>
        <v>10</v>
      </c>
      <c r="T37">
        <f t="shared" si="1"/>
        <v>1</v>
      </c>
      <c r="U37">
        <f>step3_validation[[#This Row],[AI_ENF2]]</f>
        <v>8</v>
      </c>
      <c r="V37">
        <f t="shared" si="2"/>
        <v>0.77777777777777779</v>
      </c>
      <c r="W37">
        <f>survey_responses[[#This Row],[Tôi tin rằng Nhà nước, cơ quan thuế có đủ khả năng và công nghệ để phát hiện, xử lý nghiêm các hành vi trốn thuế. - HUMAN-ENF2]]</f>
        <v>9</v>
      </c>
      <c r="X37">
        <f t="shared" si="3"/>
        <v>0.88888888888888884</v>
      </c>
      <c r="Y37" s="32">
        <f t="shared" si="4"/>
        <v>0.72222222222222221</v>
      </c>
      <c r="Z37" s="32">
        <f t="shared" si="5"/>
        <v>0.94444444444444442</v>
      </c>
      <c r="AA37">
        <f>step3_validation[[#This Row],[AI_FAC1]]</f>
        <v>9</v>
      </c>
      <c r="AB37">
        <f t="shared" si="6"/>
        <v>0.88888888888888884</v>
      </c>
      <c r="AC37">
        <f>survey_responses[[#This Row],[Các thủ tục khai báo thuế VÀ/HOẶC quy trình làm việc với cơ quan thuế đơn giản, tiện lợi, nhanh chóng hơn so với trước đây. - HUMAN-FAC1]]</f>
        <v>10</v>
      </c>
      <c r="AD37">
        <f t="shared" si="7"/>
        <v>1</v>
      </c>
      <c r="AE37">
        <f>step3_validation[[#This Row],[AI_FAC2]]</f>
        <v>8</v>
      </c>
      <c r="AF37">
        <f t="shared" si="8"/>
        <v>0.77777777777777779</v>
      </c>
      <c r="AG37">
        <f>survey_responses[[#This Row],[So với trước đây, tôi thấy cách tính thuế và các bậc thuế trong phương án mới đơn giản, dễ hiểu và dễ thực hiện hơn. - HUMAN-FAC2]]</f>
        <v>8</v>
      </c>
      <c r="AH37">
        <f t="shared" si="9"/>
        <v>0.77777777777777779</v>
      </c>
      <c r="AI37" s="32">
        <f t="shared" si="10"/>
        <v>0.83333333333333326</v>
      </c>
      <c r="AJ37" s="32">
        <f t="shared" si="11"/>
        <v>0.88888888888888884</v>
      </c>
      <c r="AK37">
        <f>step3_validation[[#This Row],[AI_TRU1]]</f>
        <v>9</v>
      </c>
      <c r="AL37">
        <f t="shared" si="12"/>
        <v>0.88888888888888884</v>
      </c>
      <c r="AM37">
        <f>survey_responses[[#This Row],[Tôi tin rằng Nhà nước, cơ quan thuế sẽ thực thi chính sách mới một cách khách quan, công tâm và đối xử bình đẳng với mọi người nộp thuế.  - HUMAN-TRU1]]</f>
        <v>10</v>
      </c>
      <c r="AN37">
        <f t="shared" si="13"/>
        <v>1</v>
      </c>
      <c r="AO37">
        <f>step3_validation[[#This Row],[AI_TRU2]]</f>
        <v>8</v>
      </c>
      <c r="AP37">
        <f t="shared" si="14"/>
        <v>0.77777777777777779</v>
      </c>
      <c r="AQ37">
        <f>survey_responses[[#This Row],[Tôi thấy mức thuế tôi phải đóng theo phương án mới là công bằng (người thu nhập như tôi đóng mức này là hợp lý). - HUMAN-TRU2]]</f>
        <v>9</v>
      </c>
      <c r="AR37">
        <f t="shared" si="15"/>
        <v>0.88888888888888884</v>
      </c>
      <c r="AS37">
        <f>step3_validation[[#This Row],[AI_TRU3]]</f>
        <v>9</v>
      </c>
      <c r="AT37">
        <f t="shared" si="16"/>
        <v>0.88888888888888884</v>
      </c>
      <c r="AU37">
        <f>survey_responses[[#This Row],[Tôi tin tưởng số tiền thuế tôi đóng sẽ được Nhà nước sử dụng hiệu quả để cải thiện dịch vụ công (y tế, đường xá...). - HUMAN-TRU3]]</f>
        <v>10</v>
      </c>
      <c r="AV37">
        <f t="shared" si="17"/>
        <v>1</v>
      </c>
      <c r="AW37">
        <f>step3_validation[[#This Row],[AI_TRU4]]</f>
        <v>8</v>
      </c>
      <c r="AX37">
        <f t="shared" si="18"/>
        <v>0.77777777777777779</v>
      </c>
      <c r="AY37">
        <f>survey_responses[[#This Row],[Tôi thấy Nhà nước đã giải thích rõ ràng, minh bạch về lý do và mục tiêu của việc sửa đổi thuế lần này. - HUMAN-TRU4]]</f>
        <v>10</v>
      </c>
      <c r="AZ37">
        <f t="shared" si="19"/>
        <v>1</v>
      </c>
      <c r="BA37" s="32">
        <f t="shared" si="20"/>
        <v>0.83333333333333326</v>
      </c>
      <c r="BB37" s="32">
        <f t="shared" si="21"/>
        <v>0.97222222222222221</v>
      </c>
      <c r="BC37" s="7">
        <f t="shared" si="22"/>
        <v>0.79629629629629617</v>
      </c>
      <c r="BD37" s="7">
        <f t="shared" si="23"/>
        <v>0.93518518518518512</v>
      </c>
      <c r="BE37">
        <f>step3_validation[[#This Row],[AI_OUT1]]</f>
        <v>9</v>
      </c>
      <c r="BF37">
        <f t="shared" si="24"/>
        <v>0.88888888888888884</v>
      </c>
      <c r="BG37">
        <f>survey_responses[[#This Row],[Sau khi xem xét các quyền lợi và nghĩa vụ, bạn có ủng hộ và tuân thủ chính sách mới hiện nay? - HUMAN-OUT1]]</f>
        <v>10</v>
      </c>
      <c r="BH37">
        <f t="shared" si="25"/>
        <v>1</v>
      </c>
      <c r="BI37" s="32">
        <f t="shared" si="26"/>
        <v>1</v>
      </c>
    </row>
    <row r="38" spans="1:61" x14ac:dyDescent="0.45">
      <c r="A38" s="30">
        <f>step3_validation[[#This Row],[Persona_ID]]</f>
        <v>37</v>
      </c>
      <c r="B38" s="31">
        <f>step3_validation[[#This Row],[Used_Seed]]</f>
        <v>78</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12.13204698601211</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7</v>
      </c>
      <c r="R38">
        <f t="shared" si="0"/>
        <v>0.66666666666666663</v>
      </c>
      <c r="S38">
        <f>survey_responses[[#This Row],[Tôi tin rằng với các quy định quản lý thuế hiện nay, hành vi gian lận hoặc trốn thuế sẽ dễ dàng bị phát hiện và xử lý nghiêm. - HUMAN-ENF1]]</f>
        <v>10</v>
      </c>
      <c r="T38">
        <f t="shared" si="1"/>
        <v>1</v>
      </c>
      <c r="U38">
        <f>step3_validation[[#This Row],[AI_ENF2]]</f>
        <v>6</v>
      </c>
      <c r="V38">
        <f t="shared" si="2"/>
        <v>0.55555555555555558</v>
      </c>
      <c r="W38">
        <f>survey_responses[[#This Row],[Tôi tin rằng Nhà nước, cơ quan thuế có đủ khả năng và công nghệ để phát hiện, xử lý nghiêm các hành vi trốn thuế. - HUMAN-ENF2]]</f>
        <v>10</v>
      </c>
      <c r="X38">
        <f t="shared" si="3"/>
        <v>1</v>
      </c>
      <c r="Y38" s="32">
        <f t="shared" si="4"/>
        <v>0.61111111111111116</v>
      </c>
      <c r="Z38" s="32">
        <f t="shared" si="5"/>
        <v>1</v>
      </c>
      <c r="AA38">
        <f>step3_validation[[#This Row],[AI_FAC1]]</f>
        <v>8</v>
      </c>
      <c r="AB38">
        <f t="shared" si="6"/>
        <v>0.77777777777777779</v>
      </c>
      <c r="AC38">
        <f>survey_responses[[#This Row],[Các thủ tục khai báo thuế VÀ/HOẶC quy trình làm việc với cơ quan thuế đơn giản, tiện lợi, nhanh chóng hơn so với trước đây. - HUMAN-FAC1]]</f>
        <v>10</v>
      </c>
      <c r="AD38">
        <f t="shared" si="7"/>
        <v>1</v>
      </c>
      <c r="AE38">
        <f>step3_validation[[#This Row],[AI_FAC2]]</f>
        <v>9</v>
      </c>
      <c r="AF38">
        <f t="shared" si="8"/>
        <v>0.88888888888888884</v>
      </c>
      <c r="AG38">
        <f>survey_responses[[#This Row],[So với trước đây, tôi thấy cách tính thuế và các bậc thuế trong phương án mới đơn giản, dễ hiểu và dễ thực hiện hơn. - HUMAN-FAC2]]</f>
        <v>10</v>
      </c>
      <c r="AH38">
        <f t="shared" si="9"/>
        <v>1</v>
      </c>
      <c r="AI38" s="32">
        <f t="shared" si="10"/>
        <v>0.83333333333333326</v>
      </c>
      <c r="AJ38" s="32">
        <f t="shared" si="11"/>
        <v>1</v>
      </c>
      <c r="AK38">
        <f>step3_validation[[#This Row],[AI_TRU1]]</f>
        <v>8</v>
      </c>
      <c r="AL38">
        <f t="shared" si="12"/>
        <v>0.77777777777777779</v>
      </c>
      <c r="AM38">
        <f>survey_responses[[#This Row],[Tôi tin rằng Nhà nước, cơ quan thuế sẽ thực thi chính sách mới một cách khách quan, công tâm và đối xử bình đẳng với mọi người nộp thuế.  - HUMAN-TRU1]]</f>
        <v>9</v>
      </c>
      <c r="AN38">
        <f t="shared" si="13"/>
        <v>0.88888888888888884</v>
      </c>
      <c r="AO38">
        <f>step3_validation[[#This Row],[AI_TRU2]]</f>
        <v>9</v>
      </c>
      <c r="AP38">
        <f t="shared" si="14"/>
        <v>0.88888888888888884</v>
      </c>
      <c r="AQ38">
        <f>survey_responses[[#This Row],[Tôi thấy mức thuế tôi phải đóng theo phương án mới là công bằng (người thu nhập như tôi đóng mức này là hợp lý). - HUMAN-TRU2]]</f>
        <v>9</v>
      </c>
      <c r="AR38">
        <f t="shared" si="15"/>
        <v>0.88888888888888884</v>
      </c>
      <c r="AS38">
        <f>step3_validation[[#This Row],[AI_TRU3]]</f>
        <v>8</v>
      </c>
      <c r="AT38">
        <f t="shared" si="16"/>
        <v>0.77777777777777779</v>
      </c>
      <c r="AU38">
        <f>survey_responses[[#This Row],[Tôi tin tưởng số tiền thuế tôi đóng sẽ được Nhà nước sử dụng hiệu quả để cải thiện dịch vụ công (y tế, đường xá...). - HUMAN-TRU3]]</f>
        <v>9</v>
      </c>
      <c r="AV38">
        <f t="shared" si="17"/>
        <v>0.88888888888888884</v>
      </c>
      <c r="AW38">
        <f>step3_validation[[#This Row],[AI_TRU4]]</f>
        <v>9</v>
      </c>
      <c r="AX38">
        <f t="shared" si="18"/>
        <v>0.88888888888888884</v>
      </c>
      <c r="AY38">
        <f>survey_responses[[#This Row],[Tôi thấy Nhà nước đã giải thích rõ ràng, minh bạch về lý do và mục tiêu của việc sửa đổi thuế lần này. - HUMAN-TRU4]]</f>
        <v>9</v>
      </c>
      <c r="AZ38">
        <f t="shared" si="19"/>
        <v>0.88888888888888884</v>
      </c>
      <c r="BA38" s="32">
        <f t="shared" si="20"/>
        <v>0.83333333333333326</v>
      </c>
      <c r="BB38" s="32">
        <f t="shared" si="21"/>
        <v>0.88888888888888884</v>
      </c>
      <c r="BC38" s="7">
        <f t="shared" si="22"/>
        <v>0.75925925925925919</v>
      </c>
      <c r="BD38" s="7">
        <f t="shared" si="23"/>
        <v>0.96296296296296291</v>
      </c>
      <c r="BE38">
        <f>step3_validation[[#This Row],[AI_OUT1]]</f>
        <v>10</v>
      </c>
      <c r="BF38">
        <f t="shared" si="24"/>
        <v>1</v>
      </c>
      <c r="BG38">
        <f>survey_responses[[#This Row],[Sau khi xem xét các quyền lợi và nghĩa vụ, bạn có ủng hộ và tuân thủ chính sách mới hiện nay? - HUMAN-OUT1]]</f>
        <v>8</v>
      </c>
      <c r="BH38">
        <f t="shared" si="25"/>
        <v>0.77777777777777779</v>
      </c>
      <c r="BI38" s="32">
        <f t="shared" si="26"/>
        <v>2</v>
      </c>
    </row>
    <row r="39" spans="1:61" x14ac:dyDescent="0.45">
      <c r="A39" s="30">
        <f>step3_validation[[#This Row],[Persona_ID]]</f>
        <v>38</v>
      </c>
      <c r="B39" s="31">
        <f>step3_validation[[#This Row],[Used_Seed]]</f>
        <v>79</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41.771205707899007</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9</v>
      </c>
      <c r="R39">
        <f t="shared" si="0"/>
        <v>0.88888888888888884</v>
      </c>
      <c r="S39">
        <f>survey_responses[[#This Row],[Tôi tin rằng với các quy định quản lý thuế hiện nay, hành vi gian lận hoặc trốn thuế sẽ dễ dàng bị phát hiện và xử lý nghiêm. - HUMAN-ENF1]]</f>
        <v>8</v>
      </c>
      <c r="T39">
        <f t="shared" si="1"/>
        <v>0.77777777777777779</v>
      </c>
      <c r="U39">
        <f>step3_validation[[#This Row],[AI_ENF2]]</f>
        <v>8</v>
      </c>
      <c r="V39">
        <f t="shared" si="2"/>
        <v>0.77777777777777779</v>
      </c>
      <c r="W39">
        <f>survey_responses[[#This Row],[Tôi tin rằng Nhà nước, cơ quan thuế có đủ khả năng và công nghệ để phát hiện, xử lý nghiêm các hành vi trốn thuế. - HUMAN-ENF2]]</f>
        <v>8</v>
      </c>
      <c r="X39">
        <f t="shared" si="3"/>
        <v>0.77777777777777779</v>
      </c>
      <c r="Y39" s="32">
        <f t="shared" si="4"/>
        <v>0.83333333333333326</v>
      </c>
      <c r="Z39" s="32">
        <f t="shared" si="5"/>
        <v>0.77777777777777779</v>
      </c>
      <c r="AA39">
        <f>step3_validation[[#This Row],[AI_FAC1]]</f>
        <v>9</v>
      </c>
      <c r="AB39">
        <f t="shared" si="6"/>
        <v>0.88888888888888884</v>
      </c>
      <c r="AC39">
        <f>survey_responses[[#This Row],[Các thủ tục khai báo thuế VÀ/HOẶC quy trình làm việc với cơ quan thuế đơn giản, tiện lợi, nhanh chóng hơn so với trước đây. - HUMAN-FAC1]]</f>
        <v>8</v>
      </c>
      <c r="AD39">
        <f t="shared" si="7"/>
        <v>0.77777777777777779</v>
      </c>
      <c r="AE39">
        <f>step3_validation[[#This Row],[AI_FAC2]]</f>
        <v>8</v>
      </c>
      <c r="AF39">
        <f t="shared" si="8"/>
        <v>0.77777777777777779</v>
      </c>
      <c r="AG39">
        <f>survey_responses[[#This Row],[So với trước đây, tôi thấy cách tính thuế và các bậc thuế trong phương án mới đơn giản, dễ hiểu và dễ thực hiện hơn. - HUMAN-FAC2]]</f>
        <v>8</v>
      </c>
      <c r="AH39">
        <f t="shared" si="9"/>
        <v>0.77777777777777779</v>
      </c>
      <c r="AI39" s="32">
        <f t="shared" si="10"/>
        <v>0.83333333333333326</v>
      </c>
      <c r="AJ39" s="32">
        <f t="shared" si="11"/>
        <v>0.77777777777777779</v>
      </c>
      <c r="AK39">
        <f>step3_validation[[#This Row],[AI_TRU1]]</f>
        <v>9</v>
      </c>
      <c r="AL39">
        <f t="shared" si="12"/>
        <v>0.88888888888888884</v>
      </c>
      <c r="AM39">
        <f>survey_responses[[#This Row],[Tôi tin rằng Nhà nước, cơ quan thuế sẽ thực thi chính sách mới một cách khách quan, công tâm và đối xử bình đẳng với mọi người nộp thuế.  - HUMAN-TRU1]]</f>
        <v>8</v>
      </c>
      <c r="AN39">
        <f t="shared" si="13"/>
        <v>0.77777777777777779</v>
      </c>
      <c r="AO39">
        <f>step3_validation[[#This Row],[AI_TRU2]]</f>
        <v>8</v>
      </c>
      <c r="AP39">
        <f t="shared" si="14"/>
        <v>0.77777777777777779</v>
      </c>
      <c r="AQ39">
        <f>survey_responses[[#This Row],[Tôi thấy mức thuế tôi phải đóng theo phương án mới là công bằng (người thu nhập như tôi đóng mức này là hợp lý). - HUMAN-TRU2]]</f>
        <v>8</v>
      </c>
      <c r="AR39">
        <f t="shared" si="15"/>
        <v>0.77777777777777779</v>
      </c>
      <c r="AS39">
        <f>step3_validation[[#This Row],[AI_TRU3]]</f>
        <v>9</v>
      </c>
      <c r="AT39">
        <f t="shared" si="16"/>
        <v>0.88888888888888884</v>
      </c>
      <c r="AU39">
        <f>survey_responses[[#This Row],[Tôi tin tưởng số tiền thuế tôi đóng sẽ được Nhà nước sử dụng hiệu quả để cải thiện dịch vụ công (y tế, đường xá...). - HUMAN-TRU3]]</f>
        <v>8</v>
      </c>
      <c r="AV39">
        <f t="shared" si="17"/>
        <v>0.77777777777777779</v>
      </c>
      <c r="AW39">
        <f>step3_validation[[#This Row],[AI_TRU4]]</f>
        <v>8</v>
      </c>
      <c r="AX39">
        <f t="shared" si="18"/>
        <v>0.77777777777777779</v>
      </c>
      <c r="AY39">
        <f>survey_responses[[#This Row],[Tôi thấy Nhà nước đã giải thích rõ ràng, minh bạch về lý do và mục tiêu của việc sửa đổi thuế lần này. - HUMAN-TRU4]]</f>
        <v>8</v>
      </c>
      <c r="AZ39">
        <f t="shared" si="19"/>
        <v>0.77777777777777779</v>
      </c>
      <c r="BA39" s="32">
        <f t="shared" si="20"/>
        <v>0.83333333333333326</v>
      </c>
      <c r="BB39" s="32">
        <f t="shared" si="21"/>
        <v>0.77777777777777779</v>
      </c>
      <c r="BC39" s="7">
        <f t="shared" si="22"/>
        <v>0.83333333333333337</v>
      </c>
      <c r="BD39" s="7">
        <f t="shared" si="23"/>
        <v>0.77777777777777779</v>
      </c>
      <c r="BE39">
        <f>step3_validation[[#This Row],[AI_OUT1]]</f>
        <v>9</v>
      </c>
      <c r="BF39">
        <f t="shared" si="24"/>
        <v>0.88888888888888884</v>
      </c>
      <c r="BG39">
        <f>survey_responses[[#This Row],[Sau khi xem xét các quyền lợi và nghĩa vụ, bạn có ủng hộ và tuân thủ chính sách mới hiện nay? - HUMAN-OUT1]]</f>
        <v>8</v>
      </c>
      <c r="BH39">
        <f t="shared" si="25"/>
        <v>0.77777777777777779</v>
      </c>
      <c r="BI39" s="32">
        <f t="shared" si="26"/>
        <v>1</v>
      </c>
    </row>
    <row r="40" spans="1:61" x14ac:dyDescent="0.45">
      <c r="A40" s="30">
        <f>step3_validation[[#This Row],[Persona_ID]]</f>
        <v>39</v>
      </c>
      <c r="B40" s="31">
        <f>step3_validation[[#This Row],[Used_Seed]]</f>
        <v>80</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13.578579268931882</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7</v>
      </c>
      <c r="R40">
        <f t="shared" si="0"/>
        <v>0.66666666666666663</v>
      </c>
      <c r="S40">
        <f>survey_responses[[#This Row],[Tôi tin rằng với các quy định quản lý thuế hiện nay, hành vi gian lận hoặc trốn thuế sẽ dễ dàng bị phát hiện và xử lý nghiêm. - HUMAN-ENF1]]</f>
        <v>10</v>
      </c>
      <c r="T40">
        <f t="shared" si="1"/>
        <v>1</v>
      </c>
      <c r="U40">
        <f>step3_validation[[#This Row],[AI_ENF2]]</f>
        <v>6</v>
      </c>
      <c r="V40">
        <f t="shared" si="2"/>
        <v>0.55555555555555558</v>
      </c>
      <c r="W40">
        <f>survey_responses[[#This Row],[Tôi tin rằng Nhà nước, cơ quan thuế có đủ khả năng và công nghệ để phát hiện, xử lý nghiêm các hành vi trốn thuế. - HUMAN-ENF2]]</f>
        <v>10</v>
      </c>
      <c r="X40">
        <f t="shared" si="3"/>
        <v>1</v>
      </c>
      <c r="Y40" s="32">
        <f t="shared" si="4"/>
        <v>0.61111111111111116</v>
      </c>
      <c r="Z40" s="32">
        <f t="shared" si="5"/>
        <v>1</v>
      </c>
      <c r="AA40">
        <f>step3_validation[[#This Row],[AI_FAC1]]</f>
        <v>9</v>
      </c>
      <c r="AB40">
        <f t="shared" si="6"/>
        <v>0.88888888888888884</v>
      </c>
      <c r="AC40">
        <f>survey_responses[[#This Row],[Các thủ tục khai báo thuế VÀ/HOẶC quy trình làm việc với cơ quan thuế đơn giản, tiện lợi, nhanh chóng hơn so với trước đây. - HUMAN-FAC1]]</f>
        <v>10</v>
      </c>
      <c r="AD40">
        <f t="shared" si="7"/>
        <v>1</v>
      </c>
      <c r="AE40">
        <f>step3_validation[[#This Row],[AI_FAC2]]</f>
        <v>9</v>
      </c>
      <c r="AF40">
        <f t="shared" si="8"/>
        <v>0.88888888888888884</v>
      </c>
      <c r="AG40">
        <f>survey_responses[[#This Row],[So với trước đây, tôi thấy cách tính thuế và các bậc thuế trong phương án mới đơn giản, dễ hiểu và dễ thực hiện hơn. - HUMAN-FAC2]]</f>
        <v>10</v>
      </c>
      <c r="AH40">
        <f t="shared" si="9"/>
        <v>1</v>
      </c>
      <c r="AI40" s="32">
        <f t="shared" si="10"/>
        <v>0.88888888888888884</v>
      </c>
      <c r="AJ40" s="32">
        <f t="shared" si="11"/>
        <v>1</v>
      </c>
      <c r="AK40">
        <f>step3_validation[[#This Row],[AI_TRU1]]</f>
        <v>7</v>
      </c>
      <c r="AL40">
        <f t="shared" si="12"/>
        <v>0.66666666666666663</v>
      </c>
      <c r="AM40">
        <f>survey_responses[[#This Row],[Tôi tin rằng Nhà nước, cơ quan thuế sẽ thực thi chính sách mới một cách khách quan, công tâm và đối xử bình đẳng với mọi người nộp thuế.  - HUMAN-TRU1]]</f>
        <v>10</v>
      </c>
      <c r="AN40">
        <f t="shared" si="13"/>
        <v>1</v>
      </c>
      <c r="AO40">
        <f>step3_validation[[#This Row],[AI_TRU2]]</f>
        <v>8</v>
      </c>
      <c r="AP40">
        <f t="shared" si="14"/>
        <v>0.77777777777777779</v>
      </c>
      <c r="AQ40">
        <f>survey_responses[[#This Row],[Tôi thấy mức thuế tôi phải đóng theo phương án mới là công bằng (người thu nhập như tôi đóng mức này là hợp lý). - HUMAN-TRU2]]</f>
        <v>10</v>
      </c>
      <c r="AR40">
        <f t="shared" si="15"/>
        <v>1</v>
      </c>
      <c r="AS40">
        <f>step3_validation[[#This Row],[AI_TRU3]]</f>
        <v>7</v>
      </c>
      <c r="AT40">
        <f t="shared" si="16"/>
        <v>0.66666666666666663</v>
      </c>
      <c r="AU40">
        <f>survey_responses[[#This Row],[Tôi tin tưởng số tiền thuế tôi đóng sẽ được Nhà nước sử dụng hiệu quả để cải thiện dịch vụ công (y tế, đường xá...). - HUMAN-TRU3]]</f>
        <v>10</v>
      </c>
      <c r="AV40">
        <f t="shared" si="17"/>
        <v>1</v>
      </c>
      <c r="AW40">
        <f>step3_validation[[#This Row],[AI_TRU4]]</f>
        <v>6</v>
      </c>
      <c r="AX40">
        <f t="shared" si="18"/>
        <v>0.55555555555555558</v>
      </c>
      <c r="AY40">
        <f>survey_responses[[#This Row],[Tôi thấy Nhà nước đã giải thích rõ ràng, minh bạch về lý do và mục tiêu của việc sửa đổi thuế lần này. - HUMAN-TRU4]]</f>
        <v>10</v>
      </c>
      <c r="AZ40">
        <f t="shared" si="19"/>
        <v>1</v>
      </c>
      <c r="BA40" s="32">
        <f t="shared" si="20"/>
        <v>0.66666666666666674</v>
      </c>
      <c r="BB40" s="32">
        <f t="shared" si="21"/>
        <v>1</v>
      </c>
      <c r="BC40" s="7">
        <f t="shared" si="22"/>
        <v>0.72222222222222232</v>
      </c>
      <c r="BD40" s="7">
        <f t="shared" si="23"/>
        <v>1</v>
      </c>
      <c r="BE40">
        <f>step3_validation[[#This Row],[AI_OUT1]]</f>
        <v>8</v>
      </c>
      <c r="BF40">
        <f t="shared" si="24"/>
        <v>0.77777777777777779</v>
      </c>
      <c r="BG40">
        <f>survey_responses[[#This Row],[Sau khi xem xét các quyền lợi và nghĩa vụ, bạn có ủng hộ và tuân thủ chính sách mới hiện nay? - HUMAN-OUT1]]</f>
        <v>10</v>
      </c>
      <c r="BH40">
        <f t="shared" si="25"/>
        <v>1</v>
      </c>
      <c r="BI40" s="32">
        <f t="shared" si="26"/>
        <v>2</v>
      </c>
    </row>
    <row r="41" spans="1:61" x14ac:dyDescent="0.45">
      <c r="A41" s="30">
        <f>step3_validation[[#This Row],[Persona_ID]]</f>
        <v>40</v>
      </c>
      <c r="B41" s="31">
        <f>step3_validation[[#This Row],[Used_Seed]]</f>
        <v>81</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117.43321268791007</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8</v>
      </c>
      <c r="R41">
        <f t="shared" si="0"/>
        <v>0.77777777777777779</v>
      </c>
      <c r="S41">
        <f>survey_responses[[#This Row],[Tôi tin rằng với các quy định quản lý thuế hiện nay, hành vi gian lận hoặc trốn thuế sẽ dễ dàng bị phát hiện và xử lý nghiêm. - HUMAN-ENF1]]</f>
        <v>8</v>
      </c>
      <c r="T41">
        <f t="shared" si="1"/>
        <v>0.77777777777777779</v>
      </c>
      <c r="U41">
        <f>step3_validation[[#This Row],[AI_ENF2]]</f>
        <v>9</v>
      </c>
      <c r="V41">
        <f t="shared" si="2"/>
        <v>0.88888888888888884</v>
      </c>
      <c r="W41">
        <f>survey_responses[[#This Row],[Tôi tin rằng Nhà nước, cơ quan thuế có đủ khả năng và công nghệ để phát hiện, xử lý nghiêm các hành vi trốn thuế. - HUMAN-ENF2]]</f>
        <v>8</v>
      </c>
      <c r="X41">
        <f t="shared" si="3"/>
        <v>0.77777777777777779</v>
      </c>
      <c r="Y41" s="32">
        <f t="shared" si="4"/>
        <v>0.83333333333333326</v>
      </c>
      <c r="Z41" s="32">
        <f t="shared" si="5"/>
        <v>0.77777777777777779</v>
      </c>
      <c r="AA41">
        <f>step3_validation[[#This Row],[AI_FAC1]]</f>
        <v>7</v>
      </c>
      <c r="AB41">
        <f t="shared" si="6"/>
        <v>0.66666666666666663</v>
      </c>
      <c r="AC41">
        <f>survey_responses[[#This Row],[Các thủ tục khai báo thuế VÀ/HOẶC quy trình làm việc với cơ quan thuế đơn giản, tiện lợi, nhanh chóng hơn so với trước đây. - HUMAN-FAC1]]</f>
        <v>6</v>
      </c>
      <c r="AD41">
        <f t="shared" si="7"/>
        <v>0.55555555555555558</v>
      </c>
      <c r="AE41">
        <f>step3_validation[[#This Row],[AI_FAC2]]</f>
        <v>9</v>
      </c>
      <c r="AF41">
        <f t="shared" si="8"/>
        <v>0.88888888888888884</v>
      </c>
      <c r="AG41">
        <f>survey_responses[[#This Row],[So với trước đây, tôi thấy cách tính thuế và các bậc thuế trong phương án mới đơn giản, dễ hiểu và dễ thực hiện hơn. - HUMAN-FAC2]]</f>
        <v>8</v>
      </c>
      <c r="AH41">
        <f t="shared" si="9"/>
        <v>0.77777777777777779</v>
      </c>
      <c r="AI41" s="32">
        <f t="shared" si="10"/>
        <v>0.77777777777777768</v>
      </c>
      <c r="AJ41" s="32">
        <f t="shared" si="11"/>
        <v>0.66666666666666674</v>
      </c>
      <c r="AK41">
        <f>step3_validation[[#This Row],[AI_TRU1]]</f>
        <v>8</v>
      </c>
      <c r="AL41">
        <f t="shared" si="12"/>
        <v>0.77777777777777779</v>
      </c>
      <c r="AM41">
        <f>survey_responses[[#This Row],[Tôi tin rằng Nhà nước, cơ quan thuế sẽ thực thi chính sách mới một cách khách quan, công tâm và đối xử bình đẳng với mọi người nộp thuế.  - HUMAN-TRU1]]</f>
        <v>7</v>
      </c>
      <c r="AN41">
        <f t="shared" si="13"/>
        <v>0.66666666666666663</v>
      </c>
      <c r="AO41">
        <f>step3_validation[[#This Row],[AI_TRU2]]</f>
        <v>9</v>
      </c>
      <c r="AP41">
        <f t="shared" si="14"/>
        <v>0.88888888888888884</v>
      </c>
      <c r="AQ41">
        <f>survey_responses[[#This Row],[Tôi thấy mức thuế tôi phải đóng theo phương án mới là công bằng (người thu nhập như tôi đóng mức này là hợp lý). - HUMAN-TRU2]]</f>
        <v>8</v>
      </c>
      <c r="AR41">
        <f t="shared" si="15"/>
        <v>0.77777777777777779</v>
      </c>
      <c r="AS41">
        <f>step3_validation[[#This Row],[AI_TRU3]]</f>
        <v>8</v>
      </c>
      <c r="AT41">
        <f t="shared" si="16"/>
        <v>0.77777777777777779</v>
      </c>
      <c r="AU41">
        <f>survey_responses[[#This Row],[Tôi tin tưởng số tiền thuế tôi đóng sẽ được Nhà nước sử dụng hiệu quả để cải thiện dịch vụ công (y tế, đường xá...). - HUMAN-TRU3]]</f>
        <v>5</v>
      </c>
      <c r="AV41">
        <f t="shared" si="17"/>
        <v>0.44444444444444442</v>
      </c>
      <c r="AW41">
        <f>step3_validation[[#This Row],[AI_TRU4]]</f>
        <v>9</v>
      </c>
      <c r="AX41">
        <f t="shared" si="18"/>
        <v>0.88888888888888884</v>
      </c>
      <c r="AY41">
        <f>survey_responses[[#This Row],[Tôi thấy Nhà nước đã giải thích rõ ràng, minh bạch về lý do và mục tiêu của việc sửa đổi thuế lần này. - HUMAN-TRU4]]</f>
        <v>6</v>
      </c>
      <c r="AZ41">
        <f t="shared" si="19"/>
        <v>0.55555555555555558</v>
      </c>
      <c r="BA41" s="32">
        <f t="shared" si="20"/>
        <v>0.83333333333333326</v>
      </c>
      <c r="BB41" s="32">
        <f t="shared" si="21"/>
        <v>0.61111111111111116</v>
      </c>
      <c r="BC41" s="7">
        <f t="shared" si="22"/>
        <v>0.81481481481481477</v>
      </c>
      <c r="BD41" s="7">
        <f t="shared" si="23"/>
        <v>0.68518518518518523</v>
      </c>
      <c r="BE41">
        <f>step3_validation[[#This Row],[AI_OUT1]]</f>
        <v>8</v>
      </c>
      <c r="BF41">
        <f t="shared" si="24"/>
        <v>0.77777777777777779</v>
      </c>
      <c r="BG41">
        <f>survey_responses[[#This Row],[Sau khi xem xét các quyền lợi và nghĩa vụ, bạn có ủng hộ và tuân thủ chính sách mới hiện nay? - HUMAN-OUT1]]</f>
        <v>7</v>
      </c>
      <c r="BH41">
        <f t="shared" si="25"/>
        <v>0.66666666666666663</v>
      </c>
      <c r="BI41" s="32">
        <f t="shared" si="26"/>
        <v>1</v>
      </c>
    </row>
    <row r="42" spans="1:61" x14ac:dyDescent="0.45">
      <c r="A42" s="30">
        <f>step3_validation[[#This Row],[Persona_ID]]</f>
        <v>41</v>
      </c>
      <c r="B42" s="31">
        <f>step3_validation[[#This Row],[Used_Seed]]</f>
        <v>82</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72.03948453983898</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7</v>
      </c>
      <c r="R42">
        <f t="shared" si="0"/>
        <v>0.66666666666666663</v>
      </c>
      <c r="S42">
        <f>survey_responses[[#This Row],[Tôi tin rằng với các quy định quản lý thuế hiện nay, hành vi gian lận hoặc trốn thuế sẽ dễ dàng bị phát hiện và xử lý nghiêm. - HUMAN-ENF1]]</f>
        <v>9</v>
      </c>
      <c r="T42">
        <f t="shared" si="1"/>
        <v>0.88888888888888884</v>
      </c>
      <c r="U42">
        <f>step3_validation[[#This Row],[AI_ENF2]]</f>
        <v>8</v>
      </c>
      <c r="V42">
        <f t="shared" si="2"/>
        <v>0.77777777777777779</v>
      </c>
      <c r="W42">
        <f>survey_responses[[#This Row],[Tôi tin rằng Nhà nước, cơ quan thuế có đủ khả năng và công nghệ để phát hiện, xử lý nghiêm các hành vi trốn thuế. - HUMAN-ENF2]]</f>
        <v>8</v>
      </c>
      <c r="X42">
        <f t="shared" si="3"/>
        <v>0.77777777777777779</v>
      </c>
      <c r="Y42" s="32">
        <f t="shared" si="4"/>
        <v>0.72222222222222221</v>
      </c>
      <c r="Z42" s="32">
        <f t="shared" si="5"/>
        <v>0.83333333333333326</v>
      </c>
      <c r="AA42">
        <f>step3_validation[[#This Row],[AI_FAC1]]</f>
        <v>6</v>
      </c>
      <c r="AB42">
        <f t="shared" si="6"/>
        <v>0.55555555555555558</v>
      </c>
      <c r="AC42">
        <f>survey_responses[[#This Row],[Các thủ tục khai báo thuế VÀ/HOẶC quy trình làm việc với cơ quan thuế đơn giản, tiện lợi, nhanh chóng hơn so với trước đây. - HUMAN-FAC1]]</f>
        <v>7</v>
      </c>
      <c r="AD42">
        <f t="shared" si="7"/>
        <v>0.66666666666666663</v>
      </c>
      <c r="AE42">
        <f>step3_validation[[#This Row],[AI_FAC2]]</f>
        <v>9</v>
      </c>
      <c r="AF42">
        <f t="shared" si="8"/>
        <v>0.88888888888888884</v>
      </c>
      <c r="AG42">
        <f>survey_responses[[#This Row],[So với trước đây, tôi thấy cách tính thuế và các bậc thuế trong phương án mới đơn giản, dễ hiểu và dễ thực hiện hơn. - HUMAN-FAC2]]</f>
        <v>8</v>
      </c>
      <c r="AH42">
        <f t="shared" si="9"/>
        <v>0.77777777777777779</v>
      </c>
      <c r="AI42" s="32">
        <f t="shared" si="10"/>
        <v>0.72222222222222221</v>
      </c>
      <c r="AJ42" s="32">
        <f t="shared" si="11"/>
        <v>0.72222222222222221</v>
      </c>
      <c r="AK42">
        <f>step3_validation[[#This Row],[AI_TRU1]]</f>
        <v>7</v>
      </c>
      <c r="AL42">
        <f t="shared" si="12"/>
        <v>0.66666666666666663</v>
      </c>
      <c r="AM42">
        <f>survey_responses[[#This Row],[Tôi tin rằng Nhà nước, cơ quan thuế sẽ thực thi chính sách mới một cách khách quan, công tâm và đối xử bình đẳng với mọi người nộp thuế.  - HUMAN-TRU1]]</f>
        <v>7</v>
      </c>
      <c r="AN42">
        <f t="shared" si="13"/>
        <v>0.66666666666666663</v>
      </c>
      <c r="AO42">
        <f>step3_validation[[#This Row],[AI_TRU2]]</f>
        <v>8</v>
      </c>
      <c r="AP42">
        <f t="shared" si="14"/>
        <v>0.77777777777777779</v>
      </c>
      <c r="AQ42">
        <f>survey_responses[[#This Row],[Tôi thấy mức thuế tôi phải đóng theo phương án mới là công bằng (người thu nhập như tôi đóng mức này là hợp lý). - HUMAN-TRU2]]</f>
        <v>4</v>
      </c>
      <c r="AR42">
        <f t="shared" si="15"/>
        <v>0.33333333333333331</v>
      </c>
      <c r="AS42">
        <f>step3_validation[[#This Row],[AI_TRU3]]</f>
        <v>7</v>
      </c>
      <c r="AT42">
        <f t="shared" si="16"/>
        <v>0.66666666666666663</v>
      </c>
      <c r="AU42">
        <f>survey_responses[[#This Row],[Tôi tin tưởng số tiền thuế tôi đóng sẽ được Nhà nước sử dụng hiệu quả để cải thiện dịch vụ công (y tế, đường xá...). - HUMAN-TRU3]]</f>
        <v>2</v>
      </c>
      <c r="AV42">
        <f t="shared" si="17"/>
        <v>0.1111111111111111</v>
      </c>
      <c r="AW42">
        <f>step3_validation[[#This Row],[AI_TRU4]]</f>
        <v>6</v>
      </c>
      <c r="AX42">
        <f t="shared" si="18"/>
        <v>0.55555555555555558</v>
      </c>
      <c r="AY42">
        <f>survey_responses[[#This Row],[Tôi thấy Nhà nước đã giải thích rõ ràng, minh bạch về lý do và mục tiêu của việc sửa đổi thuế lần này. - HUMAN-TRU4]]</f>
        <v>8</v>
      </c>
      <c r="AZ42">
        <f t="shared" si="19"/>
        <v>0.77777777777777779</v>
      </c>
      <c r="BA42" s="32">
        <f t="shared" si="20"/>
        <v>0.66666666666666674</v>
      </c>
      <c r="BB42" s="32">
        <f t="shared" si="21"/>
        <v>0.47222222222222221</v>
      </c>
      <c r="BC42" s="7">
        <f t="shared" si="22"/>
        <v>0.70370370370370372</v>
      </c>
      <c r="BD42" s="7">
        <f t="shared" si="23"/>
        <v>0.67592592592592593</v>
      </c>
      <c r="BE42">
        <f>step3_validation[[#This Row],[AI_OUT1]]</f>
        <v>8</v>
      </c>
      <c r="BF42">
        <f t="shared" si="24"/>
        <v>0.77777777777777779</v>
      </c>
      <c r="BG42">
        <f>survey_responses[[#This Row],[Sau khi xem xét các quyền lợi và nghĩa vụ, bạn có ủng hộ và tuân thủ chính sách mới hiện nay? - HUMAN-OUT1]]</f>
        <v>8</v>
      </c>
      <c r="BH42">
        <f t="shared" si="25"/>
        <v>0.77777777777777779</v>
      </c>
      <c r="BI42" s="32">
        <f t="shared" si="26"/>
        <v>0</v>
      </c>
    </row>
    <row r="43" spans="1:61" x14ac:dyDescent="0.45">
      <c r="A43" s="30">
        <f>step3_validation[[#This Row],[Persona_ID]]</f>
        <v>42</v>
      </c>
      <c r="B43" s="31">
        <f>step3_validation[[#This Row],[Used_Seed]]</f>
        <v>83</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34.967759824181542</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8</v>
      </c>
      <c r="R43">
        <f t="shared" si="0"/>
        <v>0.77777777777777779</v>
      </c>
      <c r="S43">
        <f>survey_responses[[#This Row],[Tôi tin rằng với các quy định quản lý thuế hiện nay, hành vi gian lận hoặc trốn thuế sẽ dễ dàng bị phát hiện và xử lý nghiêm. - HUMAN-ENF1]]</f>
        <v>10</v>
      </c>
      <c r="T43">
        <f t="shared" si="1"/>
        <v>1</v>
      </c>
      <c r="U43">
        <f>step3_validation[[#This Row],[AI_ENF2]]</f>
        <v>7</v>
      </c>
      <c r="V43">
        <f t="shared" si="2"/>
        <v>0.66666666666666663</v>
      </c>
      <c r="W43">
        <f>survey_responses[[#This Row],[Tôi tin rằng Nhà nước, cơ quan thuế có đủ khả năng và công nghệ để phát hiện, xử lý nghiêm các hành vi trốn thuế. - HUMAN-ENF2]]</f>
        <v>10</v>
      </c>
      <c r="X43">
        <f t="shared" si="3"/>
        <v>1</v>
      </c>
      <c r="Y43" s="32">
        <f t="shared" si="4"/>
        <v>0.72222222222222221</v>
      </c>
      <c r="Z43" s="32">
        <f t="shared" si="5"/>
        <v>1</v>
      </c>
      <c r="AA43">
        <f>step3_validation[[#This Row],[AI_FAC1]]</f>
        <v>7</v>
      </c>
      <c r="AB43">
        <f t="shared" si="6"/>
        <v>0.66666666666666663</v>
      </c>
      <c r="AC43">
        <f>survey_responses[[#This Row],[Các thủ tục khai báo thuế VÀ/HOẶC quy trình làm việc với cơ quan thuế đơn giản, tiện lợi, nhanh chóng hơn so với trước đây. - HUMAN-FAC1]]</f>
        <v>9</v>
      </c>
      <c r="AD43">
        <f t="shared" si="7"/>
        <v>0.88888888888888884</v>
      </c>
      <c r="AE43">
        <f>step3_validation[[#This Row],[AI_FAC2]]</f>
        <v>9</v>
      </c>
      <c r="AF43">
        <f t="shared" si="8"/>
        <v>0.88888888888888884</v>
      </c>
      <c r="AG43">
        <f>survey_responses[[#This Row],[So với trước đây, tôi thấy cách tính thuế và các bậc thuế trong phương án mới đơn giản, dễ hiểu và dễ thực hiện hơn. - HUMAN-FAC2]]</f>
        <v>8</v>
      </c>
      <c r="AH43">
        <f t="shared" si="9"/>
        <v>0.77777777777777779</v>
      </c>
      <c r="AI43" s="32">
        <f t="shared" si="10"/>
        <v>0.77777777777777768</v>
      </c>
      <c r="AJ43" s="32">
        <f t="shared" si="11"/>
        <v>0.83333333333333326</v>
      </c>
      <c r="AK43">
        <f>step3_validation[[#This Row],[AI_TRU1]]</f>
        <v>6</v>
      </c>
      <c r="AL43">
        <f t="shared" si="12"/>
        <v>0.55555555555555558</v>
      </c>
      <c r="AM43">
        <f>survey_responses[[#This Row],[Tôi tin rằng Nhà nước, cơ quan thuế sẽ thực thi chính sách mới một cách khách quan, công tâm và đối xử bình đẳng với mọi người nộp thuế.  - HUMAN-TRU1]]</f>
        <v>7</v>
      </c>
      <c r="AN43">
        <f t="shared" si="13"/>
        <v>0.66666666666666663</v>
      </c>
      <c r="AO43">
        <f>step3_validation[[#This Row],[AI_TRU2]]</f>
        <v>9</v>
      </c>
      <c r="AP43">
        <f t="shared" si="14"/>
        <v>0.88888888888888884</v>
      </c>
      <c r="AQ43">
        <f>survey_responses[[#This Row],[Tôi thấy mức thuế tôi phải đóng theo phương án mới là công bằng (người thu nhập như tôi đóng mức này là hợp lý). - HUMAN-TRU2]]</f>
        <v>9</v>
      </c>
      <c r="AR43">
        <f t="shared" si="15"/>
        <v>0.88888888888888884</v>
      </c>
      <c r="AS43">
        <f>step3_validation[[#This Row],[AI_TRU3]]</f>
        <v>6</v>
      </c>
      <c r="AT43">
        <f t="shared" si="16"/>
        <v>0.55555555555555558</v>
      </c>
      <c r="AU43">
        <f>survey_responses[[#This Row],[Tôi tin tưởng số tiền thuế tôi đóng sẽ được Nhà nước sử dụng hiệu quả để cải thiện dịch vụ công (y tế, đường xá...). - HUMAN-TRU3]]</f>
        <v>9</v>
      </c>
      <c r="AV43">
        <f t="shared" si="17"/>
        <v>0.88888888888888884</v>
      </c>
      <c r="AW43">
        <f>step3_validation[[#This Row],[AI_TRU4]]</f>
        <v>7</v>
      </c>
      <c r="AX43">
        <f t="shared" si="18"/>
        <v>0.66666666666666663</v>
      </c>
      <c r="AY43">
        <f>survey_responses[[#This Row],[Tôi thấy Nhà nước đã giải thích rõ ràng, minh bạch về lý do và mục tiêu của việc sửa đổi thuế lần này. - HUMAN-TRU4]]</f>
        <v>8</v>
      </c>
      <c r="AZ43">
        <f t="shared" si="19"/>
        <v>0.77777777777777779</v>
      </c>
      <c r="BA43" s="32">
        <f t="shared" si="20"/>
        <v>0.66666666666666663</v>
      </c>
      <c r="BB43" s="32">
        <f t="shared" si="21"/>
        <v>0.80555555555555547</v>
      </c>
      <c r="BC43" s="7">
        <f t="shared" si="22"/>
        <v>0.72222222222222221</v>
      </c>
      <c r="BD43" s="7">
        <f t="shared" si="23"/>
        <v>0.87962962962962965</v>
      </c>
      <c r="BE43">
        <f>step3_validation[[#This Row],[AI_OUT1]]</f>
        <v>8</v>
      </c>
      <c r="BF43">
        <f t="shared" si="24"/>
        <v>0.77777777777777779</v>
      </c>
      <c r="BG43">
        <f>survey_responses[[#This Row],[Sau khi xem xét các quyền lợi và nghĩa vụ, bạn có ủng hộ và tuân thủ chính sách mới hiện nay? - HUMAN-OUT1]]</f>
        <v>8</v>
      </c>
      <c r="BH43">
        <f t="shared" si="25"/>
        <v>0.77777777777777779</v>
      </c>
      <c r="BI43" s="32">
        <f t="shared" si="26"/>
        <v>0</v>
      </c>
    </row>
    <row r="44" spans="1:61" x14ac:dyDescent="0.45">
      <c r="A44" s="30">
        <f>step3_validation[[#This Row],[Persona_ID]]</f>
        <v>43</v>
      </c>
      <c r="B44" s="31">
        <f>step3_validation[[#This Row],[Used_Seed]]</f>
        <v>84</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228.53863771881382</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7</v>
      </c>
      <c r="R44">
        <f t="shared" si="0"/>
        <v>0.66666666666666663</v>
      </c>
      <c r="S44">
        <f>survey_responses[[#This Row],[Tôi tin rằng với các quy định quản lý thuế hiện nay, hành vi gian lận hoặc trốn thuế sẽ dễ dàng bị phát hiện và xử lý nghiêm. - HUMAN-ENF1]]</f>
        <v>6</v>
      </c>
      <c r="T44">
        <f t="shared" si="1"/>
        <v>0.55555555555555558</v>
      </c>
      <c r="U44">
        <f>step3_validation[[#This Row],[AI_ENF2]]</f>
        <v>7</v>
      </c>
      <c r="V44">
        <f t="shared" si="2"/>
        <v>0.66666666666666663</v>
      </c>
      <c r="W44">
        <f>survey_responses[[#This Row],[Tôi tin rằng Nhà nước, cơ quan thuế có đủ khả năng và công nghệ để phát hiện, xử lý nghiêm các hành vi trốn thuế. - HUMAN-ENF2]]</f>
        <v>6</v>
      </c>
      <c r="X44">
        <f t="shared" si="3"/>
        <v>0.55555555555555558</v>
      </c>
      <c r="Y44" s="32">
        <f t="shared" si="4"/>
        <v>0.66666666666666663</v>
      </c>
      <c r="Z44" s="32">
        <f t="shared" si="5"/>
        <v>0.55555555555555558</v>
      </c>
      <c r="AA44">
        <f>step3_validation[[#This Row],[AI_FAC1]]</f>
        <v>8</v>
      </c>
      <c r="AB44">
        <f t="shared" si="6"/>
        <v>0.77777777777777779</v>
      </c>
      <c r="AC44">
        <f>survey_responses[[#This Row],[Các thủ tục khai báo thuế VÀ/HOẶC quy trình làm việc với cơ quan thuế đơn giản, tiện lợi, nhanh chóng hơn so với trước đây. - HUMAN-FAC1]]</f>
        <v>8</v>
      </c>
      <c r="AD44">
        <f t="shared" si="7"/>
        <v>0.77777777777777779</v>
      </c>
      <c r="AE44">
        <f>step3_validation[[#This Row],[AI_FAC2]]</f>
        <v>9</v>
      </c>
      <c r="AF44">
        <f t="shared" si="8"/>
        <v>0.88888888888888884</v>
      </c>
      <c r="AG44">
        <f>survey_responses[[#This Row],[So với trước đây, tôi thấy cách tính thuế và các bậc thuế trong phương án mới đơn giản, dễ hiểu và dễ thực hiện hơn. - HUMAN-FAC2]]</f>
        <v>10</v>
      </c>
      <c r="AH44">
        <f t="shared" si="9"/>
        <v>1</v>
      </c>
      <c r="AI44" s="32">
        <f t="shared" si="10"/>
        <v>0.83333333333333326</v>
      </c>
      <c r="AJ44" s="32">
        <f t="shared" si="11"/>
        <v>0.88888888888888884</v>
      </c>
      <c r="AK44">
        <f>step3_validation[[#This Row],[AI_TRU1]]</f>
        <v>8</v>
      </c>
      <c r="AL44">
        <f t="shared" si="12"/>
        <v>0.77777777777777779</v>
      </c>
      <c r="AM44">
        <f>survey_responses[[#This Row],[Tôi tin rằng Nhà nước, cơ quan thuế sẽ thực thi chính sách mới một cách khách quan, công tâm và đối xử bình đẳng với mọi người nộp thuế.  - HUMAN-TRU1]]</f>
        <v>9</v>
      </c>
      <c r="AN44">
        <f t="shared" si="13"/>
        <v>0.88888888888888884</v>
      </c>
      <c r="AO44">
        <f>step3_validation[[#This Row],[AI_TRU2]]</f>
        <v>9</v>
      </c>
      <c r="AP44">
        <f t="shared" si="14"/>
        <v>0.88888888888888884</v>
      </c>
      <c r="AQ44">
        <f>survey_responses[[#This Row],[Tôi thấy mức thuế tôi phải đóng theo phương án mới là công bằng (người thu nhập như tôi đóng mức này là hợp lý). - HUMAN-TRU2]]</f>
        <v>1</v>
      </c>
      <c r="AR44">
        <f t="shared" si="15"/>
        <v>0</v>
      </c>
      <c r="AS44">
        <f>step3_validation[[#This Row],[AI_TRU3]]</f>
        <v>7</v>
      </c>
      <c r="AT44">
        <f t="shared" si="16"/>
        <v>0.66666666666666663</v>
      </c>
      <c r="AU44">
        <f>survey_responses[[#This Row],[Tôi tin tưởng số tiền thuế tôi đóng sẽ được Nhà nước sử dụng hiệu quả để cải thiện dịch vụ công (y tế, đường xá...). - HUMAN-TRU3]]</f>
        <v>7</v>
      </c>
      <c r="AV44">
        <f t="shared" si="17"/>
        <v>0.66666666666666663</v>
      </c>
      <c r="AW44">
        <f>step3_validation[[#This Row],[AI_TRU4]]</f>
        <v>6</v>
      </c>
      <c r="AX44">
        <f t="shared" si="18"/>
        <v>0.55555555555555558</v>
      </c>
      <c r="AY44">
        <f>survey_responses[[#This Row],[Tôi thấy Nhà nước đã giải thích rõ ràng, minh bạch về lý do và mục tiêu của việc sửa đổi thuế lần này. - HUMAN-TRU4]]</f>
        <v>7</v>
      </c>
      <c r="AZ44">
        <f t="shared" si="19"/>
        <v>0.66666666666666663</v>
      </c>
      <c r="BA44" s="32">
        <f t="shared" si="20"/>
        <v>0.7222222222222221</v>
      </c>
      <c r="BB44" s="32">
        <f t="shared" si="21"/>
        <v>0.55555555555555547</v>
      </c>
      <c r="BC44" s="7">
        <f t="shared" si="22"/>
        <v>0.74074074074074081</v>
      </c>
      <c r="BD44" s="7">
        <f t="shared" si="23"/>
        <v>0.66666666666666663</v>
      </c>
      <c r="BE44">
        <f>step3_validation[[#This Row],[AI_OUT1]]</f>
        <v>9</v>
      </c>
      <c r="BF44">
        <f t="shared" si="24"/>
        <v>0.88888888888888884</v>
      </c>
      <c r="BG44">
        <f>survey_responses[[#This Row],[Sau khi xem xét các quyền lợi và nghĩa vụ, bạn có ủng hộ và tuân thủ chính sách mới hiện nay? - HUMAN-OUT1]]</f>
        <v>8</v>
      </c>
      <c r="BH44">
        <f t="shared" si="25"/>
        <v>0.77777777777777779</v>
      </c>
      <c r="BI44" s="32">
        <f t="shared" si="26"/>
        <v>1</v>
      </c>
    </row>
    <row r="45" spans="1:61" x14ac:dyDescent="0.45">
      <c r="A45" s="30">
        <f>step3_validation[[#This Row],[Persona_ID]]</f>
        <v>44</v>
      </c>
      <c r="B45" s="31">
        <f>step3_validation[[#This Row],[Used_Seed]]</f>
        <v>85</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28.865878073135946</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8</v>
      </c>
      <c r="R45">
        <f t="shared" si="0"/>
        <v>0.77777777777777779</v>
      </c>
      <c r="S45">
        <f>survey_responses[[#This Row],[Tôi tin rằng với các quy định quản lý thuế hiện nay, hành vi gian lận hoặc trốn thuế sẽ dễ dàng bị phát hiện và xử lý nghiêm. - HUMAN-ENF1]]</f>
        <v>8</v>
      </c>
      <c r="T45">
        <f t="shared" si="1"/>
        <v>0.77777777777777779</v>
      </c>
      <c r="U45">
        <f>step3_validation[[#This Row],[AI_ENF2]]</f>
        <v>8</v>
      </c>
      <c r="V45">
        <f t="shared" si="2"/>
        <v>0.77777777777777779</v>
      </c>
      <c r="W45">
        <f>survey_responses[[#This Row],[Tôi tin rằng Nhà nước, cơ quan thuế có đủ khả năng và công nghệ để phát hiện, xử lý nghiêm các hành vi trốn thuế. - HUMAN-ENF2]]</f>
        <v>8</v>
      </c>
      <c r="X45">
        <f t="shared" si="3"/>
        <v>0.77777777777777779</v>
      </c>
      <c r="Y45" s="32">
        <f t="shared" si="4"/>
        <v>0.77777777777777779</v>
      </c>
      <c r="Z45" s="32">
        <f t="shared" si="5"/>
        <v>0.77777777777777779</v>
      </c>
      <c r="AA45">
        <f>step3_validation[[#This Row],[AI_FAC1]]</f>
        <v>9</v>
      </c>
      <c r="AB45">
        <f t="shared" si="6"/>
        <v>0.88888888888888884</v>
      </c>
      <c r="AC45">
        <f>survey_responses[[#This Row],[Các thủ tục khai báo thuế VÀ/HOẶC quy trình làm việc với cơ quan thuế đơn giản, tiện lợi, nhanh chóng hơn so với trước đây. - HUMAN-FAC1]]</f>
        <v>8</v>
      </c>
      <c r="AD45">
        <f t="shared" si="7"/>
        <v>0.77777777777777779</v>
      </c>
      <c r="AE45">
        <f>step3_validation[[#This Row],[AI_FAC2]]</f>
        <v>9</v>
      </c>
      <c r="AF45">
        <f t="shared" si="8"/>
        <v>0.88888888888888884</v>
      </c>
      <c r="AG45">
        <f>survey_responses[[#This Row],[So với trước đây, tôi thấy cách tính thuế và các bậc thuế trong phương án mới đơn giản, dễ hiểu và dễ thực hiện hơn. - HUMAN-FAC2]]</f>
        <v>8</v>
      </c>
      <c r="AH45">
        <f t="shared" si="9"/>
        <v>0.77777777777777779</v>
      </c>
      <c r="AI45" s="32">
        <f t="shared" si="10"/>
        <v>0.88888888888888884</v>
      </c>
      <c r="AJ45" s="32">
        <f t="shared" si="11"/>
        <v>0.77777777777777779</v>
      </c>
      <c r="AK45">
        <f>step3_validation[[#This Row],[AI_TRU1]]</f>
        <v>7</v>
      </c>
      <c r="AL45">
        <f t="shared" si="12"/>
        <v>0.66666666666666663</v>
      </c>
      <c r="AM45">
        <f>survey_responses[[#This Row],[Tôi tin rằng Nhà nước, cơ quan thuế sẽ thực thi chính sách mới một cách khách quan, công tâm và đối xử bình đẳng với mọi người nộp thuế.  - HUMAN-TRU1]]</f>
        <v>8</v>
      </c>
      <c r="AN45">
        <f t="shared" si="13"/>
        <v>0.77777777777777779</v>
      </c>
      <c r="AO45">
        <f>step3_validation[[#This Row],[AI_TRU2]]</f>
        <v>9</v>
      </c>
      <c r="AP45">
        <f t="shared" si="14"/>
        <v>0.88888888888888884</v>
      </c>
      <c r="AQ45">
        <f>survey_responses[[#This Row],[Tôi thấy mức thuế tôi phải đóng theo phương án mới là công bằng (người thu nhập như tôi đóng mức này là hợp lý). - HUMAN-TRU2]]</f>
        <v>8</v>
      </c>
      <c r="AR45">
        <f t="shared" si="15"/>
        <v>0.77777777777777779</v>
      </c>
      <c r="AS45">
        <f>step3_validation[[#This Row],[AI_TRU3]]</f>
        <v>8</v>
      </c>
      <c r="AT45">
        <f t="shared" si="16"/>
        <v>0.77777777777777779</v>
      </c>
      <c r="AU45">
        <f>survey_responses[[#This Row],[Tôi tin tưởng số tiền thuế tôi đóng sẽ được Nhà nước sử dụng hiệu quả để cải thiện dịch vụ công (y tế, đường xá...). - HUMAN-TRU3]]</f>
        <v>9</v>
      </c>
      <c r="AV45">
        <f t="shared" si="17"/>
        <v>0.88888888888888884</v>
      </c>
      <c r="AW45">
        <f>step3_validation[[#This Row],[AI_TRU4]]</f>
        <v>7</v>
      </c>
      <c r="AX45">
        <f t="shared" si="18"/>
        <v>0.66666666666666663</v>
      </c>
      <c r="AY45">
        <f>survey_responses[[#This Row],[Tôi thấy Nhà nước đã giải thích rõ ràng, minh bạch về lý do và mục tiêu của việc sửa đổi thuế lần này. - HUMAN-TRU4]]</f>
        <v>5</v>
      </c>
      <c r="AZ45">
        <f t="shared" si="19"/>
        <v>0.44444444444444442</v>
      </c>
      <c r="BA45" s="32">
        <f t="shared" si="20"/>
        <v>0.74999999999999989</v>
      </c>
      <c r="BB45" s="32">
        <f t="shared" si="21"/>
        <v>0.72222222222222232</v>
      </c>
      <c r="BC45" s="7">
        <f t="shared" si="22"/>
        <v>0.80555555555555547</v>
      </c>
      <c r="BD45" s="7">
        <f t="shared" si="23"/>
        <v>0.75925925925925919</v>
      </c>
      <c r="BE45">
        <f>step3_validation[[#This Row],[AI_OUT1]]</f>
        <v>9</v>
      </c>
      <c r="BF45">
        <f t="shared" si="24"/>
        <v>0.88888888888888884</v>
      </c>
      <c r="BG45">
        <f>survey_responses[[#This Row],[Sau khi xem xét các quyền lợi và nghĩa vụ, bạn có ủng hộ và tuân thủ chính sách mới hiện nay? - HUMAN-OUT1]]</f>
        <v>9</v>
      </c>
      <c r="BH45">
        <f t="shared" si="25"/>
        <v>0.88888888888888884</v>
      </c>
      <c r="BI45" s="32">
        <f t="shared" si="26"/>
        <v>0</v>
      </c>
    </row>
    <row r="46" spans="1:61" x14ac:dyDescent="0.45">
      <c r="A46" s="30">
        <f>step3_validation[[#This Row],[Persona_ID]]</f>
        <v>45</v>
      </c>
      <c r="B46" s="31">
        <f>step3_validation[[#This Row],[Used_Seed]]</f>
        <v>86</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26.74468054587323</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5</v>
      </c>
      <c r="R46">
        <f t="shared" si="0"/>
        <v>0.44444444444444442</v>
      </c>
      <c r="S46">
        <f>survey_responses[[#This Row],[Tôi tin rằng với các quy định quản lý thuế hiện nay, hành vi gian lận hoặc trốn thuế sẽ dễ dàng bị phát hiện và xử lý nghiêm. - HUMAN-ENF1]]</f>
        <v>10</v>
      </c>
      <c r="T46">
        <f t="shared" si="1"/>
        <v>1</v>
      </c>
      <c r="U46">
        <f>step3_validation[[#This Row],[AI_ENF2]]</f>
        <v>6</v>
      </c>
      <c r="V46">
        <f t="shared" si="2"/>
        <v>0.55555555555555558</v>
      </c>
      <c r="W46">
        <f>survey_responses[[#This Row],[Tôi tin rằng Nhà nước, cơ quan thuế có đủ khả năng và công nghệ để phát hiện, xử lý nghiêm các hành vi trốn thuế. - HUMAN-ENF2]]</f>
        <v>10</v>
      </c>
      <c r="X46">
        <f t="shared" si="3"/>
        <v>1</v>
      </c>
      <c r="Y46" s="32">
        <f t="shared" si="4"/>
        <v>0.5</v>
      </c>
      <c r="Z46" s="32">
        <f t="shared" si="5"/>
        <v>1</v>
      </c>
      <c r="AA46">
        <f>step3_validation[[#This Row],[AI_FAC1]]</f>
        <v>8</v>
      </c>
      <c r="AB46">
        <f t="shared" si="6"/>
        <v>0.77777777777777779</v>
      </c>
      <c r="AC46">
        <f>survey_responses[[#This Row],[Các thủ tục khai báo thuế VÀ/HOẶC quy trình làm việc với cơ quan thuế đơn giản, tiện lợi, nhanh chóng hơn so với trước đây. - HUMAN-FAC1]]</f>
        <v>10</v>
      </c>
      <c r="AD46">
        <f t="shared" si="7"/>
        <v>1</v>
      </c>
      <c r="AE46">
        <f>step3_validation[[#This Row],[AI_FAC2]]</f>
        <v>9</v>
      </c>
      <c r="AF46">
        <f t="shared" si="8"/>
        <v>0.88888888888888884</v>
      </c>
      <c r="AG46">
        <f>survey_responses[[#This Row],[So với trước đây, tôi thấy cách tính thuế và các bậc thuế trong phương án mới đơn giản, dễ hiểu và dễ thực hiện hơn. - HUMAN-FAC2]]</f>
        <v>9</v>
      </c>
      <c r="AH46">
        <f t="shared" si="9"/>
        <v>0.88888888888888884</v>
      </c>
      <c r="AI46" s="32">
        <f t="shared" si="10"/>
        <v>0.83333333333333326</v>
      </c>
      <c r="AJ46" s="32">
        <f t="shared" si="11"/>
        <v>0.94444444444444442</v>
      </c>
      <c r="AK46">
        <f>step3_validation[[#This Row],[AI_TRU1]]</f>
        <v>7</v>
      </c>
      <c r="AL46">
        <f t="shared" si="12"/>
        <v>0.66666666666666663</v>
      </c>
      <c r="AM46">
        <f>survey_responses[[#This Row],[Tôi tin rằng Nhà nước, cơ quan thuế sẽ thực thi chính sách mới một cách khách quan, công tâm và đối xử bình đẳng với mọi người nộp thuế.  - HUMAN-TRU1]]</f>
        <v>10</v>
      </c>
      <c r="AN46">
        <f t="shared" si="13"/>
        <v>1</v>
      </c>
      <c r="AO46">
        <f>step3_validation[[#This Row],[AI_TRU2]]</f>
        <v>9</v>
      </c>
      <c r="AP46">
        <f t="shared" si="14"/>
        <v>0.88888888888888884</v>
      </c>
      <c r="AQ46">
        <f>survey_responses[[#This Row],[Tôi thấy mức thuế tôi phải đóng theo phương án mới là công bằng (người thu nhập như tôi đóng mức này là hợp lý). - HUMAN-TRU2]]</f>
        <v>10</v>
      </c>
      <c r="AR46">
        <f t="shared" si="15"/>
        <v>1</v>
      </c>
      <c r="AS46">
        <f>step3_validation[[#This Row],[AI_TRU3]]</f>
        <v>7</v>
      </c>
      <c r="AT46">
        <f t="shared" si="16"/>
        <v>0.66666666666666663</v>
      </c>
      <c r="AU46">
        <f>survey_responses[[#This Row],[Tôi tin tưởng số tiền thuế tôi đóng sẽ được Nhà nước sử dụng hiệu quả để cải thiện dịch vụ công (y tế, đường xá...). - HUMAN-TRU3]]</f>
        <v>10</v>
      </c>
      <c r="AV46">
        <f t="shared" si="17"/>
        <v>1</v>
      </c>
      <c r="AW46">
        <f>step3_validation[[#This Row],[AI_TRU4]]</f>
        <v>6</v>
      </c>
      <c r="AX46">
        <f t="shared" si="18"/>
        <v>0.55555555555555558</v>
      </c>
      <c r="AY46">
        <f>survey_responses[[#This Row],[Tôi thấy Nhà nước đã giải thích rõ ràng, minh bạch về lý do và mục tiêu của việc sửa đổi thuế lần này. - HUMAN-TRU4]]</f>
        <v>10</v>
      </c>
      <c r="AZ46">
        <f t="shared" si="19"/>
        <v>1</v>
      </c>
      <c r="BA46" s="32">
        <f t="shared" si="20"/>
        <v>0.69444444444444442</v>
      </c>
      <c r="BB46" s="32">
        <f t="shared" si="21"/>
        <v>1</v>
      </c>
      <c r="BC46" s="7">
        <f t="shared" si="22"/>
        <v>0.67592592592592593</v>
      </c>
      <c r="BD46" s="7">
        <f t="shared" si="23"/>
        <v>0.98148148148148151</v>
      </c>
      <c r="BE46">
        <f>step3_validation[[#This Row],[AI_OUT1]]</f>
        <v>9</v>
      </c>
      <c r="BF46">
        <f t="shared" si="24"/>
        <v>0.88888888888888884</v>
      </c>
      <c r="BG46">
        <f>survey_responses[[#This Row],[Sau khi xem xét các quyền lợi và nghĩa vụ, bạn có ủng hộ và tuân thủ chính sách mới hiện nay? - HUMAN-OUT1]]</f>
        <v>10</v>
      </c>
      <c r="BH46">
        <f t="shared" si="25"/>
        <v>1</v>
      </c>
      <c r="BI46" s="32">
        <f t="shared" si="26"/>
        <v>1</v>
      </c>
    </row>
    <row r="47" spans="1:61" x14ac:dyDescent="0.45">
      <c r="A47" s="30">
        <f>step3_validation[[#This Row],[Persona_ID]]</f>
        <v>46</v>
      </c>
      <c r="B47" s="31">
        <f>step3_validation[[#This Row],[Used_Seed]]</f>
        <v>87</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6</v>
      </c>
      <c r="R47">
        <f t="shared" si="0"/>
        <v>0.55555555555555558</v>
      </c>
      <c r="S47">
        <f>survey_responses[[#This Row],[Tôi tin rằng với các quy định quản lý thuế hiện nay, hành vi gian lận hoặc trốn thuế sẽ dễ dàng bị phát hiện và xử lý nghiêm. - HUMAN-ENF1]]</f>
        <v>1</v>
      </c>
      <c r="T47">
        <f t="shared" si="1"/>
        <v>0</v>
      </c>
      <c r="U47">
        <f>step3_validation[[#This Row],[AI_ENF2]]</f>
        <v>6</v>
      </c>
      <c r="V47">
        <f t="shared" si="2"/>
        <v>0.55555555555555558</v>
      </c>
      <c r="W47">
        <f>survey_responses[[#This Row],[Tôi tin rằng Nhà nước, cơ quan thuế có đủ khả năng và công nghệ để phát hiện, xử lý nghiêm các hành vi trốn thuế. - HUMAN-ENF2]]</f>
        <v>1</v>
      </c>
      <c r="X47">
        <f t="shared" si="3"/>
        <v>0</v>
      </c>
      <c r="Y47" s="32">
        <f t="shared" si="4"/>
        <v>0.55555555555555558</v>
      </c>
      <c r="Z47" s="32">
        <f t="shared" si="5"/>
        <v>0</v>
      </c>
      <c r="AA47">
        <f>step3_validation[[#This Row],[AI_FAC1]]</f>
        <v>7</v>
      </c>
      <c r="AB47">
        <f t="shared" si="6"/>
        <v>0.66666666666666663</v>
      </c>
      <c r="AC47">
        <f>survey_responses[[#This Row],[Các thủ tục khai báo thuế VÀ/HOẶC quy trình làm việc với cơ quan thuế đơn giản, tiện lợi, nhanh chóng hơn so với trước đây. - HUMAN-FAC1]]</f>
        <v>2</v>
      </c>
      <c r="AD47">
        <f t="shared" si="7"/>
        <v>0.1111111111111111</v>
      </c>
      <c r="AE47">
        <f>step3_validation[[#This Row],[AI_FAC2]]</f>
        <v>9</v>
      </c>
      <c r="AF47">
        <f t="shared" si="8"/>
        <v>0.88888888888888884</v>
      </c>
      <c r="AG47">
        <f>survey_responses[[#This Row],[So với trước đây, tôi thấy cách tính thuế và các bậc thuế trong phương án mới đơn giản, dễ hiểu và dễ thực hiện hơn. - HUMAN-FAC2]]</f>
        <v>1</v>
      </c>
      <c r="AH47">
        <f t="shared" si="9"/>
        <v>0</v>
      </c>
      <c r="AI47" s="32">
        <f t="shared" si="10"/>
        <v>0.77777777777777768</v>
      </c>
      <c r="AJ47" s="32">
        <f t="shared" si="11"/>
        <v>5.5555555555555552E-2</v>
      </c>
      <c r="AK47">
        <f>step3_validation[[#This Row],[AI_TRU1]]</f>
        <v>8</v>
      </c>
      <c r="AL47">
        <f t="shared" si="12"/>
        <v>0.77777777777777779</v>
      </c>
      <c r="AM47">
        <f>survey_responses[[#This Row],[Tôi tin rằng Nhà nước, cơ quan thuế sẽ thực thi chính sách mới một cách khách quan, công tâm và đối xử bình đẳng với mọi người nộp thuế.  - HUMAN-TRU1]]</f>
        <v>1</v>
      </c>
      <c r="AN47">
        <f t="shared" si="13"/>
        <v>0</v>
      </c>
      <c r="AO47">
        <f>step3_validation[[#This Row],[AI_TRU2]]</f>
        <v>9</v>
      </c>
      <c r="AP47">
        <f t="shared" si="14"/>
        <v>0.88888888888888884</v>
      </c>
      <c r="AQ47">
        <f>survey_responses[[#This Row],[Tôi thấy mức thuế tôi phải đóng theo phương án mới là công bằng (người thu nhập như tôi đóng mức này là hợp lý). - HUMAN-TRU2]]</f>
        <v>1</v>
      </c>
      <c r="AR47">
        <f t="shared" si="15"/>
        <v>0</v>
      </c>
      <c r="AS47">
        <f>step3_validation[[#This Row],[AI_TRU3]]</f>
        <v>8</v>
      </c>
      <c r="AT47">
        <f t="shared" si="16"/>
        <v>0.77777777777777779</v>
      </c>
      <c r="AU47">
        <f>survey_responses[[#This Row],[Tôi tin tưởng số tiền thuế tôi đóng sẽ được Nhà nước sử dụng hiệu quả để cải thiện dịch vụ công (y tế, đường xá...). - HUMAN-TRU3]]</f>
        <v>1</v>
      </c>
      <c r="AV47">
        <f t="shared" si="17"/>
        <v>0</v>
      </c>
      <c r="AW47">
        <f>step3_validation[[#This Row],[AI_TRU4]]</f>
        <v>7</v>
      </c>
      <c r="AX47">
        <f t="shared" si="18"/>
        <v>0.66666666666666663</v>
      </c>
      <c r="AY47">
        <f>survey_responses[[#This Row],[Tôi thấy Nhà nước đã giải thích rõ ràng, minh bạch về lý do và mục tiêu của việc sửa đổi thuế lần này. - HUMAN-TRU4]]</f>
        <v>1</v>
      </c>
      <c r="AZ47">
        <f t="shared" si="19"/>
        <v>0</v>
      </c>
      <c r="BA47" s="32">
        <f t="shared" si="20"/>
        <v>0.77777777777777768</v>
      </c>
      <c r="BB47" s="32">
        <f t="shared" si="21"/>
        <v>0</v>
      </c>
      <c r="BC47" s="7">
        <f t="shared" si="22"/>
        <v>0.70370370370370361</v>
      </c>
      <c r="BD47" s="7">
        <f t="shared" si="23"/>
        <v>1.8518518518518517E-2</v>
      </c>
      <c r="BE47">
        <f>step3_validation[[#This Row],[AI_OUT1]]</f>
        <v>9</v>
      </c>
      <c r="BF47">
        <f t="shared" si="24"/>
        <v>0.88888888888888884</v>
      </c>
      <c r="BG47">
        <f>survey_responses[[#This Row],[Sau khi xem xét các quyền lợi và nghĩa vụ, bạn có ủng hộ và tuân thủ chính sách mới hiện nay? - HUMAN-OUT1]]</f>
        <v>1</v>
      </c>
      <c r="BH47">
        <f t="shared" si="25"/>
        <v>0</v>
      </c>
      <c r="BI47" s="32">
        <f t="shared" si="26"/>
        <v>8</v>
      </c>
    </row>
    <row r="48" spans="1:61" x14ac:dyDescent="0.45">
      <c r="A48" s="30">
        <f>step3_validation[[#This Row],[Persona_ID]]</f>
        <v>47</v>
      </c>
      <c r="B48" s="31">
        <f>step3_validation[[#This Row],[Used_Seed]]</f>
        <v>88</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8</v>
      </c>
      <c r="R48">
        <f t="shared" si="0"/>
        <v>0.77777777777777779</v>
      </c>
      <c r="S48">
        <f>survey_responses[[#This Row],[Tôi tin rằng với các quy định quản lý thuế hiện nay, hành vi gian lận hoặc trốn thuế sẽ dễ dàng bị phát hiện và xử lý nghiêm. - HUMAN-ENF1]]</f>
        <v>8</v>
      </c>
      <c r="T48">
        <f t="shared" si="1"/>
        <v>0.77777777777777779</v>
      </c>
      <c r="U48">
        <f>step3_validation[[#This Row],[AI_ENF2]]</f>
        <v>7</v>
      </c>
      <c r="V48">
        <f t="shared" si="2"/>
        <v>0.66666666666666663</v>
      </c>
      <c r="W48">
        <f>survey_responses[[#This Row],[Tôi tin rằng Nhà nước, cơ quan thuế có đủ khả năng và công nghệ để phát hiện, xử lý nghiêm các hành vi trốn thuế. - HUMAN-ENF2]]</f>
        <v>8</v>
      </c>
      <c r="X48">
        <f t="shared" si="3"/>
        <v>0.77777777777777779</v>
      </c>
      <c r="Y48" s="32">
        <f t="shared" si="4"/>
        <v>0.72222222222222221</v>
      </c>
      <c r="Z48" s="32">
        <f t="shared" si="5"/>
        <v>0.77777777777777779</v>
      </c>
      <c r="AA48">
        <f>step3_validation[[#This Row],[AI_FAC1]]</f>
        <v>6</v>
      </c>
      <c r="AB48">
        <f t="shared" si="6"/>
        <v>0.55555555555555558</v>
      </c>
      <c r="AC48">
        <f>survey_responses[[#This Row],[Các thủ tục khai báo thuế VÀ/HOẶC quy trình làm việc với cơ quan thuế đơn giản, tiện lợi, nhanh chóng hơn so với trước đây. - HUMAN-FAC1]]</f>
        <v>8</v>
      </c>
      <c r="AD48">
        <f t="shared" si="7"/>
        <v>0.77777777777777779</v>
      </c>
      <c r="AE48">
        <f>step3_validation[[#This Row],[AI_FAC2]]</f>
        <v>9</v>
      </c>
      <c r="AF48">
        <f t="shared" si="8"/>
        <v>0.88888888888888884</v>
      </c>
      <c r="AG48">
        <f>survey_responses[[#This Row],[So với trước đây, tôi thấy cách tính thuế và các bậc thuế trong phương án mới đơn giản, dễ hiểu và dễ thực hiện hơn. - HUMAN-FAC2]]</f>
        <v>7</v>
      </c>
      <c r="AH48">
        <f t="shared" si="9"/>
        <v>0.66666666666666663</v>
      </c>
      <c r="AI48" s="32">
        <f t="shared" si="10"/>
        <v>0.72222222222222221</v>
      </c>
      <c r="AJ48" s="32">
        <f t="shared" si="11"/>
        <v>0.72222222222222221</v>
      </c>
      <c r="AK48">
        <f>step3_validation[[#This Row],[AI_TRU1]]</f>
        <v>8</v>
      </c>
      <c r="AL48">
        <f t="shared" si="12"/>
        <v>0.77777777777777779</v>
      </c>
      <c r="AM48">
        <f>survey_responses[[#This Row],[Tôi tin rằng Nhà nước, cơ quan thuế sẽ thực thi chính sách mới một cách khách quan, công tâm và đối xử bình đẳng với mọi người nộp thuế.  - HUMAN-TRU1]]</f>
        <v>6</v>
      </c>
      <c r="AN48">
        <f t="shared" si="13"/>
        <v>0.55555555555555558</v>
      </c>
      <c r="AO48">
        <f>step3_validation[[#This Row],[AI_TRU2]]</f>
        <v>9</v>
      </c>
      <c r="AP48">
        <f t="shared" si="14"/>
        <v>0.88888888888888884</v>
      </c>
      <c r="AQ48">
        <f>survey_responses[[#This Row],[Tôi thấy mức thuế tôi phải đóng theo phương án mới là công bằng (người thu nhập như tôi đóng mức này là hợp lý). - HUMAN-TRU2]]</f>
        <v>8</v>
      </c>
      <c r="AR48">
        <f t="shared" si="15"/>
        <v>0.77777777777777779</v>
      </c>
      <c r="AS48">
        <f>step3_validation[[#This Row],[AI_TRU3]]</f>
        <v>8</v>
      </c>
      <c r="AT48">
        <f t="shared" si="16"/>
        <v>0.77777777777777779</v>
      </c>
      <c r="AU48">
        <f>survey_responses[[#This Row],[Tôi tin tưởng số tiền thuế tôi đóng sẽ được Nhà nước sử dụng hiệu quả để cải thiện dịch vụ công (y tế, đường xá...). - HUMAN-TRU3]]</f>
        <v>8</v>
      </c>
      <c r="AV48">
        <f t="shared" si="17"/>
        <v>0.77777777777777779</v>
      </c>
      <c r="AW48">
        <f>step3_validation[[#This Row],[AI_TRU4]]</f>
        <v>7</v>
      </c>
      <c r="AX48">
        <f t="shared" si="18"/>
        <v>0.66666666666666663</v>
      </c>
      <c r="AY48">
        <f>survey_responses[[#This Row],[Tôi thấy Nhà nước đã giải thích rõ ràng, minh bạch về lý do và mục tiêu của việc sửa đổi thuế lần này. - HUMAN-TRU4]]</f>
        <v>9</v>
      </c>
      <c r="AZ48">
        <f t="shared" si="19"/>
        <v>0.88888888888888884</v>
      </c>
      <c r="BA48" s="32">
        <f t="shared" si="20"/>
        <v>0.77777777777777768</v>
      </c>
      <c r="BB48" s="32">
        <f t="shared" si="21"/>
        <v>0.75</v>
      </c>
      <c r="BC48" s="7">
        <f t="shared" si="22"/>
        <v>0.74074074074074081</v>
      </c>
      <c r="BD48" s="7">
        <f t="shared" si="23"/>
        <v>0.75</v>
      </c>
      <c r="BE48">
        <f>step3_validation[[#This Row],[AI_OUT1]]</f>
        <v>9</v>
      </c>
      <c r="BF48">
        <f t="shared" si="24"/>
        <v>0.88888888888888884</v>
      </c>
      <c r="BG48">
        <f>survey_responses[[#This Row],[Sau khi xem xét các quyền lợi và nghĩa vụ, bạn có ủng hộ và tuân thủ chính sách mới hiện nay? - HUMAN-OUT1]]</f>
        <v>8</v>
      </c>
      <c r="BH48">
        <f t="shared" si="25"/>
        <v>0.77777777777777779</v>
      </c>
      <c r="BI48" s="32">
        <f t="shared" si="26"/>
        <v>1</v>
      </c>
    </row>
    <row r="49" spans="1:61" x14ac:dyDescent="0.45">
      <c r="A49" s="30">
        <f>step3_validation[[#This Row],[Persona_ID]]</f>
        <v>48</v>
      </c>
      <c r="B49" s="31">
        <f>step3_validation[[#This Row],[Used_Seed]]</f>
        <v>89</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35.26686950546128</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8</v>
      </c>
      <c r="R49">
        <f t="shared" si="0"/>
        <v>0.77777777777777779</v>
      </c>
      <c r="S49">
        <f>survey_responses[[#This Row],[Tôi tin rằng với các quy định quản lý thuế hiện nay, hành vi gian lận hoặc trốn thuế sẽ dễ dàng bị phát hiện và xử lý nghiêm. - HUMAN-ENF1]]</f>
        <v>10</v>
      </c>
      <c r="T49">
        <f t="shared" si="1"/>
        <v>1</v>
      </c>
      <c r="U49">
        <f>step3_validation[[#This Row],[AI_ENF2]]</f>
        <v>8</v>
      </c>
      <c r="V49">
        <f t="shared" si="2"/>
        <v>0.77777777777777779</v>
      </c>
      <c r="W49">
        <f>survey_responses[[#This Row],[Tôi tin rằng Nhà nước, cơ quan thuế có đủ khả năng và công nghệ để phát hiện, xử lý nghiêm các hành vi trốn thuế. - HUMAN-ENF2]]</f>
        <v>10</v>
      </c>
      <c r="X49">
        <f t="shared" si="3"/>
        <v>1</v>
      </c>
      <c r="Y49" s="32">
        <f t="shared" si="4"/>
        <v>0.77777777777777779</v>
      </c>
      <c r="Z49" s="32">
        <f t="shared" si="5"/>
        <v>1</v>
      </c>
      <c r="AA49">
        <f>step3_validation[[#This Row],[AI_FAC1]]</f>
        <v>9</v>
      </c>
      <c r="AB49">
        <f t="shared" si="6"/>
        <v>0.88888888888888884</v>
      </c>
      <c r="AC49">
        <f>survey_responses[[#This Row],[Các thủ tục khai báo thuế VÀ/HOẶC quy trình làm việc với cơ quan thuế đơn giản, tiện lợi, nhanh chóng hơn so với trước đây. - HUMAN-FAC1]]</f>
        <v>10</v>
      </c>
      <c r="AD49">
        <f t="shared" si="7"/>
        <v>1</v>
      </c>
      <c r="AE49">
        <f>step3_validation[[#This Row],[AI_FAC2]]</f>
        <v>10</v>
      </c>
      <c r="AF49">
        <f t="shared" si="8"/>
        <v>1</v>
      </c>
      <c r="AG49">
        <f>survey_responses[[#This Row],[So với trước đây, tôi thấy cách tính thuế và các bậc thuế trong phương án mới đơn giản, dễ hiểu và dễ thực hiện hơn. - HUMAN-FAC2]]</f>
        <v>10</v>
      </c>
      <c r="AH49">
        <f t="shared" si="9"/>
        <v>1</v>
      </c>
      <c r="AI49" s="32">
        <f t="shared" si="10"/>
        <v>0.94444444444444442</v>
      </c>
      <c r="AJ49" s="32">
        <f t="shared" si="11"/>
        <v>1</v>
      </c>
      <c r="AK49">
        <f>step3_validation[[#This Row],[AI_TRU1]]</f>
        <v>7</v>
      </c>
      <c r="AL49">
        <f t="shared" si="12"/>
        <v>0.66666666666666663</v>
      </c>
      <c r="AM49">
        <f>survey_responses[[#This Row],[Tôi tin rằng Nhà nước, cơ quan thuế sẽ thực thi chính sách mới một cách khách quan, công tâm và đối xử bình đẳng với mọi người nộp thuế.  - HUMAN-TRU1]]</f>
        <v>10</v>
      </c>
      <c r="AN49">
        <f t="shared" si="13"/>
        <v>1</v>
      </c>
      <c r="AO49">
        <f>step3_validation[[#This Row],[AI_TRU2]]</f>
        <v>9</v>
      </c>
      <c r="AP49">
        <f t="shared" si="14"/>
        <v>0.88888888888888884</v>
      </c>
      <c r="AQ49">
        <f>survey_responses[[#This Row],[Tôi thấy mức thuế tôi phải đóng theo phương án mới là công bằng (người thu nhập như tôi đóng mức này là hợp lý). - HUMAN-TRU2]]</f>
        <v>10</v>
      </c>
      <c r="AR49">
        <f t="shared" si="15"/>
        <v>1</v>
      </c>
      <c r="AS49">
        <f>step3_validation[[#This Row],[AI_TRU3]]</f>
        <v>8</v>
      </c>
      <c r="AT49">
        <f t="shared" si="16"/>
        <v>0.77777777777777779</v>
      </c>
      <c r="AU49">
        <f>survey_responses[[#This Row],[Tôi tin tưởng số tiền thuế tôi đóng sẽ được Nhà nước sử dụng hiệu quả để cải thiện dịch vụ công (y tế, đường xá...). - HUMAN-TRU3]]</f>
        <v>10</v>
      </c>
      <c r="AV49">
        <f t="shared" si="17"/>
        <v>1</v>
      </c>
      <c r="AW49">
        <f>step3_validation[[#This Row],[AI_TRU4]]</f>
        <v>7</v>
      </c>
      <c r="AX49">
        <f t="shared" si="18"/>
        <v>0.66666666666666663</v>
      </c>
      <c r="AY49">
        <f>survey_responses[[#This Row],[Tôi thấy Nhà nước đã giải thích rõ ràng, minh bạch về lý do và mục tiêu của việc sửa đổi thuế lần này. - HUMAN-TRU4]]</f>
        <v>10</v>
      </c>
      <c r="AZ49">
        <f t="shared" si="19"/>
        <v>1</v>
      </c>
      <c r="BA49" s="32">
        <f t="shared" si="20"/>
        <v>0.74999999999999989</v>
      </c>
      <c r="BB49" s="32">
        <f t="shared" si="21"/>
        <v>1</v>
      </c>
      <c r="BC49" s="7">
        <f t="shared" si="22"/>
        <v>0.82407407407407407</v>
      </c>
      <c r="BD49" s="7">
        <f t="shared" si="23"/>
        <v>1</v>
      </c>
      <c r="BE49">
        <f>step3_validation[[#This Row],[AI_OUT1]]</f>
        <v>9</v>
      </c>
      <c r="BF49">
        <f t="shared" si="24"/>
        <v>0.88888888888888884</v>
      </c>
      <c r="BG49">
        <f>survey_responses[[#This Row],[Sau khi xem xét các quyền lợi và nghĩa vụ, bạn có ủng hộ và tuân thủ chính sách mới hiện nay? - HUMAN-OUT1]]</f>
        <v>10</v>
      </c>
      <c r="BH49">
        <f t="shared" si="25"/>
        <v>1</v>
      </c>
      <c r="BI49" s="32">
        <f t="shared" si="26"/>
        <v>1</v>
      </c>
    </row>
    <row r="50" spans="1:61" x14ac:dyDescent="0.45">
      <c r="A50" s="30">
        <f>step3_validation[[#This Row],[Persona_ID]]</f>
        <v>49</v>
      </c>
      <c r="B50" s="31">
        <f>step3_validation[[#This Row],[Used_Seed]]</f>
        <v>90</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191.7935084949938</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6</v>
      </c>
      <c r="R50">
        <f t="shared" si="0"/>
        <v>0.55555555555555558</v>
      </c>
      <c r="S50">
        <f>survey_responses[[#This Row],[Tôi tin rằng với các quy định quản lý thuế hiện nay, hành vi gian lận hoặc trốn thuế sẽ dễ dàng bị phát hiện và xử lý nghiêm. - HUMAN-ENF1]]</f>
        <v>8</v>
      </c>
      <c r="T50">
        <f t="shared" si="1"/>
        <v>0.77777777777777779</v>
      </c>
      <c r="U50">
        <f>step3_validation[[#This Row],[AI_ENF2]]</f>
        <v>6</v>
      </c>
      <c r="V50">
        <f t="shared" si="2"/>
        <v>0.55555555555555558</v>
      </c>
      <c r="W50">
        <f>survey_responses[[#This Row],[Tôi tin rằng Nhà nước, cơ quan thuế có đủ khả năng và công nghệ để phát hiện, xử lý nghiêm các hành vi trốn thuế. - HUMAN-ENF2]]</f>
        <v>8</v>
      </c>
      <c r="X50">
        <f t="shared" si="3"/>
        <v>0.77777777777777779</v>
      </c>
      <c r="Y50" s="32">
        <f t="shared" si="4"/>
        <v>0.55555555555555558</v>
      </c>
      <c r="Z50" s="32">
        <f t="shared" si="5"/>
        <v>0.77777777777777779</v>
      </c>
      <c r="AA50">
        <f>step3_validation[[#This Row],[AI_FAC1]]</f>
        <v>8</v>
      </c>
      <c r="AB50">
        <f t="shared" si="6"/>
        <v>0.77777777777777779</v>
      </c>
      <c r="AC50">
        <f>survey_responses[[#This Row],[Các thủ tục khai báo thuế VÀ/HOẶC quy trình làm việc với cơ quan thuế đơn giản, tiện lợi, nhanh chóng hơn so với trước đây. - HUMAN-FAC1]]</f>
        <v>7</v>
      </c>
      <c r="AD50">
        <f t="shared" si="7"/>
        <v>0.66666666666666663</v>
      </c>
      <c r="AE50">
        <f>step3_validation[[#This Row],[AI_FAC2]]</f>
        <v>7</v>
      </c>
      <c r="AF50">
        <f t="shared" si="8"/>
        <v>0.66666666666666663</v>
      </c>
      <c r="AG50">
        <f>survey_responses[[#This Row],[So với trước đây, tôi thấy cách tính thuế và các bậc thuế trong phương án mới đơn giản, dễ hiểu và dễ thực hiện hơn. - HUMAN-FAC2]]</f>
        <v>8</v>
      </c>
      <c r="AH50">
        <f t="shared" si="9"/>
        <v>0.77777777777777779</v>
      </c>
      <c r="AI50" s="32">
        <f t="shared" si="10"/>
        <v>0.72222222222222221</v>
      </c>
      <c r="AJ50" s="32">
        <f t="shared" si="11"/>
        <v>0.72222222222222221</v>
      </c>
      <c r="AK50">
        <f>step3_validation[[#This Row],[AI_TRU1]]</f>
        <v>7</v>
      </c>
      <c r="AL50">
        <f t="shared" si="12"/>
        <v>0.66666666666666663</v>
      </c>
      <c r="AM50">
        <f>survey_responses[[#This Row],[Tôi tin rằng Nhà nước, cơ quan thuế sẽ thực thi chính sách mới một cách khách quan, công tâm và đối xử bình đẳng với mọi người nộp thuế.  - HUMAN-TRU1]]</f>
        <v>6</v>
      </c>
      <c r="AN50">
        <f t="shared" si="13"/>
        <v>0.55555555555555558</v>
      </c>
      <c r="AO50">
        <f>step3_validation[[#This Row],[AI_TRU2]]</f>
        <v>8</v>
      </c>
      <c r="AP50">
        <f t="shared" si="14"/>
        <v>0.77777777777777779</v>
      </c>
      <c r="AQ50">
        <f>survey_responses[[#This Row],[Tôi thấy mức thuế tôi phải đóng theo phương án mới là công bằng (người thu nhập như tôi đóng mức này là hợp lý). - HUMAN-TRU2]]</f>
        <v>8</v>
      </c>
      <c r="AR50">
        <f t="shared" si="15"/>
        <v>0.77777777777777779</v>
      </c>
      <c r="AS50">
        <f>step3_validation[[#This Row],[AI_TRU3]]</f>
        <v>7</v>
      </c>
      <c r="AT50">
        <f t="shared" si="16"/>
        <v>0.66666666666666663</v>
      </c>
      <c r="AU50">
        <f>survey_responses[[#This Row],[Tôi tin tưởng số tiền thuế tôi đóng sẽ được Nhà nước sử dụng hiệu quả để cải thiện dịch vụ công (y tế, đường xá...). - HUMAN-TRU3]]</f>
        <v>6</v>
      </c>
      <c r="AV50">
        <f t="shared" si="17"/>
        <v>0.55555555555555558</v>
      </c>
      <c r="AW50">
        <f>step3_validation[[#This Row],[AI_TRU4]]</f>
        <v>6</v>
      </c>
      <c r="AX50">
        <f t="shared" si="18"/>
        <v>0.55555555555555558</v>
      </c>
      <c r="AY50">
        <f>survey_responses[[#This Row],[Tôi thấy Nhà nước đã giải thích rõ ràng, minh bạch về lý do và mục tiêu của việc sửa đổi thuế lần này. - HUMAN-TRU4]]</f>
        <v>5</v>
      </c>
      <c r="AZ50">
        <f t="shared" si="19"/>
        <v>0.44444444444444442</v>
      </c>
      <c r="BA50" s="32">
        <f t="shared" si="20"/>
        <v>0.66666666666666674</v>
      </c>
      <c r="BB50" s="32">
        <f t="shared" si="21"/>
        <v>0.58333333333333337</v>
      </c>
      <c r="BC50" s="7">
        <f t="shared" si="22"/>
        <v>0.64814814814814814</v>
      </c>
      <c r="BD50" s="7">
        <f t="shared" si="23"/>
        <v>0.69444444444444453</v>
      </c>
      <c r="BE50">
        <f>step3_validation[[#This Row],[AI_OUT1]]</f>
        <v>9</v>
      </c>
      <c r="BF50">
        <f t="shared" si="24"/>
        <v>0.88888888888888884</v>
      </c>
      <c r="BG50">
        <f>survey_responses[[#This Row],[Sau khi xem xét các quyền lợi và nghĩa vụ, bạn có ủng hộ và tuân thủ chính sách mới hiện nay? - HUMAN-OUT1]]</f>
        <v>8</v>
      </c>
      <c r="BH50">
        <f t="shared" si="25"/>
        <v>0.77777777777777779</v>
      </c>
      <c r="BI50" s="32">
        <f t="shared" si="26"/>
        <v>1</v>
      </c>
    </row>
    <row r="51" spans="1:61" x14ac:dyDescent="0.45">
      <c r="A51" s="30">
        <f>step3_validation[[#This Row],[Persona_ID]]</f>
        <v>50</v>
      </c>
      <c r="B51" s="31">
        <f>step3_validation[[#This Row],[Used_Seed]]</f>
        <v>91</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20.052287499736849</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f t="shared" si="0"/>
        <v>0.66666666666666663</v>
      </c>
      <c r="S51">
        <f>survey_responses[[#This Row],[Tôi tin rằng với các quy định quản lý thuế hiện nay, hành vi gian lận hoặc trốn thuế sẽ dễ dàng bị phát hiện và xử lý nghiêm. - HUMAN-ENF1]]</f>
        <v>10</v>
      </c>
      <c r="T51">
        <f t="shared" si="1"/>
        <v>1</v>
      </c>
      <c r="U51">
        <f>step3_validation[[#This Row],[AI_ENF2]]</f>
        <v>7</v>
      </c>
      <c r="V51">
        <f t="shared" si="2"/>
        <v>0.66666666666666663</v>
      </c>
      <c r="W51">
        <f>survey_responses[[#This Row],[Tôi tin rằng Nhà nước, cơ quan thuế có đủ khả năng và công nghệ để phát hiện, xử lý nghiêm các hành vi trốn thuế. - HUMAN-ENF2]]</f>
        <v>10</v>
      </c>
      <c r="X51">
        <f t="shared" si="3"/>
        <v>1</v>
      </c>
      <c r="Y51" s="32">
        <f t="shared" si="4"/>
        <v>0.66666666666666663</v>
      </c>
      <c r="Z51" s="32">
        <f t="shared" si="5"/>
        <v>1</v>
      </c>
      <c r="AA51">
        <f>step3_validation[[#This Row],[AI_FAC1]]</f>
        <v>6</v>
      </c>
      <c r="AB51">
        <f t="shared" si="6"/>
        <v>0.55555555555555558</v>
      </c>
      <c r="AC51">
        <f>survey_responses[[#This Row],[Các thủ tục khai báo thuế VÀ/HOẶC quy trình làm việc với cơ quan thuế đơn giản, tiện lợi, nhanh chóng hơn so với trước đây. - HUMAN-FAC1]]</f>
        <v>10</v>
      </c>
      <c r="AD51">
        <f t="shared" si="7"/>
        <v>1</v>
      </c>
      <c r="AE51">
        <f>step3_validation[[#This Row],[AI_FAC2]]</f>
        <v>8</v>
      </c>
      <c r="AF51">
        <f t="shared" si="8"/>
        <v>0.77777777777777779</v>
      </c>
      <c r="AG51">
        <f>survey_responses[[#This Row],[So với trước đây, tôi thấy cách tính thuế và các bậc thuế trong phương án mới đơn giản, dễ hiểu và dễ thực hiện hơn. - HUMAN-FAC2]]</f>
        <v>8</v>
      </c>
      <c r="AH51">
        <f t="shared" si="9"/>
        <v>0.77777777777777779</v>
      </c>
      <c r="AI51" s="32">
        <f t="shared" si="10"/>
        <v>0.66666666666666674</v>
      </c>
      <c r="AJ51" s="32">
        <f t="shared" si="11"/>
        <v>0.88888888888888884</v>
      </c>
      <c r="AK51">
        <f>step3_validation[[#This Row],[AI_TRU1]]</f>
        <v>7</v>
      </c>
      <c r="AL51">
        <f t="shared" si="12"/>
        <v>0.66666666666666663</v>
      </c>
      <c r="AM51">
        <f>survey_responses[[#This Row],[Tôi tin rằng Nhà nước, cơ quan thuế sẽ thực thi chính sách mới một cách khách quan, công tâm và đối xử bình đẳng với mọi người nộp thuế.  - HUMAN-TRU1]]</f>
        <v>8</v>
      </c>
      <c r="AN51">
        <f t="shared" si="13"/>
        <v>0.77777777777777779</v>
      </c>
      <c r="AO51">
        <f>step3_validation[[#This Row],[AI_TRU2]]</f>
        <v>8</v>
      </c>
      <c r="AP51">
        <f t="shared" si="14"/>
        <v>0.77777777777777779</v>
      </c>
      <c r="AQ51">
        <f>survey_responses[[#This Row],[Tôi thấy mức thuế tôi phải đóng theo phương án mới là công bằng (người thu nhập như tôi đóng mức này là hợp lý). - HUMAN-TRU2]]</f>
        <v>8</v>
      </c>
      <c r="AR51">
        <f t="shared" si="15"/>
        <v>0.77777777777777779</v>
      </c>
      <c r="AS51">
        <f>step3_validation[[#This Row],[AI_TRU3]]</f>
        <v>7</v>
      </c>
      <c r="AT51">
        <f t="shared" si="16"/>
        <v>0.66666666666666663</v>
      </c>
      <c r="AU51">
        <f>survey_responses[[#This Row],[Tôi tin tưởng số tiền thuế tôi đóng sẽ được Nhà nước sử dụng hiệu quả để cải thiện dịch vụ công (y tế, đường xá...). - HUMAN-TRU3]]</f>
        <v>8</v>
      </c>
      <c r="AV51">
        <f t="shared" si="17"/>
        <v>0.77777777777777779</v>
      </c>
      <c r="AW51">
        <f>step3_validation[[#This Row],[AI_TRU4]]</f>
        <v>6</v>
      </c>
      <c r="AX51">
        <f t="shared" si="18"/>
        <v>0.55555555555555558</v>
      </c>
      <c r="AY51">
        <f>survey_responses[[#This Row],[Tôi thấy Nhà nước đã giải thích rõ ràng, minh bạch về lý do và mục tiêu của việc sửa đổi thuế lần này. - HUMAN-TRU4]]</f>
        <v>8</v>
      </c>
      <c r="AZ51">
        <f t="shared" si="19"/>
        <v>0.77777777777777779</v>
      </c>
      <c r="BA51" s="32">
        <f t="shared" si="20"/>
        <v>0.66666666666666674</v>
      </c>
      <c r="BB51" s="32">
        <f t="shared" si="21"/>
        <v>0.77777777777777779</v>
      </c>
      <c r="BC51" s="7">
        <f t="shared" si="22"/>
        <v>0.66666666666666663</v>
      </c>
      <c r="BD51" s="7">
        <f t="shared" si="23"/>
        <v>0.88888888888888884</v>
      </c>
      <c r="BE51">
        <f>step3_validation[[#This Row],[AI_OUT1]]</f>
        <v>8</v>
      </c>
      <c r="BF51">
        <f t="shared" si="24"/>
        <v>0.77777777777777779</v>
      </c>
      <c r="BG51">
        <f>survey_responses[[#This Row],[Sau khi xem xét các quyền lợi và nghĩa vụ, bạn có ủng hộ và tuân thủ chính sách mới hiện nay? - HUMAN-OUT1]]</f>
        <v>8</v>
      </c>
      <c r="BH51">
        <f t="shared" si="25"/>
        <v>0.77777777777777779</v>
      </c>
      <c r="BI51" s="32">
        <f t="shared" si="26"/>
        <v>0</v>
      </c>
    </row>
    <row r="52" spans="1:61" x14ac:dyDescent="0.45">
      <c r="A52" s="30">
        <f>step3_validation[[#This Row],[Persona_ID]]</f>
        <v>51</v>
      </c>
      <c r="B52" s="31">
        <f>step3_validation[[#This Row],[Used_Seed]]</f>
        <v>92</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13.569827545687007</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6</v>
      </c>
      <c r="R52">
        <f t="shared" si="0"/>
        <v>0.55555555555555558</v>
      </c>
      <c r="S52">
        <f>survey_responses[[#This Row],[Tôi tin rằng với các quy định quản lý thuế hiện nay, hành vi gian lận hoặc trốn thuế sẽ dễ dàng bị phát hiện và xử lý nghiêm. - HUMAN-ENF1]]</f>
        <v>10</v>
      </c>
      <c r="T52">
        <f t="shared" si="1"/>
        <v>1</v>
      </c>
      <c r="U52">
        <f>step3_validation[[#This Row],[AI_ENF2]]</f>
        <v>7</v>
      </c>
      <c r="V52">
        <f t="shared" si="2"/>
        <v>0.66666666666666663</v>
      </c>
      <c r="W52">
        <f>survey_responses[[#This Row],[Tôi tin rằng Nhà nước, cơ quan thuế có đủ khả năng và công nghệ để phát hiện, xử lý nghiêm các hành vi trốn thuế. - HUMAN-ENF2]]</f>
        <v>10</v>
      </c>
      <c r="X52">
        <f t="shared" si="3"/>
        <v>1</v>
      </c>
      <c r="Y52" s="32">
        <f t="shared" si="4"/>
        <v>0.61111111111111116</v>
      </c>
      <c r="Z52" s="32">
        <f t="shared" si="5"/>
        <v>1</v>
      </c>
      <c r="AA52">
        <f>step3_validation[[#This Row],[AI_FAC1]]</f>
        <v>9</v>
      </c>
      <c r="AB52">
        <f t="shared" si="6"/>
        <v>0.88888888888888884</v>
      </c>
      <c r="AC52">
        <f>survey_responses[[#This Row],[Các thủ tục khai báo thuế VÀ/HOẶC quy trình làm việc với cơ quan thuế đơn giản, tiện lợi, nhanh chóng hơn so với trước đây. - HUMAN-FAC1]]</f>
        <v>10</v>
      </c>
      <c r="AD52">
        <f t="shared" si="7"/>
        <v>1</v>
      </c>
      <c r="AE52">
        <f>step3_validation[[#This Row],[AI_FAC2]]</f>
        <v>9</v>
      </c>
      <c r="AF52">
        <f t="shared" si="8"/>
        <v>0.88888888888888884</v>
      </c>
      <c r="AG52">
        <f>survey_responses[[#This Row],[So với trước đây, tôi thấy cách tính thuế và các bậc thuế trong phương án mới đơn giản, dễ hiểu và dễ thực hiện hơn. - HUMAN-FAC2]]</f>
        <v>10</v>
      </c>
      <c r="AH52">
        <f t="shared" si="9"/>
        <v>1</v>
      </c>
      <c r="AI52" s="32">
        <f t="shared" si="10"/>
        <v>0.88888888888888884</v>
      </c>
      <c r="AJ52" s="32">
        <f t="shared" si="11"/>
        <v>1</v>
      </c>
      <c r="AK52">
        <f>step3_validation[[#This Row],[AI_TRU1]]</f>
        <v>8</v>
      </c>
      <c r="AL52">
        <f t="shared" si="12"/>
        <v>0.77777777777777779</v>
      </c>
      <c r="AM52">
        <f>survey_responses[[#This Row],[Tôi tin rằng Nhà nước, cơ quan thuế sẽ thực thi chính sách mới một cách khách quan, công tâm và đối xử bình đẳng với mọi người nộp thuế.  - HUMAN-TRU1]]</f>
        <v>10</v>
      </c>
      <c r="AN52">
        <f t="shared" si="13"/>
        <v>1</v>
      </c>
      <c r="AO52">
        <f>step3_validation[[#This Row],[AI_TRU2]]</f>
        <v>8</v>
      </c>
      <c r="AP52">
        <f t="shared" si="14"/>
        <v>0.77777777777777779</v>
      </c>
      <c r="AQ52">
        <f>survey_responses[[#This Row],[Tôi thấy mức thuế tôi phải đóng theo phương án mới là công bằng (người thu nhập như tôi đóng mức này là hợp lý). - HUMAN-TRU2]]</f>
        <v>10</v>
      </c>
      <c r="AR52">
        <f t="shared" si="15"/>
        <v>1</v>
      </c>
      <c r="AS52">
        <f>step3_validation[[#This Row],[AI_TRU3]]</f>
        <v>7</v>
      </c>
      <c r="AT52">
        <f t="shared" si="16"/>
        <v>0.66666666666666663</v>
      </c>
      <c r="AU52">
        <f>survey_responses[[#This Row],[Tôi tin tưởng số tiền thuế tôi đóng sẽ được Nhà nước sử dụng hiệu quả để cải thiện dịch vụ công (y tế, đường xá...). - HUMAN-TRU3]]</f>
        <v>10</v>
      </c>
      <c r="AV52">
        <f t="shared" si="17"/>
        <v>1</v>
      </c>
      <c r="AW52">
        <f>step3_validation[[#This Row],[AI_TRU4]]</f>
        <v>8</v>
      </c>
      <c r="AX52">
        <f t="shared" si="18"/>
        <v>0.77777777777777779</v>
      </c>
      <c r="AY52">
        <f>survey_responses[[#This Row],[Tôi thấy Nhà nước đã giải thích rõ ràng, minh bạch về lý do và mục tiêu của việc sửa đổi thuế lần này. - HUMAN-TRU4]]</f>
        <v>10</v>
      </c>
      <c r="AZ52">
        <f t="shared" si="19"/>
        <v>1</v>
      </c>
      <c r="BA52" s="32">
        <f t="shared" si="20"/>
        <v>0.75</v>
      </c>
      <c r="BB52" s="32">
        <f t="shared" si="21"/>
        <v>1</v>
      </c>
      <c r="BC52" s="7">
        <f t="shared" si="22"/>
        <v>0.75</v>
      </c>
      <c r="BD52" s="7">
        <f t="shared" si="23"/>
        <v>1</v>
      </c>
      <c r="BE52">
        <f>step3_validation[[#This Row],[AI_OUT1]]</f>
        <v>9</v>
      </c>
      <c r="BF52">
        <f t="shared" si="24"/>
        <v>0.88888888888888884</v>
      </c>
      <c r="BG52">
        <f>survey_responses[[#This Row],[Sau khi xem xét các quyền lợi và nghĩa vụ, bạn có ủng hộ và tuân thủ chính sách mới hiện nay? - HUMAN-OUT1]]</f>
        <v>10</v>
      </c>
      <c r="BH52">
        <f t="shared" si="25"/>
        <v>1</v>
      </c>
      <c r="BI52" s="32">
        <f t="shared" si="26"/>
        <v>1</v>
      </c>
    </row>
    <row r="53" spans="1:61" x14ac:dyDescent="0.45">
      <c r="A53" s="30">
        <f>step3_validation[[#This Row],[Persona_ID]]</f>
        <v>52</v>
      </c>
      <c r="B53" s="31">
        <f>step3_validation[[#This Row],[Used_Seed]]</f>
        <v>93</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20.75462224322278</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f t="shared" si="0"/>
        <v>0.66666666666666663</v>
      </c>
      <c r="S53">
        <f>survey_responses[[#This Row],[Tôi tin rằng với các quy định quản lý thuế hiện nay, hành vi gian lận hoặc trốn thuế sẽ dễ dàng bị phát hiện và xử lý nghiêm. - HUMAN-ENF1]]</f>
        <v>10</v>
      </c>
      <c r="T53">
        <f t="shared" si="1"/>
        <v>1</v>
      </c>
      <c r="U53">
        <f>step3_validation[[#This Row],[AI_ENF2]]</f>
        <v>8</v>
      </c>
      <c r="V53">
        <f t="shared" si="2"/>
        <v>0.77777777777777779</v>
      </c>
      <c r="W53">
        <f>survey_responses[[#This Row],[Tôi tin rằng Nhà nước, cơ quan thuế có đủ khả năng và công nghệ để phát hiện, xử lý nghiêm các hành vi trốn thuế. - HUMAN-ENF2]]</f>
        <v>10</v>
      </c>
      <c r="X53">
        <f t="shared" si="3"/>
        <v>1</v>
      </c>
      <c r="Y53" s="32">
        <f t="shared" si="4"/>
        <v>0.72222222222222221</v>
      </c>
      <c r="Z53" s="32">
        <f t="shared" si="5"/>
        <v>1</v>
      </c>
      <c r="AA53">
        <f>step3_validation[[#This Row],[AI_FAC1]]</f>
        <v>9</v>
      </c>
      <c r="AB53">
        <f t="shared" si="6"/>
        <v>0.88888888888888884</v>
      </c>
      <c r="AC53">
        <f>survey_responses[[#This Row],[Các thủ tục khai báo thuế VÀ/HOẶC quy trình làm việc với cơ quan thuế đơn giản, tiện lợi, nhanh chóng hơn so với trước đây. - HUMAN-FAC1]]</f>
        <v>10</v>
      </c>
      <c r="AD53">
        <f t="shared" si="7"/>
        <v>1</v>
      </c>
      <c r="AE53">
        <f>step3_validation[[#This Row],[AI_FAC2]]</f>
        <v>10</v>
      </c>
      <c r="AF53">
        <f t="shared" si="8"/>
        <v>1</v>
      </c>
      <c r="AG53">
        <f>survey_responses[[#This Row],[So với trước đây, tôi thấy cách tính thuế và các bậc thuế trong phương án mới đơn giản, dễ hiểu và dễ thực hiện hơn. - HUMAN-FAC2]]</f>
        <v>10</v>
      </c>
      <c r="AH53">
        <f t="shared" si="9"/>
        <v>1</v>
      </c>
      <c r="AI53" s="32">
        <f t="shared" si="10"/>
        <v>0.94444444444444442</v>
      </c>
      <c r="AJ53" s="32">
        <f t="shared" si="11"/>
        <v>1</v>
      </c>
      <c r="AK53">
        <f>step3_validation[[#This Row],[AI_TRU1]]</f>
        <v>9</v>
      </c>
      <c r="AL53">
        <f t="shared" si="12"/>
        <v>0.88888888888888884</v>
      </c>
      <c r="AM53">
        <f>survey_responses[[#This Row],[Tôi tin rằng Nhà nước, cơ quan thuế sẽ thực thi chính sách mới một cách khách quan, công tâm và đối xử bình đẳng với mọi người nộp thuế.  - HUMAN-TRU1]]</f>
        <v>10</v>
      </c>
      <c r="AN53">
        <f t="shared" si="13"/>
        <v>1</v>
      </c>
      <c r="AO53">
        <f>step3_validation[[#This Row],[AI_TRU2]]</f>
        <v>8</v>
      </c>
      <c r="AP53">
        <f t="shared" si="14"/>
        <v>0.77777777777777779</v>
      </c>
      <c r="AQ53">
        <f>survey_responses[[#This Row],[Tôi thấy mức thuế tôi phải đóng theo phương án mới là công bằng (người thu nhập như tôi đóng mức này là hợp lý). - HUMAN-TRU2]]</f>
        <v>10</v>
      </c>
      <c r="AR53">
        <f t="shared" si="15"/>
        <v>1</v>
      </c>
      <c r="AS53">
        <f>step3_validation[[#This Row],[AI_TRU3]]</f>
        <v>9</v>
      </c>
      <c r="AT53">
        <f t="shared" si="16"/>
        <v>0.88888888888888884</v>
      </c>
      <c r="AU53">
        <f>survey_responses[[#This Row],[Tôi tin tưởng số tiền thuế tôi đóng sẽ được Nhà nước sử dụng hiệu quả để cải thiện dịch vụ công (y tế, đường xá...). - HUMAN-TRU3]]</f>
        <v>10</v>
      </c>
      <c r="AV53">
        <f t="shared" si="17"/>
        <v>1</v>
      </c>
      <c r="AW53">
        <f>step3_validation[[#This Row],[AI_TRU4]]</f>
        <v>8</v>
      </c>
      <c r="AX53">
        <f t="shared" si="18"/>
        <v>0.77777777777777779</v>
      </c>
      <c r="AY53">
        <f>survey_responses[[#This Row],[Tôi thấy Nhà nước đã giải thích rõ ràng, minh bạch về lý do và mục tiêu của việc sửa đổi thuế lần này. - HUMAN-TRU4]]</f>
        <v>10</v>
      </c>
      <c r="AZ53">
        <f t="shared" si="19"/>
        <v>1</v>
      </c>
      <c r="BA53" s="32">
        <f t="shared" si="20"/>
        <v>0.83333333333333326</v>
      </c>
      <c r="BB53" s="32">
        <f t="shared" si="21"/>
        <v>1</v>
      </c>
      <c r="BC53" s="7">
        <f t="shared" si="22"/>
        <v>0.83333333333333337</v>
      </c>
      <c r="BD53" s="7">
        <f t="shared" si="23"/>
        <v>1</v>
      </c>
      <c r="BE53">
        <f>step3_validation[[#This Row],[AI_OUT1]]</f>
        <v>9</v>
      </c>
      <c r="BF53">
        <f t="shared" si="24"/>
        <v>0.88888888888888884</v>
      </c>
      <c r="BG53">
        <f>survey_responses[[#This Row],[Sau khi xem xét các quyền lợi và nghĩa vụ, bạn có ủng hộ và tuân thủ chính sách mới hiện nay? - HUMAN-OUT1]]</f>
        <v>8</v>
      </c>
      <c r="BH53">
        <f t="shared" si="25"/>
        <v>0.77777777777777779</v>
      </c>
      <c r="BI53" s="32">
        <f t="shared" si="26"/>
        <v>1</v>
      </c>
    </row>
    <row r="54" spans="1:61" x14ac:dyDescent="0.45">
      <c r="A54" s="30">
        <f>step3_validation[[#This Row],[Persona_ID]]</f>
        <v>53</v>
      </c>
      <c r="B54" s="31">
        <f>step3_validation[[#This Row],[Used_Seed]]</f>
        <v>94</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12.983243945131914</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8</v>
      </c>
      <c r="R54">
        <f t="shared" si="0"/>
        <v>0.77777777777777779</v>
      </c>
      <c r="S54">
        <f>survey_responses[[#This Row],[Tôi tin rằng với các quy định quản lý thuế hiện nay, hành vi gian lận hoặc trốn thuế sẽ dễ dàng bị phát hiện và xử lý nghiêm. - HUMAN-ENF1]]</f>
        <v>10</v>
      </c>
      <c r="T54">
        <f t="shared" si="1"/>
        <v>1</v>
      </c>
      <c r="U54">
        <f>step3_validation[[#This Row],[AI_ENF2]]</f>
        <v>9</v>
      </c>
      <c r="V54">
        <f t="shared" si="2"/>
        <v>0.88888888888888884</v>
      </c>
      <c r="W54">
        <f>survey_responses[[#This Row],[Tôi tin rằng Nhà nước, cơ quan thuế có đủ khả năng và công nghệ để phát hiện, xử lý nghiêm các hành vi trốn thuế. - HUMAN-ENF2]]</f>
        <v>10</v>
      </c>
      <c r="X54">
        <f t="shared" si="3"/>
        <v>1</v>
      </c>
      <c r="Y54" s="32">
        <f t="shared" si="4"/>
        <v>0.83333333333333326</v>
      </c>
      <c r="Z54" s="32">
        <f t="shared" si="5"/>
        <v>1</v>
      </c>
      <c r="AA54">
        <f>step3_validation[[#This Row],[AI_FAC1]]</f>
        <v>8</v>
      </c>
      <c r="AB54">
        <f t="shared" si="6"/>
        <v>0.77777777777777779</v>
      </c>
      <c r="AC54">
        <f>survey_responses[[#This Row],[Các thủ tục khai báo thuế VÀ/HOẶC quy trình làm việc với cơ quan thuế đơn giản, tiện lợi, nhanh chóng hơn so với trước đây. - HUMAN-FAC1]]</f>
        <v>10</v>
      </c>
      <c r="AD54">
        <f t="shared" si="7"/>
        <v>1</v>
      </c>
      <c r="AE54">
        <f>step3_validation[[#This Row],[AI_FAC2]]</f>
        <v>9</v>
      </c>
      <c r="AF54">
        <f t="shared" si="8"/>
        <v>0.88888888888888884</v>
      </c>
      <c r="AG54">
        <f>survey_responses[[#This Row],[So với trước đây, tôi thấy cách tính thuế và các bậc thuế trong phương án mới đơn giản, dễ hiểu và dễ thực hiện hơn. - HUMAN-FAC2]]</f>
        <v>10</v>
      </c>
      <c r="AH54">
        <f t="shared" si="9"/>
        <v>1</v>
      </c>
      <c r="AI54" s="32">
        <f t="shared" si="10"/>
        <v>0.83333333333333326</v>
      </c>
      <c r="AJ54" s="32">
        <f t="shared" si="11"/>
        <v>1</v>
      </c>
      <c r="AK54">
        <f>step3_validation[[#This Row],[AI_TRU1]]</f>
        <v>8</v>
      </c>
      <c r="AL54">
        <f t="shared" si="12"/>
        <v>0.77777777777777779</v>
      </c>
      <c r="AM54">
        <f>survey_responses[[#This Row],[Tôi tin rằng Nhà nước, cơ quan thuế sẽ thực thi chính sách mới một cách khách quan, công tâm và đối xử bình đẳng với mọi người nộp thuế.  - HUMAN-TRU1]]</f>
        <v>10</v>
      </c>
      <c r="AN54">
        <f t="shared" si="13"/>
        <v>1</v>
      </c>
      <c r="AO54">
        <f>step3_validation[[#This Row],[AI_TRU2]]</f>
        <v>9</v>
      </c>
      <c r="AP54">
        <f t="shared" si="14"/>
        <v>0.88888888888888884</v>
      </c>
      <c r="AQ54">
        <f>survey_responses[[#This Row],[Tôi thấy mức thuế tôi phải đóng theo phương án mới là công bằng (người thu nhập như tôi đóng mức này là hợp lý). - HUMAN-TRU2]]</f>
        <v>10</v>
      </c>
      <c r="AR54">
        <f t="shared" si="15"/>
        <v>1</v>
      </c>
      <c r="AS54">
        <f>step3_validation[[#This Row],[AI_TRU3]]</f>
        <v>8</v>
      </c>
      <c r="AT54">
        <f t="shared" si="16"/>
        <v>0.77777777777777779</v>
      </c>
      <c r="AU54">
        <f>survey_responses[[#This Row],[Tôi tin tưởng số tiền thuế tôi đóng sẽ được Nhà nước sử dụng hiệu quả để cải thiện dịch vụ công (y tế, đường xá...). - HUMAN-TRU3]]</f>
        <v>10</v>
      </c>
      <c r="AV54">
        <f t="shared" si="17"/>
        <v>1</v>
      </c>
      <c r="AW54">
        <f>step3_validation[[#This Row],[AI_TRU4]]</f>
        <v>9</v>
      </c>
      <c r="AX54">
        <f t="shared" si="18"/>
        <v>0.88888888888888884</v>
      </c>
      <c r="AY54">
        <f>survey_responses[[#This Row],[Tôi thấy Nhà nước đã giải thích rõ ràng, minh bạch về lý do và mục tiêu của việc sửa đổi thuế lần này. - HUMAN-TRU4]]</f>
        <v>10</v>
      </c>
      <c r="AZ54">
        <f t="shared" si="19"/>
        <v>1</v>
      </c>
      <c r="BA54" s="32">
        <f t="shared" si="20"/>
        <v>0.83333333333333326</v>
      </c>
      <c r="BB54" s="32">
        <f t="shared" si="21"/>
        <v>1</v>
      </c>
      <c r="BC54" s="7">
        <f t="shared" si="22"/>
        <v>0.83333333333333337</v>
      </c>
      <c r="BD54" s="7">
        <f t="shared" si="23"/>
        <v>1</v>
      </c>
      <c r="BE54">
        <f>step3_validation[[#This Row],[AI_OUT1]]</f>
        <v>10</v>
      </c>
      <c r="BF54">
        <f t="shared" si="24"/>
        <v>1</v>
      </c>
      <c r="BG54">
        <f>survey_responses[[#This Row],[Sau khi xem xét các quyền lợi và nghĩa vụ, bạn có ủng hộ và tuân thủ chính sách mới hiện nay? - HUMAN-OUT1]]</f>
        <v>10</v>
      </c>
      <c r="BH54">
        <f t="shared" si="25"/>
        <v>1</v>
      </c>
      <c r="BI54" s="32">
        <f t="shared" si="26"/>
        <v>0</v>
      </c>
    </row>
    <row r="55" spans="1:61" x14ac:dyDescent="0.45">
      <c r="A55" s="30">
        <f>step3_validation[[#This Row],[Persona_ID]]</f>
        <v>54</v>
      </c>
      <c r="B55" s="31">
        <f>step3_validation[[#This Row],[Used_Seed]]</f>
        <v>95</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35.681028915547671</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6</v>
      </c>
      <c r="R55">
        <f t="shared" si="0"/>
        <v>0.55555555555555558</v>
      </c>
      <c r="S55">
        <f>survey_responses[[#This Row],[Tôi tin rằng với các quy định quản lý thuế hiện nay, hành vi gian lận hoặc trốn thuế sẽ dễ dàng bị phát hiện và xử lý nghiêm. - HUMAN-ENF1]]</f>
        <v>8</v>
      </c>
      <c r="T55">
        <f t="shared" si="1"/>
        <v>0.77777777777777779</v>
      </c>
      <c r="U55">
        <f>step3_validation[[#This Row],[AI_ENF2]]</f>
        <v>7</v>
      </c>
      <c r="V55">
        <f t="shared" si="2"/>
        <v>0.66666666666666663</v>
      </c>
      <c r="W55">
        <f>survey_responses[[#This Row],[Tôi tin rằng Nhà nước, cơ quan thuế có đủ khả năng và công nghệ để phát hiện, xử lý nghiêm các hành vi trốn thuế. - HUMAN-ENF2]]</f>
        <v>7</v>
      </c>
      <c r="X55">
        <f t="shared" si="3"/>
        <v>0.66666666666666663</v>
      </c>
      <c r="Y55" s="32">
        <f t="shared" si="4"/>
        <v>0.61111111111111116</v>
      </c>
      <c r="Z55" s="32">
        <f t="shared" si="5"/>
        <v>0.72222222222222221</v>
      </c>
      <c r="AA55">
        <f>step3_validation[[#This Row],[AI_FAC1]]</f>
        <v>8</v>
      </c>
      <c r="AB55">
        <f t="shared" si="6"/>
        <v>0.77777777777777779</v>
      </c>
      <c r="AC55">
        <f>survey_responses[[#This Row],[Các thủ tục khai báo thuế VÀ/HOẶC quy trình làm việc với cơ quan thuế đơn giản, tiện lợi, nhanh chóng hơn so với trước đây. - HUMAN-FAC1]]</f>
        <v>7</v>
      </c>
      <c r="AD55">
        <f t="shared" si="7"/>
        <v>0.66666666666666663</v>
      </c>
      <c r="AE55">
        <f>step3_validation[[#This Row],[AI_FAC2]]</f>
        <v>9</v>
      </c>
      <c r="AF55">
        <f t="shared" si="8"/>
        <v>0.88888888888888884</v>
      </c>
      <c r="AG55">
        <f>survey_responses[[#This Row],[So với trước đây, tôi thấy cách tính thuế và các bậc thuế trong phương án mới đơn giản, dễ hiểu và dễ thực hiện hơn. - HUMAN-FAC2]]</f>
        <v>8</v>
      </c>
      <c r="AH55">
        <f t="shared" si="9"/>
        <v>0.77777777777777779</v>
      </c>
      <c r="AI55" s="32">
        <f t="shared" si="10"/>
        <v>0.83333333333333326</v>
      </c>
      <c r="AJ55" s="32">
        <f t="shared" si="11"/>
        <v>0.72222222222222221</v>
      </c>
      <c r="AK55">
        <f>step3_validation[[#This Row],[AI_TRU1]]</f>
        <v>7</v>
      </c>
      <c r="AL55">
        <f t="shared" si="12"/>
        <v>0.66666666666666663</v>
      </c>
      <c r="AM55">
        <f>survey_responses[[#This Row],[Tôi tin rằng Nhà nước, cơ quan thuế sẽ thực thi chính sách mới một cách khách quan, công tâm và đối xử bình đẳng với mọi người nộp thuế.  - HUMAN-TRU1]]</f>
        <v>7</v>
      </c>
      <c r="AN55">
        <f t="shared" si="13"/>
        <v>0.66666666666666663</v>
      </c>
      <c r="AO55">
        <f>step3_validation[[#This Row],[AI_TRU2]]</f>
        <v>8</v>
      </c>
      <c r="AP55">
        <f t="shared" si="14"/>
        <v>0.77777777777777779</v>
      </c>
      <c r="AQ55">
        <f>survey_responses[[#This Row],[Tôi thấy mức thuế tôi phải đóng theo phương án mới là công bằng (người thu nhập như tôi đóng mức này là hợp lý). - HUMAN-TRU2]]</f>
        <v>8</v>
      </c>
      <c r="AR55">
        <f t="shared" si="15"/>
        <v>0.77777777777777779</v>
      </c>
      <c r="AS55">
        <f>step3_validation[[#This Row],[AI_TRU3]]</f>
        <v>7</v>
      </c>
      <c r="AT55">
        <f t="shared" si="16"/>
        <v>0.66666666666666663</v>
      </c>
      <c r="AU55">
        <f>survey_responses[[#This Row],[Tôi tin tưởng số tiền thuế tôi đóng sẽ được Nhà nước sử dụng hiệu quả để cải thiện dịch vụ công (y tế, đường xá...). - HUMAN-TRU3]]</f>
        <v>7</v>
      </c>
      <c r="AV55">
        <f t="shared" si="17"/>
        <v>0.66666666666666663</v>
      </c>
      <c r="AW55">
        <f>step3_validation[[#This Row],[AI_TRU4]]</f>
        <v>8</v>
      </c>
      <c r="AX55">
        <f t="shared" si="18"/>
        <v>0.77777777777777779</v>
      </c>
      <c r="AY55">
        <f>survey_responses[[#This Row],[Tôi thấy Nhà nước đã giải thích rõ ràng, minh bạch về lý do và mục tiêu của việc sửa đổi thuế lần này. - HUMAN-TRU4]]</f>
        <v>7</v>
      </c>
      <c r="AZ55">
        <f t="shared" si="19"/>
        <v>0.66666666666666663</v>
      </c>
      <c r="BA55" s="32">
        <f t="shared" si="20"/>
        <v>0.72222222222222221</v>
      </c>
      <c r="BB55" s="32">
        <f t="shared" si="21"/>
        <v>0.69444444444444442</v>
      </c>
      <c r="BC55" s="7">
        <f t="shared" si="22"/>
        <v>0.72222222222222221</v>
      </c>
      <c r="BD55" s="7">
        <f t="shared" si="23"/>
        <v>0.71296296296296291</v>
      </c>
      <c r="BE55">
        <f>step3_validation[[#This Row],[AI_OUT1]]</f>
        <v>9</v>
      </c>
      <c r="BF55">
        <f t="shared" si="24"/>
        <v>0.88888888888888884</v>
      </c>
      <c r="BG55">
        <f>survey_responses[[#This Row],[Sau khi xem xét các quyền lợi và nghĩa vụ, bạn có ủng hộ và tuân thủ chính sách mới hiện nay? - HUMAN-OUT1]]</f>
        <v>8</v>
      </c>
      <c r="BH55">
        <f t="shared" si="25"/>
        <v>0.77777777777777779</v>
      </c>
      <c r="BI55" s="32">
        <f t="shared" si="26"/>
        <v>1</v>
      </c>
    </row>
    <row r="56" spans="1:61" x14ac:dyDescent="0.45">
      <c r="A56" s="30">
        <f>step3_validation[[#This Row],[Persona_ID]]</f>
        <v>55</v>
      </c>
      <c r="B56" s="31">
        <f>step3_validation[[#This Row],[Used_Seed]]</f>
        <v>96</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37.498117157864044</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7</v>
      </c>
      <c r="R56">
        <f t="shared" si="0"/>
        <v>0.66666666666666663</v>
      </c>
      <c r="S56">
        <f>survey_responses[[#This Row],[Tôi tin rằng với các quy định quản lý thuế hiện nay, hành vi gian lận hoặc trốn thuế sẽ dễ dàng bị phát hiện và xử lý nghiêm. - HUMAN-ENF1]]</f>
        <v>10</v>
      </c>
      <c r="T56">
        <f t="shared" si="1"/>
        <v>1</v>
      </c>
      <c r="U56">
        <f>step3_validation[[#This Row],[AI_ENF2]]</f>
        <v>6</v>
      </c>
      <c r="V56">
        <f t="shared" si="2"/>
        <v>0.55555555555555558</v>
      </c>
      <c r="W56">
        <f>survey_responses[[#This Row],[Tôi tin rằng Nhà nước, cơ quan thuế có đủ khả năng và công nghệ để phát hiện, xử lý nghiêm các hành vi trốn thuế. - HUMAN-ENF2]]</f>
        <v>9</v>
      </c>
      <c r="X56">
        <f t="shared" si="3"/>
        <v>0.88888888888888884</v>
      </c>
      <c r="Y56" s="32">
        <f t="shared" si="4"/>
        <v>0.61111111111111116</v>
      </c>
      <c r="Z56" s="32">
        <f t="shared" si="5"/>
        <v>0.94444444444444442</v>
      </c>
      <c r="AA56">
        <f>step3_validation[[#This Row],[AI_FAC1]]</f>
        <v>8</v>
      </c>
      <c r="AB56">
        <f t="shared" si="6"/>
        <v>0.77777777777777779</v>
      </c>
      <c r="AC56">
        <f>survey_responses[[#This Row],[Các thủ tục khai báo thuế VÀ/HOẶC quy trình làm việc với cơ quan thuế đơn giản, tiện lợi, nhanh chóng hơn so với trước đây. - HUMAN-FAC1]]</f>
        <v>3</v>
      </c>
      <c r="AD56">
        <f t="shared" si="7"/>
        <v>0.22222222222222221</v>
      </c>
      <c r="AE56">
        <f>step3_validation[[#This Row],[AI_FAC2]]</f>
        <v>9</v>
      </c>
      <c r="AF56">
        <f t="shared" si="8"/>
        <v>0.88888888888888884</v>
      </c>
      <c r="AG56">
        <f>survey_responses[[#This Row],[So với trước đây, tôi thấy cách tính thuế và các bậc thuế trong phương án mới đơn giản, dễ hiểu và dễ thực hiện hơn. - HUMAN-FAC2]]</f>
        <v>4</v>
      </c>
      <c r="AH56">
        <f t="shared" si="9"/>
        <v>0.33333333333333331</v>
      </c>
      <c r="AI56" s="32">
        <f t="shared" si="10"/>
        <v>0.83333333333333326</v>
      </c>
      <c r="AJ56" s="32">
        <f t="shared" si="11"/>
        <v>0.27777777777777779</v>
      </c>
      <c r="AK56">
        <f>step3_validation[[#This Row],[AI_TRU1]]</f>
        <v>5</v>
      </c>
      <c r="AL56">
        <f t="shared" si="12"/>
        <v>0.44444444444444442</v>
      </c>
      <c r="AM56">
        <f>survey_responses[[#This Row],[Tôi tin rằng Nhà nước, cơ quan thuế sẽ thực thi chính sách mới một cách khách quan, công tâm và đối xử bình đẳng với mọi người nộp thuế.  - HUMAN-TRU1]]</f>
        <v>3</v>
      </c>
      <c r="AN56">
        <f t="shared" si="13"/>
        <v>0.22222222222222221</v>
      </c>
      <c r="AO56">
        <f>step3_validation[[#This Row],[AI_TRU2]]</f>
        <v>7</v>
      </c>
      <c r="AP56">
        <f t="shared" si="14"/>
        <v>0.66666666666666663</v>
      </c>
      <c r="AQ56">
        <f>survey_responses[[#This Row],[Tôi thấy mức thuế tôi phải đóng theo phương án mới là công bằng (người thu nhập như tôi đóng mức này là hợp lý). - HUMAN-TRU2]]</f>
        <v>3</v>
      </c>
      <c r="AR56">
        <f t="shared" si="15"/>
        <v>0.22222222222222221</v>
      </c>
      <c r="AS56">
        <f>step3_validation[[#This Row],[AI_TRU3]]</f>
        <v>6</v>
      </c>
      <c r="AT56">
        <f t="shared" si="16"/>
        <v>0.55555555555555558</v>
      </c>
      <c r="AU56">
        <f>survey_responses[[#This Row],[Tôi tin tưởng số tiền thuế tôi đóng sẽ được Nhà nước sử dụng hiệu quả để cải thiện dịch vụ công (y tế, đường xá...). - HUMAN-TRU3]]</f>
        <v>1</v>
      </c>
      <c r="AV56">
        <f t="shared" si="17"/>
        <v>0</v>
      </c>
      <c r="AW56">
        <f>step3_validation[[#This Row],[AI_TRU4]]</f>
        <v>5</v>
      </c>
      <c r="AX56">
        <f t="shared" si="18"/>
        <v>0.44444444444444442</v>
      </c>
      <c r="AY56">
        <f>survey_responses[[#This Row],[Tôi thấy Nhà nước đã giải thích rõ ràng, minh bạch về lý do và mục tiêu của việc sửa đổi thuế lần này. - HUMAN-TRU4]]</f>
        <v>1</v>
      </c>
      <c r="AZ56">
        <f t="shared" si="19"/>
        <v>0</v>
      </c>
      <c r="BA56" s="32">
        <f t="shared" si="20"/>
        <v>0.52777777777777779</v>
      </c>
      <c r="BB56" s="32">
        <f t="shared" si="21"/>
        <v>0.1111111111111111</v>
      </c>
      <c r="BC56" s="7">
        <f t="shared" si="22"/>
        <v>0.65740740740740744</v>
      </c>
      <c r="BD56" s="7">
        <f t="shared" si="23"/>
        <v>0.44444444444444448</v>
      </c>
      <c r="BE56">
        <f>step3_validation[[#This Row],[AI_OUT1]]</f>
        <v>8</v>
      </c>
      <c r="BF56">
        <f t="shared" si="24"/>
        <v>0.77777777777777779</v>
      </c>
      <c r="BG56">
        <f>survey_responses[[#This Row],[Sau khi xem xét các quyền lợi và nghĩa vụ, bạn có ủng hộ và tuân thủ chính sách mới hiện nay? - HUMAN-OUT1]]</f>
        <v>3</v>
      </c>
      <c r="BH56">
        <f t="shared" si="25"/>
        <v>0.22222222222222221</v>
      </c>
      <c r="BI56" s="32">
        <f t="shared" si="26"/>
        <v>5</v>
      </c>
    </row>
    <row r="57" spans="1:61" x14ac:dyDescent="0.45">
      <c r="A57" s="30">
        <f>step3_validation[[#This Row],[Persona_ID]]</f>
        <v>56</v>
      </c>
      <c r="B57" s="31">
        <f>step3_validation[[#This Row],[Used_Seed]]</f>
        <v>97</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f t="shared" si="0"/>
        <v>0.66666666666666663</v>
      </c>
      <c r="S57">
        <f>survey_responses[[#This Row],[Tôi tin rằng với các quy định quản lý thuế hiện nay, hành vi gian lận hoặc trốn thuế sẽ dễ dàng bị phát hiện và xử lý nghiêm. - HUMAN-ENF1]]</f>
        <v>10</v>
      </c>
      <c r="T57">
        <f t="shared" si="1"/>
        <v>1</v>
      </c>
      <c r="U57">
        <f>step3_validation[[#This Row],[AI_ENF2]]</f>
        <v>8</v>
      </c>
      <c r="V57">
        <f t="shared" si="2"/>
        <v>0.77777777777777779</v>
      </c>
      <c r="W57">
        <f>survey_responses[[#This Row],[Tôi tin rằng Nhà nước, cơ quan thuế có đủ khả năng và công nghệ để phát hiện, xử lý nghiêm các hành vi trốn thuế. - HUMAN-ENF2]]</f>
        <v>10</v>
      </c>
      <c r="X57">
        <f t="shared" si="3"/>
        <v>1</v>
      </c>
      <c r="Y57" s="32">
        <f t="shared" si="4"/>
        <v>0.72222222222222221</v>
      </c>
      <c r="Z57" s="32">
        <f t="shared" si="5"/>
        <v>1</v>
      </c>
      <c r="AA57">
        <f>step3_validation[[#This Row],[AI_FAC1]]</f>
        <v>7</v>
      </c>
      <c r="AB57">
        <f t="shared" si="6"/>
        <v>0.66666666666666663</v>
      </c>
      <c r="AC57">
        <f>survey_responses[[#This Row],[Các thủ tục khai báo thuế VÀ/HOẶC quy trình làm việc với cơ quan thuế đơn giản, tiện lợi, nhanh chóng hơn so với trước đây. - HUMAN-FAC1]]</f>
        <v>9</v>
      </c>
      <c r="AD57">
        <f t="shared" si="7"/>
        <v>0.88888888888888884</v>
      </c>
      <c r="AE57">
        <f>step3_validation[[#This Row],[AI_FAC2]]</f>
        <v>9</v>
      </c>
      <c r="AF57">
        <f t="shared" si="8"/>
        <v>0.88888888888888884</v>
      </c>
      <c r="AG57">
        <f>survey_responses[[#This Row],[So với trước đây, tôi thấy cách tính thuế và các bậc thuế trong phương án mới đơn giản, dễ hiểu và dễ thực hiện hơn. - HUMAN-FAC2]]</f>
        <v>10</v>
      </c>
      <c r="AH57">
        <f t="shared" si="9"/>
        <v>1</v>
      </c>
      <c r="AI57" s="32">
        <f t="shared" si="10"/>
        <v>0.77777777777777768</v>
      </c>
      <c r="AJ57" s="32">
        <f t="shared" si="11"/>
        <v>0.94444444444444442</v>
      </c>
      <c r="AK57">
        <f>step3_validation[[#This Row],[AI_TRU1]]</f>
        <v>7</v>
      </c>
      <c r="AL57">
        <f t="shared" si="12"/>
        <v>0.66666666666666663</v>
      </c>
      <c r="AM57">
        <f>survey_responses[[#This Row],[Tôi tin rằng Nhà nước, cơ quan thuế sẽ thực thi chính sách mới một cách khách quan, công tâm và đối xử bình đẳng với mọi người nộp thuế.  - HUMAN-TRU1]]</f>
        <v>9</v>
      </c>
      <c r="AN57">
        <f t="shared" si="13"/>
        <v>0.88888888888888884</v>
      </c>
      <c r="AO57">
        <f>step3_validation[[#This Row],[AI_TRU2]]</f>
        <v>8</v>
      </c>
      <c r="AP57">
        <f t="shared" si="14"/>
        <v>0.77777777777777779</v>
      </c>
      <c r="AQ57">
        <f>survey_responses[[#This Row],[Tôi thấy mức thuế tôi phải đóng theo phương án mới là công bằng (người thu nhập như tôi đóng mức này là hợp lý). - HUMAN-TRU2]]</f>
        <v>10</v>
      </c>
      <c r="AR57">
        <f t="shared" si="15"/>
        <v>1</v>
      </c>
      <c r="AS57">
        <f>step3_validation[[#This Row],[AI_TRU3]]</f>
        <v>7</v>
      </c>
      <c r="AT57">
        <f t="shared" si="16"/>
        <v>0.66666666666666663</v>
      </c>
      <c r="AU57">
        <f>survey_responses[[#This Row],[Tôi tin tưởng số tiền thuế tôi đóng sẽ được Nhà nước sử dụng hiệu quả để cải thiện dịch vụ công (y tế, đường xá...). - HUMAN-TRU3]]</f>
        <v>9</v>
      </c>
      <c r="AV57">
        <f t="shared" si="17"/>
        <v>0.88888888888888884</v>
      </c>
      <c r="AW57">
        <f>step3_validation[[#This Row],[AI_TRU4]]</f>
        <v>8</v>
      </c>
      <c r="AX57">
        <f t="shared" si="18"/>
        <v>0.77777777777777779</v>
      </c>
      <c r="AY57">
        <f>survey_responses[[#This Row],[Tôi thấy Nhà nước đã giải thích rõ ràng, minh bạch về lý do và mục tiêu của việc sửa đổi thuế lần này. - HUMAN-TRU4]]</f>
        <v>10</v>
      </c>
      <c r="AZ57">
        <f t="shared" si="19"/>
        <v>1</v>
      </c>
      <c r="BA57" s="32">
        <f t="shared" si="20"/>
        <v>0.72222222222222221</v>
      </c>
      <c r="BB57" s="32">
        <f t="shared" si="21"/>
        <v>0.94444444444444442</v>
      </c>
      <c r="BC57" s="7">
        <f t="shared" si="22"/>
        <v>0.74074074074074081</v>
      </c>
      <c r="BD57" s="7">
        <f t="shared" si="23"/>
        <v>0.96296296296296291</v>
      </c>
      <c r="BE57">
        <f>step3_validation[[#This Row],[AI_OUT1]]</f>
        <v>9</v>
      </c>
      <c r="BF57">
        <f t="shared" si="24"/>
        <v>0.88888888888888884</v>
      </c>
      <c r="BG57">
        <f>survey_responses[[#This Row],[Sau khi xem xét các quyền lợi và nghĩa vụ, bạn có ủng hộ và tuân thủ chính sách mới hiện nay? - HUMAN-OUT1]]</f>
        <v>9</v>
      </c>
      <c r="BH57">
        <f t="shared" si="25"/>
        <v>0.88888888888888884</v>
      </c>
      <c r="BI57" s="32">
        <f t="shared" si="26"/>
        <v>0</v>
      </c>
    </row>
    <row r="58" spans="1:61" x14ac:dyDescent="0.45">
      <c r="A58" s="30">
        <f>step3_validation[[#This Row],[Persona_ID]]</f>
        <v>57</v>
      </c>
      <c r="B58" s="31">
        <f>step3_validation[[#This Row],[Used_Seed]]</f>
        <v>98</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12.203375060822989</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6</v>
      </c>
      <c r="R58">
        <f t="shared" si="0"/>
        <v>0.55555555555555558</v>
      </c>
      <c r="S58">
        <f>survey_responses[[#This Row],[Tôi tin rằng với các quy định quản lý thuế hiện nay, hành vi gian lận hoặc trốn thuế sẽ dễ dàng bị phát hiện và xử lý nghiêm. - HUMAN-ENF1]]</f>
        <v>10</v>
      </c>
      <c r="T58">
        <f t="shared" si="1"/>
        <v>1</v>
      </c>
      <c r="U58">
        <f>step3_validation[[#This Row],[AI_ENF2]]</f>
        <v>5</v>
      </c>
      <c r="V58">
        <f t="shared" si="2"/>
        <v>0.44444444444444442</v>
      </c>
      <c r="W58">
        <f>survey_responses[[#This Row],[Tôi tin rằng Nhà nước, cơ quan thuế có đủ khả năng và công nghệ để phát hiện, xử lý nghiêm các hành vi trốn thuế. - HUMAN-ENF2]]</f>
        <v>10</v>
      </c>
      <c r="X58">
        <f t="shared" si="3"/>
        <v>1</v>
      </c>
      <c r="Y58" s="32">
        <f t="shared" si="4"/>
        <v>0.5</v>
      </c>
      <c r="Z58" s="32">
        <f t="shared" si="5"/>
        <v>1</v>
      </c>
      <c r="AA58">
        <f>step3_validation[[#This Row],[AI_FAC1]]</f>
        <v>7</v>
      </c>
      <c r="AB58">
        <f t="shared" si="6"/>
        <v>0.66666666666666663</v>
      </c>
      <c r="AC58">
        <f>survey_responses[[#This Row],[Các thủ tục khai báo thuế VÀ/HOẶC quy trình làm việc với cơ quan thuế đơn giản, tiện lợi, nhanh chóng hơn so với trước đây. - HUMAN-FAC1]]</f>
        <v>1</v>
      </c>
      <c r="AD58">
        <f t="shared" si="7"/>
        <v>0</v>
      </c>
      <c r="AE58">
        <f>step3_validation[[#This Row],[AI_FAC2]]</f>
        <v>8</v>
      </c>
      <c r="AF58">
        <f t="shared" si="8"/>
        <v>0.77777777777777779</v>
      </c>
      <c r="AG58">
        <f>survey_responses[[#This Row],[So với trước đây, tôi thấy cách tính thuế và các bậc thuế trong phương án mới đơn giản, dễ hiểu và dễ thực hiện hơn. - HUMAN-FAC2]]</f>
        <v>5</v>
      </c>
      <c r="AH58">
        <f t="shared" si="9"/>
        <v>0.44444444444444442</v>
      </c>
      <c r="AI58" s="32">
        <f t="shared" si="10"/>
        <v>0.72222222222222221</v>
      </c>
      <c r="AJ58" s="32">
        <f t="shared" si="11"/>
        <v>0.22222222222222221</v>
      </c>
      <c r="AK58">
        <f>step3_validation[[#This Row],[AI_TRU1]]</f>
        <v>7</v>
      </c>
      <c r="AL58">
        <f t="shared" si="12"/>
        <v>0.66666666666666663</v>
      </c>
      <c r="AM58">
        <f>survey_responses[[#This Row],[Tôi tin rằng Nhà nước, cơ quan thuế sẽ thực thi chính sách mới một cách khách quan, công tâm và đối xử bình đẳng với mọi người nộp thuế.  - HUMAN-TRU1]]</f>
        <v>7</v>
      </c>
      <c r="AN58">
        <f t="shared" si="13"/>
        <v>0.66666666666666663</v>
      </c>
      <c r="AO58">
        <f>step3_validation[[#This Row],[AI_TRU2]]</f>
        <v>8</v>
      </c>
      <c r="AP58">
        <f t="shared" si="14"/>
        <v>0.77777777777777779</v>
      </c>
      <c r="AQ58">
        <f>survey_responses[[#This Row],[Tôi thấy mức thuế tôi phải đóng theo phương án mới là công bằng (người thu nhập như tôi đóng mức này là hợp lý). - HUMAN-TRU2]]</f>
        <v>10</v>
      </c>
      <c r="AR58">
        <f t="shared" si="15"/>
        <v>1</v>
      </c>
      <c r="AS58">
        <f>step3_validation[[#This Row],[AI_TRU3]]</f>
        <v>7</v>
      </c>
      <c r="AT58">
        <f t="shared" si="16"/>
        <v>0.66666666666666663</v>
      </c>
      <c r="AU58">
        <f>survey_responses[[#This Row],[Tôi tin tưởng số tiền thuế tôi đóng sẽ được Nhà nước sử dụng hiệu quả để cải thiện dịch vụ công (y tế, đường xá...). - HUMAN-TRU3]]</f>
        <v>9</v>
      </c>
      <c r="AV58">
        <f t="shared" si="17"/>
        <v>0.88888888888888884</v>
      </c>
      <c r="AW58">
        <f>step3_validation[[#This Row],[AI_TRU4]]</f>
        <v>6</v>
      </c>
      <c r="AX58">
        <f t="shared" si="18"/>
        <v>0.55555555555555558</v>
      </c>
      <c r="AY58">
        <f>survey_responses[[#This Row],[Tôi thấy Nhà nước đã giải thích rõ ràng, minh bạch về lý do và mục tiêu của việc sửa đổi thuế lần này. - HUMAN-TRU4]]</f>
        <v>9</v>
      </c>
      <c r="AZ58">
        <f t="shared" si="19"/>
        <v>0.88888888888888884</v>
      </c>
      <c r="BA58" s="32">
        <f t="shared" si="20"/>
        <v>0.66666666666666674</v>
      </c>
      <c r="BB58" s="32">
        <f t="shared" si="21"/>
        <v>0.86111111111111105</v>
      </c>
      <c r="BC58" s="7">
        <f t="shared" si="22"/>
        <v>0.62962962962962965</v>
      </c>
      <c r="BD58" s="7">
        <f t="shared" si="23"/>
        <v>0.69444444444444453</v>
      </c>
      <c r="BE58">
        <f>step3_validation[[#This Row],[AI_OUT1]]</f>
        <v>8</v>
      </c>
      <c r="BF58">
        <f t="shared" si="24"/>
        <v>0.77777777777777779</v>
      </c>
      <c r="BG58">
        <f>survey_responses[[#This Row],[Sau khi xem xét các quyền lợi và nghĩa vụ, bạn có ủng hộ và tuân thủ chính sách mới hiện nay? - HUMAN-OUT1]]</f>
        <v>10</v>
      </c>
      <c r="BH58">
        <f t="shared" si="25"/>
        <v>1</v>
      </c>
      <c r="BI58" s="32">
        <f t="shared" si="26"/>
        <v>2</v>
      </c>
    </row>
    <row r="59" spans="1:61" x14ac:dyDescent="0.45">
      <c r="A59" s="30">
        <f>step3_validation[[#This Row],[Persona_ID]]</f>
        <v>58</v>
      </c>
      <c r="B59" s="31">
        <f>step3_validation[[#This Row],[Used_Seed]]</f>
        <v>99</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28.093581811068354</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f t="shared" si="0"/>
        <v>0.66666666666666663</v>
      </c>
      <c r="S59">
        <f>survey_responses[[#This Row],[Tôi tin rằng với các quy định quản lý thuế hiện nay, hành vi gian lận hoặc trốn thuế sẽ dễ dàng bị phát hiện và xử lý nghiêm. - HUMAN-ENF1]]</f>
        <v>5</v>
      </c>
      <c r="T59">
        <f t="shared" si="1"/>
        <v>0.44444444444444442</v>
      </c>
      <c r="U59">
        <f>step3_validation[[#This Row],[AI_ENF2]]</f>
        <v>6</v>
      </c>
      <c r="V59">
        <f t="shared" si="2"/>
        <v>0.55555555555555558</v>
      </c>
      <c r="W59">
        <f>survey_responses[[#This Row],[Tôi tin rằng Nhà nước, cơ quan thuế có đủ khả năng và công nghệ để phát hiện, xử lý nghiêm các hành vi trốn thuế. - HUMAN-ENF2]]</f>
        <v>5</v>
      </c>
      <c r="X59">
        <f t="shared" si="3"/>
        <v>0.44444444444444442</v>
      </c>
      <c r="Y59" s="32">
        <f t="shared" si="4"/>
        <v>0.61111111111111116</v>
      </c>
      <c r="Z59" s="32">
        <f t="shared" si="5"/>
        <v>0.44444444444444442</v>
      </c>
      <c r="AA59">
        <f>step3_validation[[#This Row],[AI_FAC1]]</f>
        <v>8</v>
      </c>
      <c r="AB59">
        <f t="shared" si="6"/>
        <v>0.77777777777777779</v>
      </c>
      <c r="AC59">
        <f>survey_responses[[#This Row],[Các thủ tục khai báo thuế VÀ/HOẶC quy trình làm việc với cơ quan thuế đơn giản, tiện lợi, nhanh chóng hơn so với trước đây. - HUMAN-FAC1]]</f>
        <v>4</v>
      </c>
      <c r="AD59">
        <f t="shared" si="7"/>
        <v>0.33333333333333331</v>
      </c>
      <c r="AE59">
        <f>step3_validation[[#This Row],[AI_FAC2]]</f>
        <v>9</v>
      </c>
      <c r="AF59">
        <f t="shared" si="8"/>
        <v>0.88888888888888884</v>
      </c>
      <c r="AG59">
        <f>survey_responses[[#This Row],[So với trước đây, tôi thấy cách tính thuế và các bậc thuế trong phương án mới đơn giản, dễ hiểu và dễ thực hiện hơn. - HUMAN-FAC2]]</f>
        <v>8</v>
      </c>
      <c r="AH59">
        <f t="shared" si="9"/>
        <v>0.77777777777777779</v>
      </c>
      <c r="AI59" s="32">
        <f t="shared" si="10"/>
        <v>0.83333333333333326</v>
      </c>
      <c r="AJ59" s="32">
        <f t="shared" si="11"/>
        <v>0.55555555555555558</v>
      </c>
      <c r="AK59">
        <f>step3_validation[[#This Row],[AI_TRU1]]</f>
        <v>8</v>
      </c>
      <c r="AL59">
        <f t="shared" si="12"/>
        <v>0.77777777777777779</v>
      </c>
      <c r="AM59">
        <f>survey_responses[[#This Row],[Tôi tin rằng Nhà nước, cơ quan thuế sẽ thực thi chính sách mới một cách khách quan, công tâm và đối xử bình đẳng với mọi người nộp thuế.  - HUMAN-TRU1]]</f>
        <v>5</v>
      </c>
      <c r="AN59">
        <f t="shared" si="13"/>
        <v>0.44444444444444442</v>
      </c>
      <c r="AO59">
        <f>step3_validation[[#This Row],[AI_TRU2]]</f>
        <v>9</v>
      </c>
      <c r="AP59">
        <f t="shared" si="14"/>
        <v>0.88888888888888884</v>
      </c>
      <c r="AQ59">
        <f>survey_responses[[#This Row],[Tôi thấy mức thuế tôi phải đóng theo phương án mới là công bằng (người thu nhập như tôi đóng mức này là hợp lý). - HUMAN-TRU2]]</f>
        <v>7</v>
      </c>
      <c r="AR59">
        <f t="shared" si="15"/>
        <v>0.66666666666666663</v>
      </c>
      <c r="AS59">
        <f>step3_validation[[#This Row],[AI_TRU3]]</f>
        <v>8</v>
      </c>
      <c r="AT59">
        <f t="shared" si="16"/>
        <v>0.77777777777777779</v>
      </c>
      <c r="AU59">
        <f>survey_responses[[#This Row],[Tôi tin tưởng số tiền thuế tôi đóng sẽ được Nhà nước sử dụng hiệu quả để cải thiện dịch vụ công (y tế, đường xá...). - HUMAN-TRU3]]</f>
        <v>7</v>
      </c>
      <c r="AV59">
        <f t="shared" si="17"/>
        <v>0.66666666666666663</v>
      </c>
      <c r="AW59">
        <f>step3_validation[[#This Row],[AI_TRU4]]</f>
        <v>7</v>
      </c>
      <c r="AX59">
        <f t="shared" si="18"/>
        <v>0.66666666666666663</v>
      </c>
      <c r="AY59">
        <f>survey_responses[[#This Row],[Tôi thấy Nhà nước đã giải thích rõ ràng, minh bạch về lý do và mục tiêu của việc sửa đổi thuế lần này. - HUMAN-TRU4]]</f>
        <v>7</v>
      </c>
      <c r="AZ59">
        <f t="shared" si="19"/>
        <v>0.66666666666666663</v>
      </c>
      <c r="BA59" s="32">
        <f t="shared" si="20"/>
        <v>0.77777777777777768</v>
      </c>
      <c r="BB59" s="32">
        <f t="shared" si="21"/>
        <v>0.61111111111111105</v>
      </c>
      <c r="BC59" s="7">
        <f t="shared" si="22"/>
        <v>0.74074074074074081</v>
      </c>
      <c r="BD59" s="7">
        <f t="shared" si="23"/>
        <v>0.53703703703703709</v>
      </c>
      <c r="BE59">
        <f>step3_validation[[#This Row],[AI_OUT1]]</f>
        <v>9</v>
      </c>
      <c r="BF59">
        <f t="shared" si="24"/>
        <v>0.88888888888888884</v>
      </c>
      <c r="BG59">
        <f>survey_responses[[#This Row],[Sau khi xem xét các quyền lợi và nghĩa vụ, bạn có ủng hộ và tuân thủ chính sách mới hiện nay? - HUMAN-OUT1]]</f>
        <v>7</v>
      </c>
      <c r="BH59">
        <f t="shared" si="25"/>
        <v>0.66666666666666663</v>
      </c>
      <c r="BI59" s="32">
        <f t="shared" si="26"/>
        <v>2</v>
      </c>
    </row>
    <row r="60" spans="1:61" x14ac:dyDescent="0.45">
      <c r="A60" s="30">
        <f>step3_validation[[#This Row],[Persona_ID]]</f>
        <v>59</v>
      </c>
      <c r="B60" s="31">
        <f>step3_validation[[#This Row],[Used_Seed]]</f>
        <v>100</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7</v>
      </c>
      <c r="R60">
        <f t="shared" si="0"/>
        <v>0.66666666666666663</v>
      </c>
      <c r="S60">
        <f>survey_responses[[#This Row],[Tôi tin rằng với các quy định quản lý thuế hiện nay, hành vi gian lận hoặc trốn thuế sẽ dễ dàng bị phát hiện và xử lý nghiêm. - HUMAN-ENF1]]</f>
        <v>9</v>
      </c>
      <c r="T60">
        <f t="shared" si="1"/>
        <v>0.88888888888888884</v>
      </c>
      <c r="U60">
        <f>step3_validation[[#This Row],[AI_ENF2]]</f>
        <v>6</v>
      </c>
      <c r="V60">
        <f t="shared" si="2"/>
        <v>0.55555555555555558</v>
      </c>
      <c r="W60">
        <f>survey_responses[[#This Row],[Tôi tin rằng Nhà nước, cơ quan thuế có đủ khả năng và công nghệ để phát hiện, xử lý nghiêm các hành vi trốn thuế. - HUMAN-ENF2]]</f>
        <v>9</v>
      </c>
      <c r="X60">
        <f t="shared" si="3"/>
        <v>0.88888888888888884</v>
      </c>
      <c r="Y60" s="32">
        <f t="shared" si="4"/>
        <v>0.61111111111111116</v>
      </c>
      <c r="Z60" s="32">
        <f t="shared" si="5"/>
        <v>0.88888888888888884</v>
      </c>
      <c r="AA60">
        <f>step3_validation[[#This Row],[AI_FAC1]]</f>
        <v>9</v>
      </c>
      <c r="AB60">
        <f t="shared" si="6"/>
        <v>0.88888888888888884</v>
      </c>
      <c r="AC60">
        <f>survey_responses[[#This Row],[Các thủ tục khai báo thuế VÀ/HOẶC quy trình làm việc với cơ quan thuế đơn giản, tiện lợi, nhanh chóng hơn so với trước đây. - HUMAN-FAC1]]</f>
        <v>9</v>
      </c>
      <c r="AD60">
        <f t="shared" si="7"/>
        <v>0.88888888888888884</v>
      </c>
      <c r="AE60">
        <f>step3_validation[[#This Row],[AI_FAC2]]</f>
        <v>8</v>
      </c>
      <c r="AF60">
        <f t="shared" si="8"/>
        <v>0.77777777777777779</v>
      </c>
      <c r="AG60">
        <f>survey_responses[[#This Row],[So với trước đây, tôi thấy cách tính thuế và các bậc thuế trong phương án mới đơn giản, dễ hiểu và dễ thực hiện hơn. - HUMAN-FAC2]]</f>
        <v>7</v>
      </c>
      <c r="AH60">
        <f t="shared" si="9"/>
        <v>0.66666666666666663</v>
      </c>
      <c r="AI60" s="32">
        <f t="shared" si="10"/>
        <v>0.83333333333333326</v>
      </c>
      <c r="AJ60" s="32">
        <f t="shared" si="11"/>
        <v>0.77777777777777768</v>
      </c>
      <c r="AK60">
        <f>step3_validation[[#This Row],[AI_TRU1]]</f>
        <v>7</v>
      </c>
      <c r="AL60">
        <f t="shared" si="12"/>
        <v>0.66666666666666663</v>
      </c>
      <c r="AM60">
        <f>survey_responses[[#This Row],[Tôi tin rằng Nhà nước, cơ quan thuế sẽ thực thi chính sách mới một cách khách quan, công tâm và đối xử bình đẳng với mọi người nộp thuế.  - HUMAN-TRU1]]</f>
        <v>7</v>
      </c>
      <c r="AN60">
        <f t="shared" si="13"/>
        <v>0.66666666666666663</v>
      </c>
      <c r="AO60">
        <f>step3_validation[[#This Row],[AI_TRU2]]</f>
        <v>8</v>
      </c>
      <c r="AP60">
        <f t="shared" si="14"/>
        <v>0.77777777777777779</v>
      </c>
      <c r="AQ60">
        <f>survey_responses[[#This Row],[Tôi thấy mức thuế tôi phải đóng theo phương án mới là công bằng (người thu nhập như tôi đóng mức này là hợp lý). - HUMAN-TRU2]]</f>
        <v>8</v>
      </c>
      <c r="AR60">
        <f t="shared" si="15"/>
        <v>0.77777777777777779</v>
      </c>
      <c r="AS60">
        <f>step3_validation[[#This Row],[AI_TRU3]]</f>
        <v>7</v>
      </c>
      <c r="AT60">
        <f t="shared" si="16"/>
        <v>0.66666666666666663</v>
      </c>
      <c r="AU60">
        <f>survey_responses[[#This Row],[Tôi tin tưởng số tiền thuế tôi đóng sẽ được Nhà nước sử dụng hiệu quả để cải thiện dịch vụ công (y tế, đường xá...). - HUMAN-TRU3]]</f>
        <v>8</v>
      </c>
      <c r="AV60">
        <f t="shared" si="17"/>
        <v>0.77777777777777779</v>
      </c>
      <c r="AW60">
        <f>step3_validation[[#This Row],[AI_TRU4]]</f>
        <v>8</v>
      </c>
      <c r="AX60">
        <f t="shared" si="18"/>
        <v>0.77777777777777779</v>
      </c>
      <c r="AY60">
        <f>survey_responses[[#This Row],[Tôi thấy Nhà nước đã giải thích rõ ràng, minh bạch về lý do và mục tiêu của việc sửa đổi thuế lần này. - HUMAN-TRU4]]</f>
        <v>6</v>
      </c>
      <c r="AZ60">
        <f t="shared" si="19"/>
        <v>0.55555555555555558</v>
      </c>
      <c r="BA60" s="32">
        <f t="shared" si="20"/>
        <v>0.72222222222222221</v>
      </c>
      <c r="BB60" s="32">
        <f t="shared" si="21"/>
        <v>0.69444444444444442</v>
      </c>
      <c r="BC60" s="7">
        <f t="shared" si="22"/>
        <v>0.72222222222222221</v>
      </c>
      <c r="BD60" s="7">
        <f t="shared" si="23"/>
        <v>0.78703703703703687</v>
      </c>
      <c r="BE60">
        <f>step3_validation[[#This Row],[AI_OUT1]]</f>
        <v>9</v>
      </c>
      <c r="BF60">
        <f t="shared" si="24"/>
        <v>0.88888888888888884</v>
      </c>
      <c r="BG60">
        <f>survey_responses[[#This Row],[Sau khi xem xét các quyền lợi và nghĩa vụ, bạn có ủng hộ và tuân thủ chính sách mới hiện nay? - HUMAN-OUT1]]</f>
        <v>5</v>
      </c>
      <c r="BH60">
        <f t="shared" si="25"/>
        <v>0.44444444444444442</v>
      </c>
      <c r="BI60" s="32">
        <f t="shared" si="26"/>
        <v>4</v>
      </c>
    </row>
    <row r="61" spans="1:61" x14ac:dyDescent="0.45">
      <c r="A61" s="30">
        <f>step3_validation[[#This Row],[Persona_ID]]</f>
        <v>60</v>
      </c>
      <c r="B61" s="31">
        <f>step3_validation[[#This Row],[Used_Seed]]</f>
        <v>101</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15.883714148666074</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f t="shared" si="0"/>
        <v>0.66666666666666663</v>
      </c>
      <c r="S61">
        <f>survey_responses[[#This Row],[Tôi tin rằng với các quy định quản lý thuế hiện nay, hành vi gian lận hoặc trốn thuế sẽ dễ dàng bị phát hiện và xử lý nghiêm. - HUMAN-ENF1]]</f>
        <v>5</v>
      </c>
      <c r="T61">
        <f t="shared" si="1"/>
        <v>0.44444444444444442</v>
      </c>
      <c r="U61">
        <f>step3_validation[[#This Row],[AI_ENF2]]</f>
        <v>9</v>
      </c>
      <c r="V61">
        <f t="shared" si="2"/>
        <v>0.88888888888888884</v>
      </c>
      <c r="W61">
        <f>survey_responses[[#This Row],[Tôi tin rằng Nhà nước, cơ quan thuế có đủ khả năng và công nghệ để phát hiện, xử lý nghiêm các hành vi trốn thuế. - HUMAN-ENF2]]</f>
        <v>5</v>
      </c>
      <c r="X61">
        <f t="shared" si="3"/>
        <v>0.44444444444444442</v>
      </c>
      <c r="Y61" s="32">
        <f t="shared" si="4"/>
        <v>0.77777777777777768</v>
      </c>
      <c r="Z61" s="32">
        <f t="shared" si="5"/>
        <v>0.44444444444444442</v>
      </c>
      <c r="AA61">
        <f>step3_validation[[#This Row],[AI_FAC1]]</f>
        <v>8</v>
      </c>
      <c r="AB61">
        <f t="shared" si="6"/>
        <v>0.77777777777777779</v>
      </c>
      <c r="AC61">
        <f>survey_responses[[#This Row],[Các thủ tục khai báo thuế VÀ/HOẶC quy trình làm việc với cơ quan thuế đơn giản, tiện lợi, nhanh chóng hơn so với trước đây. - HUMAN-FAC1]]</f>
        <v>5</v>
      </c>
      <c r="AD61">
        <f t="shared" si="7"/>
        <v>0.44444444444444442</v>
      </c>
      <c r="AE61">
        <f>step3_validation[[#This Row],[AI_FAC2]]</f>
        <v>9</v>
      </c>
      <c r="AF61">
        <f t="shared" si="8"/>
        <v>0.88888888888888884</v>
      </c>
      <c r="AG61">
        <f>survey_responses[[#This Row],[So với trước đây, tôi thấy cách tính thuế và các bậc thuế trong phương án mới đơn giản, dễ hiểu và dễ thực hiện hơn. - HUMAN-FAC2]]</f>
        <v>5</v>
      </c>
      <c r="AH61">
        <f t="shared" si="9"/>
        <v>0.44444444444444442</v>
      </c>
      <c r="AI61" s="32">
        <f t="shared" si="10"/>
        <v>0.83333333333333326</v>
      </c>
      <c r="AJ61" s="32">
        <f t="shared" si="11"/>
        <v>0.44444444444444442</v>
      </c>
      <c r="AK61">
        <f>step3_validation[[#This Row],[AI_TRU1]]</f>
        <v>7</v>
      </c>
      <c r="AL61">
        <f t="shared" si="12"/>
        <v>0.66666666666666663</v>
      </c>
      <c r="AM61">
        <f>survey_responses[[#This Row],[Tôi tin rằng Nhà nước, cơ quan thuế sẽ thực thi chính sách mới một cách khách quan, công tâm và đối xử bình đẳng với mọi người nộp thuế.  - HUMAN-TRU1]]</f>
        <v>5</v>
      </c>
      <c r="AN61">
        <f t="shared" si="13"/>
        <v>0.44444444444444442</v>
      </c>
      <c r="AO61">
        <f>step3_validation[[#This Row],[AI_TRU2]]</f>
        <v>9</v>
      </c>
      <c r="AP61">
        <f t="shared" si="14"/>
        <v>0.88888888888888884</v>
      </c>
      <c r="AQ61">
        <f>survey_responses[[#This Row],[Tôi thấy mức thuế tôi phải đóng theo phương án mới là công bằng (người thu nhập như tôi đóng mức này là hợp lý). - HUMAN-TRU2]]</f>
        <v>8</v>
      </c>
      <c r="AR61">
        <f t="shared" si="15"/>
        <v>0.77777777777777779</v>
      </c>
      <c r="AS61">
        <f>step3_validation[[#This Row],[AI_TRU3]]</f>
        <v>7</v>
      </c>
      <c r="AT61">
        <f t="shared" si="16"/>
        <v>0.66666666666666663</v>
      </c>
      <c r="AU61">
        <f>survey_responses[[#This Row],[Tôi tin tưởng số tiền thuế tôi đóng sẽ được Nhà nước sử dụng hiệu quả để cải thiện dịch vụ công (y tế, đường xá...). - HUMAN-TRU3]]</f>
        <v>4</v>
      </c>
      <c r="AV61">
        <f t="shared" si="17"/>
        <v>0.33333333333333331</v>
      </c>
      <c r="AW61">
        <f>step3_validation[[#This Row],[AI_TRU4]]</f>
        <v>8</v>
      </c>
      <c r="AX61">
        <f t="shared" si="18"/>
        <v>0.77777777777777779</v>
      </c>
      <c r="AY61">
        <f>survey_responses[[#This Row],[Tôi thấy Nhà nước đã giải thích rõ ràng, minh bạch về lý do và mục tiêu của việc sửa đổi thuế lần này. - HUMAN-TRU4]]</f>
        <v>5</v>
      </c>
      <c r="AZ61">
        <f t="shared" si="19"/>
        <v>0.44444444444444442</v>
      </c>
      <c r="BA61" s="32">
        <f t="shared" si="20"/>
        <v>0.74999999999999989</v>
      </c>
      <c r="BB61" s="32">
        <f t="shared" si="21"/>
        <v>0.5</v>
      </c>
      <c r="BC61" s="7">
        <f t="shared" si="22"/>
        <v>0.78703703703703687</v>
      </c>
      <c r="BD61" s="7">
        <f t="shared" si="23"/>
        <v>0.46296296296296297</v>
      </c>
      <c r="BE61">
        <f>step3_validation[[#This Row],[AI_OUT1]]</f>
        <v>9</v>
      </c>
      <c r="BF61">
        <f t="shared" si="24"/>
        <v>0.88888888888888884</v>
      </c>
      <c r="BG61">
        <f>survey_responses[[#This Row],[Sau khi xem xét các quyền lợi và nghĩa vụ, bạn có ủng hộ và tuân thủ chính sách mới hiện nay? - HUMAN-OUT1]]</f>
        <v>5</v>
      </c>
      <c r="BH61">
        <f t="shared" si="25"/>
        <v>0.44444444444444442</v>
      </c>
      <c r="BI61" s="32">
        <f t="shared" si="26"/>
        <v>4</v>
      </c>
    </row>
    <row r="62" spans="1:61" x14ac:dyDescent="0.45">
      <c r="A62" s="30">
        <f>step3_validation[[#This Row],[Persona_ID]]</f>
        <v>61</v>
      </c>
      <c r="B62" s="31">
        <f>step3_validation[[#This Row],[Used_Seed]]</f>
        <v>102</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20.116602641598408</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f t="shared" si="0"/>
        <v>0.66666666666666663</v>
      </c>
      <c r="S62">
        <f>survey_responses[[#This Row],[Tôi tin rằng với các quy định quản lý thuế hiện nay, hành vi gian lận hoặc trốn thuế sẽ dễ dàng bị phát hiện và xử lý nghiêm. - HUMAN-ENF1]]</f>
        <v>8</v>
      </c>
      <c r="T62">
        <f t="shared" si="1"/>
        <v>0.77777777777777779</v>
      </c>
      <c r="U62">
        <f>step3_validation[[#This Row],[AI_ENF2]]</f>
        <v>8</v>
      </c>
      <c r="V62">
        <f t="shared" si="2"/>
        <v>0.77777777777777779</v>
      </c>
      <c r="W62">
        <f>survey_responses[[#This Row],[Tôi tin rằng Nhà nước, cơ quan thuế có đủ khả năng và công nghệ để phát hiện, xử lý nghiêm các hành vi trốn thuế. - HUMAN-ENF2]]</f>
        <v>9</v>
      </c>
      <c r="X62">
        <f t="shared" si="3"/>
        <v>0.88888888888888884</v>
      </c>
      <c r="Y62" s="32">
        <f t="shared" si="4"/>
        <v>0.72222222222222221</v>
      </c>
      <c r="Z62" s="32">
        <f t="shared" si="5"/>
        <v>0.83333333333333326</v>
      </c>
      <c r="AA62">
        <f>step3_validation[[#This Row],[AI_FAC1]]</f>
        <v>9</v>
      </c>
      <c r="AB62">
        <f t="shared" si="6"/>
        <v>0.88888888888888884</v>
      </c>
      <c r="AC62">
        <f>survey_responses[[#This Row],[Các thủ tục khai báo thuế VÀ/HOẶC quy trình làm việc với cơ quan thuế đơn giản, tiện lợi, nhanh chóng hơn so với trước đây. - HUMAN-FAC1]]</f>
        <v>9</v>
      </c>
      <c r="AD62">
        <f t="shared" si="7"/>
        <v>0.88888888888888884</v>
      </c>
      <c r="AE62">
        <f>step3_validation[[#This Row],[AI_FAC2]]</f>
        <v>10</v>
      </c>
      <c r="AF62">
        <f t="shared" si="8"/>
        <v>1</v>
      </c>
      <c r="AG62">
        <f>survey_responses[[#This Row],[So với trước đây, tôi thấy cách tính thuế và các bậc thuế trong phương án mới đơn giản, dễ hiểu và dễ thực hiện hơn. - HUMAN-FAC2]]</f>
        <v>9</v>
      </c>
      <c r="AH62">
        <f t="shared" si="9"/>
        <v>0.88888888888888884</v>
      </c>
      <c r="AI62" s="32">
        <f t="shared" si="10"/>
        <v>0.94444444444444442</v>
      </c>
      <c r="AJ62" s="32">
        <f t="shared" si="11"/>
        <v>0.88888888888888884</v>
      </c>
      <c r="AK62">
        <f>step3_validation[[#This Row],[AI_TRU1]]</f>
        <v>9</v>
      </c>
      <c r="AL62">
        <f t="shared" si="12"/>
        <v>0.88888888888888884</v>
      </c>
      <c r="AM62">
        <f>survey_responses[[#This Row],[Tôi tin rằng Nhà nước, cơ quan thuế sẽ thực thi chính sách mới một cách khách quan, công tâm và đối xử bình đẳng với mọi người nộp thuế.  - HUMAN-TRU1]]</f>
        <v>9</v>
      </c>
      <c r="AN62">
        <f t="shared" si="13"/>
        <v>0.88888888888888884</v>
      </c>
      <c r="AO62">
        <f>step3_validation[[#This Row],[AI_TRU2]]</f>
        <v>8</v>
      </c>
      <c r="AP62">
        <f t="shared" si="14"/>
        <v>0.77777777777777779</v>
      </c>
      <c r="AQ62">
        <f>survey_responses[[#This Row],[Tôi thấy mức thuế tôi phải đóng theo phương án mới là công bằng (người thu nhập như tôi đóng mức này là hợp lý). - HUMAN-TRU2]]</f>
        <v>8</v>
      </c>
      <c r="AR62">
        <f t="shared" si="15"/>
        <v>0.77777777777777779</v>
      </c>
      <c r="AS62">
        <f>step3_validation[[#This Row],[AI_TRU3]]</f>
        <v>9</v>
      </c>
      <c r="AT62">
        <f t="shared" si="16"/>
        <v>0.88888888888888884</v>
      </c>
      <c r="AU62">
        <f>survey_responses[[#This Row],[Tôi tin tưởng số tiền thuế tôi đóng sẽ được Nhà nước sử dụng hiệu quả để cải thiện dịch vụ công (y tế, đường xá...). - HUMAN-TRU3]]</f>
        <v>8</v>
      </c>
      <c r="AV62">
        <f t="shared" si="17"/>
        <v>0.77777777777777779</v>
      </c>
      <c r="AW62">
        <f>step3_validation[[#This Row],[AI_TRU4]]</f>
        <v>7</v>
      </c>
      <c r="AX62">
        <f t="shared" si="18"/>
        <v>0.66666666666666663</v>
      </c>
      <c r="AY62">
        <f>survey_responses[[#This Row],[Tôi thấy Nhà nước đã giải thích rõ ràng, minh bạch về lý do và mục tiêu của việc sửa đổi thuế lần này. - HUMAN-TRU4]]</f>
        <v>8</v>
      </c>
      <c r="AZ62">
        <f t="shared" si="19"/>
        <v>0.77777777777777779</v>
      </c>
      <c r="BA62" s="32">
        <f t="shared" si="20"/>
        <v>0.80555555555555547</v>
      </c>
      <c r="BB62" s="32">
        <f t="shared" si="21"/>
        <v>0.80555555555555547</v>
      </c>
      <c r="BC62" s="7">
        <f t="shared" si="22"/>
        <v>0.82407407407407396</v>
      </c>
      <c r="BD62" s="7">
        <f t="shared" si="23"/>
        <v>0.84259259259259256</v>
      </c>
      <c r="BE62">
        <f>step3_validation[[#This Row],[AI_OUT1]]</f>
        <v>9</v>
      </c>
      <c r="BF62">
        <f t="shared" si="24"/>
        <v>0.88888888888888884</v>
      </c>
      <c r="BG62">
        <f>survey_responses[[#This Row],[Sau khi xem xét các quyền lợi và nghĩa vụ, bạn có ủng hộ và tuân thủ chính sách mới hiện nay? - HUMAN-OUT1]]</f>
        <v>9</v>
      </c>
      <c r="BH62">
        <f t="shared" si="25"/>
        <v>0.88888888888888884</v>
      </c>
      <c r="BI62" s="32">
        <f t="shared" si="26"/>
        <v>0</v>
      </c>
    </row>
    <row r="63" spans="1:61" x14ac:dyDescent="0.45">
      <c r="A63" s="30">
        <f>step3_validation[[#This Row],[Persona_ID]]</f>
        <v>62</v>
      </c>
      <c r="B63" s="31">
        <f>step3_validation[[#This Row],[Used_Seed]]</f>
        <v>103</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29.967774228943657</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f t="shared" si="0"/>
        <v>0.66666666666666663</v>
      </c>
      <c r="S63">
        <f>survey_responses[[#This Row],[Tôi tin rằng với các quy định quản lý thuế hiện nay, hành vi gian lận hoặc trốn thuế sẽ dễ dàng bị phát hiện và xử lý nghiêm. - HUMAN-ENF1]]</f>
        <v>9</v>
      </c>
      <c r="T63">
        <f t="shared" si="1"/>
        <v>0.88888888888888884</v>
      </c>
      <c r="U63">
        <f>step3_validation[[#This Row],[AI_ENF2]]</f>
        <v>8</v>
      </c>
      <c r="V63">
        <f t="shared" si="2"/>
        <v>0.77777777777777779</v>
      </c>
      <c r="W63">
        <f>survey_responses[[#This Row],[Tôi tin rằng Nhà nước, cơ quan thuế có đủ khả năng và công nghệ để phát hiện, xử lý nghiêm các hành vi trốn thuế. - HUMAN-ENF2]]</f>
        <v>9</v>
      </c>
      <c r="X63">
        <f t="shared" si="3"/>
        <v>0.88888888888888884</v>
      </c>
      <c r="Y63" s="32">
        <f t="shared" si="4"/>
        <v>0.72222222222222221</v>
      </c>
      <c r="Z63" s="32">
        <f t="shared" si="5"/>
        <v>0.88888888888888884</v>
      </c>
      <c r="AA63">
        <f>step3_validation[[#This Row],[AI_FAC1]]</f>
        <v>9</v>
      </c>
      <c r="AB63">
        <f t="shared" si="6"/>
        <v>0.88888888888888884</v>
      </c>
      <c r="AC63">
        <f>survey_responses[[#This Row],[Các thủ tục khai báo thuế VÀ/HOẶC quy trình làm việc với cơ quan thuế đơn giản, tiện lợi, nhanh chóng hơn so với trước đây. - HUMAN-FAC1]]</f>
        <v>7</v>
      </c>
      <c r="AD63">
        <f t="shared" si="7"/>
        <v>0.66666666666666663</v>
      </c>
      <c r="AE63">
        <f>step3_validation[[#This Row],[AI_FAC2]]</f>
        <v>10</v>
      </c>
      <c r="AF63">
        <f t="shared" si="8"/>
        <v>1</v>
      </c>
      <c r="AG63">
        <f>survey_responses[[#This Row],[So với trước đây, tôi thấy cách tính thuế và các bậc thuế trong phương án mới đơn giản, dễ hiểu và dễ thực hiện hơn. - HUMAN-FAC2]]</f>
        <v>6</v>
      </c>
      <c r="AH63">
        <f t="shared" si="9"/>
        <v>0.55555555555555558</v>
      </c>
      <c r="AI63" s="32">
        <f t="shared" si="10"/>
        <v>0.94444444444444442</v>
      </c>
      <c r="AJ63" s="32">
        <f t="shared" si="11"/>
        <v>0.61111111111111116</v>
      </c>
      <c r="AK63">
        <f>step3_validation[[#This Row],[AI_TRU1]]</f>
        <v>7</v>
      </c>
      <c r="AL63">
        <f t="shared" si="12"/>
        <v>0.66666666666666663</v>
      </c>
      <c r="AM63">
        <f>survey_responses[[#This Row],[Tôi tin rằng Nhà nước, cơ quan thuế sẽ thực thi chính sách mới một cách khách quan, công tâm và đối xử bình đẳng với mọi người nộp thuế.  - HUMAN-TRU1]]</f>
        <v>7</v>
      </c>
      <c r="AN63">
        <f t="shared" si="13"/>
        <v>0.66666666666666663</v>
      </c>
      <c r="AO63">
        <f>step3_validation[[#This Row],[AI_TRU2]]</f>
        <v>9</v>
      </c>
      <c r="AP63">
        <f t="shared" si="14"/>
        <v>0.88888888888888884</v>
      </c>
      <c r="AQ63">
        <f>survey_responses[[#This Row],[Tôi thấy mức thuế tôi phải đóng theo phương án mới là công bằng (người thu nhập như tôi đóng mức này là hợp lý). - HUMAN-TRU2]]</f>
        <v>5</v>
      </c>
      <c r="AR63">
        <f t="shared" si="15"/>
        <v>0.44444444444444442</v>
      </c>
      <c r="AS63">
        <f>step3_validation[[#This Row],[AI_TRU3]]</f>
        <v>6</v>
      </c>
      <c r="AT63">
        <f t="shared" si="16"/>
        <v>0.55555555555555558</v>
      </c>
      <c r="AU63">
        <f>survey_responses[[#This Row],[Tôi tin tưởng số tiền thuế tôi đóng sẽ được Nhà nước sử dụng hiệu quả để cải thiện dịch vụ công (y tế, đường xá...). - HUMAN-TRU3]]</f>
        <v>6</v>
      </c>
      <c r="AV63">
        <f t="shared" si="17"/>
        <v>0.55555555555555558</v>
      </c>
      <c r="AW63">
        <f>step3_validation[[#This Row],[AI_TRU4]]</f>
        <v>8</v>
      </c>
      <c r="AX63">
        <f t="shared" si="18"/>
        <v>0.77777777777777779</v>
      </c>
      <c r="AY63">
        <f>survey_responses[[#This Row],[Tôi thấy Nhà nước đã giải thích rõ ràng, minh bạch về lý do và mục tiêu của việc sửa đổi thuế lần này. - HUMAN-TRU4]]</f>
        <v>8</v>
      </c>
      <c r="AZ63">
        <f t="shared" si="19"/>
        <v>0.77777777777777779</v>
      </c>
      <c r="BA63" s="32">
        <f t="shared" si="20"/>
        <v>0.7222222222222221</v>
      </c>
      <c r="BB63" s="32">
        <f t="shared" si="21"/>
        <v>0.61111111111111116</v>
      </c>
      <c r="BC63" s="7">
        <f t="shared" si="22"/>
        <v>0.79629629629629617</v>
      </c>
      <c r="BD63" s="7">
        <f t="shared" si="23"/>
        <v>0.70370370370370372</v>
      </c>
      <c r="BE63">
        <f>step3_validation[[#This Row],[AI_OUT1]]</f>
        <v>9</v>
      </c>
      <c r="BF63">
        <f t="shared" si="24"/>
        <v>0.88888888888888884</v>
      </c>
      <c r="BG63">
        <f>survey_responses[[#This Row],[Sau khi xem xét các quyền lợi và nghĩa vụ, bạn có ủng hộ và tuân thủ chính sách mới hiện nay? - HUMAN-OUT1]]</f>
        <v>5</v>
      </c>
      <c r="BH63">
        <f t="shared" si="25"/>
        <v>0.44444444444444442</v>
      </c>
      <c r="BI63" s="32">
        <f t="shared" si="26"/>
        <v>4</v>
      </c>
    </row>
    <row r="64" spans="1:61" x14ac:dyDescent="0.45">
      <c r="A64" s="30">
        <f>step3_validation[[#This Row],[Persona_ID]]</f>
        <v>63</v>
      </c>
      <c r="B64" s="31">
        <f>step3_validation[[#This Row],[Used_Seed]]</f>
        <v>104</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21.039509606197019</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8</v>
      </c>
      <c r="R64">
        <f t="shared" si="0"/>
        <v>0.77777777777777779</v>
      </c>
      <c r="S64">
        <f>survey_responses[[#This Row],[Tôi tin rằng với các quy định quản lý thuế hiện nay, hành vi gian lận hoặc trốn thuế sẽ dễ dàng bị phát hiện và xử lý nghiêm. - HUMAN-ENF1]]</f>
        <v>9</v>
      </c>
      <c r="T64">
        <f t="shared" si="1"/>
        <v>0.88888888888888884</v>
      </c>
      <c r="U64">
        <f>step3_validation[[#This Row],[AI_ENF2]]</f>
        <v>7</v>
      </c>
      <c r="V64">
        <f t="shared" si="2"/>
        <v>0.66666666666666663</v>
      </c>
      <c r="W64">
        <f>survey_responses[[#This Row],[Tôi tin rằng Nhà nước, cơ quan thuế có đủ khả năng và công nghệ để phát hiện, xử lý nghiêm các hành vi trốn thuế. - HUMAN-ENF2]]</f>
        <v>9</v>
      </c>
      <c r="X64">
        <f t="shared" si="3"/>
        <v>0.88888888888888884</v>
      </c>
      <c r="Y64" s="32">
        <f t="shared" si="4"/>
        <v>0.72222222222222221</v>
      </c>
      <c r="Z64" s="32">
        <f t="shared" si="5"/>
        <v>0.88888888888888884</v>
      </c>
      <c r="AA64">
        <f>step3_validation[[#This Row],[AI_FAC1]]</f>
        <v>9</v>
      </c>
      <c r="AB64">
        <f t="shared" si="6"/>
        <v>0.88888888888888884</v>
      </c>
      <c r="AC64">
        <f>survey_responses[[#This Row],[Các thủ tục khai báo thuế VÀ/HOẶC quy trình làm việc với cơ quan thuế đơn giản, tiện lợi, nhanh chóng hơn so với trước đây. - HUMAN-FAC1]]</f>
        <v>9</v>
      </c>
      <c r="AD64">
        <f t="shared" si="7"/>
        <v>0.88888888888888884</v>
      </c>
      <c r="AE64">
        <f>step3_validation[[#This Row],[AI_FAC2]]</f>
        <v>9</v>
      </c>
      <c r="AF64">
        <f t="shared" si="8"/>
        <v>0.88888888888888884</v>
      </c>
      <c r="AG64">
        <f>survey_responses[[#This Row],[So với trước đây, tôi thấy cách tính thuế và các bậc thuế trong phương án mới đơn giản, dễ hiểu và dễ thực hiện hơn. - HUMAN-FAC2]]</f>
        <v>9</v>
      </c>
      <c r="AH64">
        <f t="shared" si="9"/>
        <v>0.88888888888888884</v>
      </c>
      <c r="AI64" s="32">
        <f t="shared" si="10"/>
        <v>0.88888888888888884</v>
      </c>
      <c r="AJ64" s="32">
        <f t="shared" si="11"/>
        <v>0.88888888888888884</v>
      </c>
      <c r="AK64">
        <f>step3_validation[[#This Row],[AI_TRU1]]</f>
        <v>8</v>
      </c>
      <c r="AL64">
        <f t="shared" si="12"/>
        <v>0.77777777777777779</v>
      </c>
      <c r="AM64">
        <f>survey_responses[[#This Row],[Tôi tin rằng Nhà nước, cơ quan thuế sẽ thực thi chính sách mới một cách khách quan, công tâm và đối xử bình đẳng với mọi người nộp thuế.  - HUMAN-TRU1]]</f>
        <v>8</v>
      </c>
      <c r="AN64">
        <f t="shared" si="13"/>
        <v>0.77777777777777779</v>
      </c>
      <c r="AO64">
        <f>step3_validation[[#This Row],[AI_TRU2]]</f>
        <v>9</v>
      </c>
      <c r="AP64">
        <f t="shared" si="14"/>
        <v>0.88888888888888884</v>
      </c>
      <c r="AQ64">
        <f>survey_responses[[#This Row],[Tôi thấy mức thuế tôi phải đóng theo phương án mới là công bằng (người thu nhập như tôi đóng mức này là hợp lý). - HUMAN-TRU2]]</f>
        <v>9</v>
      </c>
      <c r="AR64">
        <f t="shared" si="15"/>
        <v>0.88888888888888884</v>
      </c>
      <c r="AS64">
        <f>step3_validation[[#This Row],[AI_TRU3]]</f>
        <v>8</v>
      </c>
      <c r="AT64">
        <f t="shared" si="16"/>
        <v>0.77777777777777779</v>
      </c>
      <c r="AU64">
        <f>survey_responses[[#This Row],[Tôi tin tưởng số tiền thuế tôi đóng sẽ được Nhà nước sử dụng hiệu quả để cải thiện dịch vụ công (y tế, đường xá...). - HUMAN-TRU3]]</f>
        <v>9</v>
      </c>
      <c r="AV64">
        <f t="shared" si="17"/>
        <v>0.88888888888888884</v>
      </c>
      <c r="AW64">
        <f>step3_validation[[#This Row],[AI_TRU4]]</f>
        <v>7</v>
      </c>
      <c r="AX64">
        <f t="shared" si="18"/>
        <v>0.66666666666666663</v>
      </c>
      <c r="AY64">
        <f>survey_responses[[#This Row],[Tôi thấy Nhà nước đã giải thích rõ ràng, minh bạch về lý do và mục tiêu của việc sửa đổi thuế lần này. - HUMAN-TRU4]]</f>
        <v>8</v>
      </c>
      <c r="AZ64">
        <f t="shared" si="19"/>
        <v>0.77777777777777779</v>
      </c>
      <c r="BA64" s="32">
        <f t="shared" si="20"/>
        <v>0.77777777777777768</v>
      </c>
      <c r="BB64" s="32">
        <f t="shared" si="21"/>
        <v>0.83333333333333326</v>
      </c>
      <c r="BC64" s="7">
        <f t="shared" si="22"/>
        <v>0.79629629629629628</v>
      </c>
      <c r="BD64" s="7">
        <f t="shared" si="23"/>
        <v>0.87037037037037024</v>
      </c>
      <c r="BE64">
        <f>step3_validation[[#This Row],[AI_OUT1]]</f>
        <v>9</v>
      </c>
      <c r="BF64">
        <f t="shared" si="24"/>
        <v>0.88888888888888884</v>
      </c>
      <c r="BG64">
        <f>survey_responses[[#This Row],[Sau khi xem xét các quyền lợi và nghĩa vụ, bạn có ủng hộ và tuân thủ chính sách mới hiện nay? - HUMAN-OUT1]]</f>
        <v>7</v>
      </c>
      <c r="BH64">
        <f t="shared" si="25"/>
        <v>0.66666666666666663</v>
      </c>
      <c r="BI64" s="32">
        <f t="shared" si="26"/>
        <v>2</v>
      </c>
    </row>
    <row r="65" spans="1:61" x14ac:dyDescent="0.45">
      <c r="A65" s="30">
        <f>step3_validation[[#This Row],[Persona_ID]]</f>
        <v>64</v>
      </c>
      <c r="B65" s="31">
        <f>step3_validation[[#This Row],[Used_Seed]]</f>
        <v>105</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120.54074400286268</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7</v>
      </c>
      <c r="R65">
        <f t="shared" si="0"/>
        <v>0.66666666666666663</v>
      </c>
      <c r="S65">
        <f>survey_responses[[#This Row],[Tôi tin rằng với các quy định quản lý thuế hiện nay, hành vi gian lận hoặc trốn thuế sẽ dễ dàng bị phát hiện và xử lý nghiêm. - HUMAN-ENF1]]</f>
        <v>9</v>
      </c>
      <c r="T65">
        <f t="shared" si="1"/>
        <v>0.88888888888888884</v>
      </c>
      <c r="U65">
        <f>step3_validation[[#This Row],[AI_ENF2]]</f>
        <v>7</v>
      </c>
      <c r="V65">
        <f t="shared" si="2"/>
        <v>0.66666666666666663</v>
      </c>
      <c r="W65">
        <f>survey_responses[[#This Row],[Tôi tin rằng Nhà nước, cơ quan thuế có đủ khả năng và công nghệ để phát hiện, xử lý nghiêm các hành vi trốn thuế. - HUMAN-ENF2]]</f>
        <v>10</v>
      </c>
      <c r="X65">
        <f t="shared" si="3"/>
        <v>1</v>
      </c>
      <c r="Y65" s="32">
        <f t="shared" si="4"/>
        <v>0.66666666666666663</v>
      </c>
      <c r="Z65" s="32">
        <f t="shared" si="5"/>
        <v>0.94444444444444442</v>
      </c>
      <c r="AA65">
        <f>step3_validation[[#This Row],[AI_FAC1]]</f>
        <v>9</v>
      </c>
      <c r="AB65">
        <f t="shared" si="6"/>
        <v>0.88888888888888884</v>
      </c>
      <c r="AC65">
        <f>survey_responses[[#This Row],[Các thủ tục khai báo thuế VÀ/HOẶC quy trình làm việc với cơ quan thuế đơn giản, tiện lợi, nhanh chóng hơn so với trước đây. - HUMAN-FAC1]]</f>
        <v>9</v>
      </c>
      <c r="AD65">
        <f t="shared" si="7"/>
        <v>0.88888888888888884</v>
      </c>
      <c r="AE65">
        <f>step3_validation[[#This Row],[AI_FAC2]]</f>
        <v>8</v>
      </c>
      <c r="AF65">
        <f t="shared" si="8"/>
        <v>0.77777777777777779</v>
      </c>
      <c r="AG65">
        <f>survey_responses[[#This Row],[So với trước đây, tôi thấy cách tính thuế và các bậc thuế trong phương án mới đơn giản, dễ hiểu và dễ thực hiện hơn. - HUMAN-FAC2]]</f>
        <v>10</v>
      </c>
      <c r="AH65">
        <f t="shared" si="9"/>
        <v>1</v>
      </c>
      <c r="AI65" s="32">
        <f t="shared" si="10"/>
        <v>0.83333333333333326</v>
      </c>
      <c r="AJ65" s="32">
        <f t="shared" si="11"/>
        <v>0.94444444444444442</v>
      </c>
      <c r="AK65">
        <f>step3_validation[[#This Row],[AI_TRU1]]</f>
        <v>7</v>
      </c>
      <c r="AL65">
        <f t="shared" si="12"/>
        <v>0.66666666666666663</v>
      </c>
      <c r="AM65">
        <f>survey_responses[[#This Row],[Tôi tin rằng Nhà nước, cơ quan thuế sẽ thực thi chính sách mới một cách khách quan, công tâm và đối xử bình đẳng với mọi người nộp thuế.  - HUMAN-TRU1]]</f>
        <v>10</v>
      </c>
      <c r="AN65">
        <f t="shared" si="13"/>
        <v>1</v>
      </c>
      <c r="AO65">
        <f>step3_validation[[#This Row],[AI_TRU2]]</f>
        <v>8</v>
      </c>
      <c r="AP65">
        <f t="shared" si="14"/>
        <v>0.77777777777777779</v>
      </c>
      <c r="AQ65">
        <f>survey_responses[[#This Row],[Tôi thấy mức thuế tôi phải đóng theo phương án mới là công bằng (người thu nhập như tôi đóng mức này là hợp lý). - HUMAN-TRU2]]</f>
        <v>5</v>
      </c>
      <c r="AR65">
        <f t="shared" si="15"/>
        <v>0.44444444444444442</v>
      </c>
      <c r="AS65">
        <f>step3_validation[[#This Row],[AI_TRU3]]</f>
        <v>7</v>
      </c>
      <c r="AT65">
        <f t="shared" si="16"/>
        <v>0.66666666666666663</v>
      </c>
      <c r="AU65">
        <f>survey_responses[[#This Row],[Tôi tin tưởng số tiền thuế tôi đóng sẽ được Nhà nước sử dụng hiệu quả để cải thiện dịch vụ công (y tế, đường xá...). - HUMAN-TRU3]]</f>
        <v>10</v>
      </c>
      <c r="AV65">
        <f t="shared" si="17"/>
        <v>1</v>
      </c>
      <c r="AW65">
        <f>step3_validation[[#This Row],[AI_TRU4]]</f>
        <v>6</v>
      </c>
      <c r="AX65">
        <f t="shared" si="18"/>
        <v>0.55555555555555558</v>
      </c>
      <c r="AY65">
        <f>survey_responses[[#This Row],[Tôi thấy Nhà nước đã giải thích rõ ràng, minh bạch về lý do và mục tiêu của việc sửa đổi thuế lần này. - HUMAN-TRU4]]</f>
        <v>7</v>
      </c>
      <c r="AZ65">
        <f t="shared" si="19"/>
        <v>0.66666666666666663</v>
      </c>
      <c r="BA65" s="32">
        <f t="shared" si="20"/>
        <v>0.66666666666666674</v>
      </c>
      <c r="BB65" s="32">
        <f t="shared" si="21"/>
        <v>0.77777777777777779</v>
      </c>
      <c r="BC65" s="7">
        <f t="shared" si="22"/>
        <v>0.72222222222222232</v>
      </c>
      <c r="BD65" s="7">
        <f t="shared" si="23"/>
        <v>0.88888888888888884</v>
      </c>
      <c r="BE65">
        <f>step3_validation[[#This Row],[AI_OUT1]]</f>
        <v>8</v>
      </c>
      <c r="BF65">
        <f t="shared" si="24"/>
        <v>0.77777777777777779</v>
      </c>
      <c r="BG65">
        <f>survey_responses[[#This Row],[Sau khi xem xét các quyền lợi và nghĩa vụ, bạn có ủng hộ và tuân thủ chính sách mới hiện nay? - HUMAN-OUT1]]</f>
        <v>9</v>
      </c>
      <c r="BH65">
        <f t="shared" si="25"/>
        <v>0.88888888888888884</v>
      </c>
      <c r="BI65" s="32">
        <f t="shared" si="26"/>
        <v>1</v>
      </c>
    </row>
    <row r="66" spans="1:61" x14ac:dyDescent="0.45">
      <c r="A66" s="30">
        <f>step3_validation[[#This Row],[Persona_ID]]</f>
        <v>65</v>
      </c>
      <c r="B66" s="31">
        <f>step3_validation[[#This Row],[Used_Seed]]</f>
        <v>106</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7</v>
      </c>
      <c r="R66">
        <f t="shared" si="0"/>
        <v>0.66666666666666663</v>
      </c>
      <c r="S66">
        <f>survey_responses[[#This Row],[Tôi tin rằng với các quy định quản lý thuế hiện nay, hành vi gian lận hoặc trốn thuế sẽ dễ dàng bị phát hiện và xử lý nghiêm. - HUMAN-ENF1]]</f>
        <v>10</v>
      </c>
      <c r="T66">
        <f t="shared" si="1"/>
        <v>1</v>
      </c>
      <c r="U66">
        <f>step3_validation[[#This Row],[AI_ENF2]]</f>
        <v>8</v>
      </c>
      <c r="V66">
        <f t="shared" si="2"/>
        <v>0.77777777777777779</v>
      </c>
      <c r="W66">
        <f>survey_responses[[#This Row],[Tôi tin rằng Nhà nước, cơ quan thuế có đủ khả năng và công nghệ để phát hiện, xử lý nghiêm các hành vi trốn thuế. - HUMAN-ENF2]]</f>
        <v>10</v>
      </c>
      <c r="X66">
        <f t="shared" si="3"/>
        <v>1</v>
      </c>
      <c r="Y66" s="32">
        <f t="shared" si="4"/>
        <v>0.72222222222222221</v>
      </c>
      <c r="Z66" s="32">
        <f t="shared" si="5"/>
        <v>1</v>
      </c>
      <c r="AA66">
        <f>step3_validation[[#This Row],[AI_FAC1]]</f>
        <v>9</v>
      </c>
      <c r="AB66">
        <f t="shared" si="6"/>
        <v>0.88888888888888884</v>
      </c>
      <c r="AC66">
        <f>survey_responses[[#This Row],[Các thủ tục khai báo thuế VÀ/HOẶC quy trình làm việc với cơ quan thuế đơn giản, tiện lợi, nhanh chóng hơn so với trước đây. - HUMAN-FAC1]]</f>
        <v>10</v>
      </c>
      <c r="AD66">
        <f t="shared" si="7"/>
        <v>1</v>
      </c>
      <c r="AE66">
        <f>step3_validation[[#This Row],[AI_FAC2]]</f>
        <v>9</v>
      </c>
      <c r="AF66">
        <f t="shared" si="8"/>
        <v>0.88888888888888884</v>
      </c>
      <c r="AG66">
        <f>survey_responses[[#This Row],[So với trước đây, tôi thấy cách tính thuế và các bậc thuế trong phương án mới đơn giản, dễ hiểu và dễ thực hiện hơn. - HUMAN-FAC2]]</f>
        <v>10</v>
      </c>
      <c r="AH66">
        <f t="shared" si="9"/>
        <v>1</v>
      </c>
      <c r="AI66" s="32">
        <f t="shared" si="10"/>
        <v>0.88888888888888884</v>
      </c>
      <c r="AJ66" s="32">
        <f t="shared" si="11"/>
        <v>1</v>
      </c>
      <c r="AK66">
        <f>step3_validation[[#This Row],[AI_TRU1]]</f>
        <v>8</v>
      </c>
      <c r="AL66">
        <f t="shared" si="12"/>
        <v>0.77777777777777779</v>
      </c>
      <c r="AM66">
        <f>survey_responses[[#This Row],[Tôi tin rằng Nhà nước, cơ quan thuế sẽ thực thi chính sách mới một cách khách quan, công tâm và đối xử bình đẳng với mọi người nộp thuế.  - HUMAN-TRU1]]</f>
        <v>10</v>
      </c>
      <c r="AN66">
        <f t="shared" si="13"/>
        <v>1</v>
      </c>
      <c r="AO66">
        <f>step3_validation[[#This Row],[AI_TRU2]]</f>
        <v>9</v>
      </c>
      <c r="AP66">
        <f t="shared" si="14"/>
        <v>0.88888888888888884</v>
      </c>
      <c r="AQ66">
        <f>survey_responses[[#This Row],[Tôi thấy mức thuế tôi phải đóng theo phương án mới là công bằng (người thu nhập như tôi đóng mức này là hợp lý). - HUMAN-TRU2]]</f>
        <v>10</v>
      </c>
      <c r="AR66">
        <f t="shared" si="15"/>
        <v>1</v>
      </c>
      <c r="AS66">
        <f>step3_validation[[#This Row],[AI_TRU3]]</f>
        <v>8</v>
      </c>
      <c r="AT66">
        <f t="shared" si="16"/>
        <v>0.77777777777777779</v>
      </c>
      <c r="AU66">
        <f>survey_responses[[#This Row],[Tôi tin tưởng số tiền thuế tôi đóng sẽ được Nhà nước sử dụng hiệu quả để cải thiện dịch vụ công (y tế, đường xá...). - HUMAN-TRU3]]</f>
        <v>10</v>
      </c>
      <c r="AV66">
        <f t="shared" si="17"/>
        <v>1</v>
      </c>
      <c r="AW66">
        <f>step3_validation[[#This Row],[AI_TRU4]]</f>
        <v>8</v>
      </c>
      <c r="AX66">
        <f t="shared" si="18"/>
        <v>0.77777777777777779</v>
      </c>
      <c r="AY66">
        <f>survey_responses[[#This Row],[Tôi thấy Nhà nước đã giải thích rõ ràng, minh bạch về lý do và mục tiêu của việc sửa đổi thuế lần này. - HUMAN-TRU4]]</f>
        <v>10</v>
      </c>
      <c r="AZ66">
        <f t="shared" si="19"/>
        <v>1</v>
      </c>
      <c r="BA66" s="32">
        <f t="shared" si="20"/>
        <v>0.80555555555555547</v>
      </c>
      <c r="BB66" s="32">
        <f t="shared" si="21"/>
        <v>1</v>
      </c>
      <c r="BC66" s="7">
        <f t="shared" si="22"/>
        <v>0.80555555555555547</v>
      </c>
      <c r="BD66" s="7">
        <f t="shared" si="23"/>
        <v>1</v>
      </c>
      <c r="BE66">
        <f>step3_validation[[#This Row],[AI_OUT1]]</f>
        <v>9</v>
      </c>
      <c r="BF66">
        <f t="shared" si="24"/>
        <v>0.88888888888888884</v>
      </c>
      <c r="BG66">
        <f>survey_responses[[#This Row],[Sau khi xem xét các quyền lợi và nghĩa vụ, bạn có ủng hộ và tuân thủ chính sách mới hiện nay? - HUMAN-OUT1]]</f>
        <v>10</v>
      </c>
      <c r="BH66">
        <f t="shared" si="25"/>
        <v>1</v>
      </c>
      <c r="BI66" s="32">
        <f t="shared" si="26"/>
        <v>1</v>
      </c>
    </row>
    <row r="67" spans="1:61" x14ac:dyDescent="0.45">
      <c r="A67" s="30">
        <f>step3_validation[[#This Row],[Persona_ID]]</f>
        <v>66</v>
      </c>
      <c r="B67" s="31">
        <f>step3_validation[[#This Row],[Used_Seed]]</f>
        <v>107</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13.951740814793576</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4</v>
      </c>
      <c r="R67">
        <f t="shared" ref="R67:R130" si="27">(Q67-1)/9</f>
        <v>0.33333333333333331</v>
      </c>
      <c r="S67">
        <f>survey_responses[[#This Row],[Tôi tin rằng với các quy định quản lý thuế hiện nay, hành vi gian lận hoặc trốn thuế sẽ dễ dàng bị phát hiện và xử lý nghiêm. - HUMAN-ENF1]]</f>
        <v>7</v>
      </c>
      <c r="T67">
        <f t="shared" ref="T67:T130" si="28">(S67-1)/9</f>
        <v>0.66666666666666663</v>
      </c>
      <c r="U67">
        <f>step3_validation[[#This Row],[AI_ENF2]]</f>
        <v>5</v>
      </c>
      <c r="V67">
        <f t="shared" ref="V67:V130" si="29">(U67-1)/9</f>
        <v>0.44444444444444442</v>
      </c>
      <c r="W67">
        <f>survey_responses[[#This Row],[Tôi tin rằng Nhà nước, cơ quan thuế có đủ khả năng và công nghệ để phát hiện, xử lý nghiêm các hành vi trốn thuế. - HUMAN-ENF2]]</f>
        <v>5</v>
      </c>
      <c r="X67">
        <f t="shared" ref="X67:X130" si="30">(W67-1)/9</f>
        <v>0.44444444444444442</v>
      </c>
      <c r="Y67" s="32">
        <f t="shared" ref="Y67:Y130" si="31">AVERAGE(R67,V67)</f>
        <v>0.38888888888888884</v>
      </c>
      <c r="Z67" s="32">
        <f t="shared" ref="Z67:Z130" si="32">AVERAGE(T67,X67)</f>
        <v>0.55555555555555558</v>
      </c>
      <c r="AA67">
        <f>step3_validation[[#This Row],[AI_FAC1]]</f>
        <v>9</v>
      </c>
      <c r="AB67">
        <f t="shared" ref="AB67:AB130" si="33">(AA67-1)/9</f>
        <v>0.88888888888888884</v>
      </c>
      <c r="AC67">
        <f>survey_responses[[#This Row],[Các thủ tục khai báo thuế VÀ/HOẶC quy trình làm việc với cơ quan thuế đơn giản, tiện lợi, nhanh chóng hơn so với trước đây. - HUMAN-FAC1]]</f>
        <v>3</v>
      </c>
      <c r="AD67">
        <f t="shared" ref="AD67:AD130" si="34">(AC67-1)/9</f>
        <v>0.22222222222222221</v>
      </c>
      <c r="AE67">
        <f>step3_validation[[#This Row],[AI_FAC2]]</f>
        <v>8</v>
      </c>
      <c r="AF67">
        <f t="shared" ref="AF67:AF130" si="35">(AE67-1)/9</f>
        <v>0.77777777777777779</v>
      </c>
      <c r="AG67">
        <f>survey_responses[[#This Row],[So với trước đây, tôi thấy cách tính thuế và các bậc thuế trong phương án mới đơn giản, dễ hiểu và dễ thực hiện hơn. - HUMAN-FAC2]]</f>
        <v>5</v>
      </c>
      <c r="AH67">
        <f t="shared" ref="AH67:AH130" si="36">(AG67-1)/9</f>
        <v>0.44444444444444442</v>
      </c>
      <c r="AI67" s="32">
        <f t="shared" ref="AI67:AI130" si="37">AVERAGE(AB67,AF67)</f>
        <v>0.83333333333333326</v>
      </c>
      <c r="AJ67" s="32">
        <f t="shared" ref="AJ67:AJ130" si="38">AVERAGE(AD67,AH67)</f>
        <v>0.33333333333333331</v>
      </c>
      <c r="AK67">
        <f>step3_validation[[#This Row],[AI_TRU1]]</f>
        <v>6</v>
      </c>
      <c r="AL67">
        <f t="shared" ref="AL67:AL130" si="39">(AK67-1)/9</f>
        <v>0.55555555555555558</v>
      </c>
      <c r="AM67">
        <f>survey_responses[[#This Row],[Tôi tin rằng Nhà nước, cơ quan thuế sẽ thực thi chính sách mới một cách khách quan, công tâm và đối xử bình đẳng với mọi người nộp thuế.  - HUMAN-TRU1]]</f>
        <v>4</v>
      </c>
      <c r="AN67">
        <f t="shared" ref="AN67:AN130" si="40">(AM67-1)/9</f>
        <v>0.33333333333333331</v>
      </c>
      <c r="AO67">
        <f>step3_validation[[#This Row],[AI_TRU2]]</f>
        <v>8</v>
      </c>
      <c r="AP67">
        <f t="shared" ref="AP67:AP130" si="41">(AO67-1)/9</f>
        <v>0.77777777777777779</v>
      </c>
      <c r="AQ67">
        <f>survey_responses[[#This Row],[Tôi thấy mức thuế tôi phải đóng theo phương án mới là công bằng (người thu nhập như tôi đóng mức này là hợp lý). - HUMAN-TRU2]]</f>
        <v>3</v>
      </c>
      <c r="AR67">
        <f t="shared" ref="AR67:AR130" si="42">(AQ67-1)/9</f>
        <v>0.22222222222222221</v>
      </c>
      <c r="AS67">
        <f>step3_validation[[#This Row],[AI_TRU3]]</f>
        <v>7</v>
      </c>
      <c r="AT67">
        <f t="shared" ref="AT67:AT130" si="43">(AS67-1)/9</f>
        <v>0.66666666666666663</v>
      </c>
      <c r="AU67">
        <f>survey_responses[[#This Row],[Tôi tin tưởng số tiền thuế tôi đóng sẽ được Nhà nước sử dụng hiệu quả để cải thiện dịch vụ công (y tế, đường xá...). - HUMAN-TRU3]]</f>
        <v>5</v>
      </c>
      <c r="AV67">
        <f t="shared" ref="AV67:AV130" si="44">(AU67-1)/9</f>
        <v>0.44444444444444442</v>
      </c>
      <c r="AW67">
        <f>step3_validation[[#This Row],[AI_TRU4]]</f>
        <v>8</v>
      </c>
      <c r="AX67">
        <f t="shared" ref="AX67:AX130" si="45">(AW67-1)/9</f>
        <v>0.77777777777777779</v>
      </c>
      <c r="AY67">
        <f>survey_responses[[#This Row],[Tôi thấy Nhà nước đã giải thích rõ ràng, minh bạch về lý do và mục tiêu của việc sửa đổi thuế lần này. - HUMAN-TRU4]]</f>
        <v>6</v>
      </c>
      <c r="AZ67">
        <f t="shared" ref="AZ67:AZ130" si="46">(AY67-1)/9</f>
        <v>0.55555555555555558</v>
      </c>
      <c r="BA67" s="32">
        <f t="shared" ref="BA67:BA130" si="47">AVERAGE(AL67,AP67,AT67,AX67)</f>
        <v>0.69444444444444442</v>
      </c>
      <c r="BB67" s="32">
        <f t="shared" ref="BB67:BB130" si="48">AVERAGE(AN67,AR67,AV67,AZ67)</f>
        <v>0.3888888888888889</v>
      </c>
      <c r="BC67" s="7">
        <f t="shared" ref="BC67:BC130" si="49">(Y67+AI67+BA67)/3</f>
        <v>0.63888888888888884</v>
      </c>
      <c r="BD67" s="7">
        <f t="shared" ref="BD67:BD130" si="50">(Z67+AJ67+BB67)/3</f>
        <v>0.42592592592592587</v>
      </c>
      <c r="BE67">
        <f>step3_validation[[#This Row],[AI_OUT1]]</f>
        <v>9</v>
      </c>
      <c r="BF67">
        <f t="shared" ref="BF67:BF130" si="51">(BE67-1)/9</f>
        <v>0.88888888888888884</v>
      </c>
      <c r="BG67">
        <f>survey_responses[[#This Row],[Sau khi xem xét các quyền lợi và nghĩa vụ, bạn có ủng hộ và tuân thủ chính sách mới hiện nay? - HUMAN-OUT1]]</f>
        <v>6</v>
      </c>
      <c r="BH67">
        <f t="shared" ref="BH67:BH130" si="52">(BG67-1)/9</f>
        <v>0.55555555555555558</v>
      </c>
      <c r="BI67" s="32">
        <f t="shared" ref="BI67:BI130" si="53">ABS(BG67-BE67)</f>
        <v>3</v>
      </c>
    </row>
    <row r="68" spans="1:61" x14ac:dyDescent="0.45">
      <c r="A68" s="30">
        <f>step3_validation[[#This Row],[Persona_ID]]</f>
        <v>67</v>
      </c>
      <c r="B68" s="31">
        <f>step3_validation[[#This Row],[Used_Seed]]</f>
        <v>108</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100.04365703588709</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f t="shared" si="27"/>
        <v>0.66666666666666663</v>
      </c>
      <c r="S68">
        <f>survey_responses[[#This Row],[Tôi tin rằng với các quy định quản lý thuế hiện nay, hành vi gian lận hoặc trốn thuế sẽ dễ dàng bị phát hiện và xử lý nghiêm. - HUMAN-ENF1]]</f>
        <v>5</v>
      </c>
      <c r="T68">
        <f t="shared" si="28"/>
        <v>0.44444444444444442</v>
      </c>
      <c r="U68">
        <f>step3_validation[[#This Row],[AI_ENF2]]</f>
        <v>8</v>
      </c>
      <c r="V68">
        <f t="shared" si="29"/>
        <v>0.77777777777777779</v>
      </c>
      <c r="W68">
        <f>survey_responses[[#This Row],[Tôi tin rằng Nhà nước, cơ quan thuế có đủ khả năng và công nghệ để phát hiện, xử lý nghiêm các hành vi trốn thuế. - HUMAN-ENF2]]</f>
        <v>5</v>
      </c>
      <c r="X68">
        <f t="shared" si="30"/>
        <v>0.44444444444444442</v>
      </c>
      <c r="Y68" s="32">
        <f t="shared" si="31"/>
        <v>0.72222222222222221</v>
      </c>
      <c r="Z68" s="32">
        <f t="shared" si="32"/>
        <v>0.44444444444444442</v>
      </c>
      <c r="AA68">
        <f>step3_validation[[#This Row],[AI_FAC1]]</f>
        <v>6</v>
      </c>
      <c r="AB68">
        <f t="shared" si="33"/>
        <v>0.55555555555555558</v>
      </c>
      <c r="AC68">
        <f>survey_responses[[#This Row],[Các thủ tục khai báo thuế VÀ/HOẶC quy trình làm việc với cơ quan thuế đơn giản, tiện lợi, nhanh chóng hơn so với trước đây. - HUMAN-FAC1]]</f>
        <v>4</v>
      </c>
      <c r="AD68">
        <f t="shared" si="34"/>
        <v>0.33333333333333331</v>
      </c>
      <c r="AE68">
        <f>step3_validation[[#This Row],[AI_FAC2]]</f>
        <v>9</v>
      </c>
      <c r="AF68">
        <f t="shared" si="35"/>
        <v>0.88888888888888884</v>
      </c>
      <c r="AG68">
        <f>survey_responses[[#This Row],[So với trước đây, tôi thấy cách tính thuế và các bậc thuế trong phương án mới đơn giản, dễ hiểu và dễ thực hiện hơn. - HUMAN-FAC2]]</f>
        <v>4</v>
      </c>
      <c r="AH68">
        <f t="shared" si="36"/>
        <v>0.33333333333333331</v>
      </c>
      <c r="AI68" s="32">
        <f t="shared" si="37"/>
        <v>0.72222222222222221</v>
      </c>
      <c r="AJ68" s="32">
        <f t="shared" si="38"/>
        <v>0.33333333333333331</v>
      </c>
      <c r="AK68">
        <f>step3_validation[[#This Row],[AI_TRU1]]</f>
        <v>8</v>
      </c>
      <c r="AL68">
        <f t="shared" si="39"/>
        <v>0.77777777777777779</v>
      </c>
      <c r="AM68">
        <f>survey_responses[[#This Row],[Tôi tin rằng Nhà nước, cơ quan thuế sẽ thực thi chính sách mới một cách khách quan, công tâm và đối xử bình đẳng với mọi người nộp thuế.  - HUMAN-TRU1]]</f>
        <v>2</v>
      </c>
      <c r="AN68">
        <f t="shared" si="40"/>
        <v>0.1111111111111111</v>
      </c>
      <c r="AO68">
        <f>step3_validation[[#This Row],[AI_TRU2]]</f>
        <v>9</v>
      </c>
      <c r="AP68">
        <f t="shared" si="41"/>
        <v>0.88888888888888884</v>
      </c>
      <c r="AQ68">
        <f>survey_responses[[#This Row],[Tôi thấy mức thuế tôi phải đóng theo phương án mới là công bằng (người thu nhập như tôi đóng mức này là hợp lý). - HUMAN-TRU2]]</f>
        <v>3</v>
      </c>
      <c r="AR68">
        <f t="shared" si="42"/>
        <v>0.22222222222222221</v>
      </c>
      <c r="AS68">
        <f>step3_validation[[#This Row],[AI_TRU3]]</f>
        <v>8</v>
      </c>
      <c r="AT68">
        <f t="shared" si="43"/>
        <v>0.77777777777777779</v>
      </c>
      <c r="AU68">
        <f>survey_responses[[#This Row],[Tôi tin tưởng số tiền thuế tôi đóng sẽ được Nhà nước sử dụng hiệu quả để cải thiện dịch vụ công (y tế, đường xá...). - HUMAN-TRU3]]</f>
        <v>2</v>
      </c>
      <c r="AV68">
        <f t="shared" si="44"/>
        <v>0.1111111111111111</v>
      </c>
      <c r="AW68">
        <f>step3_validation[[#This Row],[AI_TRU4]]</f>
        <v>7</v>
      </c>
      <c r="AX68">
        <f t="shared" si="45"/>
        <v>0.66666666666666663</v>
      </c>
      <c r="AY68">
        <f>survey_responses[[#This Row],[Tôi thấy Nhà nước đã giải thích rõ ràng, minh bạch về lý do và mục tiêu của việc sửa đổi thuế lần này. - HUMAN-TRU4]]</f>
        <v>3</v>
      </c>
      <c r="AZ68">
        <f t="shared" si="46"/>
        <v>0.22222222222222221</v>
      </c>
      <c r="BA68" s="32">
        <f t="shared" si="47"/>
        <v>0.77777777777777768</v>
      </c>
      <c r="BB68" s="32">
        <f t="shared" si="48"/>
        <v>0.16666666666666666</v>
      </c>
      <c r="BC68" s="7">
        <f t="shared" si="49"/>
        <v>0.74074074074074081</v>
      </c>
      <c r="BD68" s="7">
        <f t="shared" si="50"/>
        <v>0.31481481481481477</v>
      </c>
      <c r="BE68">
        <f>step3_validation[[#This Row],[AI_OUT1]]</f>
        <v>9</v>
      </c>
      <c r="BF68">
        <f t="shared" si="51"/>
        <v>0.88888888888888884</v>
      </c>
      <c r="BG68">
        <f>survey_responses[[#This Row],[Sau khi xem xét các quyền lợi và nghĩa vụ, bạn có ủng hộ và tuân thủ chính sách mới hiện nay? - HUMAN-OUT1]]</f>
        <v>3</v>
      </c>
      <c r="BH68">
        <f t="shared" si="52"/>
        <v>0.22222222222222221</v>
      </c>
      <c r="BI68" s="32">
        <f t="shared" si="53"/>
        <v>6</v>
      </c>
    </row>
    <row r="69" spans="1:61" x14ac:dyDescent="0.45">
      <c r="A69" s="30">
        <f>step3_validation[[#This Row],[Persona_ID]]</f>
        <v>68</v>
      </c>
      <c r="B69" s="31">
        <f>step3_validation[[#This Row],[Used_Seed]]</f>
        <v>109</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48.458024069304336</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f t="shared" si="27"/>
        <v>0.66666666666666663</v>
      </c>
      <c r="S69">
        <f>survey_responses[[#This Row],[Tôi tin rằng với các quy định quản lý thuế hiện nay, hành vi gian lận hoặc trốn thuế sẽ dễ dàng bị phát hiện và xử lý nghiêm. - HUMAN-ENF1]]</f>
        <v>4</v>
      </c>
      <c r="T69">
        <f t="shared" si="28"/>
        <v>0.33333333333333331</v>
      </c>
      <c r="U69">
        <f>step3_validation[[#This Row],[AI_ENF2]]</f>
        <v>6</v>
      </c>
      <c r="V69">
        <f t="shared" si="29"/>
        <v>0.55555555555555558</v>
      </c>
      <c r="W69">
        <f>survey_responses[[#This Row],[Tôi tin rằng Nhà nước, cơ quan thuế có đủ khả năng và công nghệ để phát hiện, xử lý nghiêm các hành vi trốn thuế. - HUMAN-ENF2]]</f>
        <v>3</v>
      </c>
      <c r="X69">
        <f t="shared" si="30"/>
        <v>0.22222222222222221</v>
      </c>
      <c r="Y69" s="32">
        <f t="shared" si="31"/>
        <v>0.61111111111111116</v>
      </c>
      <c r="Z69" s="32">
        <f t="shared" si="32"/>
        <v>0.27777777777777779</v>
      </c>
      <c r="AA69">
        <f>step3_validation[[#This Row],[AI_FAC1]]</f>
        <v>4</v>
      </c>
      <c r="AB69">
        <f t="shared" si="33"/>
        <v>0.33333333333333331</v>
      </c>
      <c r="AC69">
        <f>survey_responses[[#This Row],[Các thủ tục khai báo thuế VÀ/HOẶC quy trình làm việc với cơ quan thuế đơn giản, tiện lợi, nhanh chóng hơn so với trước đây. - HUMAN-FAC1]]</f>
        <v>1</v>
      </c>
      <c r="AD69">
        <f t="shared" si="34"/>
        <v>0</v>
      </c>
      <c r="AE69">
        <f>step3_validation[[#This Row],[AI_FAC2]]</f>
        <v>5</v>
      </c>
      <c r="AF69">
        <f t="shared" si="35"/>
        <v>0.44444444444444442</v>
      </c>
      <c r="AG69">
        <f>survey_responses[[#This Row],[So với trước đây, tôi thấy cách tính thuế và các bậc thuế trong phương án mới đơn giản, dễ hiểu và dễ thực hiện hơn. - HUMAN-FAC2]]</f>
        <v>5</v>
      </c>
      <c r="AH69">
        <f t="shared" si="36"/>
        <v>0.44444444444444442</v>
      </c>
      <c r="AI69" s="32">
        <f t="shared" si="37"/>
        <v>0.38888888888888884</v>
      </c>
      <c r="AJ69" s="32">
        <f t="shared" si="38"/>
        <v>0.22222222222222221</v>
      </c>
      <c r="AK69">
        <f>step3_validation[[#This Row],[AI_TRU1]]</f>
        <v>7</v>
      </c>
      <c r="AL69">
        <f t="shared" si="39"/>
        <v>0.66666666666666663</v>
      </c>
      <c r="AM69">
        <f>survey_responses[[#This Row],[Tôi tin rằng Nhà nước, cơ quan thuế sẽ thực thi chính sách mới một cách khách quan, công tâm và đối xử bình đẳng với mọi người nộp thuế.  - HUMAN-TRU1]]</f>
        <v>4</v>
      </c>
      <c r="AN69">
        <f t="shared" si="40"/>
        <v>0.33333333333333331</v>
      </c>
      <c r="AO69">
        <f>step3_validation[[#This Row],[AI_TRU2]]</f>
        <v>8</v>
      </c>
      <c r="AP69">
        <f t="shared" si="41"/>
        <v>0.77777777777777779</v>
      </c>
      <c r="AQ69">
        <f>survey_responses[[#This Row],[Tôi thấy mức thuế tôi phải đóng theo phương án mới là công bằng (người thu nhập như tôi đóng mức này là hợp lý). - HUMAN-TRU2]]</f>
        <v>3</v>
      </c>
      <c r="AR69">
        <f t="shared" si="42"/>
        <v>0.22222222222222221</v>
      </c>
      <c r="AS69">
        <f>step3_validation[[#This Row],[AI_TRU3]]</f>
        <v>6</v>
      </c>
      <c r="AT69">
        <f t="shared" si="43"/>
        <v>0.55555555555555558</v>
      </c>
      <c r="AU69">
        <f>survey_responses[[#This Row],[Tôi tin tưởng số tiền thuế tôi đóng sẽ được Nhà nước sử dụng hiệu quả để cải thiện dịch vụ công (y tế, đường xá...). - HUMAN-TRU3]]</f>
        <v>1</v>
      </c>
      <c r="AV69">
        <f t="shared" si="44"/>
        <v>0</v>
      </c>
      <c r="AW69">
        <f>step3_validation[[#This Row],[AI_TRU4]]</f>
        <v>7</v>
      </c>
      <c r="AX69">
        <f t="shared" si="45"/>
        <v>0.66666666666666663</v>
      </c>
      <c r="AY69">
        <f>survey_responses[[#This Row],[Tôi thấy Nhà nước đã giải thích rõ ràng, minh bạch về lý do và mục tiêu của việc sửa đổi thuế lần này. - HUMAN-TRU4]]</f>
        <v>3</v>
      </c>
      <c r="AZ69">
        <f t="shared" si="46"/>
        <v>0.22222222222222221</v>
      </c>
      <c r="BA69" s="32">
        <f t="shared" si="47"/>
        <v>0.66666666666666663</v>
      </c>
      <c r="BB69" s="32">
        <f t="shared" si="48"/>
        <v>0.19444444444444445</v>
      </c>
      <c r="BC69" s="7">
        <f t="shared" si="49"/>
        <v>0.55555555555555547</v>
      </c>
      <c r="BD69" s="7">
        <f t="shared" si="50"/>
        <v>0.23148148148148148</v>
      </c>
      <c r="BE69">
        <f>step3_validation[[#This Row],[AI_OUT1]]</f>
        <v>8</v>
      </c>
      <c r="BF69">
        <f t="shared" si="51"/>
        <v>0.77777777777777779</v>
      </c>
      <c r="BG69">
        <f>survey_responses[[#This Row],[Sau khi xem xét các quyền lợi và nghĩa vụ, bạn có ủng hộ và tuân thủ chính sách mới hiện nay? - HUMAN-OUT1]]</f>
        <v>5</v>
      </c>
      <c r="BH69">
        <f t="shared" si="52"/>
        <v>0.44444444444444442</v>
      </c>
      <c r="BI69" s="32">
        <f t="shared" si="53"/>
        <v>3</v>
      </c>
    </row>
    <row r="70" spans="1:61" x14ac:dyDescent="0.45">
      <c r="A70" s="30">
        <f>step3_validation[[#This Row],[Persona_ID]]</f>
        <v>69</v>
      </c>
      <c r="B70" s="31">
        <f>step3_validation[[#This Row],[Used_Seed]]</f>
        <v>110</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20.739767149768142</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f t="shared" si="27"/>
        <v>0.66666666666666663</v>
      </c>
      <c r="S70">
        <f>survey_responses[[#This Row],[Tôi tin rằng với các quy định quản lý thuế hiện nay, hành vi gian lận hoặc trốn thuế sẽ dễ dàng bị phát hiện và xử lý nghiêm. - HUMAN-ENF1]]</f>
        <v>7</v>
      </c>
      <c r="T70">
        <f t="shared" si="28"/>
        <v>0.66666666666666663</v>
      </c>
      <c r="U70">
        <f>step3_validation[[#This Row],[AI_ENF2]]</f>
        <v>6</v>
      </c>
      <c r="V70">
        <f t="shared" si="29"/>
        <v>0.55555555555555558</v>
      </c>
      <c r="W70">
        <f>survey_responses[[#This Row],[Tôi tin rằng Nhà nước, cơ quan thuế có đủ khả năng và công nghệ để phát hiện, xử lý nghiêm các hành vi trốn thuế. - HUMAN-ENF2]]</f>
        <v>7</v>
      </c>
      <c r="X70">
        <f t="shared" si="30"/>
        <v>0.66666666666666663</v>
      </c>
      <c r="Y70" s="32">
        <f t="shared" si="31"/>
        <v>0.61111111111111116</v>
      </c>
      <c r="Z70" s="32">
        <f t="shared" si="32"/>
        <v>0.66666666666666663</v>
      </c>
      <c r="AA70">
        <f>step3_validation[[#This Row],[AI_FAC1]]</f>
        <v>9</v>
      </c>
      <c r="AB70">
        <f t="shared" si="33"/>
        <v>0.88888888888888884</v>
      </c>
      <c r="AC70">
        <f>survey_responses[[#This Row],[Các thủ tục khai báo thuế VÀ/HOẶC quy trình làm việc với cơ quan thuế đơn giản, tiện lợi, nhanh chóng hơn so với trước đây. - HUMAN-FAC1]]</f>
        <v>8</v>
      </c>
      <c r="AD70">
        <f t="shared" si="34"/>
        <v>0.77777777777777779</v>
      </c>
      <c r="AE70">
        <f>step3_validation[[#This Row],[AI_FAC2]]</f>
        <v>8</v>
      </c>
      <c r="AF70">
        <f t="shared" si="35"/>
        <v>0.77777777777777779</v>
      </c>
      <c r="AG70">
        <f>survey_responses[[#This Row],[So với trước đây, tôi thấy cách tính thuế và các bậc thuế trong phương án mới đơn giản, dễ hiểu và dễ thực hiện hơn. - HUMAN-FAC2]]</f>
        <v>9</v>
      </c>
      <c r="AH70">
        <f t="shared" si="36"/>
        <v>0.88888888888888884</v>
      </c>
      <c r="AI70" s="32">
        <f t="shared" si="37"/>
        <v>0.83333333333333326</v>
      </c>
      <c r="AJ70" s="32">
        <f t="shared" si="38"/>
        <v>0.83333333333333326</v>
      </c>
      <c r="AK70">
        <f>step3_validation[[#This Row],[AI_TRU1]]</f>
        <v>7</v>
      </c>
      <c r="AL70">
        <f t="shared" si="39"/>
        <v>0.66666666666666663</v>
      </c>
      <c r="AM70">
        <f>survey_responses[[#This Row],[Tôi tin rằng Nhà nước, cơ quan thuế sẽ thực thi chính sách mới một cách khách quan, công tâm và đối xử bình đẳng với mọi người nộp thuế.  - HUMAN-TRU1]]</f>
        <v>8</v>
      </c>
      <c r="AN70">
        <f t="shared" si="40"/>
        <v>0.77777777777777779</v>
      </c>
      <c r="AO70">
        <f>step3_validation[[#This Row],[AI_TRU2]]</f>
        <v>9</v>
      </c>
      <c r="AP70">
        <f t="shared" si="41"/>
        <v>0.88888888888888884</v>
      </c>
      <c r="AQ70">
        <f>survey_responses[[#This Row],[Tôi thấy mức thuế tôi phải đóng theo phương án mới là công bằng (người thu nhập như tôi đóng mức này là hợp lý). - HUMAN-TRU2]]</f>
        <v>10</v>
      </c>
      <c r="AR70">
        <f t="shared" si="42"/>
        <v>1</v>
      </c>
      <c r="AS70">
        <f>step3_validation[[#This Row],[AI_TRU3]]</f>
        <v>8</v>
      </c>
      <c r="AT70">
        <f t="shared" si="43"/>
        <v>0.77777777777777779</v>
      </c>
      <c r="AU70">
        <f>survey_responses[[#This Row],[Tôi tin tưởng số tiền thuế tôi đóng sẽ được Nhà nước sử dụng hiệu quả để cải thiện dịch vụ công (y tế, đường xá...). - HUMAN-TRU3]]</f>
        <v>9</v>
      </c>
      <c r="AV70">
        <f t="shared" si="44"/>
        <v>0.88888888888888884</v>
      </c>
      <c r="AW70">
        <f>step3_validation[[#This Row],[AI_TRU4]]</f>
        <v>7</v>
      </c>
      <c r="AX70">
        <f t="shared" si="45"/>
        <v>0.66666666666666663</v>
      </c>
      <c r="AY70">
        <f>survey_responses[[#This Row],[Tôi thấy Nhà nước đã giải thích rõ ràng, minh bạch về lý do và mục tiêu của việc sửa đổi thuế lần này. - HUMAN-TRU4]]</f>
        <v>9</v>
      </c>
      <c r="AZ70">
        <f t="shared" si="46"/>
        <v>0.88888888888888884</v>
      </c>
      <c r="BA70" s="32">
        <f t="shared" si="47"/>
        <v>0.74999999999999989</v>
      </c>
      <c r="BB70" s="32">
        <f t="shared" si="48"/>
        <v>0.88888888888888884</v>
      </c>
      <c r="BC70" s="7">
        <f t="shared" si="49"/>
        <v>0.7314814814814814</v>
      </c>
      <c r="BD70" s="7">
        <f t="shared" si="50"/>
        <v>0.79629629629629628</v>
      </c>
      <c r="BE70">
        <f>step3_validation[[#This Row],[AI_OUT1]]</f>
        <v>9</v>
      </c>
      <c r="BF70">
        <f t="shared" si="51"/>
        <v>0.88888888888888884</v>
      </c>
      <c r="BG70">
        <f>survey_responses[[#This Row],[Sau khi xem xét các quyền lợi và nghĩa vụ, bạn có ủng hộ và tuân thủ chính sách mới hiện nay? - HUMAN-OUT1]]</f>
        <v>9</v>
      </c>
      <c r="BH70">
        <f t="shared" si="52"/>
        <v>0.88888888888888884</v>
      </c>
      <c r="BI70" s="32">
        <f t="shared" si="53"/>
        <v>0</v>
      </c>
    </row>
    <row r="71" spans="1:61" x14ac:dyDescent="0.45">
      <c r="A71" s="30">
        <f>step3_validation[[#This Row],[Persona_ID]]</f>
        <v>70</v>
      </c>
      <c r="B71" s="31">
        <f>step3_validation[[#This Row],[Used_Seed]]</f>
        <v>111</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127.0025185510636</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f t="shared" si="27"/>
        <v>0.66666666666666663</v>
      </c>
      <c r="S71">
        <f>survey_responses[[#This Row],[Tôi tin rằng với các quy định quản lý thuế hiện nay, hành vi gian lận hoặc trốn thuế sẽ dễ dàng bị phát hiện và xử lý nghiêm. - HUMAN-ENF1]]</f>
        <v>6</v>
      </c>
      <c r="T71">
        <f t="shared" si="28"/>
        <v>0.55555555555555558</v>
      </c>
      <c r="U71">
        <f>step3_validation[[#This Row],[AI_ENF2]]</f>
        <v>6</v>
      </c>
      <c r="V71">
        <f t="shared" si="29"/>
        <v>0.55555555555555558</v>
      </c>
      <c r="W71">
        <f>survey_responses[[#This Row],[Tôi tin rằng Nhà nước, cơ quan thuế có đủ khả năng và công nghệ để phát hiện, xử lý nghiêm các hành vi trốn thuế. - HUMAN-ENF2]]</f>
        <v>6</v>
      </c>
      <c r="X71">
        <f t="shared" si="30"/>
        <v>0.55555555555555558</v>
      </c>
      <c r="Y71" s="32">
        <f t="shared" si="31"/>
        <v>0.61111111111111116</v>
      </c>
      <c r="Z71" s="32">
        <f t="shared" si="32"/>
        <v>0.55555555555555558</v>
      </c>
      <c r="AA71">
        <f>step3_validation[[#This Row],[AI_FAC1]]</f>
        <v>8</v>
      </c>
      <c r="AB71">
        <f t="shared" si="33"/>
        <v>0.77777777777777779</v>
      </c>
      <c r="AC71">
        <f>survey_responses[[#This Row],[Các thủ tục khai báo thuế VÀ/HOẶC quy trình làm việc với cơ quan thuế đơn giản, tiện lợi, nhanh chóng hơn so với trước đây. - HUMAN-FAC1]]</f>
        <v>5</v>
      </c>
      <c r="AD71">
        <f t="shared" si="34"/>
        <v>0.44444444444444442</v>
      </c>
      <c r="AE71">
        <f>step3_validation[[#This Row],[AI_FAC2]]</f>
        <v>9</v>
      </c>
      <c r="AF71">
        <f t="shared" si="35"/>
        <v>0.88888888888888884</v>
      </c>
      <c r="AG71">
        <f>survey_responses[[#This Row],[So với trước đây, tôi thấy cách tính thuế và các bậc thuế trong phương án mới đơn giản, dễ hiểu và dễ thực hiện hơn. - HUMAN-FAC2]]</f>
        <v>5</v>
      </c>
      <c r="AH71">
        <f t="shared" si="36"/>
        <v>0.44444444444444442</v>
      </c>
      <c r="AI71" s="32">
        <f t="shared" si="37"/>
        <v>0.83333333333333326</v>
      </c>
      <c r="AJ71" s="32">
        <f t="shared" si="38"/>
        <v>0.44444444444444442</v>
      </c>
      <c r="AK71">
        <f>step3_validation[[#This Row],[AI_TRU1]]</f>
        <v>7</v>
      </c>
      <c r="AL71">
        <f t="shared" si="39"/>
        <v>0.66666666666666663</v>
      </c>
      <c r="AM71">
        <f>survey_responses[[#This Row],[Tôi tin rằng Nhà nước, cơ quan thuế sẽ thực thi chính sách mới một cách khách quan, công tâm và đối xử bình đẳng với mọi người nộp thuế.  - HUMAN-TRU1]]</f>
        <v>5</v>
      </c>
      <c r="AN71">
        <f t="shared" si="40"/>
        <v>0.44444444444444442</v>
      </c>
      <c r="AO71">
        <f>step3_validation[[#This Row],[AI_TRU2]]</f>
        <v>8</v>
      </c>
      <c r="AP71">
        <f t="shared" si="41"/>
        <v>0.77777777777777779</v>
      </c>
      <c r="AQ71">
        <f>survey_responses[[#This Row],[Tôi thấy mức thuế tôi phải đóng theo phương án mới là công bằng (người thu nhập như tôi đóng mức này là hợp lý). - HUMAN-TRU2]]</f>
        <v>1</v>
      </c>
      <c r="AR71">
        <f t="shared" si="42"/>
        <v>0</v>
      </c>
      <c r="AS71">
        <f>step3_validation[[#This Row],[AI_TRU3]]</f>
        <v>7</v>
      </c>
      <c r="AT71">
        <f t="shared" si="43"/>
        <v>0.66666666666666663</v>
      </c>
      <c r="AU71">
        <f>survey_responses[[#This Row],[Tôi tin tưởng số tiền thuế tôi đóng sẽ được Nhà nước sử dụng hiệu quả để cải thiện dịch vụ công (y tế, đường xá...). - HUMAN-TRU3]]</f>
        <v>5</v>
      </c>
      <c r="AV71">
        <f t="shared" si="44"/>
        <v>0.44444444444444442</v>
      </c>
      <c r="AW71">
        <f>step3_validation[[#This Row],[AI_TRU4]]</f>
        <v>9</v>
      </c>
      <c r="AX71">
        <f t="shared" si="45"/>
        <v>0.88888888888888884</v>
      </c>
      <c r="AY71">
        <f>survey_responses[[#This Row],[Tôi thấy Nhà nước đã giải thích rõ ràng, minh bạch về lý do và mục tiêu của việc sửa đổi thuế lần này. - HUMAN-TRU4]]</f>
        <v>5</v>
      </c>
      <c r="AZ71">
        <f t="shared" si="46"/>
        <v>0.44444444444444442</v>
      </c>
      <c r="BA71" s="32">
        <f t="shared" si="47"/>
        <v>0.75</v>
      </c>
      <c r="BB71" s="32">
        <f t="shared" si="48"/>
        <v>0.33333333333333331</v>
      </c>
      <c r="BC71" s="7">
        <f t="shared" si="49"/>
        <v>0.73148148148148151</v>
      </c>
      <c r="BD71" s="7">
        <f t="shared" si="50"/>
        <v>0.44444444444444442</v>
      </c>
      <c r="BE71">
        <f>step3_validation[[#This Row],[AI_OUT1]]</f>
        <v>8</v>
      </c>
      <c r="BF71">
        <f t="shared" si="51"/>
        <v>0.77777777777777779</v>
      </c>
      <c r="BG71">
        <f>survey_responses[[#This Row],[Sau khi xem xét các quyền lợi và nghĩa vụ, bạn có ủng hộ và tuân thủ chính sách mới hiện nay? - HUMAN-OUT1]]</f>
        <v>5</v>
      </c>
      <c r="BH71">
        <f t="shared" si="52"/>
        <v>0.44444444444444442</v>
      </c>
      <c r="BI71" s="32">
        <f t="shared" si="53"/>
        <v>3</v>
      </c>
    </row>
    <row r="72" spans="1:61" x14ac:dyDescent="0.45">
      <c r="A72" s="30">
        <f>step3_validation[[#This Row],[Persona_ID]]</f>
        <v>71</v>
      </c>
      <c r="B72" s="31">
        <f>step3_validation[[#This Row],[Used_Seed]]</f>
        <v>112</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26.700942765498688</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f t="shared" si="27"/>
        <v>0.66666666666666663</v>
      </c>
      <c r="S72">
        <f>survey_responses[[#This Row],[Tôi tin rằng với các quy định quản lý thuế hiện nay, hành vi gian lận hoặc trốn thuế sẽ dễ dàng bị phát hiện và xử lý nghiêm. - HUMAN-ENF1]]</f>
        <v>3</v>
      </c>
      <c r="T72">
        <f t="shared" si="28"/>
        <v>0.22222222222222221</v>
      </c>
      <c r="U72">
        <f>step3_validation[[#This Row],[AI_ENF2]]</f>
        <v>8</v>
      </c>
      <c r="V72">
        <f t="shared" si="29"/>
        <v>0.77777777777777779</v>
      </c>
      <c r="W72">
        <f>survey_responses[[#This Row],[Tôi tin rằng Nhà nước, cơ quan thuế có đủ khả năng và công nghệ để phát hiện, xử lý nghiêm các hành vi trốn thuế. - HUMAN-ENF2]]</f>
        <v>3</v>
      </c>
      <c r="X72">
        <f t="shared" si="30"/>
        <v>0.22222222222222221</v>
      </c>
      <c r="Y72" s="32">
        <f t="shared" si="31"/>
        <v>0.72222222222222221</v>
      </c>
      <c r="Z72" s="32">
        <f t="shared" si="32"/>
        <v>0.22222222222222221</v>
      </c>
      <c r="AA72">
        <f>step3_validation[[#This Row],[AI_FAC1]]</f>
        <v>9</v>
      </c>
      <c r="AB72">
        <f t="shared" si="33"/>
        <v>0.88888888888888884</v>
      </c>
      <c r="AC72">
        <f>survey_responses[[#This Row],[Các thủ tục khai báo thuế VÀ/HOẶC quy trình làm việc với cơ quan thuế đơn giản, tiện lợi, nhanh chóng hơn so với trước đây. - HUMAN-FAC1]]</f>
        <v>3</v>
      </c>
      <c r="AD72">
        <f t="shared" si="34"/>
        <v>0.22222222222222221</v>
      </c>
      <c r="AE72">
        <f>step3_validation[[#This Row],[AI_FAC2]]</f>
        <v>10</v>
      </c>
      <c r="AF72">
        <f t="shared" si="35"/>
        <v>1</v>
      </c>
      <c r="AG72">
        <f>survey_responses[[#This Row],[So với trước đây, tôi thấy cách tính thuế và các bậc thuế trong phương án mới đơn giản, dễ hiểu và dễ thực hiện hơn. - HUMAN-FAC2]]</f>
        <v>5</v>
      </c>
      <c r="AH72">
        <f t="shared" si="36"/>
        <v>0.44444444444444442</v>
      </c>
      <c r="AI72" s="32">
        <f t="shared" si="37"/>
        <v>0.94444444444444442</v>
      </c>
      <c r="AJ72" s="32">
        <f t="shared" si="38"/>
        <v>0.33333333333333331</v>
      </c>
      <c r="AK72">
        <f>step3_validation[[#This Row],[AI_TRU1]]</f>
        <v>7</v>
      </c>
      <c r="AL72">
        <f t="shared" si="39"/>
        <v>0.66666666666666663</v>
      </c>
      <c r="AM72">
        <f>survey_responses[[#This Row],[Tôi tin rằng Nhà nước, cơ quan thuế sẽ thực thi chính sách mới một cách khách quan, công tâm và đối xử bình đẳng với mọi người nộp thuế.  - HUMAN-TRU1]]</f>
        <v>3</v>
      </c>
      <c r="AN72">
        <f t="shared" si="40"/>
        <v>0.22222222222222221</v>
      </c>
      <c r="AO72">
        <f>step3_validation[[#This Row],[AI_TRU2]]</f>
        <v>8</v>
      </c>
      <c r="AP72">
        <f t="shared" si="41"/>
        <v>0.77777777777777779</v>
      </c>
      <c r="AQ72">
        <f>survey_responses[[#This Row],[Tôi thấy mức thuế tôi phải đóng theo phương án mới là công bằng (người thu nhập như tôi đóng mức này là hợp lý). - HUMAN-TRU2]]</f>
        <v>3</v>
      </c>
      <c r="AR72">
        <f t="shared" si="42"/>
        <v>0.22222222222222221</v>
      </c>
      <c r="AS72">
        <f>step3_validation[[#This Row],[AI_TRU3]]</f>
        <v>9</v>
      </c>
      <c r="AT72">
        <f t="shared" si="43"/>
        <v>0.88888888888888884</v>
      </c>
      <c r="AU72">
        <f>survey_responses[[#This Row],[Tôi tin tưởng số tiền thuế tôi đóng sẽ được Nhà nước sử dụng hiệu quả để cải thiện dịch vụ công (y tế, đường xá...). - HUMAN-TRU3]]</f>
        <v>3</v>
      </c>
      <c r="AV72">
        <f t="shared" si="44"/>
        <v>0.22222222222222221</v>
      </c>
      <c r="AW72">
        <f>step3_validation[[#This Row],[AI_TRU4]]</f>
        <v>7</v>
      </c>
      <c r="AX72">
        <f t="shared" si="45"/>
        <v>0.66666666666666663</v>
      </c>
      <c r="AY72">
        <f>survey_responses[[#This Row],[Tôi thấy Nhà nước đã giải thích rõ ràng, minh bạch về lý do và mục tiêu của việc sửa đổi thuế lần này. - HUMAN-TRU4]]</f>
        <v>3</v>
      </c>
      <c r="AZ72">
        <f t="shared" si="46"/>
        <v>0.22222222222222221</v>
      </c>
      <c r="BA72" s="32">
        <f t="shared" si="47"/>
        <v>0.74999999999999989</v>
      </c>
      <c r="BB72" s="32">
        <f t="shared" si="48"/>
        <v>0.22222222222222221</v>
      </c>
      <c r="BC72" s="7">
        <f t="shared" si="49"/>
        <v>0.80555555555555547</v>
      </c>
      <c r="BD72" s="7">
        <f t="shared" si="50"/>
        <v>0.25925925925925924</v>
      </c>
      <c r="BE72">
        <f>step3_validation[[#This Row],[AI_OUT1]]</f>
        <v>9</v>
      </c>
      <c r="BF72">
        <f t="shared" si="51"/>
        <v>0.88888888888888884</v>
      </c>
      <c r="BG72">
        <f>survey_responses[[#This Row],[Sau khi xem xét các quyền lợi và nghĩa vụ, bạn có ủng hộ và tuân thủ chính sách mới hiện nay? - HUMAN-OUT1]]</f>
        <v>4</v>
      </c>
      <c r="BH72">
        <f t="shared" si="52"/>
        <v>0.33333333333333331</v>
      </c>
      <c r="BI72" s="32">
        <f t="shared" si="53"/>
        <v>5</v>
      </c>
    </row>
    <row r="73" spans="1:61" x14ac:dyDescent="0.45">
      <c r="A73" s="30">
        <f>step3_validation[[#This Row],[Persona_ID]]</f>
        <v>72</v>
      </c>
      <c r="B73" s="31">
        <f>step3_validation[[#This Row],[Used_Seed]]</f>
        <v>113</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21.592121815950726</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f t="shared" si="27"/>
        <v>0.66666666666666663</v>
      </c>
      <c r="S73">
        <f>survey_responses[[#This Row],[Tôi tin rằng với các quy định quản lý thuế hiện nay, hành vi gian lận hoặc trốn thuế sẽ dễ dàng bị phát hiện và xử lý nghiêm. - HUMAN-ENF1]]</f>
        <v>8</v>
      </c>
      <c r="T73">
        <f t="shared" si="28"/>
        <v>0.77777777777777779</v>
      </c>
      <c r="U73">
        <f>step3_validation[[#This Row],[AI_ENF2]]</f>
        <v>6</v>
      </c>
      <c r="V73">
        <f t="shared" si="29"/>
        <v>0.55555555555555558</v>
      </c>
      <c r="W73">
        <f>survey_responses[[#This Row],[Tôi tin rằng Nhà nước, cơ quan thuế có đủ khả năng và công nghệ để phát hiện, xử lý nghiêm các hành vi trốn thuế. - HUMAN-ENF2]]</f>
        <v>8</v>
      </c>
      <c r="X73">
        <f t="shared" si="30"/>
        <v>0.77777777777777779</v>
      </c>
      <c r="Y73" s="32">
        <f t="shared" si="31"/>
        <v>0.61111111111111116</v>
      </c>
      <c r="Z73" s="32">
        <f t="shared" si="32"/>
        <v>0.77777777777777779</v>
      </c>
      <c r="AA73">
        <f>step3_validation[[#This Row],[AI_FAC1]]</f>
        <v>8</v>
      </c>
      <c r="AB73">
        <f t="shared" si="33"/>
        <v>0.77777777777777779</v>
      </c>
      <c r="AC73">
        <f>survey_responses[[#This Row],[Các thủ tục khai báo thuế VÀ/HOẶC quy trình làm việc với cơ quan thuế đơn giản, tiện lợi, nhanh chóng hơn so với trước đây. - HUMAN-FAC1]]</f>
        <v>4</v>
      </c>
      <c r="AD73">
        <f t="shared" si="34"/>
        <v>0.33333333333333331</v>
      </c>
      <c r="AE73">
        <f>step3_validation[[#This Row],[AI_FAC2]]</f>
        <v>7</v>
      </c>
      <c r="AF73">
        <f t="shared" si="35"/>
        <v>0.66666666666666663</v>
      </c>
      <c r="AG73">
        <f>survey_responses[[#This Row],[So với trước đây, tôi thấy cách tính thuế và các bậc thuế trong phương án mới đơn giản, dễ hiểu và dễ thực hiện hơn. - HUMAN-FAC2]]</f>
        <v>2</v>
      </c>
      <c r="AH73">
        <f t="shared" si="36"/>
        <v>0.1111111111111111</v>
      </c>
      <c r="AI73" s="32">
        <f t="shared" si="37"/>
        <v>0.72222222222222221</v>
      </c>
      <c r="AJ73" s="32">
        <f t="shared" si="38"/>
        <v>0.22222222222222221</v>
      </c>
      <c r="AK73">
        <f>step3_validation[[#This Row],[AI_TRU1]]</f>
        <v>9</v>
      </c>
      <c r="AL73">
        <f t="shared" si="39"/>
        <v>0.88888888888888884</v>
      </c>
      <c r="AM73">
        <f>survey_responses[[#This Row],[Tôi tin rằng Nhà nước, cơ quan thuế sẽ thực thi chính sách mới một cách khách quan, công tâm và đối xử bình đẳng với mọi người nộp thuế.  - HUMAN-TRU1]]</f>
        <v>6</v>
      </c>
      <c r="AN73">
        <f t="shared" si="40"/>
        <v>0.55555555555555558</v>
      </c>
      <c r="AO73">
        <f>step3_validation[[#This Row],[AI_TRU2]]</f>
        <v>8</v>
      </c>
      <c r="AP73">
        <f t="shared" si="41"/>
        <v>0.77777777777777779</v>
      </c>
      <c r="AQ73">
        <f>survey_responses[[#This Row],[Tôi thấy mức thuế tôi phải đóng theo phương án mới là công bằng (người thu nhập như tôi đóng mức này là hợp lý). - HUMAN-TRU2]]</f>
        <v>3</v>
      </c>
      <c r="AR73">
        <f t="shared" si="42"/>
        <v>0.22222222222222221</v>
      </c>
      <c r="AS73">
        <f>step3_validation[[#This Row],[AI_TRU3]]</f>
        <v>7</v>
      </c>
      <c r="AT73">
        <f t="shared" si="43"/>
        <v>0.66666666666666663</v>
      </c>
      <c r="AU73">
        <f>survey_responses[[#This Row],[Tôi tin tưởng số tiền thuế tôi đóng sẽ được Nhà nước sử dụng hiệu quả để cải thiện dịch vụ công (y tế, đường xá...). - HUMAN-TRU3]]</f>
        <v>8</v>
      </c>
      <c r="AV73">
        <f t="shared" si="44"/>
        <v>0.77777777777777779</v>
      </c>
      <c r="AW73">
        <f>step3_validation[[#This Row],[AI_TRU4]]</f>
        <v>8</v>
      </c>
      <c r="AX73">
        <f t="shared" si="45"/>
        <v>0.77777777777777779</v>
      </c>
      <c r="AY73">
        <f>survey_responses[[#This Row],[Tôi thấy Nhà nước đã giải thích rõ ràng, minh bạch về lý do và mục tiêu của việc sửa đổi thuế lần này. - HUMAN-TRU4]]</f>
        <v>4</v>
      </c>
      <c r="AZ73">
        <f t="shared" si="46"/>
        <v>0.33333333333333331</v>
      </c>
      <c r="BA73" s="32">
        <f t="shared" si="47"/>
        <v>0.77777777777777768</v>
      </c>
      <c r="BB73" s="32">
        <f t="shared" si="48"/>
        <v>0.47222222222222221</v>
      </c>
      <c r="BC73" s="7">
        <f t="shared" si="49"/>
        <v>0.70370370370370372</v>
      </c>
      <c r="BD73" s="7">
        <f t="shared" si="50"/>
        <v>0.49074074074074076</v>
      </c>
      <c r="BE73">
        <f>step3_validation[[#This Row],[AI_OUT1]]</f>
        <v>9</v>
      </c>
      <c r="BF73">
        <f t="shared" si="51"/>
        <v>0.88888888888888884</v>
      </c>
      <c r="BG73">
        <f>survey_responses[[#This Row],[Sau khi xem xét các quyền lợi và nghĩa vụ, bạn có ủng hộ và tuân thủ chính sách mới hiện nay? - HUMAN-OUT1]]</f>
        <v>8</v>
      </c>
      <c r="BH73">
        <f t="shared" si="52"/>
        <v>0.77777777777777779</v>
      </c>
      <c r="BI73" s="32">
        <f t="shared" si="53"/>
        <v>1</v>
      </c>
    </row>
    <row r="74" spans="1:61" x14ac:dyDescent="0.45">
      <c r="A74" s="30">
        <f>step3_validation[[#This Row],[Persona_ID]]</f>
        <v>73</v>
      </c>
      <c r="B74" s="31">
        <f>step3_validation[[#This Row],[Used_Seed]]</f>
        <v>114</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13.006734459565548</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6</v>
      </c>
      <c r="R74">
        <f t="shared" si="27"/>
        <v>0.55555555555555558</v>
      </c>
      <c r="S74">
        <f>survey_responses[[#This Row],[Tôi tin rằng với các quy định quản lý thuế hiện nay, hành vi gian lận hoặc trốn thuế sẽ dễ dàng bị phát hiện và xử lý nghiêm. - HUMAN-ENF1]]</f>
        <v>5</v>
      </c>
      <c r="T74">
        <f t="shared" si="28"/>
        <v>0.44444444444444442</v>
      </c>
      <c r="U74">
        <f>step3_validation[[#This Row],[AI_ENF2]]</f>
        <v>6</v>
      </c>
      <c r="V74">
        <f t="shared" si="29"/>
        <v>0.55555555555555558</v>
      </c>
      <c r="W74">
        <f>survey_responses[[#This Row],[Tôi tin rằng Nhà nước, cơ quan thuế có đủ khả năng và công nghệ để phát hiện, xử lý nghiêm các hành vi trốn thuế. - HUMAN-ENF2]]</f>
        <v>5</v>
      </c>
      <c r="X74">
        <f t="shared" si="30"/>
        <v>0.44444444444444442</v>
      </c>
      <c r="Y74" s="32">
        <f t="shared" si="31"/>
        <v>0.55555555555555558</v>
      </c>
      <c r="Z74" s="32">
        <f t="shared" si="32"/>
        <v>0.44444444444444442</v>
      </c>
      <c r="AA74">
        <f>step3_validation[[#This Row],[AI_FAC1]]</f>
        <v>8</v>
      </c>
      <c r="AB74">
        <f t="shared" si="33"/>
        <v>0.77777777777777779</v>
      </c>
      <c r="AC74">
        <f>survey_responses[[#This Row],[Các thủ tục khai báo thuế VÀ/HOẶC quy trình làm việc với cơ quan thuế đơn giản, tiện lợi, nhanh chóng hơn so với trước đây. - HUMAN-FAC1]]</f>
        <v>5</v>
      </c>
      <c r="AD74">
        <f t="shared" si="34"/>
        <v>0.44444444444444442</v>
      </c>
      <c r="AE74">
        <f>step3_validation[[#This Row],[AI_FAC2]]</f>
        <v>7</v>
      </c>
      <c r="AF74">
        <f t="shared" si="35"/>
        <v>0.66666666666666663</v>
      </c>
      <c r="AG74">
        <f>survey_responses[[#This Row],[So với trước đây, tôi thấy cách tính thuế và các bậc thuế trong phương án mới đơn giản, dễ hiểu và dễ thực hiện hơn. - HUMAN-FAC2]]</f>
        <v>5</v>
      </c>
      <c r="AH74">
        <f t="shared" si="36"/>
        <v>0.44444444444444442</v>
      </c>
      <c r="AI74" s="32">
        <f t="shared" si="37"/>
        <v>0.72222222222222221</v>
      </c>
      <c r="AJ74" s="32">
        <f t="shared" si="38"/>
        <v>0.44444444444444442</v>
      </c>
      <c r="AK74">
        <f>step3_validation[[#This Row],[AI_TRU1]]</f>
        <v>6</v>
      </c>
      <c r="AL74">
        <f t="shared" si="39"/>
        <v>0.55555555555555558</v>
      </c>
      <c r="AM74">
        <f>survey_responses[[#This Row],[Tôi tin rằng Nhà nước, cơ quan thuế sẽ thực thi chính sách mới một cách khách quan, công tâm và đối xử bình đẳng với mọi người nộp thuế.  - HUMAN-TRU1]]</f>
        <v>5</v>
      </c>
      <c r="AN74">
        <f t="shared" si="40"/>
        <v>0.44444444444444442</v>
      </c>
      <c r="AO74">
        <f>step3_validation[[#This Row],[AI_TRU2]]</f>
        <v>8</v>
      </c>
      <c r="AP74">
        <f t="shared" si="41"/>
        <v>0.77777777777777779</v>
      </c>
      <c r="AQ74">
        <f>survey_responses[[#This Row],[Tôi thấy mức thuế tôi phải đóng theo phương án mới là công bằng (người thu nhập như tôi đóng mức này là hợp lý). - HUMAN-TRU2]]</f>
        <v>10</v>
      </c>
      <c r="AR74">
        <f t="shared" si="42"/>
        <v>1</v>
      </c>
      <c r="AS74">
        <f>step3_validation[[#This Row],[AI_TRU3]]</f>
        <v>7</v>
      </c>
      <c r="AT74">
        <f t="shared" si="43"/>
        <v>0.66666666666666663</v>
      </c>
      <c r="AU74">
        <f>survey_responses[[#This Row],[Tôi tin tưởng số tiền thuế tôi đóng sẽ được Nhà nước sử dụng hiệu quả để cải thiện dịch vụ công (y tế, đường xá...). - HUMAN-TRU3]]</f>
        <v>5</v>
      </c>
      <c r="AV74">
        <f t="shared" si="44"/>
        <v>0.44444444444444442</v>
      </c>
      <c r="AW74">
        <f>step3_validation[[#This Row],[AI_TRU4]]</f>
        <v>6</v>
      </c>
      <c r="AX74">
        <f t="shared" si="45"/>
        <v>0.55555555555555558</v>
      </c>
      <c r="AY74">
        <f>survey_responses[[#This Row],[Tôi thấy Nhà nước đã giải thích rõ ràng, minh bạch về lý do và mục tiêu của việc sửa đổi thuế lần này. - HUMAN-TRU4]]</f>
        <v>5</v>
      </c>
      <c r="AZ74">
        <f t="shared" si="46"/>
        <v>0.44444444444444442</v>
      </c>
      <c r="BA74" s="32">
        <f t="shared" si="47"/>
        <v>0.63888888888888884</v>
      </c>
      <c r="BB74" s="32">
        <f t="shared" si="48"/>
        <v>0.58333333333333326</v>
      </c>
      <c r="BC74" s="7">
        <f t="shared" si="49"/>
        <v>0.63888888888888884</v>
      </c>
      <c r="BD74" s="7">
        <f t="shared" si="50"/>
        <v>0.4907407407407407</v>
      </c>
      <c r="BE74">
        <f>step3_validation[[#This Row],[AI_OUT1]]</f>
        <v>9</v>
      </c>
      <c r="BF74">
        <f t="shared" si="51"/>
        <v>0.88888888888888884</v>
      </c>
      <c r="BG74">
        <f>survey_responses[[#This Row],[Sau khi xem xét các quyền lợi và nghĩa vụ, bạn có ủng hộ và tuân thủ chính sách mới hiện nay? - HUMAN-OUT1]]</f>
        <v>10</v>
      </c>
      <c r="BH74">
        <f t="shared" si="52"/>
        <v>1</v>
      </c>
      <c r="BI74" s="32">
        <f t="shared" si="53"/>
        <v>1</v>
      </c>
    </row>
    <row r="75" spans="1:61" x14ac:dyDescent="0.45">
      <c r="A75" s="30">
        <f>step3_validation[[#This Row],[Persona_ID]]</f>
        <v>74</v>
      </c>
      <c r="B75" s="31">
        <f>step3_validation[[#This Row],[Used_Seed]]</f>
        <v>115</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18.158116984131347</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8</v>
      </c>
      <c r="R75">
        <f t="shared" si="27"/>
        <v>0.77777777777777779</v>
      </c>
      <c r="S75">
        <f>survey_responses[[#This Row],[Tôi tin rằng với các quy định quản lý thuế hiện nay, hành vi gian lận hoặc trốn thuế sẽ dễ dàng bị phát hiện và xử lý nghiêm. - HUMAN-ENF1]]</f>
        <v>5</v>
      </c>
      <c r="T75">
        <f t="shared" si="28"/>
        <v>0.44444444444444442</v>
      </c>
      <c r="U75">
        <f>step3_validation[[#This Row],[AI_ENF2]]</f>
        <v>7</v>
      </c>
      <c r="V75">
        <f t="shared" si="29"/>
        <v>0.66666666666666663</v>
      </c>
      <c r="W75">
        <f>survey_responses[[#This Row],[Tôi tin rằng Nhà nước, cơ quan thuế có đủ khả năng và công nghệ để phát hiện, xử lý nghiêm các hành vi trốn thuế. - HUMAN-ENF2]]</f>
        <v>10</v>
      </c>
      <c r="X75">
        <f t="shared" si="30"/>
        <v>1</v>
      </c>
      <c r="Y75" s="32">
        <f t="shared" si="31"/>
        <v>0.72222222222222221</v>
      </c>
      <c r="Z75" s="32">
        <f t="shared" si="32"/>
        <v>0.72222222222222221</v>
      </c>
      <c r="AA75">
        <f>step3_validation[[#This Row],[AI_FAC1]]</f>
        <v>6</v>
      </c>
      <c r="AB75">
        <f t="shared" si="33"/>
        <v>0.55555555555555558</v>
      </c>
      <c r="AC75">
        <f>survey_responses[[#This Row],[Các thủ tục khai báo thuế VÀ/HOẶC quy trình làm việc với cơ quan thuế đơn giản, tiện lợi, nhanh chóng hơn so với trước đây. - HUMAN-FAC1]]</f>
        <v>2</v>
      </c>
      <c r="AD75">
        <f t="shared" si="34"/>
        <v>0.1111111111111111</v>
      </c>
      <c r="AE75">
        <f>step3_validation[[#This Row],[AI_FAC2]]</f>
        <v>9</v>
      </c>
      <c r="AF75">
        <f t="shared" si="35"/>
        <v>0.88888888888888884</v>
      </c>
      <c r="AG75">
        <f>survey_responses[[#This Row],[So với trước đây, tôi thấy cách tính thuế và các bậc thuế trong phương án mới đơn giản, dễ hiểu và dễ thực hiện hơn. - HUMAN-FAC2]]</f>
        <v>8</v>
      </c>
      <c r="AH75">
        <f t="shared" si="36"/>
        <v>0.77777777777777779</v>
      </c>
      <c r="AI75" s="32">
        <f t="shared" si="37"/>
        <v>0.72222222222222221</v>
      </c>
      <c r="AJ75" s="32">
        <f t="shared" si="38"/>
        <v>0.44444444444444442</v>
      </c>
      <c r="AK75">
        <f>step3_validation[[#This Row],[AI_TRU1]]</f>
        <v>7</v>
      </c>
      <c r="AL75">
        <f t="shared" si="39"/>
        <v>0.66666666666666663</v>
      </c>
      <c r="AM75">
        <f>survey_responses[[#This Row],[Tôi tin rằng Nhà nước, cơ quan thuế sẽ thực thi chính sách mới một cách khách quan, công tâm và đối xử bình đẳng với mọi người nộp thuế.  - HUMAN-TRU1]]</f>
        <v>5</v>
      </c>
      <c r="AN75">
        <f t="shared" si="40"/>
        <v>0.44444444444444442</v>
      </c>
      <c r="AO75">
        <f>step3_validation[[#This Row],[AI_TRU2]]</f>
        <v>9</v>
      </c>
      <c r="AP75">
        <f t="shared" si="41"/>
        <v>0.88888888888888884</v>
      </c>
      <c r="AQ75">
        <f>survey_responses[[#This Row],[Tôi thấy mức thuế tôi phải đóng theo phương án mới là công bằng (người thu nhập như tôi đóng mức này là hợp lý). - HUMAN-TRU2]]</f>
        <v>5</v>
      </c>
      <c r="AR75">
        <f t="shared" si="42"/>
        <v>0.44444444444444442</v>
      </c>
      <c r="AS75">
        <f>step3_validation[[#This Row],[AI_TRU3]]</f>
        <v>7</v>
      </c>
      <c r="AT75">
        <f t="shared" si="43"/>
        <v>0.66666666666666663</v>
      </c>
      <c r="AU75">
        <f>survey_responses[[#This Row],[Tôi tin tưởng số tiền thuế tôi đóng sẽ được Nhà nước sử dụng hiệu quả để cải thiện dịch vụ công (y tế, đường xá...). - HUMAN-TRU3]]</f>
        <v>1</v>
      </c>
      <c r="AV75">
        <f t="shared" si="44"/>
        <v>0</v>
      </c>
      <c r="AW75">
        <f>step3_validation[[#This Row],[AI_TRU4]]</f>
        <v>8</v>
      </c>
      <c r="AX75">
        <f t="shared" si="45"/>
        <v>0.77777777777777779</v>
      </c>
      <c r="AY75">
        <f>survey_responses[[#This Row],[Tôi thấy Nhà nước đã giải thích rõ ràng, minh bạch về lý do và mục tiêu của việc sửa đổi thuế lần này. - HUMAN-TRU4]]</f>
        <v>4</v>
      </c>
      <c r="AZ75">
        <f t="shared" si="46"/>
        <v>0.33333333333333331</v>
      </c>
      <c r="BA75" s="32">
        <f t="shared" si="47"/>
        <v>0.74999999999999989</v>
      </c>
      <c r="BB75" s="32">
        <f t="shared" si="48"/>
        <v>0.30555555555555552</v>
      </c>
      <c r="BC75" s="7">
        <f t="shared" si="49"/>
        <v>0.7314814814814814</v>
      </c>
      <c r="BD75" s="7">
        <f t="shared" si="50"/>
        <v>0.4907407407407407</v>
      </c>
      <c r="BE75">
        <f>step3_validation[[#This Row],[AI_OUT1]]</f>
        <v>9</v>
      </c>
      <c r="BF75">
        <f t="shared" si="51"/>
        <v>0.88888888888888884</v>
      </c>
      <c r="BG75">
        <f>survey_responses[[#This Row],[Sau khi xem xét các quyền lợi và nghĩa vụ, bạn có ủng hộ và tuân thủ chính sách mới hiện nay? - HUMAN-OUT1]]</f>
        <v>5</v>
      </c>
      <c r="BH75">
        <f t="shared" si="52"/>
        <v>0.44444444444444442</v>
      </c>
      <c r="BI75" s="32">
        <f t="shared" si="53"/>
        <v>4</v>
      </c>
    </row>
    <row r="76" spans="1:61" x14ac:dyDescent="0.45">
      <c r="A76" s="30">
        <f>step3_validation[[#This Row],[Persona_ID]]</f>
        <v>75</v>
      </c>
      <c r="B76" s="31">
        <f>step3_validation[[#This Row],[Used_Seed]]</f>
        <v>116</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48.44680745709752</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8</v>
      </c>
      <c r="R76">
        <f t="shared" si="27"/>
        <v>0.77777777777777779</v>
      </c>
      <c r="S76">
        <f>survey_responses[[#This Row],[Tôi tin rằng với các quy định quản lý thuế hiện nay, hành vi gian lận hoặc trốn thuế sẽ dễ dàng bị phát hiện và xử lý nghiêm. - HUMAN-ENF1]]</f>
        <v>8</v>
      </c>
      <c r="T76">
        <f t="shared" si="28"/>
        <v>0.77777777777777779</v>
      </c>
      <c r="U76">
        <f>step3_validation[[#This Row],[AI_ENF2]]</f>
        <v>9</v>
      </c>
      <c r="V76">
        <f t="shared" si="29"/>
        <v>0.88888888888888884</v>
      </c>
      <c r="W76">
        <f>survey_responses[[#This Row],[Tôi tin rằng Nhà nước, cơ quan thuế có đủ khả năng và công nghệ để phát hiện, xử lý nghiêm các hành vi trốn thuế. - HUMAN-ENF2]]</f>
        <v>9</v>
      </c>
      <c r="X76">
        <f t="shared" si="30"/>
        <v>0.88888888888888884</v>
      </c>
      <c r="Y76" s="32">
        <f t="shared" si="31"/>
        <v>0.83333333333333326</v>
      </c>
      <c r="Z76" s="32">
        <f t="shared" si="32"/>
        <v>0.83333333333333326</v>
      </c>
      <c r="AA76">
        <f>step3_validation[[#This Row],[AI_FAC1]]</f>
        <v>9</v>
      </c>
      <c r="AB76">
        <f t="shared" si="33"/>
        <v>0.88888888888888884</v>
      </c>
      <c r="AC76">
        <f>survey_responses[[#This Row],[Các thủ tục khai báo thuế VÀ/HOẶC quy trình làm việc với cơ quan thuế đơn giản, tiện lợi, nhanh chóng hơn so với trước đây. - HUMAN-FAC1]]</f>
        <v>9</v>
      </c>
      <c r="AD76">
        <f t="shared" si="34"/>
        <v>0.88888888888888884</v>
      </c>
      <c r="AE76">
        <f>step3_validation[[#This Row],[AI_FAC2]]</f>
        <v>10</v>
      </c>
      <c r="AF76">
        <f t="shared" si="35"/>
        <v>1</v>
      </c>
      <c r="AG76">
        <f>survey_responses[[#This Row],[So với trước đây, tôi thấy cách tính thuế và các bậc thuế trong phương án mới đơn giản, dễ hiểu và dễ thực hiện hơn. - HUMAN-FAC2]]</f>
        <v>9</v>
      </c>
      <c r="AH76">
        <f t="shared" si="36"/>
        <v>0.88888888888888884</v>
      </c>
      <c r="AI76" s="32">
        <f t="shared" si="37"/>
        <v>0.94444444444444442</v>
      </c>
      <c r="AJ76" s="32">
        <f t="shared" si="38"/>
        <v>0.88888888888888884</v>
      </c>
      <c r="AK76">
        <f>step3_validation[[#This Row],[AI_TRU1]]</f>
        <v>9</v>
      </c>
      <c r="AL76">
        <f t="shared" si="39"/>
        <v>0.88888888888888884</v>
      </c>
      <c r="AM76">
        <f>survey_responses[[#This Row],[Tôi tin rằng Nhà nước, cơ quan thuế sẽ thực thi chính sách mới một cách khách quan, công tâm và đối xử bình đẳng với mọi người nộp thuế.  - HUMAN-TRU1]]</f>
        <v>3</v>
      </c>
      <c r="AN76">
        <f t="shared" si="40"/>
        <v>0.22222222222222221</v>
      </c>
      <c r="AO76">
        <f>step3_validation[[#This Row],[AI_TRU2]]</f>
        <v>8</v>
      </c>
      <c r="AP76">
        <f t="shared" si="41"/>
        <v>0.77777777777777779</v>
      </c>
      <c r="AQ76">
        <f>survey_responses[[#This Row],[Tôi thấy mức thuế tôi phải đóng theo phương án mới là công bằng (người thu nhập như tôi đóng mức này là hợp lý). - HUMAN-TRU2]]</f>
        <v>3</v>
      </c>
      <c r="AR76">
        <f t="shared" si="42"/>
        <v>0.22222222222222221</v>
      </c>
      <c r="AS76">
        <f>step3_validation[[#This Row],[AI_TRU3]]</f>
        <v>9</v>
      </c>
      <c r="AT76">
        <f t="shared" si="43"/>
        <v>0.88888888888888884</v>
      </c>
      <c r="AU76">
        <f>survey_responses[[#This Row],[Tôi tin tưởng số tiền thuế tôi đóng sẽ được Nhà nước sử dụng hiệu quả để cải thiện dịch vụ công (y tế, đường xá...). - HUMAN-TRU3]]</f>
        <v>2</v>
      </c>
      <c r="AV76">
        <f t="shared" si="44"/>
        <v>0.1111111111111111</v>
      </c>
      <c r="AW76">
        <f>step3_validation[[#This Row],[AI_TRU4]]</f>
        <v>7</v>
      </c>
      <c r="AX76">
        <f t="shared" si="45"/>
        <v>0.66666666666666663</v>
      </c>
      <c r="AY76">
        <f>survey_responses[[#This Row],[Tôi thấy Nhà nước đã giải thích rõ ràng, minh bạch về lý do và mục tiêu của việc sửa đổi thuế lần này. - HUMAN-TRU4]]</f>
        <v>2</v>
      </c>
      <c r="AZ76">
        <f t="shared" si="46"/>
        <v>0.1111111111111111</v>
      </c>
      <c r="BA76" s="32">
        <f t="shared" si="47"/>
        <v>0.80555555555555547</v>
      </c>
      <c r="BB76" s="32">
        <f t="shared" si="48"/>
        <v>0.16666666666666669</v>
      </c>
      <c r="BC76" s="7">
        <f t="shared" si="49"/>
        <v>0.86111111111111105</v>
      </c>
      <c r="BD76" s="7">
        <f t="shared" si="50"/>
        <v>0.62962962962962965</v>
      </c>
      <c r="BE76">
        <f>step3_validation[[#This Row],[AI_OUT1]]</f>
        <v>9</v>
      </c>
      <c r="BF76">
        <f t="shared" si="51"/>
        <v>0.88888888888888884</v>
      </c>
      <c r="BG76">
        <f>survey_responses[[#This Row],[Sau khi xem xét các quyền lợi và nghĩa vụ, bạn có ủng hộ và tuân thủ chính sách mới hiện nay? - HUMAN-OUT1]]</f>
        <v>6</v>
      </c>
      <c r="BH76">
        <f t="shared" si="52"/>
        <v>0.55555555555555558</v>
      </c>
      <c r="BI76" s="32">
        <f t="shared" si="53"/>
        <v>3</v>
      </c>
    </row>
    <row r="77" spans="1:61" x14ac:dyDescent="0.45">
      <c r="A77" s="30">
        <f>step3_validation[[#This Row],[Persona_ID]]</f>
        <v>76</v>
      </c>
      <c r="B77" s="31">
        <f>step3_validation[[#This Row],[Used_Seed]]</f>
        <v>117</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13.081151330237292</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7</v>
      </c>
      <c r="R77">
        <f t="shared" si="27"/>
        <v>0.66666666666666663</v>
      </c>
      <c r="S77">
        <f>survey_responses[[#This Row],[Tôi tin rằng với các quy định quản lý thuế hiện nay, hành vi gian lận hoặc trốn thuế sẽ dễ dàng bị phát hiện và xử lý nghiêm. - HUMAN-ENF1]]</f>
        <v>5</v>
      </c>
      <c r="T77">
        <f t="shared" si="28"/>
        <v>0.44444444444444442</v>
      </c>
      <c r="U77">
        <f>step3_validation[[#This Row],[AI_ENF2]]</f>
        <v>6</v>
      </c>
      <c r="V77">
        <f t="shared" si="29"/>
        <v>0.55555555555555558</v>
      </c>
      <c r="W77">
        <f>survey_responses[[#This Row],[Tôi tin rằng Nhà nước, cơ quan thuế có đủ khả năng và công nghệ để phát hiện, xử lý nghiêm các hành vi trốn thuế. - HUMAN-ENF2]]</f>
        <v>5</v>
      </c>
      <c r="X77">
        <f t="shared" si="30"/>
        <v>0.44444444444444442</v>
      </c>
      <c r="Y77" s="32">
        <f t="shared" si="31"/>
        <v>0.61111111111111116</v>
      </c>
      <c r="Z77" s="32">
        <f t="shared" si="32"/>
        <v>0.44444444444444442</v>
      </c>
      <c r="AA77">
        <f>step3_validation[[#This Row],[AI_FAC1]]</f>
        <v>8</v>
      </c>
      <c r="AB77">
        <f t="shared" si="33"/>
        <v>0.77777777777777779</v>
      </c>
      <c r="AC77">
        <f>survey_responses[[#This Row],[Các thủ tục khai báo thuế VÀ/HOẶC quy trình làm việc với cơ quan thuế đơn giản, tiện lợi, nhanh chóng hơn so với trước đây. - HUMAN-FAC1]]</f>
        <v>5</v>
      </c>
      <c r="AD77">
        <f t="shared" si="34"/>
        <v>0.44444444444444442</v>
      </c>
      <c r="AE77">
        <f>step3_validation[[#This Row],[AI_FAC2]]</f>
        <v>9</v>
      </c>
      <c r="AF77">
        <f t="shared" si="35"/>
        <v>0.88888888888888884</v>
      </c>
      <c r="AG77">
        <f>survey_responses[[#This Row],[So với trước đây, tôi thấy cách tính thuế và các bậc thuế trong phương án mới đơn giản, dễ hiểu và dễ thực hiện hơn. - HUMAN-FAC2]]</f>
        <v>5</v>
      </c>
      <c r="AH77">
        <f t="shared" si="36"/>
        <v>0.44444444444444442</v>
      </c>
      <c r="AI77" s="32">
        <f t="shared" si="37"/>
        <v>0.83333333333333326</v>
      </c>
      <c r="AJ77" s="32">
        <f t="shared" si="38"/>
        <v>0.44444444444444442</v>
      </c>
      <c r="AK77">
        <f>step3_validation[[#This Row],[AI_TRU1]]</f>
        <v>8</v>
      </c>
      <c r="AL77">
        <f t="shared" si="39"/>
        <v>0.77777777777777779</v>
      </c>
      <c r="AM77">
        <f>survey_responses[[#This Row],[Tôi tin rằng Nhà nước, cơ quan thuế sẽ thực thi chính sách mới một cách khách quan, công tâm và đối xử bình đẳng với mọi người nộp thuế.  - HUMAN-TRU1]]</f>
        <v>5</v>
      </c>
      <c r="AN77">
        <f t="shared" si="40"/>
        <v>0.44444444444444442</v>
      </c>
      <c r="AO77">
        <f>step3_validation[[#This Row],[AI_TRU2]]</f>
        <v>9</v>
      </c>
      <c r="AP77">
        <f t="shared" si="41"/>
        <v>0.88888888888888884</v>
      </c>
      <c r="AQ77">
        <f>survey_responses[[#This Row],[Tôi thấy mức thuế tôi phải đóng theo phương án mới là công bằng (người thu nhập như tôi đóng mức này là hợp lý). - HUMAN-TRU2]]</f>
        <v>5</v>
      </c>
      <c r="AR77">
        <f t="shared" si="42"/>
        <v>0.44444444444444442</v>
      </c>
      <c r="AS77">
        <f>step3_validation[[#This Row],[AI_TRU3]]</f>
        <v>8</v>
      </c>
      <c r="AT77">
        <f t="shared" si="43"/>
        <v>0.77777777777777779</v>
      </c>
      <c r="AU77">
        <f>survey_responses[[#This Row],[Tôi tin tưởng số tiền thuế tôi đóng sẽ được Nhà nước sử dụng hiệu quả để cải thiện dịch vụ công (y tế, đường xá...). - HUMAN-TRU3]]</f>
        <v>5</v>
      </c>
      <c r="AV77">
        <f t="shared" si="44"/>
        <v>0.44444444444444442</v>
      </c>
      <c r="AW77">
        <f>step3_validation[[#This Row],[AI_TRU4]]</f>
        <v>7</v>
      </c>
      <c r="AX77">
        <f t="shared" si="45"/>
        <v>0.66666666666666663</v>
      </c>
      <c r="AY77">
        <f>survey_responses[[#This Row],[Tôi thấy Nhà nước đã giải thích rõ ràng, minh bạch về lý do và mục tiêu của việc sửa đổi thuế lần này. - HUMAN-TRU4]]</f>
        <v>5</v>
      </c>
      <c r="AZ77">
        <f t="shared" si="46"/>
        <v>0.44444444444444442</v>
      </c>
      <c r="BA77" s="32">
        <f t="shared" si="47"/>
        <v>0.77777777777777768</v>
      </c>
      <c r="BB77" s="32">
        <f t="shared" si="48"/>
        <v>0.44444444444444442</v>
      </c>
      <c r="BC77" s="7">
        <f t="shared" si="49"/>
        <v>0.74074074074074081</v>
      </c>
      <c r="BD77" s="7">
        <f t="shared" si="50"/>
        <v>0.44444444444444442</v>
      </c>
      <c r="BE77">
        <f>step3_validation[[#This Row],[AI_OUT1]]</f>
        <v>9</v>
      </c>
      <c r="BF77">
        <f t="shared" si="51"/>
        <v>0.88888888888888884</v>
      </c>
      <c r="BG77">
        <f>survey_responses[[#This Row],[Sau khi xem xét các quyền lợi và nghĩa vụ, bạn có ủng hộ và tuân thủ chính sách mới hiện nay? - HUMAN-OUT1]]</f>
        <v>5</v>
      </c>
      <c r="BH77">
        <f t="shared" si="52"/>
        <v>0.44444444444444442</v>
      </c>
      <c r="BI77" s="32">
        <f t="shared" si="53"/>
        <v>4</v>
      </c>
    </row>
    <row r="78" spans="1:61" x14ac:dyDescent="0.45">
      <c r="A78" s="30">
        <f>step3_validation[[#This Row],[Persona_ID]]</f>
        <v>77</v>
      </c>
      <c r="B78" s="31">
        <f>step3_validation[[#This Row],[Used_Seed]]</f>
        <v>118</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15.499971180734541</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6</v>
      </c>
      <c r="R78">
        <f t="shared" si="27"/>
        <v>0.55555555555555558</v>
      </c>
      <c r="S78">
        <f>survey_responses[[#This Row],[Tôi tin rằng với các quy định quản lý thuế hiện nay, hành vi gian lận hoặc trốn thuế sẽ dễ dàng bị phát hiện và xử lý nghiêm. - HUMAN-ENF1]]</f>
        <v>8</v>
      </c>
      <c r="T78">
        <f t="shared" si="28"/>
        <v>0.77777777777777779</v>
      </c>
      <c r="U78">
        <f>step3_validation[[#This Row],[AI_ENF2]]</f>
        <v>7</v>
      </c>
      <c r="V78">
        <f t="shared" si="29"/>
        <v>0.66666666666666663</v>
      </c>
      <c r="W78">
        <f>survey_responses[[#This Row],[Tôi tin rằng Nhà nước, cơ quan thuế có đủ khả năng và công nghệ để phát hiện, xử lý nghiêm các hành vi trốn thuế. - HUMAN-ENF2]]</f>
        <v>8</v>
      </c>
      <c r="X78">
        <f t="shared" si="30"/>
        <v>0.77777777777777779</v>
      </c>
      <c r="Y78" s="32">
        <f t="shared" si="31"/>
        <v>0.61111111111111116</v>
      </c>
      <c r="Z78" s="32">
        <f t="shared" si="32"/>
        <v>0.77777777777777779</v>
      </c>
      <c r="AA78">
        <f>step3_validation[[#This Row],[AI_FAC1]]</f>
        <v>8</v>
      </c>
      <c r="AB78">
        <f t="shared" si="33"/>
        <v>0.77777777777777779</v>
      </c>
      <c r="AC78">
        <f>survey_responses[[#This Row],[Các thủ tục khai báo thuế VÀ/HOẶC quy trình làm việc với cơ quan thuế đơn giản, tiện lợi, nhanh chóng hơn so với trước đây. - HUMAN-FAC1]]</f>
        <v>8</v>
      </c>
      <c r="AD78">
        <f t="shared" si="34"/>
        <v>0.77777777777777779</v>
      </c>
      <c r="AE78">
        <f>step3_validation[[#This Row],[AI_FAC2]]</f>
        <v>9</v>
      </c>
      <c r="AF78">
        <f t="shared" si="35"/>
        <v>0.88888888888888884</v>
      </c>
      <c r="AG78">
        <f>survey_responses[[#This Row],[So với trước đây, tôi thấy cách tính thuế và các bậc thuế trong phương án mới đơn giản, dễ hiểu và dễ thực hiện hơn. - HUMAN-FAC2]]</f>
        <v>8</v>
      </c>
      <c r="AH78">
        <f t="shared" si="36"/>
        <v>0.77777777777777779</v>
      </c>
      <c r="AI78" s="32">
        <f t="shared" si="37"/>
        <v>0.83333333333333326</v>
      </c>
      <c r="AJ78" s="32">
        <f t="shared" si="38"/>
        <v>0.77777777777777779</v>
      </c>
      <c r="AK78">
        <f>step3_validation[[#This Row],[AI_TRU1]]</f>
        <v>8</v>
      </c>
      <c r="AL78">
        <f t="shared" si="39"/>
        <v>0.77777777777777779</v>
      </c>
      <c r="AM78">
        <f>survey_responses[[#This Row],[Tôi tin rằng Nhà nước, cơ quan thuế sẽ thực thi chính sách mới một cách khách quan, công tâm và đối xử bình đẳng với mọi người nộp thuế.  - HUMAN-TRU1]]</f>
        <v>9</v>
      </c>
      <c r="AN78">
        <f t="shared" si="40"/>
        <v>0.88888888888888884</v>
      </c>
      <c r="AO78">
        <f>step3_validation[[#This Row],[AI_TRU2]]</f>
        <v>9</v>
      </c>
      <c r="AP78">
        <f t="shared" si="41"/>
        <v>0.88888888888888884</v>
      </c>
      <c r="AQ78">
        <f>survey_responses[[#This Row],[Tôi thấy mức thuế tôi phải đóng theo phương án mới là công bằng (người thu nhập như tôi đóng mức này là hợp lý). - HUMAN-TRU2]]</f>
        <v>7</v>
      </c>
      <c r="AR78">
        <f t="shared" si="42"/>
        <v>0.66666666666666663</v>
      </c>
      <c r="AS78">
        <f>step3_validation[[#This Row],[AI_TRU3]]</f>
        <v>8</v>
      </c>
      <c r="AT78">
        <f t="shared" si="43"/>
        <v>0.77777777777777779</v>
      </c>
      <c r="AU78">
        <f>survey_responses[[#This Row],[Tôi tin tưởng số tiền thuế tôi đóng sẽ được Nhà nước sử dụng hiệu quả để cải thiện dịch vụ công (y tế, đường xá...). - HUMAN-TRU3]]</f>
        <v>9</v>
      </c>
      <c r="AV78">
        <f t="shared" si="44"/>
        <v>0.88888888888888884</v>
      </c>
      <c r="AW78">
        <f>step3_validation[[#This Row],[AI_TRU4]]</f>
        <v>7</v>
      </c>
      <c r="AX78">
        <f t="shared" si="45"/>
        <v>0.66666666666666663</v>
      </c>
      <c r="AY78">
        <f>survey_responses[[#This Row],[Tôi thấy Nhà nước đã giải thích rõ ràng, minh bạch về lý do và mục tiêu của việc sửa đổi thuế lần này. - HUMAN-TRU4]]</f>
        <v>10</v>
      </c>
      <c r="AZ78">
        <f t="shared" si="46"/>
        <v>1</v>
      </c>
      <c r="BA78" s="32">
        <f t="shared" si="47"/>
        <v>0.77777777777777768</v>
      </c>
      <c r="BB78" s="32">
        <f t="shared" si="48"/>
        <v>0.86111111111111105</v>
      </c>
      <c r="BC78" s="7">
        <f t="shared" si="49"/>
        <v>0.74074074074074081</v>
      </c>
      <c r="BD78" s="7">
        <f t="shared" si="50"/>
        <v>0.80555555555555547</v>
      </c>
      <c r="BE78">
        <f>step3_validation[[#This Row],[AI_OUT1]]</f>
        <v>8</v>
      </c>
      <c r="BF78">
        <f t="shared" si="51"/>
        <v>0.77777777777777779</v>
      </c>
      <c r="BG78">
        <f>survey_responses[[#This Row],[Sau khi xem xét các quyền lợi và nghĩa vụ, bạn có ủng hộ và tuân thủ chính sách mới hiện nay? - HUMAN-OUT1]]</f>
        <v>8</v>
      </c>
      <c r="BH78">
        <f t="shared" si="52"/>
        <v>0.77777777777777779</v>
      </c>
      <c r="BI78" s="32">
        <f t="shared" si="53"/>
        <v>0</v>
      </c>
    </row>
    <row r="79" spans="1:61" x14ac:dyDescent="0.45">
      <c r="A79" s="30">
        <f>step3_validation[[#This Row],[Persona_ID]]</f>
        <v>78</v>
      </c>
      <c r="B79" s="31">
        <f>step3_validation[[#This Row],[Used_Seed]]</f>
        <v>119</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38.966832571288911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9</v>
      </c>
      <c r="R79">
        <f t="shared" si="27"/>
        <v>0.88888888888888884</v>
      </c>
      <c r="S79">
        <f>survey_responses[[#This Row],[Tôi tin rằng với các quy định quản lý thuế hiện nay, hành vi gian lận hoặc trốn thuế sẽ dễ dàng bị phát hiện và xử lý nghiêm. - HUMAN-ENF1]]</f>
        <v>8</v>
      </c>
      <c r="T79">
        <f t="shared" si="28"/>
        <v>0.77777777777777779</v>
      </c>
      <c r="U79">
        <f>step3_validation[[#This Row],[AI_ENF2]]</f>
        <v>8</v>
      </c>
      <c r="V79">
        <f t="shared" si="29"/>
        <v>0.77777777777777779</v>
      </c>
      <c r="W79">
        <f>survey_responses[[#This Row],[Tôi tin rằng Nhà nước, cơ quan thuế có đủ khả năng và công nghệ để phát hiện, xử lý nghiêm các hành vi trốn thuế. - HUMAN-ENF2]]</f>
        <v>7</v>
      </c>
      <c r="X79">
        <f t="shared" si="30"/>
        <v>0.66666666666666663</v>
      </c>
      <c r="Y79" s="32">
        <f t="shared" si="31"/>
        <v>0.83333333333333326</v>
      </c>
      <c r="Z79" s="32">
        <f t="shared" si="32"/>
        <v>0.72222222222222221</v>
      </c>
      <c r="AA79">
        <f>step3_validation[[#This Row],[AI_FAC1]]</f>
        <v>9</v>
      </c>
      <c r="AB79">
        <f t="shared" si="33"/>
        <v>0.88888888888888884</v>
      </c>
      <c r="AC79">
        <f>survey_responses[[#This Row],[Các thủ tục khai báo thuế VÀ/HOẶC quy trình làm việc với cơ quan thuế đơn giản, tiện lợi, nhanh chóng hơn so với trước đây. - HUMAN-FAC1]]</f>
        <v>9</v>
      </c>
      <c r="AD79">
        <f t="shared" si="34"/>
        <v>0.88888888888888884</v>
      </c>
      <c r="AE79">
        <f>step3_validation[[#This Row],[AI_FAC2]]</f>
        <v>8</v>
      </c>
      <c r="AF79">
        <f t="shared" si="35"/>
        <v>0.77777777777777779</v>
      </c>
      <c r="AG79">
        <f>survey_responses[[#This Row],[So với trước đây, tôi thấy cách tính thuế và các bậc thuế trong phương án mới đơn giản, dễ hiểu và dễ thực hiện hơn. - HUMAN-FAC2]]</f>
        <v>8</v>
      </c>
      <c r="AH79">
        <f t="shared" si="36"/>
        <v>0.77777777777777779</v>
      </c>
      <c r="AI79" s="32">
        <f t="shared" si="37"/>
        <v>0.83333333333333326</v>
      </c>
      <c r="AJ79" s="32">
        <f t="shared" si="38"/>
        <v>0.83333333333333326</v>
      </c>
      <c r="AK79">
        <f>step3_validation[[#This Row],[AI_TRU1]]</f>
        <v>9</v>
      </c>
      <c r="AL79">
        <f t="shared" si="39"/>
        <v>0.88888888888888884</v>
      </c>
      <c r="AM79">
        <f>survey_responses[[#This Row],[Tôi tin rằng Nhà nước, cơ quan thuế sẽ thực thi chính sách mới một cách khách quan, công tâm và đối xử bình đẳng với mọi người nộp thuế.  - HUMAN-TRU1]]</f>
        <v>8</v>
      </c>
      <c r="AN79">
        <f t="shared" si="40"/>
        <v>0.77777777777777779</v>
      </c>
      <c r="AO79">
        <f>step3_validation[[#This Row],[AI_TRU2]]</f>
        <v>8</v>
      </c>
      <c r="AP79">
        <f t="shared" si="41"/>
        <v>0.77777777777777779</v>
      </c>
      <c r="AQ79">
        <f>survey_responses[[#This Row],[Tôi thấy mức thuế tôi phải đóng theo phương án mới là công bằng (người thu nhập như tôi đóng mức này là hợp lý). - HUMAN-TRU2]]</f>
        <v>8</v>
      </c>
      <c r="AR79">
        <f t="shared" si="42"/>
        <v>0.77777777777777779</v>
      </c>
      <c r="AS79">
        <f>step3_validation[[#This Row],[AI_TRU3]]</f>
        <v>9</v>
      </c>
      <c r="AT79">
        <f t="shared" si="43"/>
        <v>0.88888888888888884</v>
      </c>
      <c r="AU79">
        <f>survey_responses[[#This Row],[Tôi tin tưởng số tiền thuế tôi đóng sẽ được Nhà nước sử dụng hiệu quả để cải thiện dịch vụ công (y tế, đường xá...). - HUMAN-TRU3]]</f>
        <v>6</v>
      </c>
      <c r="AV79">
        <f t="shared" si="44"/>
        <v>0.55555555555555558</v>
      </c>
      <c r="AW79">
        <f>step3_validation[[#This Row],[AI_TRU4]]</f>
        <v>8</v>
      </c>
      <c r="AX79">
        <f t="shared" si="45"/>
        <v>0.77777777777777779</v>
      </c>
      <c r="AY79">
        <f>survey_responses[[#This Row],[Tôi thấy Nhà nước đã giải thích rõ ràng, minh bạch về lý do và mục tiêu của việc sửa đổi thuế lần này. - HUMAN-TRU4]]</f>
        <v>6</v>
      </c>
      <c r="AZ79">
        <f t="shared" si="46"/>
        <v>0.55555555555555558</v>
      </c>
      <c r="BA79" s="32">
        <f t="shared" si="47"/>
        <v>0.83333333333333326</v>
      </c>
      <c r="BB79" s="32">
        <f t="shared" si="48"/>
        <v>0.66666666666666674</v>
      </c>
      <c r="BC79" s="7">
        <f t="shared" si="49"/>
        <v>0.83333333333333337</v>
      </c>
      <c r="BD79" s="7">
        <f t="shared" si="50"/>
        <v>0.74074074074074081</v>
      </c>
      <c r="BE79">
        <f>step3_validation[[#This Row],[AI_OUT1]]</f>
        <v>9</v>
      </c>
      <c r="BF79">
        <f t="shared" si="51"/>
        <v>0.88888888888888884</v>
      </c>
      <c r="BG79">
        <f>survey_responses[[#This Row],[Sau khi xem xét các quyền lợi và nghĩa vụ, bạn có ủng hộ và tuân thủ chính sách mới hiện nay? - HUMAN-OUT1]]</f>
        <v>7</v>
      </c>
      <c r="BH79">
        <f t="shared" si="52"/>
        <v>0.66666666666666663</v>
      </c>
      <c r="BI79" s="32">
        <f t="shared" si="53"/>
        <v>2</v>
      </c>
    </row>
    <row r="80" spans="1:61" x14ac:dyDescent="0.45">
      <c r="A80" s="30">
        <f>step3_validation[[#This Row],[Persona_ID]]</f>
        <v>79</v>
      </c>
      <c r="B80" s="31">
        <f>step3_validation[[#This Row],[Used_Seed]]</f>
        <v>120</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15.412236690545896</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6</v>
      </c>
      <c r="R80">
        <f t="shared" si="27"/>
        <v>0.55555555555555558</v>
      </c>
      <c r="S80">
        <f>survey_responses[[#This Row],[Tôi tin rằng với các quy định quản lý thuế hiện nay, hành vi gian lận hoặc trốn thuế sẽ dễ dàng bị phát hiện và xử lý nghiêm. - HUMAN-ENF1]]</f>
        <v>6</v>
      </c>
      <c r="T80">
        <f t="shared" si="28"/>
        <v>0.55555555555555558</v>
      </c>
      <c r="U80">
        <f>step3_validation[[#This Row],[AI_ENF2]]</f>
        <v>6</v>
      </c>
      <c r="V80">
        <f t="shared" si="29"/>
        <v>0.55555555555555558</v>
      </c>
      <c r="W80">
        <f>survey_responses[[#This Row],[Tôi tin rằng Nhà nước, cơ quan thuế có đủ khả năng và công nghệ để phát hiện, xử lý nghiêm các hành vi trốn thuế. - HUMAN-ENF2]]</f>
        <v>2</v>
      </c>
      <c r="X80">
        <f t="shared" si="30"/>
        <v>0.1111111111111111</v>
      </c>
      <c r="Y80" s="32">
        <f t="shared" si="31"/>
        <v>0.55555555555555558</v>
      </c>
      <c r="Z80" s="32">
        <f t="shared" si="32"/>
        <v>0.33333333333333337</v>
      </c>
      <c r="AA80">
        <f>step3_validation[[#This Row],[AI_FAC1]]</f>
        <v>9</v>
      </c>
      <c r="AB80">
        <f t="shared" si="33"/>
        <v>0.88888888888888884</v>
      </c>
      <c r="AC80">
        <f>survey_responses[[#This Row],[Các thủ tục khai báo thuế VÀ/HOẶC quy trình làm việc với cơ quan thuế đơn giản, tiện lợi, nhanh chóng hơn so với trước đây. - HUMAN-FAC1]]</f>
        <v>3</v>
      </c>
      <c r="AD80">
        <f t="shared" si="34"/>
        <v>0.22222222222222221</v>
      </c>
      <c r="AE80">
        <f>step3_validation[[#This Row],[AI_FAC2]]</f>
        <v>8</v>
      </c>
      <c r="AF80">
        <f t="shared" si="35"/>
        <v>0.77777777777777779</v>
      </c>
      <c r="AG80">
        <f>survey_responses[[#This Row],[So với trước đây, tôi thấy cách tính thuế và các bậc thuế trong phương án mới đơn giản, dễ hiểu và dễ thực hiện hơn. - HUMAN-FAC2]]</f>
        <v>2</v>
      </c>
      <c r="AH80">
        <f t="shared" si="36"/>
        <v>0.1111111111111111</v>
      </c>
      <c r="AI80" s="32">
        <f t="shared" si="37"/>
        <v>0.83333333333333326</v>
      </c>
      <c r="AJ80" s="32">
        <f t="shared" si="38"/>
        <v>0.16666666666666666</v>
      </c>
      <c r="AK80">
        <f>step3_validation[[#This Row],[AI_TRU1]]</f>
        <v>7</v>
      </c>
      <c r="AL80">
        <f t="shared" si="39"/>
        <v>0.66666666666666663</v>
      </c>
      <c r="AM80">
        <f>survey_responses[[#This Row],[Tôi tin rằng Nhà nước, cơ quan thuế sẽ thực thi chính sách mới một cách khách quan, công tâm và đối xử bình đẳng với mọi người nộp thuế.  - HUMAN-TRU1]]</f>
        <v>3</v>
      </c>
      <c r="AN80">
        <f t="shared" si="40"/>
        <v>0.22222222222222221</v>
      </c>
      <c r="AO80">
        <f>step3_validation[[#This Row],[AI_TRU2]]</f>
        <v>9</v>
      </c>
      <c r="AP80">
        <f t="shared" si="41"/>
        <v>0.88888888888888884</v>
      </c>
      <c r="AQ80">
        <f>survey_responses[[#This Row],[Tôi thấy mức thuế tôi phải đóng theo phương án mới là công bằng (người thu nhập như tôi đóng mức này là hợp lý). - HUMAN-TRU2]]</f>
        <v>7</v>
      </c>
      <c r="AR80">
        <f t="shared" si="42"/>
        <v>0.66666666666666663</v>
      </c>
      <c r="AS80">
        <f>step3_validation[[#This Row],[AI_TRU3]]</f>
        <v>7</v>
      </c>
      <c r="AT80">
        <f t="shared" si="43"/>
        <v>0.66666666666666663</v>
      </c>
      <c r="AU80">
        <f>survey_responses[[#This Row],[Tôi tin tưởng số tiền thuế tôi đóng sẽ được Nhà nước sử dụng hiệu quả để cải thiện dịch vụ công (y tế, đường xá...). - HUMAN-TRU3]]</f>
        <v>5</v>
      </c>
      <c r="AV80">
        <f t="shared" si="44"/>
        <v>0.44444444444444442</v>
      </c>
      <c r="AW80">
        <f>step3_validation[[#This Row],[AI_TRU4]]</f>
        <v>8</v>
      </c>
      <c r="AX80">
        <f t="shared" si="45"/>
        <v>0.77777777777777779</v>
      </c>
      <c r="AY80">
        <f>survey_responses[[#This Row],[Tôi thấy Nhà nước đã giải thích rõ ràng, minh bạch về lý do và mục tiêu của việc sửa đổi thuế lần này. - HUMAN-TRU4]]</f>
        <v>5</v>
      </c>
      <c r="AZ80">
        <f t="shared" si="46"/>
        <v>0.44444444444444442</v>
      </c>
      <c r="BA80" s="32">
        <f t="shared" si="47"/>
        <v>0.74999999999999989</v>
      </c>
      <c r="BB80" s="32">
        <f t="shared" si="48"/>
        <v>0.44444444444444442</v>
      </c>
      <c r="BC80" s="7">
        <f t="shared" si="49"/>
        <v>0.71296296296296291</v>
      </c>
      <c r="BD80" s="7">
        <f t="shared" si="50"/>
        <v>0.31481481481481483</v>
      </c>
      <c r="BE80">
        <f>step3_validation[[#This Row],[AI_OUT1]]</f>
        <v>8</v>
      </c>
      <c r="BF80">
        <f t="shared" si="51"/>
        <v>0.77777777777777779</v>
      </c>
      <c r="BG80">
        <f>survey_responses[[#This Row],[Sau khi xem xét các quyền lợi và nghĩa vụ, bạn có ủng hộ và tuân thủ chính sách mới hiện nay? - HUMAN-OUT1]]</f>
        <v>7</v>
      </c>
      <c r="BH80">
        <f t="shared" si="52"/>
        <v>0.66666666666666663</v>
      </c>
      <c r="BI80" s="32">
        <f t="shared" si="53"/>
        <v>1</v>
      </c>
    </row>
    <row r="81" spans="1:61" x14ac:dyDescent="0.45">
      <c r="A81" s="30">
        <f>step3_validation[[#This Row],[Persona_ID]]</f>
        <v>80</v>
      </c>
      <c r="B81" s="31">
        <f>step3_validation[[#This Row],[Used_Seed]]</f>
        <v>121</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12.504096682004523</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8</v>
      </c>
      <c r="R81">
        <f t="shared" si="27"/>
        <v>0.77777777777777779</v>
      </c>
      <c r="S81">
        <f>survey_responses[[#This Row],[Tôi tin rằng với các quy định quản lý thuế hiện nay, hành vi gian lận hoặc trốn thuế sẽ dễ dàng bị phát hiện và xử lý nghiêm. - HUMAN-ENF1]]</f>
        <v>8</v>
      </c>
      <c r="T81">
        <f t="shared" si="28"/>
        <v>0.77777777777777779</v>
      </c>
      <c r="U81">
        <f>step3_validation[[#This Row],[AI_ENF2]]</f>
        <v>7</v>
      </c>
      <c r="V81">
        <f t="shared" si="29"/>
        <v>0.66666666666666663</v>
      </c>
      <c r="W81">
        <f>survey_responses[[#This Row],[Tôi tin rằng Nhà nước, cơ quan thuế có đủ khả năng và công nghệ để phát hiện, xử lý nghiêm các hành vi trốn thuế. - HUMAN-ENF2]]</f>
        <v>8</v>
      </c>
      <c r="X81">
        <f t="shared" si="30"/>
        <v>0.77777777777777779</v>
      </c>
      <c r="Y81" s="32">
        <f t="shared" si="31"/>
        <v>0.72222222222222221</v>
      </c>
      <c r="Z81" s="32">
        <f t="shared" si="32"/>
        <v>0.77777777777777779</v>
      </c>
      <c r="AA81">
        <f>step3_validation[[#This Row],[AI_FAC1]]</f>
        <v>9</v>
      </c>
      <c r="AB81">
        <f t="shared" si="33"/>
        <v>0.88888888888888884</v>
      </c>
      <c r="AC81">
        <f>survey_responses[[#This Row],[Các thủ tục khai báo thuế VÀ/HOẶC quy trình làm việc với cơ quan thuế đơn giản, tiện lợi, nhanh chóng hơn so với trước đây. - HUMAN-FAC1]]</f>
        <v>8</v>
      </c>
      <c r="AD81">
        <f t="shared" si="34"/>
        <v>0.77777777777777779</v>
      </c>
      <c r="AE81">
        <f>step3_validation[[#This Row],[AI_FAC2]]</f>
        <v>10</v>
      </c>
      <c r="AF81">
        <f t="shared" si="35"/>
        <v>1</v>
      </c>
      <c r="AG81">
        <f>survey_responses[[#This Row],[So với trước đây, tôi thấy cách tính thuế và các bậc thuế trong phương án mới đơn giản, dễ hiểu và dễ thực hiện hơn. - HUMAN-FAC2]]</f>
        <v>8</v>
      </c>
      <c r="AH81">
        <f t="shared" si="36"/>
        <v>0.77777777777777779</v>
      </c>
      <c r="AI81" s="32">
        <f t="shared" si="37"/>
        <v>0.94444444444444442</v>
      </c>
      <c r="AJ81" s="32">
        <f t="shared" si="38"/>
        <v>0.77777777777777779</v>
      </c>
      <c r="AK81">
        <f>step3_validation[[#This Row],[AI_TRU1]]</f>
        <v>9</v>
      </c>
      <c r="AL81">
        <f t="shared" si="39"/>
        <v>0.88888888888888884</v>
      </c>
      <c r="AM81">
        <f>survey_responses[[#This Row],[Tôi tin rằng Nhà nước, cơ quan thuế sẽ thực thi chính sách mới một cách khách quan, công tâm và đối xử bình đẳng với mọi người nộp thuế.  - HUMAN-TRU1]]</f>
        <v>8</v>
      </c>
      <c r="AN81">
        <f t="shared" si="40"/>
        <v>0.77777777777777779</v>
      </c>
      <c r="AO81">
        <f>step3_validation[[#This Row],[AI_TRU2]]</f>
        <v>10</v>
      </c>
      <c r="AP81">
        <f t="shared" si="41"/>
        <v>1</v>
      </c>
      <c r="AQ81">
        <f>survey_responses[[#This Row],[Tôi thấy mức thuế tôi phải đóng theo phương án mới là công bằng (người thu nhập như tôi đóng mức này là hợp lý). - HUMAN-TRU2]]</f>
        <v>8</v>
      </c>
      <c r="AR81">
        <f t="shared" si="42"/>
        <v>0.77777777777777779</v>
      </c>
      <c r="AS81">
        <f>step3_validation[[#This Row],[AI_TRU3]]</f>
        <v>9</v>
      </c>
      <c r="AT81">
        <f t="shared" si="43"/>
        <v>0.88888888888888884</v>
      </c>
      <c r="AU81">
        <f>survey_responses[[#This Row],[Tôi tin tưởng số tiền thuế tôi đóng sẽ được Nhà nước sử dụng hiệu quả để cải thiện dịch vụ công (y tế, đường xá...). - HUMAN-TRU3]]</f>
        <v>8</v>
      </c>
      <c r="AV81">
        <f t="shared" si="44"/>
        <v>0.77777777777777779</v>
      </c>
      <c r="AW81">
        <f>step3_validation[[#This Row],[AI_TRU4]]</f>
        <v>7</v>
      </c>
      <c r="AX81">
        <f t="shared" si="45"/>
        <v>0.66666666666666663</v>
      </c>
      <c r="AY81">
        <f>survey_responses[[#This Row],[Tôi thấy Nhà nước đã giải thích rõ ràng, minh bạch về lý do và mục tiêu của việc sửa đổi thuế lần này. - HUMAN-TRU4]]</f>
        <v>8</v>
      </c>
      <c r="AZ81">
        <f t="shared" si="46"/>
        <v>0.77777777777777779</v>
      </c>
      <c r="BA81" s="32">
        <f t="shared" si="47"/>
        <v>0.86111111111111105</v>
      </c>
      <c r="BB81" s="32">
        <f t="shared" si="48"/>
        <v>0.77777777777777779</v>
      </c>
      <c r="BC81" s="7">
        <f t="shared" si="49"/>
        <v>0.84259259259259256</v>
      </c>
      <c r="BD81" s="7">
        <f t="shared" si="50"/>
        <v>0.77777777777777779</v>
      </c>
      <c r="BE81">
        <f>step3_validation[[#This Row],[AI_OUT1]]</f>
        <v>9</v>
      </c>
      <c r="BF81">
        <f t="shared" si="51"/>
        <v>0.88888888888888884</v>
      </c>
      <c r="BG81">
        <f>survey_responses[[#This Row],[Sau khi xem xét các quyền lợi và nghĩa vụ, bạn có ủng hộ và tuân thủ chính sách mới hiện nay? - HUMAN-OUT1]]</f>
        <v>8</v>
      </c>
      <c r="BH81">
        <f t="shared" si="52"/>
        <v>0.77777777777777779</v>
      </c>
      <c r="BI81" s="32">
        <f t="shared" si="53"/>
        <v>1</v>
      </c>
    </row>
    <row r="82" spans="1:61" x14ac:dyDescent="0.45">
      <c r="A82" s="30">
        <f>step3_validation[[#This Row],[Persona_ID]]</f>
        <v>81</v>
      </c>
      <c r="B82" s="31">
        <f>step3_validation[[#This Row],[Used_Seed]]</f>
        <v>122</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7</v>
      </c>
      <c r="R82">
        <f t="shared" si="27"/>
        <v>0.66666666666666663</v>
      </c>
      <c r="S82">
        <f>survey_responses[[#This Row],[Tôi tin rằng với các quy định quản lý thuế hiện nay, hành vi gian lận hoặc trốn thuế sẽ dễ dàng bị phát hiện và xử lý nghiêm. - HUMAN-ENF1]]</f>
        <v>7</v>
      </c>
      <c r="T82">
        <f t="shared" si="28"/>
        <v>0.66666666666666663</v>
      </c>
      <c r="U82">
        <f>step3_validation[[#This Row],[AI_ENF2]]</f>
        <v>8</v>
      </c>
      <c r="V82">
        <f t="shared" si="29"/>
        <v>0.77777777777777779</v>
      </c>
      <c r="W82">
        <f>survey_responses[[#This Row],[Tôi tin rằng Nhà nước, cơ quan thuế có đủ khả năng và công nghệ để phát hiện, xử lý nghiêm các hành vi trốn thuế. - HUMAN-ENF2]]</f>
        <v>7</v>
      </c>
      <c r="X82">
        <f t="shared" si="30"/>
        <v>0.66666666666666663</v>
      </c>
      <c r="Y82" s="32">
        <f t="shared" si="31"/>
        <v>0.72222222222222221</v>
      </c>
      <c r="Z82" s="32">
        <f t="shared" si="32"/>
        <v>0.66666666666666663</v>
      </c>
      <c r="AA82">
        <f>step3_validation[[#This Row],[AI_FAC1]]</f>
        <v>6</v>
      </c>
      <c r="AB82">
        <f t="shared" si="33"/>
        <v>0.55555555555555558</v>
      </c>
      <c r="AC82">
        <f>survey_responses[[#This Row],[Các thủ tục khai báo thuế VÀ/HOẶC quy trình làm việc với cơ quan thuế đơn giản, tiện lợi, nhanh chóng hơn so với trước đây. - HUMAN-FAC1]]</f>
        <v>5</v>
      </c>
      <c r="AD82">
        <f t="shared" si="34"/>
        <v>0.44444444444444442</v>
      </c>
      <c r="AE82">
        <f>step3_validation[[#This Row],[AI_FAC2]]</f>
        <v>9</v>
      </c>
      <c r="AF82">
        <f t="shared" si="35"/>
        <v>0.88888888888888884</v>
      </c>
      <c r="AG82">
        <f>survey_responses[[#This Row],[So với trước đây, tôi thấy cách tính thuế và các bậc thuế trong phương án mới đơn giản, dễ hiểu và dễ thực hiện hơn. - HUMAN-FAC2]]</f>
        <v>5</v>
      </c>
      <c r="AH82">
        <f t="shared" si="36"/>
        <v>0.44444444444444442</v>
      </c>
      <c r="AI82" s="32">
        <f t="shared" si="37"/>
        <v>0.72222222222222221</v>
      </c>
      <c r="AJ82" s="32">
        <f t="shared" si="38"/>
        <v>0.44444444444444442</v>
      </c>
      <c r="AK82">
        <f>step3_validation[[#This Row],[AI_TRU1]]</f>
        <v>7</v>
      </c>
      <c r="AL82">
        <f t="shared" si="39"/>
        <v>0.66666666666666663</v>
      </c>
      <c r="AM82">
        <f>survey_responses[[#This Row],[Tôi tin rằng Nhà nước, cơ quan thuế sẽ thực thi chính sách mới một cách khách quan, công tâm và đối xử bình đẳng với mọi người nộp thuế.  - HUMAN-TRU1]]</f>
        <v>6</v>
      </c>
      <c r="AN82">
        <f t="shared" si="40"/>
        <v>0.55555555555555558</v>
      </c>
      <c r="AO82">
        <f>step3_validation[[#This Row],[AI_TRU2]]</f>
        <v>9</v>
      </c>
      <c r="AP82">
        <f t="shared" si="41"/>
        <v>0.88888888888888884</v>
      </c>
      <c r="AQ82">
        <f>survey_responses[[#This Row],[Tôi thấy mức thuế tôi phải đóng theo phương án mới là công bằng (người thu nhập như tôi đóng mức này là hợp lý). - HUMAN-TRU2]]</f>
        <v>5</v>
      </c>
      <c r="AR82">
        <f t="shared" si="42"/>
        <v>0.44444444444444442</v>
      </c>
      <c r="AS82">
        <f>step3_validation[[#This Row],[AI_TRU3]]</f>
        <v>7</v>
      </c>
      <c r="AT82">
        <f t="shared" si="43"/>
        <v>0.66666666666666663</v>
      </c>
      <c r="AU82">
        <f>survey_responses[[#This Row],[Tôi tin tưởng số tiền thuế tôi đóng sẽ được Nhà nước sử dụng hiệu quả để cải thiện dịch vụ công (y tế, đường xá...). - HUMAN-TRU3]]</f>
        <v>8</v>
      </c>
      <c r="AV82">
        <f t="shared" si="44"/>
        <v>0.77777777777777779</v>
      </c>
      <c r="AW82">
        <f>step3_validation[[#This Row],[AI_TRU4]]</f>
        <v>8</v>
      </c>
      <c r="AX82">
        <f t="shared" si="45"/>
        <v>0.77777777777777779</v>
      </c>
      <c r="AY82">
        <f>survey_responses[[#This Row],[Tôi thấy Nhà nước đã giải thích rõ ràng, minh bạch về lý do và mục tiêu của việc sửa đổi thuế lần này. - HUMAN-TRU4]]</f>
        <v>6</v>
      </c>
      <c r="AZ82">
        <f t="shared" si="46"/>
        <v>0.55555555555555558</v>
      </c>
      <c r="BA82" s="32">
        <f t="shared" si="47"/>
        <v>0.74999999999999989</v>
      </c>
      <c r="BB82" s="32">
        <f t="shared" si="48"/>
        <v>0.58333333333333326</v>
      </c>
      <c r="BC82" s="7">
        <f t="shared" si="49"/>
        <v>0.7314814814814814</v>
      </c>
      <c r="BD82" s="7">
        <f t="shared" si="50"/>
        <v>0.56481481481481477</v>
      </c>
      <c r="BE82">
        <f>step3_validation[[#This Row],[AI_OUT1]]</f>
        <v>9</v>
      </c>
      <c r="BF82">
        <f t="shared" si="51"/>
        <v>0.88888888888888884</v>
      </c>
      <c r="BG82">
        <f>survey_responses[[#This Row],[Sau khi xem xét các quyền lợi và nghĩa vụ, bạn có ủng hộ và tuân thủ chính sách mới hiện nay? - HUMAN-OUT1]]</f>
        <v>8</v>
      </c>
      <c r="BH82">
        <f t="shared" si="52"/>
        <v>0.77777777777777779</v>
      </c>
      <c r="BI82" s="32">
        <f t="shared" si="53"/>
        <v>1</v>
      </c>
    </row>
    <row r="83" spans="1:61" x14ac:dyDescent="0.45">
      <c r="A83" s="30">
        <f>step3_validation[[#This Row],[Persona_ID]]</f>
        <v>82</v>
      </c>
      <c r="B83" s="31">
        <f>step3_validation[[#This Row],[Used_Seed]]</f>
        <v>123</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13.587527020026418</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8</v>
      </c>
      <c r="R83">
        <f t="shared" si="27"/>
        <v>0.77777777777777779</v>
      </c>
      <c r="S83">
        <f>survey_responses[[#This Row],[Tôi tin rằng với các quy định quản lý thuế hiện nay, hành vi gian lận hoặc trốn thuế sẽ dễ dàng bị phát hiện và xử lý nghiêm. - HUMAN-ENF1]]</f>
        <v>8</v>
      </c>
      <c r="T83">
        <f t="shared" si="28"/>
        <v>0.77777777777777779</v>
      </c>
      <c r="U83">
        <f>step3_validation[[#This Row],[AI_ENF2]]</f>
        <v>7</v>
      </c>
      <c r="V83">
        <f t="shared" si="29"/>
        <v>0.66666666666666663</v>
      </c>
      <c r="W83">
        <f>survey_responses[[#This Row],[Tôi tin rằng Nhà nước, cơ quan thuế có đủ khả năng và công nghệ để phát hiện, xử lý nghiêm các hành vi trốn thuế. - HUMAN-ENF2]]</f>
        <v>9</v>
      </c>
      <c r="X83">
        <f t="shared" si="30"/>
        <v>0.88888888888888884</v>
      </c>
      <c r="Y83" s="32">
        <f t="shared" si="31"/>
        <v>0.72222222222222221</v>
      </c>
      <c r="Z83" s="32">
        <f t="shared" si="32"/>
        <v>0.83333333333333326</v>
      </c>
      <c r="AA83">
        <f>step3_validation[[#This Row],[AI_FAC1]]</f>
        <v>9</v>
      </c>
      <c r="AB83">
        <f t="shared" si="33"/>
        <v>0.88888888888888884</v>
      </c>
      <c r="AC83">
        <f>survey_responses[[#This Row],[Các thủ tục khai báo thuế VÀ/HOẶC quy trình làm việc với cơ quan thuế đơn giản, tiện lợi, nhanh chóng hơn so với trước đây. - HUMAN-FAC1]]</f>
        <v>5</v>
      </c>
      <c r="AD83">
        <f t="shared" si="34"/>
        <v>0.44444444444444442</v>
      </c>
      <c r="AE83">
        <f>step3_validation[[#This Row],[AI_FAC2]]</f>
        <v>9</v>
      </c>
      <c r="AF83">
        <f t="shared" si="35"/>
        <v>0.88888888888888884</v>
      </c>
      <c r="AG83">
        <f>survey_responses[[#This Row],[So với trước đây, tôi thấy cách tính thuế và các bậc thuế trong phương án mới đơn giản, dễ hiểu và dễ thực hiện hơn. - HUMAN-FAC2]]</f>
        <v>5</v>
      </c>
      <c r="AH83">
        <f t="shared" si="36"/>
        <v>0.44444444444444442</v>
      </c>
      <c r="AI83" s="32">
        <f t="shared" si="37"/>
        <v>0.88888888888888884</v>
      </c>
      <c r="AJ83" s="32">
        <f t="shared" si="38"/>
        <v>0.44444444444444442</v>
      </c>
      <c r="AK83">
        <f>step3_validation[[#This Row],[AI_TRU1]]</f>
        <v>8</v>
      </c>
      <c r="AL83">
        <f t="shared" si="39"/>
        <v>0.77777777777777779</v>
      </c>
      <c r="AM83">
        <f>survey_responses[[#This Row],[Tôi tin rằng Nhà nước, cơ quan thuế sẽ thực thi chính sách mới một cách khách quan, công tâm và đối xử bình đẳng với mọi người nộp thuế.  - HUMAN-TRU1]]</f>
        <v>5</v>
      </c>
      <c r="AN83">
        <f t="shared" si="40"/>
        <v>0.44444444444444442</v>
      </c>
      <c r="AO83">
        <f>step3_validation[[#This Row],[AI_TRU2]]</f>
        <v>7</v>
      </c>
      <c r="AP83">
        <f t="shared" si="41"/>
        <v>0.66666666666666663</v>
      </c>
      <c r="AQ83">
        <f>survey_responses[[#This Row],[Tôi thấy mức thuế tôi phải đóng theo phương án mới là công bằng (người thu nhập như tôi đóng mức này là hợp lý). - HUMAN-TRU2]]</f>
        <v>5</v>
      </c>
      <c r="AR83">
        <f t="shared" si="42"/>
        <v>0.44444444444444442</v>
      </c>
      <c r="AS83">
        <f>step3_validation[[#This Row],[AI_TRU3]]</f>
        <v>8</v>
      </c>
      <c r="AT83">
        <f t="shared" si="43"/>
        <v>0.77777777777777779</v>
      </c>
      <c r="AU83">
        <f>survey_responses[[#This Row],[Tôi tin tưởng số tiền thuế tôi đóng sẽ được Nhà nước sử dụng hiệu quả để cải thiện dịch vụ công (y tế, đường xá...). - HUMAN-TRU3]]</f>
        <v>1</v>
      </c>
      <c r="AV83">
        <f t="shared" si="44"/>
        <v>0</v>
      </c>
      <c r="AW83">
        <f>step3_validation[[#This Row],[AI_TRU4]]</f>
        <v>7</v>
      </c>
      <c r="AX83">
        <f t="shared" si="45"/>
        <v>0.66666666666666663</v>
      </c>
      <c r="AY83">
        <f>survey_responses[[#This Row],[Tôi thấy Nhà nước đã giải thích rõ ràng, minh bạch về lý do và mục tiêu của việc sửa đổi thuế lần này. - HUMAN-TRU4]]</f>
        <v>5</v>
      </c>
      <c r="AZ83">
        <f t="shared" si="46"/>
        <v>0.44444444444444442</v>
      </c>
      <c r="BA83" s="32">
        <f t="shared" si="47"/>
        <v>0.72222222222222221</v>
      </c>
      <c r="BB83" s="32">
        <f t="shared" si="48"/>
        <v>0.33333333333333331</v>
      </c>
      <c r="BC83" s="7">
        <f t="shared" si="49"/>
        <v>0.77777777777777779</v>
      </c>
      <c r="BD83" s="7">
        <f t="shared" si="50"/>
        <v>0.53703703703703698</v>
      </c>
      <c r="BE83">
        <f>step3_validation[[#This Row],[AI_OUT1]]</f>
        <v>9</v>
      </c>
      <c r="BF83">
        <f t="shared" si="51"/>
        <v>0.88888888888888884</v>
      </c>
      <c r="BG83">
        <f>survey_responses[[#This Row],[Sau khi xem xét các quyền lợi và nghĩa vụ, bạn có ủng hộ và tuân thủ chính sách mới hiện nay? - HUMAN-OUT1]]</f>
        <v>5</v>
      </c>
      <c r="BH83">
        <f t="shared" si="52"/>
        <v>0.44444444444444442</v>
      </c>
      <c r="BI83" s="32">
        <f t="shared" si="53"/>
        <v>4</v>
      </c>
    </row>
    <row r="84" spans="1:61" x14ac:dyDescent="0.45">
      <c r="A84" s="30">
        <f>step3_validation[[#This Row],[Persona_ID]]</f>
        <v>83</v>
      </c>
      <c r="B84" s="31">
        <f>step3_validation[[#This Row],[Used_Seed]]</f>
        <v>124</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13.306810362881187</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8</v>
      </c>
      <c r="R84">
        <f t="shared" si="27"/>
        <v>0.77777777777777779</v>
      </c>
      <c r="S84">
        <f>survey_responses[[#This Row],[Tôi tin rằng với các quy định quản lý thuế hiện nay, hành vi gian lận hoặc trốn thuế sẽ dễ dàng bị phát hiện và xử lý nghiêm. - HUMAN-ENF1]]</f>
        <v>10</v>
      </c>
      <c r="T84">
        <f t="shared" si="28"/>
        <v>1</v>
      </c>
      <c r="U84">
        <f>step3_validation[[#This Row],[AI_ENF2]]</f>
        <v>9</v>
      </c>
      <c r="V84">
        <f t="shared" si="29"/>
        <v>0.88888888888888884</v>
      </c>
      <c r="W84">
        <f>survey_responses[[#This Row],[Tôi tin rằng Nhà nước, cơ quan thuế có đủ khả năng và công nghệ để phát hiện, xử lý nghiêm các hành vi trốn thuế. - HUMAN-ENF2]]</f>
        <v>8</v>
      </c>
      <c r="X84">
        <f t="shared" si="30"/>
        <v>0.77777777777777779</v>
      </c>
      <c r="Y84" s="32">
        <f t="shared" si="31"/>
        <v>0.83333333333333326</v>
      </c>
      <c r="Z84" s="32">
        <f t="shared" si="32"/>
        <v>0.88888888888888884</v>
      </c>
      <c r="AA84">
        <f>step3_validation[[#This Row],[AI_FAC1]]</f>
        <v>8</v>
      </c>
      <c r="AB84">
        <f t="shared" si="33"/>
        <v>0.77777777777777779</v>
      </c>
      <c r="AC84">
        <f>survey_responses[[#This Row],[Các thủ tục khai báo thuế VÀ/HOẶC quy trình làm việc với cơ quan thuế đơn giản, tiện lợi, nhanh chóng hơn so với trước đây. - HUMAN-FAC1]]</f>
        <v>8</v>
      </c>
      <c r="AD84">
        <f t="shared" si="34"/>
        <v>0.77777777777777779</v>
      </c>
      <c r="AE84">
        <f>step3_validation[[#This Row],[AI_FAC2]]</f>
        <v>9</v>
      </c>
      <c r="AF84">
        <f t="shared" si="35"/>
        <v>0.88888888888888884</v>
      </c>
      <c r="AG84">
        <f>survey_responses[[#This Row],[So với trước đây, tôi thấy cách tính thuế và các bậc thuế trong phương án mới đơn giản, dễ hiểu và dễ thực hiện hơn. - HUMAN-FAC2]]</f>
        <v>7</v>
      </c>
      <c r="AH84">
        <f t="shared" si="36"/>
        <v>0.66666666666666663</v>
      </c>
      <c r="AI84" s="32">
        <f t="shared" si="37"/>
        <v>0.83333333333333326</v>
      </c>
      <c r="AJ84" s="32">
        <f t="shared" si="38"/>
        <v>0.72222222222222221</v>
      </c>
      <c r="AK84">
        <f>step3_validation[[#This Row],[AI_TRU1]]</f>
        <v>9</v>
      </c>
      <c r="AL84">
        <f t="shared" si="39"/>
        <v>0.88888888888888884</v>
      </c>
      <c r="AM84">
        <f>survey_responses[[#This Row],[Tôi tin rằng Nhà nước, cơ quan thuế sẽ thực thi chính sách mới một cách khách quan, công tâm và đối xử bình đẳng với mọi người nộp thuế.  - HUMAN-TRU1]]</f>
        <v>7</v>
      </c>
      <c r="AN84">
        <f t="shared" si="40"/>
        <v>0.66666666666666663</v>
      </c>
      <c r="AO84">
        <f>step3_validation[[#This Row],[AI_TRU2]]</f>
        <v>10</v>
      </c>
      <c r="AP84">
        <f t="shared" si="41"/>
        <v>1</v>
      </c>
      <c r="AQ84">
        <f>survey_responses[[#This Row],[Tôi thấy mức thuế tôi phải đóng theo phương án mới là công bằng (người thu nhập như tôi đóng mức này là hợp lý). - HUMAN-TRU2]]</f>
        <v>6</v>
      </c>
      <c r="AR84">
        <f t="shared" si="42"/>
        <v>0.55555555555555558</v>
      </c>
      <c r="AS84">
        <f>step3_validation[[#This Row],[AI_TRU3]]</f>
        <v>9</v>
      </c>
      <c r="AT84">
        <f t="shared" si="43"/>
        <v>0.88888888888888884</v>
      </c>
      <c r="AU84">
        <f>survey_responses[[#This Row],[Tôi tin tưởng số tiền thuế tôi đóng sẽ được Nhà nước sử dụng hiệu quả để cải thiện dịch vụ công (y tế, đường xá...). - HUMAN-TRU3]]</f>
        <v>7</v>
      </c>
      <c r="AV84">
        <f t="shared" si="44"/>
        <v>0.66666666666666663</v>
      </c>
      <c r="AW84">
        <f>step3_validation[[#This Row],[AI_TRU4]]</f>
        <v>8</v>
      </c>
      <c r="AX84">
        <f t="shared" si="45"/>
        <v>0.77777777777777779</v>
      </c>
      <c r="AY84">
        <f>survey_responses[[#This Row],[Tôi thấy Nhà nước đã giải thích rõ ràng, minh bạch về lý do và mục tiêu của việc sửa đổi thuế lần này. - HUMAN-TRU4]]</f>
        <v>6</v>
      </c>
      <c r="AZ84">
        <f t="shared" si="46"/>
        <v>0.55555555555555558</v>
      </c>
      <c r="BA84" s="32">
        <f t="shared" si="47"/>
        <v>0.88888888888888884</v>
      </c>
      <c r="BB84" s="32">
        <f t="shared" si="48"/>
        <v>0.61111111111111116</v>
      </c>
      <c r="BC84" s="7">
        <f t="shared" si="49"/>
        <v>0.85185185185185175</v>
      </c>
      <c r="BD84" s="7">
        <f t="shared" si="50"/>
        <v>0.74074074074074081</v>
      </c>
      <c r="BE84">
        <f>step3_validation[[#This Row],[AI_OUT1]]</f>
        <v>9</v>
      </c>
      <c r="BF84">
        <f t="shared" si="51"/>
        <v>0.88888888888888884</v>
      </c>
      <c r="BG84">
        <f>survey_responses[[#This Row],[Sau khi xem xét các quyền lợi và nghĩa vụ, bạn có ủng hộ và tuân thủ chính sách mới hiện nay? - HUMAN-OUT1]]</f>
        <v>8</v>
      </c>
      <c r="BH84">
        <f t="shared" si="52"/>
        <v>0.77777777777777779</v>
      </c>
      <c r="BI84" s="32">
        <f t="shared" si="53"/>
        <v>1</v>
      </c>
    </row>
    <row r="85" spans="1:61" x14ac:dyDescent="0.45">
      <c r="A85" s="30">
        <f>step3_validation[[#This Row],[Persona_ID]]</f>
        <v>84</v>
      </c>
      <c r="B85" s="31">
        <f>step3_validation[[#This Row],[Used_Seed]]</f>
        <v>125</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16.377129287211631</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8</v>
      </c>
      <c r="R85">
        <f t="shared" si="27"/>
        <v>0.77777777777777779</v>
      </c>
      <c r="S85">
        <f>survey_responses[[#This Row],[Tôi tin rằng với các quy định quản lý thuế hiện nay, hành vi gian lận hoặc trốn thuế sẽ dễ dàng bị phát hiện và xử lý nghiêm. - HUMAN-ENF1]]</f>
        <v>6</v>
      </c>
      <c r="T85">
        <f t="shared" si="28"/>
        <v>0.55555555555555558</v>
      </c>
      <c r="U85">
        <f>step3_validation[[#This Row],[AI_ENF2]]</f>
        <v>9</v>
      </c>
      <c r="V85">
        <f t="shared" si="29"/>
        <v>0.88888888888888884</v>
      </c>
      <c r="W85">
        <f>survey_responses[[#This Row],[Tôi tin rằng Nhà nước, cơ quan thuế có đủ khả năng và công nghệ để phát hiện, xử lý nghiêm các hành vi trốn thuế. - HUMAN-ENF2]]</f>
        <v>7</v>
      </c>
      <c r="X85">
        <f t="shared" si="30"/>
        <v>0.66666666666666663</v>
      </c>
      <c r="Y85" s="32">
        <f t="shared" si="31"/>
        <v>0.83333333333333326</v>
      </c>
      <c r="Z85" s="32">
        <f t="shared" si="32"/>
        <v>0.61111111111111116</v>
      </c>
      <c r="AA85">
        <f>step3_validation[[#This Row],[AI_FAC1]]</f>
        <v>9</v>
      </c>
      <c r="AB85">
        <f t="shared" si="33"/>
        <v>0.88888888888888884</v>
      </c>
      <c r="AC85">
        <f>survey_responses[[#This Row],[Các thủ tục khai báo thuế VÀ/HOẶC quy trình làm việc với cơ quan thuế đơn giản, tiện lợi, nhanh chóng hơn so với trước đây. - HUMAN-FAC1]]</f>
        <v>5</v>
      </c>
      <c r="AD85">
        <f t="shared" si="34"/>
        <v>0.44444444444444442</v>
      </c>
      <c r="AE85">
        <f>step3_validation[[#This Row],[AI_FAC2]]</f>
        <v>8</v>
      </c>
      <c r="AF85">
        <f t="shared" si="35"/>
        <v>0.77777777777777779</v>
      </c>
      <c r="AG85">
        <f>survey_responses[[#This Row],[So với trước đây, tôi thấy cách tính thuế và các bậc thuế trong phương án mới đơn giản, dễ hiểu và dễ thực hiện hơn. - HUMAN-FAC2]]</f>
        <v>5</v>
      </c>
      <c r="AH85">
        <f t="shared" si="36"/>
        <v>0.44444444444444442</v>
      </c>
      <c r="AI85" s="32">
        <f t="shared" si="37"/>
        <v>0.83333333333333326</v>
      </c>
      <c r="AJ85" s="32">
        <f t="shared" si="38"/>
        <v>0.44444444444444442</v>
      </c>
      <c r="AK85">
        <f>step3_validation[[#This Row],[AI_TRU1]]</f>
        <v>7</v>
      </c>
      <c r="AL85">
        <f t="shared" si="39"/>
        <v>0.66666666666666663</v>
      </c>
      <c r="AM85">
        <f>survey_responses[[#This Row],[Tôi tin rằng Nhà nước, cơ quan thuế sẽ thực thi chính sách mới một cách khách quan, công tâm và đối xử bình đẳng với mọi người nộp thuế.  - HUMAN-TRU1]]</f>
        <v>5</v>
      </c>
      <c r="AN85">
        <f t="shared" si="40"/>
        <v>0.44444444444444442</v>
      </c>
      <c r="AO85">
        <f>step3_validation[[#This Row],[AI_TRU2]]</f>
        <v>8</v>
      </c>
      <c r="AP85">
        <f t="shared" si="41"/>
        <v>0.77777777777777779</v>
      </c>
      <c r="AQ85">
        <f>survey_responses[[#This Row],[Tôi thấy mức thuế tôi phải đóng theo phương án mới là công bằng (người thu nhập như tôi đóng mức này là hợp lý). - HUMAN-TRU2]]</f>
        <v>5</v>
      </c>
      <c r="AR85">
        <f t="shared" si="42"/>
        <v>0.44444444444444442</v>
      </c>
      <c r="AS85">
        <f>step3_validation[[#This Row],[AI_TRU3]]</f>
        <v>7</v>
      </c>
      <c r="AT85">
        <f t="shared" si="43"/>
        <v>0.66666666666666663</v>
      </c>
      <c r="AU85">
        <f>survey_responses[[#This Row],[Tôi tin tưởng số tiền thuế tôi đóng sẽ được Nhà nước sử dụng hiệu quả để cải thiện dịch vụ công (y tế, đường xá...). - HUMAN-TRU3]]</f>
        <v>5</v>
      </c>
      <c r="AV85">
        <f t="shared" si="44"/>
        <v>0.44444444444444442</v>
      </c>
      <c r="AW85">
        <f>step3_validation[[#This Row],[AI_TRU4]]</f>
        <v>6</v>
      </c>
      <c r="AX85">
        <f t="shared" si="45"/>
        <v>0.55555555555555558</v>
      </c>
      <c r="AY85">
        <f>survey_responses[[#This Row],[Tôi thấy Nhà nước đã giải thích rõ ràng, minh bạch về lý do và mục tiêu của việc sửa đổi thuế lần này. - HUMAN-TRU4]]</f>
        <v>5</v>
      </c>
      <c r="AZ85">
        <f t="shared" si="46"/>
        <v>0.44444444444444442</v>
      </c>
      <c r="BA85" s="32">
        <f t="shared" si="47"/>
        <v>0.66666666666666674</v>
      </c>
      <c r="BB85" s="32">
        <f t="shared" si="48"/>
        <v>0.44444444444444442</v>
      </c>
      <c r="BC85" s="7">
        <f t="shared" si="49"/>
        <v>0.77777777777777768</v>
      </c>
      <c r="BD85" s="7">
        <f t="shared" si="50"/>
        <v>0.5</v>
      </c>
      <c r="BE85">
        <f>step3_validation[[#This Row],[AI_OUT1]]</f>
        <v>9</v>
      </c>
      <c r="BF85">
        <f t="shared" si="51"/>
        <v>0.88888888888888884</v>
      </c>
      <c r="BG85">
        <f>survey_responses[[#This Row],[Sau khi xem xét các quyền lợi và nghĩa vụ, bạn có ủng hộ và tuân thủ chính sách mới hiện nay? - HUMAN-OUT1]]</f>
        <v>5</v>
      </c>
      <c r="BH85">
        <f t="shared" si="52"/>
        <v>0.44444444444444442</v>
      </c>
      <c r="BI85" s="32">
        <f t="shared" si="53"/>
        <v>4</v>
      </c>
    </row>
    <row r="86" spans="1:61" x14ac:dyDescent="0.45">
      <c r="A86" s="30">
        <f>step3_validation[[#This Row],[Persona_ID]]</f>
        <v>85</v>
      </c>
      <c r="B86" s="31">
        <f>step3_validation[[#This Row],[Used_Seed]]</f>
        <v>126</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14.053648939957267</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f t="shared" si="27"/>
        <v>0.66666666666666663</v>
      </c>
      <c r="S86">
        <f>survey_responses[[#This Row],[Tôi tin rằng với các quy định quản lý thuế hiện nay, hành vi gian lận hoặc trốn thuế sẽ dễ dàng bị phát hiện và xử lý nghiêm. - HUMAN-ENF1]]</f>
        <v>9</v>
      </c>
      <c r="T86">
        <f t="shared" si="28"/>
        <v>0.88888888888888884</v>
      </c>
      <c r="U86">
        <f>step3_validation[[#This Row],[AI_ENF2]]</f>
        <v>8</v>
      </c>
      <c r="V86">
        <f t="shared" si="29"/>
        <v>0.77777777777777779</v>
      </c>
      <c r="W86">
        <f>survey_responses[[#This Row],[Tôi tin rằng Nhà nước, cơ quan thuế có đủ khả năng và công nghệ để phát hiện, xử lý nghiêm các hành vi trốn thuế. - HUMAN-ENF2]]</f>
        <v>9</v>
      </c>
      <c r="X86">
        <f t="shared" si="30"/>
        <v>0.88888888888888884</v>
      </c>
      <c r="Y86" s="32">
        <f t="shared" si="31"/>
        <v>0.72222222222222221</v>
      </c>
      <c r="Z86" s="32">
        <f t="shared" si="32"/>
        <v>0.88888888888888884</v>
      </c>
      <c r="AA86">
        <f>step3_validation[[#This Row],[AI_FAC1]]</f>
        <v>6</v>
      </c>
      <c r="AB86">
        <f t="shared" si="33"/>
        <v>0.55555555555555558</v>
      </c>
      <c r="AC86">
        <f>survey_responses[[#This Row],[Các thủ tục khai báo thuế VÀ/HOẶC quy trình làm việc với cơ quan thuế đơn giản, tiện lợi, nhanh chóng hơn so với trước đây. - HUMAN-FAC1]]</f>
        <v>8</v>
      </c>
      <c r="AD86">
        <f t="shared" si="34"/>
        <v>0.77777777777777779</v>
      </c>
      <c r="AE86">
        <f>step3_validation[[#This Row],[AI_FAC2]]</f>
        <v>9</v>
      </c>
      <c r="AF86">
        <f t="shared" si="35"/>
        <v>0.88888888888888884</v>
      </c>
      <c r="AG86">
        <f>survey_responses[[#This Row],[So với trước đây, tôi thấy cách tính thuế và các bậc thuế trong phương án mới đơn giản, dễ hiểu và dễ thực hiện hơn. - HUMAN-FAC2]]</f>
        <v>9</v>
      </c>
      <c r="AH86">
        <f t="shared" si="36"/>
        <v>0.88888888888888884</v>
      </c>
      <c r="AI86" s="32">
        <f t="shared" si="37"/>
        <v>0.72222222222222221</v>
      </c>
      <c r="AJ86" s="32">
        <f t="shared" si="38"/>
        <v>0.83333333333333326</v>
      </c>
      <c r="AK86">
        <f>step3_validation[[#This Row],[AI_TRU1]]</f>
        <v>7</v>
      </c>
      <c r="AL86">
        <f t="shared" si="39"/>
        <v>0.66666666666666663</v>
      </c>
      <c r="AM86">
        <f>survey_responses[[#This Row],[Tôi tin rằng Nhà nước, cơ quan thuế sẽ thực thi chính sách mới một cách khách quan, công tâm và đối xử bình đẳng với mọi người nộp thuế.  - HUMAN-TRU1]]</f>
        <v>9</v>
      </c>
      <c r="AN86">
        <f t="shared" si="40"/>
        <v>0.88888888888888884</v>
      </c>
      <c r="AO86">
        <f>step3_validation[[#This Row],[AI_TRU2]]</f>
        <v>9</v>
      </c>
      <c r="AP86">
        <f t="shared" si="41"/>
        <v>0.88888888888888884</v>
      </c>
      <c r="AQ86">
        <f>survey_responses[[#This Row],[Tôi thấy mức thuế tôi phải đóng theo phương án mới là công bằng (người thu nhập như tôi đóng mức này là hợp lý). - HUMAN-TRU2]]</f>
        <v>9</v>
      </c>
      <c r="AR86">
        <f t="shared" si="42"/>
        <v>0.88888888888888884</v>
      </c>
      <c r="AS86">
        <f>step3_validation[[#This Row],[AI_TRU3]]</f>
        <v>7</v>
      </c>
      <c r="AT86">
        <f t="shared" si="43"/>
        <v>0.66666666666666663</v>
      </c>
      <c r="AU86">
        <f>survey_responses[[#This Row],[Tôi tin tưởng số tiền thuế tôi đóng sẽ được Nhà nước sử dụng hiệu quả để cải thiện dịch vụ công (y tế, đường xá...). - HUMAN-TRU3]]</f>
        <v>7</v>
      </c>
      <c r="AV86">
        <f t="shared" si="44"/>
        <v>0.66666666666666663</v>
      </c>
      <c r="AW86">
        <f>step3_validation[[#This Row],[AI_TRU4]]</f>
        <v>5</v>
      </c>
      <c r="AX86">
        <f t="shared" si="45"/>
        <v>0.44444444444444442</v>
      </c>
      <c r="AY86">
        <f>survey_responses[[#This Row],[Tôi thấy Nhà nước đã giải thích rõ ràng, minh bạch về lý do và mục tiêu của việc sửa đổi thuế lần này. - HUMAN-TRU4]]</f>
        <v>8</v>
      </c>
      <c r="AZ86">
        <f t="shared" si="46"/>
        <v>0.77777777777777779</v>
      </c>
      <c r="BA86" s="32">
        <f t="shared" si="47"/>
        <v>0.66666666666666652</v>
      </c>
      <c r="BB86" s="32">
        <f t="shared" si="48"/>
        <v>0.80555555555555547</v>
      </c>
      <c r="BC86" s="7">
        <f t="shared" si="49"/>
        <v>0.70370370370370361</v>
      </c>
      <c r="BD86" s="7">
        <f t="shared" si="50"/>
        <v>0.84259259259259256</v>
      </c>
      <c r="BE86">
        <f>step3_validation[[#This Row],[AI_OUT1]]</f>
        <v>8</v>
      </c>
      <c r="BF86">
        <f t="shared" si="51"/>
        <v>0.77777777777777779</v>
      </c>
      <c r="BG86">
        <f>survey_responses[[#This Row],[Sau khi xem xét các quyền lợi và nghĩa vụ, bạn có ủng hộ và tuân thủ chính sách mới hiện nay? - HUMAN-OUT1]]</f>
        <v>8</v>
      </c>
      <c r="BH86">
        <f t="shared" si="52"/>
        <v>0.77777777777777779</v>
      </c>
      <c r="BI86" s="32">
        <f t="shared" si="53"/>
        <v>0</v>
      </c>
    </row>
    <row r="87" spans="1:61" x14ac:dyDescent="0.45">
      <c r="A87" s="30">
        <f>step3_validation[[#This Row],[Persona_ID]]</f>
        <v>86</v>
      </c>
      <c r="B87" s="31">
        <f>step3_validation[[#This Row],[Used_Seed]]</f>
        <v>127</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16.88622586933084</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7</v>
      </c>
      <c r="R87">
        <f t="shared" si="27"/>
        <v>0.66666666666666663</v>
      </c>
      <c r="S87">
        <f>survey_responses[[#This Row],[Tôi tin rằng với các quy định quản lý thuế hiện nay, hành vi gian lận hoặc trốn thuế sẽ dễ dàng bị phát hiện và xử lý nghiêm. - HUMAN-ENF1]]</f>
        <v>5</v>
      </c>
      <c r="T87">
        <f t="shared" si="28"/>
        <v>0.44444444444444442</v>
      </c>
      <c r="U87">
        <f>step3_validation[[#This Row],[AI_ENF2]]</f>
        <v>7</v>
      </c>
      <c r="V87">
        <f t="shared" si="29"/>
        <v>0.66666666666666663</v>
      </c>
      <c r="W87">
        <f>survey_responses[[#This Row],[Tôi tin rằng Nhà nước, cơ quan thuế có đủ khả năng và công nghệ để phát hiện, xử lý nghiêm các hành vi trốn thuế. - HUMAN-ENF2]]</f>
        <v>5</v>
      </c>
      <c r="X87">
        <f t="shared" si="30"/>
        <v>0.44444444444444442</v>
      </c>
      <c r="Y87" s="32">
        <f t="shared" si="31"/>
        <v>0.66666666666666663</v>
      </c>
      <c r="Z87" s="32">
        <f t="shared" si="32"/>
        <v>0.44444444444444442</v>
      </c>
      <c r="AA87">
        <f>step3_validation[[#This Row],[AI_FAC1]]</f>
        <v>9</v>
      </c>
      <c r="AB87">
        <f t="shared" si="33"/>
        <v>0.88888888888888884</v>
      </c>
      <c r="AC87">
        <f>survey_responses[[#This Row],[Các thủ tục khai báo thuế VÀ/HOẶC quy trình làm việc với cơ quan thuế đơn giản, tiện lợi, nhanh chóng hơn so với trước đây. - HUMAN-FAC1]]</f>
        <v>10</v>
      </c>
      <c r="AD87">
        <f t="shared" si="34"/>
        <v>1</v>
      </c>
      <c r="AE87">
        <f>step3_validation[[#This Row],[AI_FAC2]]</f>
        <v>9</v>
      </c>
      <c r="AF87">
        <f t="shared" si="35"/>
        <v>0.88888888888888884</v>
      </c>
      <c r="AG87">
        <f>survey_responses[[#This Row],[So với trước đây, tôi thấy cách tính thuế và các bậc thuế trong phương án mới đơn giản, dễ hiểu và dễ thực hiện hơn. - HUMAN-FAC2]]</f>
        <v>4</v>
      </c>
      <c r="AH87">
        <f t="shared" si="36"/>
        <v>0.33333333333333331</v>
      </c>
      <c r="AI87" s="32">
        <f t="shared" si="37"/>
        <v>0.88888888888888884</v>
      </c>
      <c r="AJ87" s="32">
        <f t="shared" si="38"/>
        <v>0.66666666666666663</v>
      </c>
      <c r="AK87">
        <f>step3_validation[[#This Row],[AI_TRU1]]</f>
        <v>6</v>
      </c>
      <c r="AL87">
        <f t="shared" si="39"/>
        <v>0.55555555555555558</v>
      </c>
      <c r="AM87">
        <f>survey_responses[[#This Row],[Tôi tin rằng Nhà nước, cơ quan thuế sẽ thực thi chính sách mới một cách khách quan, công tâm và đối xử bình đẳng với mọi người nộp thuế.  - HUMAN-TRU1]]</f>
        <v>4</v>
      </c>
      <c r="AN87">
        <f t="shared" si="40"/>
        <v>0.33333333333333331</v>
      </c>
      <c r="AO87">
        <f>step3_validation[[#This Row],[AI_TRU2]]</f>
        <v>8</v>
      </c>
      <c r="AP87">
        <f t="shared" si="41"/>
        <v>0.77777777777777779</v>
      </c>
      <c r="AQ87">
        <f>survey_responses[[#This Row],[Tôi thấy mức thuế tôi phải đóng theo phương án mới là công bằng (người thu nhập như tôi đóng mức này là hợp lý). - HUMAN-TRU2]]</f>
        <v>5</v>
      </c>
      <c r="AR87">
        <f t="shared" si="42"/>
        <v>0.44444444444444442</v>
      </c>
      <c r="AS87">
        <f>step3_validation[[#This Row],[AI_TRU3]]</f>
        <v>5</v>
      </c>
      <c r="AT87">
        <f t="shared" si="43"/>
        <v>0.44444444444444442</v>
      </c>
      <c r="AU87">
        <f>survey_responses[[#This Row],[Tôi tin tưởng số tiền thuế tôi đóng sẽ được Nhà nước sử dụng hiệu quả để cải thiện dịch vụ công (y tế, đường xá...). - HUMAN-TRU3]]</f>
        <v>5</v>
      </c>
      <c r="AV87">
        <f t="shared" si="44"/>
        <v>0.44444444444444442</v>
      </c>
      <c r="AW87">
        <f>step3_validation[[#This Row],[AI_TRU4]]</f>
        <v>7</v>
      </c>
      <c r="AX87">
        <f t="shared" si="45"/>
        <v>0.66666666666666663</v>
      </c>
      <c r="AY87">
        <f>survey_responses[[#This Row],[Tôi thấy Nhà nước đã giải thích rõ ràng, minh bạch về lý do và mục tiêu của việc sửa đổi thuế lần này. - HUMAN-TRU4]]</f>
        <v>8</v>
      </c>
      <c r="AZ87">
        <f t="shared" si="46"/>
        <v>0.77777777777777779</v>
      </c>
      <c r="BA87" s="32">
        <f t="shared" si="47"/>
        <v>0.61111111111111116</v>
      </c>
      <c r="BB87" s="32">
        <f t="shared" si="48"/>
        <v>0.5</v>
      </c>
      <c r="BC87" s="7">
        <f t="shared" si="49"/>
        <v>0.72222222222222221</v>
      </c>
      <c r="BD87" s="7">
        <f t="shared" si="50"/>
        <v>0.53703703703703709</v>
      </c>
      <c r="BE87">
        <f>step3_validation[[#This Row],[AI_OUT1]]</f>
        <v>9</v>
      </c>
      <c r="BF87">
        <f t="shared" si="51"/>
        <v>0.88888888888888884</v>
      </c>
      <c r="BG87">
        <f>survey_responses[[#This Row],[Sau khi xem xét các quyền lợi và nghĩa vụ, bạn có ủng hộ và tuân thủ chính sách mới hiện nay? - HUMAN-OUT1]]</f>
        <v>8</v>
      </c>
      <c r="BH87">
        <f t="shared" si="52"/>
        <v>0.77777777777777779</v>
      </c>
      <c r="BI87" s="32">
        <f t="shared" si="53"/>
        <v>1</v>
      </c>
    </row>
    <row r="88" spans="1:61" x14ac:dyDescent="0.45">
      <c r="A88" s="30">
        <f>step3_validation[[#This Row],[Persona_ID]]</f>
        <v>87</v>
      </c>
      <c r="B88" s="31">
        <f>step3_validation[[#This Row],[Used_Seed]]</f>
        <v>128</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13.141362128046312</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f t="shared" si="27"/>
        <v>0.66666666666666663</v>
      </c>
      <c r="S88">
        <f>survey_responses[[#This Row],[Tôi tin rằng với các quy định quản lý thuế hiện nay, hành vi gian lận hoặc trốn thuế sẽ dễ dàng bị phát hiện và xử lý nghiêm. - HUMAN-ENF1]]</f>
        <v>10</v>
      </c>
      <c r="T88">
        <f t="shared" si="28"/>
        <v>1</v>
      </c>
      <c r="U88">
        <f>step3_validation[[#This Row],[AI_ENF2]]</f>
        <v>6</v>
      </c>
      <c r="V88">
        <f t="shared" si="29"/>
        <v>0.55555555555555558</v>
      </c>
      <c r="W88">
        <f>survey_responses[[#This Row],[Tôi tin rằng Nhà nước, cơ quan thuế có đủ khả năng và công nghệ để phát hiện, xử lý nghiêm các hành vi trốn thuế. - HUMAN-ENF2]]</f>
        <v>9</v>
      </c>
      <c r="X88">
        <f t="shared" si="30"/>
        <v>0.88888888888888884</v>
      </c>
      <c r="Y88" s="32">
        <f t="shared" si="31"/>
        <v>0.61111111111111116</v>
      </c>
      <c r="Z88" s="32">
        <f t="shared" si="32"/>
        <v>0.94444444444444442</v>
      </c>
      <c r="AA88">
        <f>step3_validation[[#This Row],[AI_FAC1]]</f>
        <v>8</v>
      </c>
      <c r="AB88">
        <f t="shared" si="33"/>
        <v>0.77777777777777779</v>
      </c>
      <c r="AC88">
        <f>survey_responses[[#This Row],[Các thủ tục khai báo thuế VÀ/HOẶC quy trình làm việc với cơ quan thuế đơn giản, tiện lợi, nhanh chóng hơn so với trước đây. - HUMAN-FAC1]]</f>
        <v>9</v>
      </c>
      <c r="AD88">
        <f t="shared" si="34"/>
        <v>0.88888888888888884</v>
      </c>
      <c r="AE88">
        <f>step3_validation[[#This Row],[AI_FAC2]]</f>
        <v>9</v>
      </c>
      <c r="AF88">
        <f t="shared" si="35"/>
        <v>0.88888888888888884</v>
      </c>
      <c r="AG88">
        <f>survey_responses[[#This Row],[So với trước đây, tôi thấy cách tính thuế và các bậc thuế trong phương án mới đơn giản, dễ hiểu và dễ thực hiện hơn. - HUMAN-FAC2]]</f>
        <v>9</v>
      </c>
      <c r="AH88">
        <f t="shared" si="36"/>
        <v>0.88888888888888884</v>
      </c>
      <c r="AI88" s="32">
        <f t="shared" si="37"/>
        <v>0.83333333333333326</v>
      </c>
      <c r="AJ88" s="32">
        <f t="shared" si="38"/>
        <v>0.88888888888888884</v>
      </c>
      <c r="AK88">
        <f>step3_validation[[#This Row],[AI_TRU1]]</f>
        <v>7</v>
      </c>
      <c r="AL88">
        <f t="shared" si="39"/>
        <v>0.66666666666666663</v>
      </c>
      <c r="AM88">
        <f>survey_responses[[#This Row],[Tôi tin rằng Nhà nước, cơ quan thuế sẽ thực thi chính sách mới một cách khách quan, công tâm và đối xử bình đẳng với mọi người nộp thuế.  - HUMAN-TRU1]]</f>
        <v>9</v>
      </c>
      <c r="AN88">
        <f t="shared" si="40"/>
        <v>0.88888888888888884</v>
      </c>
      <c r="AO88">
        <f>step3_validation[[#This Row],[AI_TRU2]]</f>
        <v>8</v>
      </c>
      <c r="AP88">
        <f t="shared" si="41"/>
        <v>0.77777777777777779</v>
      </c>
      <c r="AQ88">
        <f>survey_responses[[#This Row],[Tôi thấy mức thuế tôi phải đóng theo phương án mới là công bằng (người thu nhập như tôi đóng mức này là hợp lý). - HUMAN-TRU2]]</f>
        <v>9</v>
      </c>
      <c r="AR88">
        <f t="shared" si="42"/>
        <v>0.88888888888888884</v>
      </c>
      <c r="AS88">
        <f>step3_validation[[#This Row],[AI_TRU3]]</f>
        <v>7</v>
      </c>
      <c r="AT88">
        <f t="shared" si="43"/>
        <v>0.66666666666666663</v>
      </c>
      <c r="AU88">
        <f>survey_responses[[#This Row],[Tôi tin tưởng số tiền thuế tôi đóng sẽ được Nhà nước sử dụng hiệu quả để cải thiện dịch vụ công (y tế, đường xá...). - HUMAN-TRU3]]</f>
        <v>10</v>
      </c>
      <c r="AV88">
        <f t="shared" si="44"/>
        <v>1</v>
      </c>
      <c r="AW88">
        <f>step3_validation[[#This Row],[AI_TRU4]]</f>
        <v>6</v>
      </c>
      <c r="AX88">
        <f t="shared" si="45"/>
        <v>0.55555555555555558</v>
      </c>
      <c r="AY88">
        <f>survey_responses[[#This Row],[Tôi thấy Nhà nước đã giải thích rõ ràng, minh bạch về lý do và mục tiêu của việc sửa đổi thuế lần này. - HUMAN-TRU4]]</f>
        <v>9</v>
      </c>
      <c r="AZ88">
        <f t="shared" si="46"/>
        <v>0.88888888888888884</v>
      </c>
      <c r="BA88" s="32">
        <f t="shared" si="47"/>
        <v>0.66666666666666674</v>
      </c>
      <c r="BB88" s="32">
        <f t="shared" si="48"/>
        <v>0.91666666666666663</v>
      </c>
      <c r="BC88" s="7">
        <f t="shared" si="49"/>
        <v>0.70370370370370372</v>
      </c>
      <c r="BD88" s="7">
        <f t="shared" si="50"/>
        <v>0.91666666666666663</v>
      </c>
      <c r="BE88">
        <f>step3_validation[[#This Row],[AI_OUT1]]</f>
        <v>9</v>
      </c>
      <c r="BF88">
        <f t="shared" si="51"/>
        <v>0.88888888888888884</v>
      </c>
      <c r="BG88">
        <f>survey_responses[[#This Row],[Sau khi xem xét các quyền lợi và nghĩa vụ, bạn có ủng hộ và tuân thủ chính sách mới hiện nay? - HUMAN-OUT1]]</f>
        <v>10</v>
      </c>
      <c r="BH88">
        <f t="shared" si="52"/>
        <v>1</v>
      </c>
      <c r="BI88" s="32">
        <f t="shared" si="53"/>
        <v>1</v>
      </c>
    </row>
    <row r="89" spans="1:61" x14ac:dyDescent="0.45">
      <c r="A89" s="30">
        <f>step3_validation[[#This Row],[Persona_ID]]</f>
        <v>88</v>
      </c>
      <c r="B89" s="31">
        <f>step3_validation[[#This Row],[Used_Seed]]</f>
        <v>129</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6</v>
      </c>
      <c r="R89">
        <f t="shared" si="27"/>
        <v>0.55555555555555558</v>
      </c>
      <c r="S89">
        <f>survey_responses[[#This Row],[Tôi tin rằng với các quy định quản lý thuế hiện nay, hành vi gian lận hoặc trốn thuế sẽ dễ dàng bị phát hiện và xử lý nghiêm. - HUMAN-ENF1]]</f>
        <v>10</v>
      </c>
      <c r="T89">
        <f t="shared" si="28"/>
        <v>1</v>
      </c>
      <c r="U89">
        <f>step3_validation[[#This Row],[AI_ENF2]]</f>
        <v>5</v>
      </c>
      <c r="V89">
        <f t="shared" si="29"/>
        <v>0.44444444444444442</v>
      </c>
      <c r="W89">
        <f>survey_responses[[#This Row],[Tôi tin rằng Nhà nước, cơ quan thuế có đủ khả năng và công nghệ để phát hiện, xử lý nghiêm các hành vi trốn thuế. - HUMAN-ENF2]]</f>
        <v>10</v>
      </c>
      <c r="X89">
        <f t="shared" si="30"/>
        <v>1</v>
      </c>
      <c r="Y89" s="32">
        <f t="shared" si="31"/>
        <v>0.5</v>
      </c>
      <c r="Z89" s="32">
        <f t="shared" si="32"/>
        <v>1</v>
      </c>
      <c r="AA89">
        <f>step3_validation[[#This Row],[AI_FAC1]]</f>
        <v>8</v>
      </c>
      <c r="AB89">
        <f t="shared" si="33"/>
        <v>0.77777777777777779</v>
      </c>
      <c r="AC89">
        <f>survey_responses[[#This Row],[Các thủ tục khai báo thuế VÀ/HOẶC quy trình làm việc với cơ quan thuế đơn giản, tiện lợi, nhanh chóng hơn so với trước đây. - HUMAN-FAC1]]</f>
        <v>10</v>
      </c>
      <c r="AD89">
        <f t="shared" si="34"/>
        <v>1</v>
      </c>
      <c r="AE89">
        <f>step3_validation[[#This Row],[AI_FAC2]]</f>
        <v>9</v>
      </c>
      <c r="AF89">
        <f t="shared" si="35"/>
        <v>0.88888888888888884</v>
      </c>
      <c r="AG89">
        <f>survey_responses[[#This Row],[So với trước đây, tôi thấy cách tính thuế và các bậc thuế trong phương án mới đơn giản, dễ hiểu và dễ thực hiện hơn. - HUMAN-FAC2]]</f>
        <v>10</v>
      </c>
      <c r="AH89">
        <f t="shared" si="36"/>
        <v>1</v>
      </c>
      <c r="AI89" s="32">
        <f t="shared" si="37"/>
        <v>0.83333333333333326</v>
      </c>
      <c r="AJ89" s="32">
        <f t="shared" si="38"/>
        <v>1</v>
      </c>
      <c r="AK89">
        <f>step3_validation[[#This Row],[AI_TRU1]]</f>
        <v>7</v>
      </c>
      <c r="AL89">
        <f t="shared" si="39"/>
        <v>0.66666666666666663</v>
      </c>
      <c r="AM89">
        <f>survey_responses[[#This Row],[Tôi tin rằng Nhà nước, cơ quan thuế sẽ thực thi chính sách mới một cách khách quan, công tâm và đối xử bình đẳng với mọi người nộp thuế.  - HUMAN-TRU1]]</f>
        <v>10</v>
      </c>
      <c r="AN89">
        <f t="shared" si="40"/>
        <v>1</v>
      </c>
      <c r="AO89">
        <f>step3_validation[[#This Row],[AI_TRU2]]</f>
        <v>9</v>
      </c>
      <c r="AP89">
        <f t="shared" si="41"/>
        <v>0.88888888888888884</v>
      </c>
      <c r="AQ89">
        <f>survey_responses[[#This Row],[Tôi thấy mức thuế tôi phải đóng theo phương án mới là công bằng (người thu nhập như tôi đóng mức này là hợp lý). - HUMAN-TRU2]]</f>
        <v>10</v>
      </c>
      <c r="AR89">
        <f t="shared" si="42"/>
        <v>1</v>
      </c>
      <c r="AS89">
        <f>step3_validation[[#This Row],[AI_TRU3]]</f>
        <v>8</v>
      </c>
      <c r="AT89">
        <f t="shared" si="43"/>
        <v>0.77777777777777779</v>
      </c>
      <c r="AU89">
        <f>survey_responses[[#This Row],[Tôi tin tưởng số tiền thuế tôi đóng sẽ được Nhà nước sử dụng hiệu quả để cải thiện dịch vụ công (y tế, đường xá...). - HUMAN-TRU3]]</f>
        <v>10</v>
      </c>
      <c r="AV89">
        <f t="shared" si="44"/>
        <v>1</v>
      </c>
      <c r="AW89">
        <f>step3_validation[[#This Row],[AI_TRU4]]</f>
        <v>7</v>
      </c>
      <c r="AX89">
        <f t="shared" si="45"/>
        <v>0.66666666666666663</v>
      </c>
      <c r="AY89">
        <f>survey_responses[[#This Row],[Tôi thấy Nhà nước đã giải thích rõ ràng, minh bạch về lý do và mục tiêu của việc sửa đổi thuế lần này. - HUMAN-TRU4]]</f>
        <v>10</v>
      </c>
      <c r="AZ89">
        <f t="shared" si="46"/>
        <v>1</v>
      </c>
      <c r="BA89" s="32">
        <f t="shared" si="47"/>
        <v>0.74999999999999989</v>
      </c>
      <c r="BB89" s="32">
        <f t="shared" si="48"/>
        <v>1</v>
      </c>
      <c r="BC89" s="7">
        <f t="shared" si="49"/>
        <v>0.69444444444444431</v>
      </c>
      <c r="BD89" s="7">
        <f t="shared" si="50"/>
        <v>1</v>
      </c>
      <c r="BE89">
        <f>step3_validation[[#This Row],[AI_OUT1]]</f>
        <v>8</v>
      </c>
      <c r="BF89">
        <f t="shared" si="51"/>
        <v>0.77777777777777779</v>
      </c>
      <c r="BG89">
        <f>survey_responses[[#This Row],[Sau khi xem xét các quyền lợi và nghĩa vụ, bạn có ủng hộ và tuân thủ chính sách mới hiện nay? - HUMAN-OUT1]]</f>
        <v>10</v>
      </c>
      <c r="BH89">
        <f t="shared" si="52"/>
        <v>1</v>
      </c>
      <c r="BI89" s="32">
        <f t="shared" si="53"/>
        <v>2</v>
      </c>
    </row>
    <row r="90" spans="1:61" x14ac:dyDescent="0.45">
      <c r="A90" s="30">
        <f>step3_validation[[#This Row],[Persona_ID]]</f>
        <v>89</v>
      </c>
      <c r="B90" s="31">
        <f>step3_validation[[#This Row],[Used_Seed]]</f>
        <v>130</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f t="shared" si="27"/>
        <v>0.66666666666666663</v>
      </c>
      <c r="S90">
        <f>survey_responses[[#This Row],[Tôi tin rằng với các quy định quản lý thuế hiện nay, hành vi gian lận hoặc trốn thuế sẽ dễ dàng bị phát hiện và xử lý nghiêm. - HUMAN-ENF1]]</f>
        <v>10</v>
      </c>
      <c r="T90">
        <f t="shared" si="28"/>
        <v>1</v>
      </c>
      <c r="U90">
        <f>step3_validation[[#This Row],[AI_ENF2]]</f>
        <v>6</v>
      </c>
      <c r="V90">
        <f t="shared" si="29"/>
        <v>0.55555555555555558</v>
      </c>
      <c r="W90">
        <f>survey_responses[[#This Row],[Tôi tin rằng Nhà nước, cơ quan thuế có đủ khả năng và công nghệ để phát hiện, xử lý nghiêm các hành vi trốn thuế. - HUMAN-ENF2]]</f>
        <v>9</v>
      </c>
      <c r="X90">
        <f t="shared" si="30"/>
        <v>0.88888888888888884</v>
      </c>
      <c r="Y90" s="32">
        <f t="shared" si="31"/>
        <v>0.61111111111111116</v>
      </c>
      <c r="Z90" s="32">
        <f t="shared" si="32"/>
        <v>0.94444444444444442</v>
      </c>
      <c r="AA90">
        <f>step3_validation[[#This Row],[AI_FAC1]]</f>
        <v>8</v>
      </c>
      <c r="AB90">
        <f t="shared" si="33"/>
        <v>0.77777777777777779</v>
      </c>
      <c r="AC90">
        <f>survey_responses[[#This Row],[Các thủ tục khai báo thuế VÀ/HOẶC quy trình làm việc với cơ quan thuế đơn giản, tiện lợi, nhanh chóng hơn so với trước đây. - HUMAN-FAC1]]</f>
        <v>9</v>
      </c>
      <c r="AD90">
        <f t="shared" si="34"/>
        <v>0.88888888888888884</v>
      </c>
      <c r="AE90">
        <f>step3_validation[[#This Row],[AI_FAC2]]</f>
        <v>9</v>
      </c>
      <c r="AF90">
        <f t="shared" si="35"/>
        <v>0.88888888888888884</v>
      </c>
      <c r="AG90">
        <f>survey_responses[[#This Row],[So với trước đây, tôi thấy cách tính thuế và các bậc thuế trong phương án mới đơn giản, dễ hiểu và dễ thực hiện hơn. - HUMAN-FAC2]]</f>
        <v>9</v>
      </c>
      <c r="AH90">
        <f t="shared" si="36"/>
        <v>0.88888888888888884</v>
      </c>
      <c r="AI90" s="32">
        <f t="shared" si="37"/>
        <v>0.83333333333333326</v>
      </c>
      <c r="AJ90" s="32">
        <f t="shared" si="38"/>
        <v>0.88888888888888884</v>
      </c>
      <c r="AK90">
        <f>step3_validation[[#This Row],[AI_TRU1]]</f>
        <v>8</v>
      </c>
      <c r="AL90">
        <f t="shared" si="39"/>
        <v>0.77777777777777779</v>
      </c>
      <c r="AM90">
        <f>survey_responses[[#This Row],[Tôi tin rằng Nhà nước, cơ quan thuế sẽ thực thi chính sách mới một cách khách quan, công tâm và đối xử bình đẳng với mọi người nộp thuế.  - HUMAN-TRU1]]</f>
        <v>10</v>
      </c>
      <c r="AN90">
        <f t="shared" si="40"/>
        <v>1</v>
      </c>
      <c r="AO90">
        <f>step3_validation[[#This Row],[AI_TRU2]]</f>
        <v>9</v>
      </c>
      <c r="AP90">
        <f t="shared" si="41"/>
        <v>0.88888888888888884</v>
      </c>
      <c r="AQ90">
        <f>survey_responses[[#This Row],[Tôi thấy mức thuế tôi phải đóng theo phương án mới là công bằng (người thu nhập như tôi đóng mức này là hợp lý). - HUMAN-TRU2]]</f>
        <v>9</v>
      </c>
      <c r="AR90">
        <f t="shared" si="42"/>
        <v>0.88888888888888884</v>
      </c>
      <c r="AS90">
        <f>step3_validation[[#This Row],[AI_TRU3]]</f>
        <v>7</v>
      </c>
      <c r="AT90">
        <f t="shared" si="43"/>
        <v>0.66666666666666663</v>
      </c>
      <c r="AU90">
        <f>survey_responses[[#This Row],[Tôi tin tưởng số tiền thuế tôi đóng sẽ được Nhà nước sử dụng hiệu quả để cải thiện dịch vụ công (y tế, đường xá...). - HUMAN-TRU3]]</f>
        <v>9</v>
      </c>
      <c r="AV90">
        <f t="shared" si="44"/>
        <v>0.88888888888888884</v>
      </c>
      <c r="AW90">
        <f>step3_validation[[#This Row],[AI_TRU4]]</f>
        <v>6</v>
      </c>
      <c r="AX90">
        <f t="shared" si="45"/>
        <v>0.55555555555555558</v>
      </c>
      <c r="AY90">
        <f>survey_responses[[#This Row],[Tôi thấy Nhà nước đã giải thích rõ ràng, minh bạch về lý do và mục tiêu của việc sửa đổi thuế lần này. - HUMAN-TRU4]]</f>
        <v>8</v>
      </c>
      <c r="AZ90">
        <f t="shared" si="46"/>
        <v>0.77777777777777779</v>
      </c>
      <c r="BA90" s="32">
        <f t="shared" si="47"/>
        <v>0.7222222222222221</v>
      </c>
      <c r="BB90" s="32">
        <f t="shared" si="48"/>
        <v>0.88888888888888884</v>
      </c>
      <c r="BC90" s="7">
        <f t="shared" si="49"/>
        <v>0.72222222222222221</v>
      </c>
      <c r="BD90" s="7">
        <f t="shared" si="50"/>
        <v>0.90740740740740744</v>
      </c>
      <c r="BE90">
        <f>step3_validation[[#This Row],[AI_OUT1]]</f>
        <v>8</v>
      </c>
      <c r="BF90">
        <f t="shared" si="51"/>
        <v>0.77777777777777779</v>
      </c>
      <c r="BG90">
        <f>survey_responses[[#This Row],[Sau khi xem xét các quyền lợi và nghĩa vụ, bạn có ủng hộ và tuân thủ chính sách mới hiện nay? - HUMAN-OUT1]]</f>
        <v>9</v>
      </c>
      <c r="BH90">
        <f t="shared" si="52"/>
        <v>0.88888888888888884</v>
      </c>
      <c r="BI90" s="32">
        <f t="shared" si="53"/>
        <v>1</v>
      </c>
    </row>
    <row r="91" spans="1:61" x14ac:dyDescent="0.45">
      <c r="A91" s="30">
        <f>step3_validation[[#This Row],[Persona_ID]]</f>
        <v>90</v>
      </c>
      <c r="B91" s="31">
        <f>step3_validation[[#This Row],[Used_Seed]]</f>
        <v>131</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8</v>
      </c>
      <c r="R91">
        <f t="shared" si="27"/>
        <v>0.77777777777777779</v>
      </c>
      <c r="S91">
        <f>survey_responses[[#This Row],[Tôi tin rằng với các quy định quản lý thuế hiện nay, hành vi gian lận hoặc trốn thuế sẽ dễ dàng bị phát hiện và xử lý nghiêm. - HUMAN-ENF1]]</f>
        <v>6</v>
      </c>
      <c r="T91">
        <f t="shared" si="28"/>
        <v>0.55555555555555558</v>
      </c>
      <c r="U91">
        <f>step3_validation[[#This Row],[AI_ENF2]]</f>
        <v>9</v>
      </c>
      <c r="V91">
        <f t="shared" si="29"/>
        <v>0.88888888888888884</v>
      </c>
      <c r="W91">
        <f>survey_responses[[#This Row],[Tôi tin rằng Nhà nước, cơ quan thuế có đủ khả năng và công nghệ để phát hiện, xử lý nghiêm các hành vi trốn thuế. - HUMAN-ENF2]]</f>
        <v>10</v>
      </c>
      <c r="X91">
        <f t="shared" si="30"/>
        <v>1</v>
      </c>
      <c r="Y91" s="32">
        <f t="shared" si="31"/>
        <v>0.83333333333333326</v>
      </c>
      <c r="Z91" s="32">
        <f t="shared" si="32"/>
        <v>0.77777777777777779</v>
      </c>
      <c r="AA91">
        <f>step3_validation[[#This Row],[AI_FAC1]]</f>
        <v>9</v>
      </c>
      <c r="AB91">
        <f t="shared" si="33"/>
        <v>0.88888888888888884</v>
      </c>
      <c r="AC91">
        <f>survey_responses[[#This Row],[Các thủ tục khai báo thuế VÀ/HOẶC quy trình làm việc với cơ quan thuế đơn giản, tiện lợi, nhanh chóng hơn so với trước đây. - HUMAN-FAC1]]</f>
        <v>8</v>
      </c>
      <c r="AD91">
        <f t="shared" si="34"/>
        <v>0.77777777777777779</v>
      </c>
      <c r="AE91">
        <f>step3_validation[[#This Row],[AI_FAC2]]</f>
        <v>8</v>
      </c>
      <c r="AF91">
        <f t="shared" si="35"/>
        <v>0.77777777777777779</v>
      </c>
      <c r="AG91">
        <f>survey_responses[[#This Row],[So với trước đây, tôi thấy cách tính thuế và các bậc thuế trong phương án mới đơn giản, dễ hiểu và dễ thực hiện hơn. - HUMAN-FAC2]]</f>
        <v>9</v>
      </c>
      <c r="AH91">
        <f t="shared" si="36"/>
        <v>0.88888888888888884</v>
      </c>
      <c r="AI91" s="32">
        <f t="shared" si="37"/>
        <v>0.83333333333333326</v>
      </c>
      <c r="AJ91" s="32">
        <f t="shared" si="38"/>
        <v>0.83333333333333326</v>
      </c>
      <c r="AK91">
        <f>step3_validation[[#This Row],[AI_TRU1]]</f>
        <v>9</v>
      </c>
      <c r="AL91">
        <f t="shared" si="39"/>
        <v>0.88888888888888884</v>
      </c>
      <c r="AM91">
        <f>survey_responses[[#This Row],[Tôi tin rằng Nhà nước, cơ quan thuế sẽ thực thi chính sách mới một cách khách quan, công tâm và đối xử bình đẳng với mọi người nộp thuế.  - HUMAN-TRU1]]</f>
        <v>9</v>
      </c>
      <c r="AN91">
        <f t="shared" si="40"/>
        <v>0.88888888888888884</v>
      </c>
      <c r="AO91">
        <f>step3_validation[[#This Row],[AI_TRU2]]</f>
        <v>9</v>
      </c>
      <c r="AP91">
        <f t="shared" si="41"/>
        <v>0.88888888888888884</v>
      </c>
      <c r="AQ91">
        <f>survey_responses[[#This Row],[Tôi thấy mức thuế tôi phải đóng theo phương án mới là công bằng (người thu nhập như tôi đóng mức này là hợp lý). - HUMAN-TRU2]]</f>
        <v>9</v>
      </c>
      <c r="AR91">
        <f t="shared" si="42"/>
        <v>0.88888888888888884</v>
      </c>
      <c r="AS91">
        <f>step3_validation[[#This Row],[AI_TRU3]]</f>
        <v>9</v>
      </c>
      <c r="AT91">
        <f t="shared" si="43"/>
        <v>0.88888888888888884</v>
      </c>
      <c r="AU91">
        <f>survey_responses[[#This Row],[Tôi tin tưởng số tiền thuế tôi đóng sẽ được Nhà nước sử dụng hiệu quả để cải thiện dịch vụ công (y tế, đường xá...). - HUMAN-TRU3]]</f>
        <v>8</v>
      </c>
      <c r="AV91">
        <f t="shared" si="44"/>
        <v>0.77777777777777779</v>
      </c>
      <c r="AW91">
        <f>step3_validation[[#This Row],[AI_TRU4]]</f>
        <v>8</v>
      </c>
      <c r="AX91">
        <f t="shared" si="45"/>
        <v>0.77777777777777779</v>
      </c>
      <c r="AY91">
        <f>survey_responses[[#This Row],[Tôi thấy Nhà nước đã giải thích rõ ràng, minh bạch về lý do và mục tiêu của việc sửa đổi thuế lần này. - HUMAN-TRU4]]</f>
        <v>8</v>
      </c>
      <c r="AZ91">
        <f t="shared" si="46"/>
        <v>0.77777777777777779</v>
      </c>
      <c r="BA91" s="32">
        <f t="shared" si="47"/>
        <v>0.86111111111111105</v>
      </c>
      <c r="BB91" s="32">
        <f t="shared" si="48"/>
        <v>0.83333333333333326</v>
      </c>
      <c r="BC91" s="7">
        <f t="shared" si="49"/>
        <v>0.84259259259259256</v>
      </c>
      <c r="BD91" s="7">
        <f t="shared" si="50"/>
        <v>0.81481481481481488</v>
      </c>
      <c r="BE91">
        <f>step3_validation[[#This Row],[AI_OUT1]]</f>
        <v>9</v>
      </c>
      <c r="BF91">
        <f t="shared" si="51"/>
        <v>0.88888888888888884</v>
      </c>
      <c r="BG91">
        <f>survey_responses[[#This Row],[Sau khi xem xét các quyền lợi và nghĩa vụ, bạn có ủng hộ và tuân thủ chính sách mới hiện nay? - HUMAN-OUT1]]</f>
        <v>9</v>
      </c>
      <c r="BH91">
        <f t="shared" si="52"/>
        <v>0.88888888888888884</v>
      </c>
      <c r="BI91" s="32">
        <f t="shared" si="53"/>
        <v>0</v>
      </c>
    </row>
    <row r="92" spans="1:61" x14ac:dyDescent="0.45">
      <c r="A92" s="30">
        <f>step3_validation[[#This Row],[Persona_ID]]</f>
        <v>91</v>
      </c>
      <c r="B92" s="31">
        <f>step3_validation[[#This Row],[Used_Seed]]</f>
        <v>132</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6</v>
      </c>
      <c r="R92">
        <f t="shared" si="27"/>
        <v>0.55555555555555558</v>
      </c>
      <c r="S92">
        <f>survey_responses[[#This Row],[Tôi tin rằng với các quy định quản lý thuế hiện nay, hành vi gian lận hoặc trốn thuế sẽ dễ dàng bị phát hiện và xử lý nghiêm. - HUMAN-ENF1]]</f>
        <v>10</v>
      </c>
      <c r="T92">
        <f t="shared" si="28"/>
        <v>1</v>
      </c>
      <c r="U92">
        <f>step3_validation[[#This Row],[AI_ENF2]]</f>
        <v>8</v>
      </c>
      <c r="V92">
        <f t="shared" si="29"/>
        <v>0.77777777777777779</v>
      </c>
      <c r="W92">
        <f>survey_responses[[#This Row],[Tôi tin rằng Nhà nước, cơ quan thuế có đủ khả năng và công nghệ để phát hiện, xử lý nghiêm các hành vi trốn thuế. - HUMAN-ENF2]]</f>
        <v>9</v>
      </c>
      <c r="X92">
        <f t="shared" si="30"/>
        <v>0.88888888888888884</v>
      </c>
      <c r="Y92" s="32">
        <f t="shared" si="31"/>
        <v>0.66666666666666674</v>
      </c>
      <c r="Z92" s="32">
        <f t="shared" si="32"/>
        <v>0.94444444444444442</v>
      </c>
      <c r="AA92">
        <f>step3_validation[[#This Row],[AI_FAC1]]</f>
        <v>9</v>
      </c>
      <c r="AB92">
        <f t="shared" si="33"/>
        <v>0.88888888888888884</v>
      </c>
      <c r="AC92">
        <f>survey_responses[[#This Row],[Các thủ tục khai báo thuế VÀ/HOẶC quy trình làm việc với cơ quan thuế đơn giản, tiện lợi, nhanh chóng hơn so với trước đây. - HUMAN-FAC1]]</f>
        <v>9</v>
      </c>
      <c r="AD92">
        <f t="shared" si="34"/>
        <v>0.88888888888888884</v>
      </c>
      <c r="AE92">
        <f>step3_validation[[#This Row],[AI_FAC2]]</f>
        <v>9</v>
      </c>
      <c r="AF92">
        <f t="shared" si="35"/>
        <v>0.88888888888888884</v>
      </c>
      <c r="AG92">
        <f>survey_responses[[#This Row],[So với trước đây, tôi thấy cách tính thuế và các bậc thuế trong phương án mới đơn giản, dễ hiểu và dễ thực hiện hơn. - HUMAN-FAC2]]</f>
        <v>9</v>
      </c>
      <c r="AH92">
        <f t="shared" si="36"/>
        <v>0.88888888888888884</v>
      </c>
      <c r="AI92" s="32">
        <f t="shared" si="37"/>
        <v>0.88888888888888884</v>
      </c>
      <c r="AJ92" s="32">
        <f t="shared" si="38"/>
        <v>0.88888888888888884</v>
      </c>
      <c r="AK92">
        <f>step3_validation[[#This Row],[AI_TRU1]]</f>
        <v>7</v>
      </c>
      <c r="AL92">
        <f t="shared" si="39"/>
        <v>0.66666666666666663</v>
      </c>
      <c r="AM92">
        <f>survey_responses[[#This Row],[Tôi tin rằng Nhà nước, cơ quan thuế sẽ thực thi chính sách mới một cách khách quan, công tâm và đối xử bình đẳng với mọi người nộp thuế.  - HUMAN-TRU1]]</f>
        <v>10</v>
      </c>
      <c r="AN92">
        <f t="shared" si="40"/>
        <v>1</v>
      </c>
      <c r="AO92">
        <f>step3_validation[[#This Row],[AI_TRU2]]</f>
        <v>8</v>
      </c>
      <c r="AP92">
        <f t="shared" si="41"/>
        <v>0.77777777777777779</v>
      </c>
      <c r="AQ92">
        <f>survey_responses[[#This Row],[Tôi thấy mức thuế tôi phải đóng theo phương án mới là công bằng (người thu nhập như tôi đóng mức này là hợp lý). - HUMAN-TRU2]]</f>
        <v>9</v>
      </c>
      <c r="AR92">
        <f t="shared" si="42"/>
        <v>0.88888888888888884</v>
      </c>
      <c r="AS92">
        <f>step3_validation[[#This Row],[AI_TRU3]]</f>
        <v>7</v>
      </c>
      <c r="AT92">
        <f t="shared" si="43"/>
        <v>0.66666666666666663</v>
      </c>
      <c r="AU92">
        <f>survey_responses[[#This Row],[Tôi tin tưởng số tiền thuế tôi đóng sẽ được Nhà nước sử dụng hiệu quả để cải thiện dịch vụ công (y tế, đường xá...). - HUMAN-TRU3]]</f>
        <v>8</v>
      </c>
      <c r="AV92">
        <f t="shared" si="44"/>
        <v>0.77777777777777779</v>
      </c>
      <c r="AW92">
        <f>step3_validation[[#This Row],[AI_TRU4]]</f>
        <v>6</v>
      </c>
      <c r="AX92">
        <f t="shared" si="45"/>
        <v>0.55555555555555558</v>
      </c>
      <c r="AY92">
        <f>survey_responses[[#This Row],[Tôi thấy Nhà nước đã giải thích rõ ràng, minh bạch về lý do và mục tiêu của việc sửa đổi thuế lần này. - HUMAN-TRU4]]</f>
        <v>8</v>
      </c>
      <c r="AZ92">
        <f t="shared" si="46"/>
        <v>0.77777777777777779</v>
      </c>
      <c r="BA92" s="32">
        <f t="shared" si="47"/>
        <v>0.66666666666666674</v>
      </c>
      <c r="BB92" s="32">
        <f t="shared" si="48"/>
        <v>0.86111111111111105</v>
      </c>
      <c r="BC92" s="7">
        <f t="shared" si="49"/>
        <v>0.74074074074074081</v>
      </c>
      <c r="BD92" s="7">
        <f t="shared" si="50"/>
        <v>0.89814814814814803</v>
      </c>
      <c r="BE92">
        <f>step3_validation[[#This Row],[AI_OUT1]]</f>
        <v>7</v>
      </c>
      <c r="BF92">
        <f t="shared" si="51"/>
        <v>0.66666666666666663</v>
      </c>
      <c r="BG92">
        <f>survey_responses[[#This Row],[Sau khi xem xét các quyền lợi và nghĩa vụ, bạn có ủng hộ và tuân thủ chính sách mới hiện nay? - HUMAN-OUT1]]</f>
        <v>10</v>
      </c>
      <c r="BH92">
        <f t="shared" si="52"/>
        <v>1</v>
      </c>
      <c r="BI92" s="32">
        <f t="shared" si="53"/>
        <v>3</v>
      </c>
    </row>
    <row r="93" spans="1:61" x14ac:dyDescent="0.45">
      <c r="A93" s="30">
        <f>step3_validation[[#This Row],[Persona_ID]]</f>
        <v>92</v>
      </c>
      <c r="B93" s="31">
        <f>step3_validation[[#This Row],[Used_Seed]]</f>
        <v>133</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f t="shared" si="27"/>
        <v>0.66666666666666663</v>
      </c>
      <c r="S93">
        <f>survey_responses[[#This Row],[Tôi tin rằng với các quy định quản lý thuế hiện nay, hành vi gian lận hoặc trốn thuế sẽ dễ dàng bị phát hiện và xử lý nghiêm. - HUMAN-ENF1]]</f>
        <v>10</v>
      </c>
      <c r="T93">
        <f t="shared" si="28"/>
        <v>1</v>
      </c>
      <c r="U93">
        <f>step3_validation[[#This Row],[AI_ENF2]]</f>
        <v>6</v>
      </c>
      <c r="V93">
        <f t="shared" si="29"/>
        <v>0.55555555555555558</v>
      </c>
      <c r="W93">
        <f>survey_responses[[#This Row],[Tôi tin rằng Nhà nước, cơ quan thuế có đủ khả năng và công nghệ để phát hiện, xử lý nghiêm các hành vi trốn thuế. - HUMAN-ENF2]]</f>
        <v>10</v>
      </c>
      <c r="X93">
        <f t="shared" si="30"/>
        <v>1</v>
      </c>
      <c r="Y93" s="32">
        <f t="shared" si="31"/>
        <v>0.61111111111111116</v>
      </c>
      <c r="Z93" s="32">
        <f t="shared" si="32"/>
        <v>1</v>
      </c>
      <c r="AA93">
        <f>step3_validation[[#This Row],[AI_FAC1]]</f>
        <v>9</v>
      </c>
      <c r="AB93">
        <f t="shared" si="33"/>
        <v>0.88888888888888884</v>
      </c>
      <c r="AC93">
        <f>survey_responses[[#This Row],[Các thủ tục khai báo thuế VÀ/HOẶC quy trình làm việc với cơ quan thuế đơn giản, tiện lợi, nhanh chóng hơn so với trước đây. - HUMAN-FAC1]]</f>
        <v>10</v>
      </c>
      <c r="AD93">
        <f t="shared" si="34"/>
        <v>1</v>
      </c>
      <c r="AE93">
        <f>step3_validation[[#This Row],[AI_FAC2]]</f>
        <v>8</v>
      </c>
      <c r="AF93">
        <f t="shared" si="35"/>
        <v>0.77777777777777779</v>
      </c>
      <c r="AG93">
        <f>survey_responses[[#This Row],[So với trước đây, tôi thấy cách tính thuế và các bậc thuế trong phương án mới đơn giản, dễ hiểu và dễ thực hiện hơn. - HUMAN-FAC2]]</f>
        <v>10</v>
      </c>
      <c r="AH93">
        <f t="shared" si="36"/>
        <v>1</v>
      </c>
      <c r="AI93" s="32">
        <f t="shared" si="37"/>
        <v>0.83333333333333326</v>
      </c>
      <c r="AJ93" s="32">
        <f t="shared" si="38"/>
        <v>1</v>
      </c>
      <c r="AK93">
        <f>step3_validation[[#This Row],[AI_TRU1]]</f>
        <v>9</v>
      </c>
      <c r="AL93">
        <f t="shared" si="39"/>
        <v>0.88888888888888884</v>
      </c>
      <c r="AM93">
        <f>survey_responses[[#This Row],[Tôi tin rằng Nhà nước, cơ quan thuế sẽ thực thi chính sách mới một cách khách quan, công tâm và đối xử bình đẳng với mọi người nộp thuế.  - HUMAN-TRU1]]</f>
        <v>10</v>
      </c>
      <c r="AN93">
        <f t="shared" si="40"/>
        <v>1</v>
      </c>
      <c r="AO93">
        <f>step3_validation[[#This Row],[AI_TRU2]]</f>
        <v>8</v>
      </c>
      <c r="AP93">
        <f t="shared" si="41"/>
        <v>0.77777777777777779</v>
      </c>
      <c r="AQ93">
        <f>survey_responses[[#This Row],[Tôi thấy mức thuế tôi phải đóng theo phương án mới là công bằng (người thu nhập như tôi đóng mức này là hợp lý). - HUMAN-TRU2]]</f>
        <v>1</v>
      </c>
      <c r="AR93">
        <f t="shared" si="42"/>
        <v>0</v>
      </c>
      <c r="AS93">
        <f>step3_validation[[#This Row],[AI_TRU3]]</f>
        <v>9</v>
      </c>
      <c r="AT93">
        <f t="shared" si="43"/>
        <v>0.88888888888888884</v>
      </c>
      <c r="AU93">
        <f>survey_responses[[#This Row],[Tôi tin tưởng số tiền thuế tôi đóng sẽ được Nhà nước sử dụng hiệu quả để cải thiện dịch vụ công (y tế, đường xá...). - HUMAN-TRU3]]</f>
        <v>10</v>
      </c>
      <c r="AV93">
        <f t="shared" si="44"/>
        <v>1</v>
      </c>
      <c r="AW93">
        <f>step3_validation[[#This Row],[AI_TRU4]]</f>
        <v>8</v>
      </c>
      <c r="AX93">
        <f t="shared" si="45"/>
        <v>0.77777777777777779</v>
      </c>
      <c r="AY93">
        <f>survey_responses[[#This Row],[Tôi thấy Nhà nước đã giải thích rõ ràng, minh bạch về lý do và mục tiêu của việc sửa đổi thuế lần này. - HUMAN-TRU4]]</f>
        <v>10</v>
      </c>
      <c r="AZ93">
        <f t="shared" si="46"/>
        <v>1</v>
      </c>
      <c r="BA93" s="32">
        <f t="shared" si="47"/>
        <v>0.83333333333333326</v>
      </c>
      <c r="BB93" s="32">
        <f t="shared" si="48"/>
        <v>0.75</v>
      </c>
      <c r="BC93" s="7">
        <f t="shared" si="49"/>
        <v>0.75925925925925919</v>
      </c>
      <c r="BD93" s="7">
        <f t="shared" si="50"/>
        <v>0.91666666666666663</v>
      </c>
      <c r="BE93">
        <f>step3_validation[[#This Row],[AI_OUT1]]</f>
        <v>9</v>
      </c>
      <c r="BF93">
        <f t="shared" si="51"/>
        <v>0.88888888888888884</v>
      </c>
      <c r="BG93">
        <f>survey_responses[[#This Row],[Sau khi xem xét các quyền lợi và nghĩa vụ, bạn có ủng hộ và tuân thủ chính sách mới hiện nay? - HUMAN-OUT1]]</f>
        <v>10</v>
      </c>
      <c r="BH93">
        <f t="shared" si="52"/>
        <v>1</v>
      </c>
      <c r="BI93" s="32">
        <f t="shared" si="53"/>
        <v>1</v>
      </c>
    </row>
    <row r="94" spans="1:61" x14ac:dyDescent="0.45">
      <c r="A94" s="30">
        <f>step3_validation[[#This Row],[Persona_ID]]</f>
        <v>93</v>
      </c>
      <c r="B94" s="31">
        <f>step3_validation[[#This Row],[Used_Seed]]</f>
        <v>134</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41.656972505143862</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f t="shared" si="27"/>
        <v>0.55555555555555558</v>
      </c>
      <c r="S94">
        <f>survey_responses[[#This Row],[Tôi tin rằng với các quy định quản lý thuế hiện nay, hành vi gian lận hoặc trốn thuế sẽ dễ dàng bị phát hiện và xử lý nghiêm. - HUMAN-ENF1]]</f>
        <v>5</v>
      </c>
      <c r="T94">
        <f t="shared" si="28"/>
        <v>0.44444444444444442</v>
      </c>
      <c r="U94">
        <f>step3_validation[[#This Row],[AI_ENF2]]</f>
        <v>6</v>
      </c>
      <c r="V94">
        <f t="shared" si="29"/>
        <v>0.55555555555555558</v>
      </c>
      <c r="W94">
        <f>survey_responses[[#This Row],[Tôi tin rằng Nhà nước, cơ quan thuế có đủ khả năng và công nghệ để phát hiện, xử lý nghiêm các hành vi trốn thuế. - HUMAN-ENF2]]</f>
        <v>8</v>
      </c>
      <c r="X94">
        <f t="shared" si="30"/>
        <v>0.77777777777777779</v>
      </c>
      <c r="Y94" s="32">
        <f t="shared" si="31"/>
        <v>0.55555555555555558</v>
      </c>
      <c r="Z94" s="32">
        <f t="shared" si="32"/>
        <v>0.61111111111111116</v>
      </c>
      <c r="AA94">
        <f>step3_validation[[#This Row],[AI_FAC1]]</f>
        <v>7</v>
      </c>
      <c r="AB94">
        <f t="shared" si="33"/>
        <v>0.66666666666666663</v>
      </c>
      <c r="AC94">
        <f>survey_responses[[#This Row],[Các thủ tục khai báo thuế VÀ/HOẶC quy trình làm việc với cơ quan thuế đơn giản, tiện lợi, nhanh chóng hơn so với trước đây. - HUMAN-FAC1]]</f>
        <v>4</v>
      </c>
      <c r="AD94">
        <f t="shared" si="34"/>
        <v>0.33333333333333331</v>
      </c>
      <c r="AE94">
        <f>step3_validation[[#This Row],[AI_FAC2]]</f>
        <v>8</v>
      </c>
      <c r="AF94">
        <f t="shared" si="35"/>
        <v>0.77777777777777779</v>
      </c>
      <c r="AG94">
        <f>survey_responses[[#This Row],[So với trước đây, tôi thấy cách tính thuế và các bậc thuế trong phương án mới đơn giản, dễ hiểu và dễ thực hiện hơn. - HUMAN-FAC2]]</f>
        <v>9</v>
      </c>
      <c r="AH94">
        <f t="shared" si="36"/>
        <v>0.88888888888888884</v>
      </c>
      <c r="AI94" s="32">
        <f t="shared" si="37"/>
        <v>0.72222222222222221</v>
      </c>
      <c r="AJ94" s="32">
        <f t="shared" si="38"/>
        <v>0.61111111111111105</v>
      </c>
      <c r="AK94">
        <f>step3_validation[[#This Row],[AI_TRU1]]</f>
        <v>7</v>
      </c>
      <c r="AL94">
        <f t="shared" si="39"/>
        <v>0.66666666666666663</v>
      </c>
      <c r="AM94">
        <f>survey_responses[[#This Row],[Tôi tin rằng Nhà nước, cơ quan thuế sẽ thực thi chính sách mới một cách khách quan, công tâm và đối xử bình đẳng với mọi người nộp thuế.  - HUMAN-TRU1]]</f>
        <v>7</v>
      </c>
      <c r="AN94">
        <f t="shared" si="40"/>
        <v>0.66666666666666663</v>
      </c>
      <c r="AO94">
        <f>step3_validation[[#This Row],[AI_TRU2]]</f>
        <v>8</v>
      </c>
      <c r="AP94">
        <f t="shared" si="41"/>
        <v>0.77777777777777779</v>
      </c>
      <c r="AQ94">
        <f>survey_responses[[#This Row],[Tôi thấy mức thuế tôi phải đóng theo phương án mới là công bằng (người thu nhập như tôi đóng mức này là hợp lý). - HUMAN-TRU2]]</f>
        <v>5</v>
      </c>
      <c r="AR94">
        <f t="shared" si="42"/>
        <v>0.44444444444444442</v>
      </c>
      <c r="AS94">
        <f>step3_validation[[#This Row],[AI_TRU3]]</f>
        <v>7</v>
      </c>
      <c r="AT94">
        <f t="shared" si="43"/>
        <v>0.66666666666666663</v>
      </c>
      <c r="AU94">
        <f>survey_responses[[#This Row],[Tôi tin tưởng số tiền thuế tôi đóng sẽ được Nhà nước sử dụng hiệu quả để cải thiện dịch vụ công (y tế, đường xá...). - HUMAN-TRU3]]</f>
        <v>7</v>
      </c>
      <c r="AV94">
        <f t="shared" si="44"/>
        <v>0.66666666666666663</v>
      </c>
      <c r="AW94">
        <f>step3_validation[[#This Row],[AI_TRU4]]</f>
        <v>8</v>
      </c>
      <c r="AX94">
        <f t="shared" si="45"/>
        <v>0.77777777777777779</v>
      </c>
      <c r="AY94">
        <f>survey_responses[[#This Row],[Tôi thấy Nhà nước đã giải thích rõ ràng, minh bạch về lý do và mục tiêu của việc sửa đổi thuế lần này. - HUMAN-TRU4]]</f>
        <v>8</v>
      </c>
      <c r="AZ94">
        <f t="shared" si="46"/>
        <v>0.77777777777777779</v>
      </c>
      <c r="BA94" s="32">
        <f t="shared" si="47"/>
        <v>0.72222222222222221</v>
      </c>
      <c r="BB94" s="32">
        <f t="shared" si="48"/>
        <v>0.63888888888888884</v>
      </c>
      <c r="BC94" s="7">
        <f t="shared" si="49"/>
        <v>0.66666666666666663</v>
      </c>
      <c r="BD94" s="7">
        <f t="shared" si="50"/>
        <v>0.62037037037037035</v>
      </c>
      <c r="BE94">
        <f>step3_validation[[#This Row],[AI_OUT1]]</f>
        <v>9</v>
      </c>
      <c r="BF94">
        <f t="shared" si="51"/>
        <v>0.88888888888888884</v>
      </c>
      <c r="BG94">
        <f>survey_responses[[#This Row],[Sau khi xem xét các quyền lợi và nghĩa vụ, bạn có ủng hộ và tuân thủ chính sách mới hiện nay? - HUMAN-OUT1]]</f>
        <v>10</v>
      </c>
      <c r="BH94">
        <f t="shared" si="52"/>
        <v>1</v>
      </c>
      <c r="BI94" s="32">
        <f t="shared" si="53"/>
        <v>1</v>
      </c>
    </row>
    <row r="95" spans="1:61" x14ac:dyDescent="0.45">
      <c r="A95" s="30">
        <f>step3_validation[[#This Row],[Persona_ID]]</f>
        <v>94</v>
      </c>
      <c r="B95" s="31">
        <f>step3_validation[[#This Row],[Used_Seed]]</f>
        <v>135</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f t="shared" si="27"/>
        <v>0.55555555555555558</v>
      </c>
      <c r="S95">
        <f>survey_responses[[#This Row],[Tôi tin rằng với các quy định quản lý thuế hiện nay, hành vi gian lận hoặc trốn thuế sẽ dễ dàng bị phát hiện và xử lý nghiêm. - HUMAN-ENF1]]</f>
        <v>9</v>
      </c>
      <c r="T95">
        <f t="shared" si="28"/>
        <v>0.88888888888888884</v>
      </c>
      <c r="U95">
        <f>step3_validation[[#This Row],[AI_ENF2]]</f>
        <v>7</v>
      </c>
      <c r="V95">
        <f t="shared" si="29"/>
        <v>0.66666666666666663</v>
      </c>
      <c r="W95">
        <f>survey_responses[[#This Row],[Tôi tin rằng Nhà nước, cơ quan thuế có đủ khả năng và công nghệ để phát hiện, xử lý nghiêm các hành vi trốn thuế. - HUMAN-ENF2]]</f>
        <v>7</v>
      </c>
      <c r="X95">
        <f t="shared" si="30"/>
        <v>0.66666666666666663</v>
      </c>
      <c r="Y95" s="32">
        <f t="shared" si="31"/>
        <v>0.61111111111111116</v>
      </c>
      <c r="Z95" s="32">
        <f t="shared" si="32"/>
        <v>0.77777777777777768</v>
      </c>
      <c r="AA95">
        <f>step3_validation[[#This Row],[AI_FAC1]]</f>
        <v>9</v>
      </c>
      <c r="AB95">
        <f t="shared" si="33"/>
        <v>0.88888888888888884</v>
      </c>
      <c r="AC95">
        <f>survey_responses[[#This Row],[Các thủ tục khai báo thuế VÀ/HOẶC quy trình làm việc với cơ quan thuế đơn giản, tiện lợi, nhanh chóng hơn so với trước đây. - HUMAN-FAC1]]</f>
        <v>5</v>
      </c>
      <c r="AD95">
        <f t="shared" si="34"/>
        <v>0.44444444444444442</v>
      </c>
      <c r="AE95">
        <f>step3_validation[[#This Row],[AI_FAC2]]</f>
        <v>8</v>
      </c>
      <c r="AF95">
        <f t="shared" si="35"/>
        <v>0.77777777777777779</v>
      </c>
      <c r="AG95">
        <f>survey_responses[[#This Row],[So với trước đây, tôi thấy cách tính thuế và các bậc thuế trong phương án mới đơn giản, dễ hiểu và dễ thực hiện hơn. - HUMAN-FAC2]]</f>
        <v>7</v>
      </c>
      <c r="AH95">
        <f t="shared" si="36"/>
        <v>0.66666666666666663</v>
      </c>
      <c r="AI95" s="32">
        <f t="shared" si="37"/>
        <v>0.83333333333333326</v>
      </c>
      <c r="AJ95" s="32">
        <f t="shared" si="38"/>
        <v>0.55555555555555558</v>
      </c>
      <c r="AK95">
        <f>step3_validation[[#This Row],[AI_TRU1]]</f>
        <v>7</v>
      </c>
      <c r="AL95">
        <f t="shared" si="39"/>
        <v>0.66666666666666663</v>
      </c>
      <c r="AM95">
        <f>survey_responses[[#This Row],[Tôi tin rằng Nhà nước, cơ quan thuế sẽ thực thi chính sách mới một cách khách quan, công tâm và đối xử bình đẳng với mọi người nộp thuế.  - HUMAN-TRU1]]</f>
        <v>5</v>
      </c>
      <c r="AN95">
        <f t="shared" si="40"/>
        <v>0.44444444444444442</v>
      </c>
      <c r="AO95">
        <f>step3_validation[[#This Row],[AI_TRU2]]</f>
        <v>9</v>
      </c>
      <c r="AP95">
        <f t="shared" si="41"/>
        <v>0.88888888888888884</v>
      </c>
      <c r="AQ95">
        <f>survey_responses[[#This Row],[Tôi thấy mức thuế tôi phải đóng theo phương án mới là công bằng (người thu nhập như tôi đóng mức này là hợp lý). - HUMAN-TRU2]]</f>
        <v>8</v>
      </c>
      <c r="AR95">
        <f t="shared" si="42"/>
        <v>0.77777777777777779</v>
      </c>
      <c r="AS95">
        <f>step3_validation[[#This Row],[AI_TRU3]]</f>
        <v>6</v>
      </c>
      <c r="AT95">
        <f t="shared" si="43"/>
        <v>0.55555555555555558</v>
      </c>
      <c r="AU95">
        <f>survey_responses[[#This Row],[Tôi tin tưởng số tiền thuế tôi đóng sẽ được Nhà nước sử dụng hiệu quả để cải thiện dịch vụ công (y tế, đường xá...). - HUMAN-TRU3]]</f>
        <v>5</v>
      </c>
      <c r="AV95">
        <f t="shared" si="44"/>
        <v>0.44444444444444442</v>
      </c>
      <c r="AW95">
        <f>step3_validation[[#This Row],[AI_TRU4]]</f>
        <v>8</v>
      </c>
      <c r="AX95">
        <f t="shared" si="45"/>
        <v>0.77777777777777779</v>
      </c>
      <c r="AY95">
        <f>survey_responses[[#This Row],[Tôi thấy Nhà nước đã giải thích rõ ràng, minh bạch về lý do và mục tiêu của việc sửa đổi thuế lần này. - HUMAN-TRU4]]</f>
        <v>5</v>
      </c>
      <c r="AZ95">
        <f t="shared" si="46"/>
        <v>0.44444444444444442</v>
      </c>
      <c r="BA95" s="32">
        <f t="shared" si="47"/>
        <v>0.7222222222222221</v>
      </c>
      <c r="BB95" s="32">
        <f t="shared" si="48"/>
        <v>0.52777777777777779</v>
      </c>
      <c r="BC95" s="7">
        <f t="shared" si="49"/>
        <v>0.72222222222222221</v>
      </c>
      <c r="BD95" s="7">
        <f t="shared" si="50"/>
        <v>0.62037037037037035</v>
      </c>
      <c r="BE95">
        <f>step3_validation[[#This Row],[AI_OUT1]]</f>
        <v>9</v>
      </c>
      <c r="BF95">
        <f t="shared" si="51"/>
        <v>0.88888888888888884</v>
      </c>
      <c r="BG95">
        <f>survey_responses[[#This Row],[Sau khi xem xét các quyền lợi và nghĩa vụ, bạn có ủng hộ và tuân thủ chính sách mới hiện nay? - HUMAN-OUT1]]</f>
        <v>7</v>
      </c>
      <c r="BH95">
        <f t="shared" si="52"/>
        <v>0.66666666666666663</v>
      </c>
      <c r="BI95" s="32">
        <f t="shared" si="53"/>
        <v>2</v>
      </c>
    </row>
    <row r="96" spans="1:61" x14ac:dyDescent="0.45">
      <c r="A96" s="30">
        <f>step3_validation[[#This Row],[Persona_ID]]</f>
        <v>95</v>
      </c>
      <c r="B96" s="31">
        <f>step3_validation[[#This Row],[Used_Seed]]</f>
        <v>136</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38.558133870842298</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6</v>
      </c>
      <c r="R96">
        <f t="shared" si="27"/>
        <v>0.55555555555555558</v>
      </c>
      <c r="S96">
        <f>survey_responses[[#This Row],[Tôi tin rằng với các quy định quản lý thuế hiện nay, hành vi gian lận hoặc trốn thuế sẽ dễ dàng bị phát hiện và xử lý nghiêm. - HUMAN-ENF1]]</f>
        <v>4</v>
      </c>
      <c r="T96">
        <f t="shared" si="28"/>
        <v>0.33333333333333331</v>
      </c>
      <c r="U96">
        <f>step3_validation[[#This Row],[AI_ENF2]]</f>
        <v>6</v>
      </c>
      <c r="V96">
        <f t="shared" si="29"/>
        <v>0.55555555555555558</v>
      </c>
      <c r="W96">
        <f>survey_responses[[#This Row],[Tôi tin rằng Nhà nước, cơ quan thuế có đủ khả năng và công nghệ để phát hiện, xử lý nghiêm các hành vi trốn thuế. - HUMAN-ENF2]]</f>
        <v>6</v>
      </c>
      <c r="X96">
        <f t="shared" si="30"/>
        <v>0.55555555555555558</v>
      </c>
      <c r="Y96" s="32">
        <f t="shared" si="31"/>
        <v>0.55555555555555558</v>
      </c>
      <c r="Z96" s="32">
        <f t="shared" si="32"/>
        <v>0.44444444444444442</v>
      </c>
      <c r="AA96">
        <f>step3_validation[[#This Row],[AI_FAC1]]</f>
        <v>8</v>
      </c>
      <c r="AB96">
        <f t="shared" si="33"/>
        <v>0.77777777777777779</v>
      </c>
      <c r="AC96">
        <f>survey_responses[[#This Row],[Các thủ tục khai báo thuế VÀ/HOẶC quy trình làm việc với cơ quan thuế đơn giản, tiện lợi, nhanh chóng hơn so với trước đây. - HUMAN-FAC1]]</f>
        <v>5</v>
      </c>
      <c r="AD96">
        <f t="shared" si="34"/>
        <v>0.44444444444444442</v>
      </c>
      <c r="AE96">
        <f>step3_validation[[#This Row],[AI_FAC2]]</f>
        <v>9</v>
      </c>
      <c r="AF96">
        <f t="shared" si="35"/>
        <v>0.88888888888888884</v>
      </c>
      <c r="AG96">
        <f>survey_responses[[#This Row],[So với trước đây, tôi thấy cách tính thuế và các bậc thuế trong phương án mới đơn giản, dễ hiểu và dễ thực hiện hơn. - HUMAN-FAC2]]</f>
        <v>5</v>
      </c>
      <c r="AH96">
        <f t="shared" si="36"/>
        <v>0.44444444444444442</v>
      </c>
      <c r="AI96" s="32">
        <f t="shared" si="37"/>
        <v>0.83333333333333326</v>
      </c>
      <c r="AJ96" s="32">
        <f t="shared" si="38"/>
        <v>0.44444444444444442</v>
      </c>
      <c r="AK96">
        <f>step3_validation[[#This Row],[AI_TRU1]]</f>
        <v>7</v>
      </c>
      <c r="AL96">
        <f t="shared" si="39"/>
        <v>0.66666666666666663</v>
      </c>
      <c r="AM96">
        <f>survey_responses[[#This Row],[Tôi tin rằng Nhà nước, cơ quan thuế sẽ thực thi chính sách mới một cách khách quan, công tâm và đối xử bình đẳng với mọi người nộp thuế.  - HUMAN-TRU1]]</f>
        <v>4</v>
      </c>
      <c r="AN96">
        <f t="shared" si="40"/>
        <v>0.33333333333333331</v>
      </c>
      <c r="AO96">
        <f>step3_validation[[#This Row],[AI_TRU2]]</f>
        <v>8</v>
      </c>
      <c r="AP96">
        <f t="shared" si="41"/>
        <v>0.77777777777777779</v>
      </c>
      <c r="AQ96">
        <f>survey_responses[[#This Row],[Tôi thấy mức thuế tôi phải đóng theo phương án mới là công bằng (người thu nhập như tôi đóng mức này là hợp lý). - HUMAN-TRU2]]</f>
        <v>4</v>
      </c>
      <c r="AR96">
        <f t="shared" si="42"/>
        <v>0.33333333333333331</v>
      </c>
      <c r="AS96">
        <f>step3_validation[[#This Row],[AI_TRU3]]</f>
        <v>7</v>
      </c>
      <c r="AT96">
        <f t="shared" si="43"/>
        <v>0.66666666666666663</v>
      </c>
      <c r="AU96">
        <f>survey_responses[[#This Row],[Tôi tin tưởng số tiền thuế tôi đóng sẽ được Nhà nước sử dụng hiệu quả để cải thiện dịch vụ công (y tế, đường xá...). - HUMAN-TRU3]]</f>
        <v>3</v>
      </c>
      <c r="AV96">
        <f t="shared" si="44"/>
        <v>0.22222222222222221</v>
      </c>
      <c r="AW96">
        <f>step3_validation[[#This Row],[AI_TRU4]]</f>
        <v>6</v>
      </c>
      <c r="AX96">
        <f t="shared" si="45"/>
        <v>0.55555555555555558</v>
      </c>
      <c r="AY96">
        <f>survey_responses[[#This Row],[Tôi thấy Nhà nước đã giải thích rõ ràng, minh bạch về lý do và mục tiêu của việc sửa đổi thuế lần này. - HUMAN-TRU4]]</f>
        <v>4</v>
      </c>
      <c r="AZ96">
        <f t="shared" si="46"/>
        <v>0.33333333333333331</v>
      </c>
      <c r="BA96" s="32">
        <f t="shared" si="47"/>
        <v>0.66666666666666674</v>
      </c>
      <c r="BB96" s="32">
        <f t="shared" si="48"/>
        <v>0.30555555555555552</v>
      </c>
      <c r="BC96" s="7">
        <f t="shared" si="49"/>
        <v>0.68518518518518512</v>
      </c>
      <c r="BD96" s="7">
        <f t="shared" si="50"/>
        <v>0.39814814814814814</v>
      </c>
      <c r="BE96">
        <f>step3_validation[[#This Row],[AI_OUT1]]</f>
        <v>8</v>
      </c>
      <c r="BF96">
        <f t="shared" si="51"/>
        <v>0.77777777777777779</v>
      </c>
      <c r="BG96">
        <f>survey_responses[[#This Row],[Sau khi xem xét các quyền lợi và nghĩa vụ, bạn có ủng hộ và tuân thủ chính sách mới hiện nay? - HUMAN-OUT1]]</f>
        <v>3</v>
      </c>
      <c r="BH96">
        <f t="shared" si="52"/>
        <v>0.22222222222222221</v>
      </c>
      <c r="BI96" s="32">
        <f t="shared" si="53"/>
        <v>5</v>
      </c>
    </row>
    <row r="97" spans="1:61" x14ac:dyDescent="0.45">
      <c r="A97" s="30">
        <f>step3_validation[[#This Row],[Persona_ID]]</f>
        <v>96</v>
      </c>
      <c r="B97" s="31">
        <f>step3_validation[[#This Row],[Used_Seed]]</f>
        <v>137</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f t="shared" si="27"/>
        <v>0.66666666666666663</v>
      </c>
      <c r="S97">
        <f>survey_responses[[#This Row],[Tôi tin rằng với các quy định quản lý thuế hiện nay, hành vi gian lận hoặc trốn thuế sẽ dễ dàng bị phát hiện và xử lý nghiêm. - HUMAN-ENF1]]</f>
        <v>8</v>
      </c>
      <c r="T97">
        <f t="shared" si="28"/>
        <v>0.77777777777777779</v>
      </c>
      <c r="U97">
        <f>step3_validation[[#This Row],[AI_ENF2]]</f>
        <v>8</v>
      </c>
      <c r="V97">
        <f t="shared" si="29"/>
        <v>0.77777777777777779</v>
      </c>
      <c r="W97">
        <f>survey_responses[[#This Row],[Tôi tin rằng Nhà nước, cơ quan thuế có đủ khả năng và công nghệ để phát hiện, xử lý nghiêm các hành vi trốn thuế. - HUMAN-ENF2]]</f>
        <v>7</v>
      </c>
      <c r="X97">
        <f t="shared" si="30"/>
        <v>0.66666666666666663</v>
      </c>
      <c r="Y97" s="32">
        <f t="shared" si="31"/>
        <v>0.72222222222222221</v>
      </c>
      <c r="Z97" s="32">
        <f t="shared" si="32"/>
        <v>0.72222222222222221</v>
      </c>
      <c r="AA97">
        <f>step3_validation[[#This Row],[AI_FAC1]]</f>
        <v>9</v>
      </c>
      <c r="AB97">
        <f t="shared" si="33"/>
        <v>0.88888888888888884</v>
      </c>
      <c r="AC97">
        <f>survey_responses[[#This Row],[Các thủ tục khai báo thuế VÀ/HOẶC quy trình làm việc với cơ quan thuế đơn giản, tiện lợi, nhanh chóng hơn so với trước đây. - HUMAN-FAC1]]</f>
        <v>5</v>
      </c>
      <c r="AD97">
        <f t="shared" si="34"/>
        <v>0.44444444444444442</v>
      </c>
      <c r="AE97">
        <f>step3_validation[[#This Row],[AI_FAC2]]</f>
        <v>8</v>
      </c>
      <c r="AF97">
        <f t="shared" si="35"/>
        <v>0.77777777777777779</v>
      </c>
      <c r="AG97">
        <f>survey_responses[[#This Row],[So với trước đây, tôi thấy cách tính thuế và các bậc thuế trong phương án mới đơn giản, dễ hiểu và dễ thực hiện hơn. - HUMAN-FAC2]]</f>
        <v>7</v>
      </c>
      <c r="AH97">
        <f t="shared" si="36"/>
        <v>0.66666666666666663</v>
      </c>
      <c r="AI97" s="32">
        <f t="shared" si="37"/>
        <v>0.83333333333333326</v>
      </c>
      <c r="AJ97" s="32">
        <f t="shared" si="38"/>
        <v>0.55555555555555558</v>
      </c>
      <c r="AK97">
        <f>step3_validation[[#This Row],[AI_TRU1]]</f>
        <v>9</v>
      </c>
      <c r="AL97">
        <f t="shared" si="39"/>
        <v>0.88888888888888884</v>
      </c>
      <c r="AM97">
        <f>survey_responses[[#This Row],[Tôi tin rằng Nhà nước, cơ quan thuế sẽ thực thi chính sách mới một cách khách quan, công tâm và đối xử bình đẳng với mọi người nộp thuế.  - HUMAN-TRU1]]</f>
        <v>7</v>
      </c>
      <c r="AN97">
        <f t="shared" si="40"/>
        <v>0.66666666666666663</v>
      </c>
      <c r="AO97">
        <f>step3_validation[[#This Row],[AI_TRU2]]</f>
        <v>8</v>
      </c>
      <c r="AP97">
        <f t="shared" si="41"/>
        <v>0.77777777777777779</v>
      </c>
      <c r="AQ97">
        <f>survey_responses[[#This Row],[Tôi thấy mức thuế tôi phải đóng theo phương án mới là công bằng (người thu nhập như tôi đóng mức này là hợp lý). - HUMAN-TRU2]]</f>
        <v>5</v>
      </c>
      <c r="AR97">
        <f t="shared" si="42"/>
        <v>0.44444444444444442</v>
      </c>
      <c r="AS97">
        <f>step3_validation[[#This Row],[AI_TRU3]]</f>
        <v>9</v>
      </c>
      <c r="AT97">
        <f t="shared" si="43"/>
        <v>0.88888888888888884</v>
      </c>
      <c r="AU97">
        <f>survey_responses[[#This Row],[Tôi tin tưởng số tiền thuế tôi đóng sẽ được Nhà nước sử dụng hiệu quả để cải thiện dịch vụ công (y tế, đường xá...). - HUMAN-TRU3]]</f>
        <v>5</v>
      </c>
      <c r="AV97">
        <f t="shared" si="44"/>
        <v>0.44444444444444442</v>
      </c>
      <c r="AW97">
        <f>step3_validation[[#This Row],[AI_TRU4]]</f>
        <v>8</v>
      </c>
      <c r="AX97">
        <f t="shared" si="45"/>
        <v>0.77777777777777779</v>
      </c>
      <c r="AY97">
        <f>survey_responses[[#This Row],[Tôi thấy Nhà nước đã giải thích rõ ràng, minh bạch về lý do và mục tiêu của việc sửa đổi thuế lần này. - HUMAN-TRU4]]</f>
        <v>7</v>
      </c>
      <c r="AZ97">
        <f t="shared" si="46"/>
        <v>0.66666666666666663</v>
      </c>
      <c r="BA97" s="32">
        <f t="shared" si="47"/>
        <v>0.83333333333333326</v>
      </c>
      <c r="BB97" s="32">
        <f t="shared" si="48"/>
        <v>0.55555555555555558</v>
      </c>
      <c r="BC97" s="7">
        <f t="shared" si="49"/>
        <v>0.79629629629629617</v>
      </c>
      <c r="BD97" s="7">
        <f t="shared" si="50"/>
        <v>0.61111111111111105</v>
      </c>
      <c r="BE97">
        <f>step3_validation[[#This Row],[AI_OUT1]]</f>
        <v>9</v>
      </c>
      <c r="BF97">
        <f t="shared" si="51"/>
        <v>0.88888888888888884</v>
      </c>
      <c r="BG97">
        <f>survey_responses[[#This Row],[Sau khi xem xét các quyền lợi và nghĩa vụ, bạn có ủng hộ và tuân thủ chính sách mới hiện nay? - HUMAN-OUT1]]</f>
        <v>7</v>
      </c>
      <c r="BH97">
        <f t="shared" si="52"/>
        <v>0.66666666666666663</v>
      </c>
      <c r="BI97" s="32">
        <f t="shared" si="53"/>
        <v>2</v>
      </c>
    </row>
    <row r="98" spans="1:61" x14ac:dyDescent="0.45">
      <c r="A98" s="30">
        <f>step3_validation[[#This Row],[Persona_ID]]</f>
        <v>97</v>
      </c>
      <c r="B98" s="31">
        <f>step3_validation[[#This Row],[Used_Seed]]</f>
        <v>138</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144.51048773312573</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6</v>
      </c>
      <c r="R98">
        <f t="shared" si="27"/>
        <v>0.55555555555555558</v>
      </c>
      <c r="S98">
        <f>survey_responses[[#This Row],[Tôi tin rằng với các quy định quản lý thuế hiện nay, hành vi gian lận hoặc trốn thuế sẽ dễ dàng bị phát hiện và xử lý nghiêm. - HUMAN-ENF1]]</f>
        <v>6</v>
      </c>
      <c r="T98">
        <f t="shared" si="28"/>
        <v>0.55555555555555558</v>
      </c>
      <c r="U98">
        <f>step3_validation[[#This Row],[AI_ENF2]]</f>
        <v>7</v>
      </c>
      <c r="V98">
        <f t="shared" si="29"/>
        <v>0.66666666666666663</v>
      </c>
      <c r="W98">
        <f>survey_responses[[#This Row],[Tôi tin rằng Nhà nước, cơ quan thuế có đủ khả năng và công nghệ để phát hiện, xử lý nghiêm các hành vi trốn thuế. - HUMAN-ENF2]]</f>
        <v>6</v>
      </c>
      <c r="X98">
        <f t="shared" si="30"/>
        <v>0.55555555555555558</v>
      </c>
      <c r="Y98" s="32">
        <f t="shared" si="31"/>
        <v>0.61111111111111116</v>
      </c>
      <c r="Z98" s="32">
        <f t="shared" si="32"/>
        <v>0.55555555555555558</v>
      </c>
      <c r="AA98">
        <f>step3_validation[[#This Row],[AI_FAC1]]</f>
        <v>6</v>
      </c>
      <c r="AB98">
        <f t="shared" si="33"/>
        <v>0.55555555555555558</v>
      </c>
      <c r="AC98">
        <f>survey_responses[[#This Row],[Các thủ tục khai báo thuế VÀ/HOẶC quy trình làm việc với cơ quan thuế đơn giản, tiện lợi, nhanh chóng hơn so với trước đây. - HUMAN-FAC1]]</f>
        <v>5</v>
      </c>
      <c r="AD98">
        <f t="shared" si="34"/>
        <v>0.44444444444444442</v>
      </c>
      <c r="AE98">
        <f>step3_validation[[#This Row],[AI_FAC2]]</f>
        <v>8</v>
      </c>
      <c r="AF98">
        <f t="shared" si="35"/>
        <v>0.77777777777777779</v>
      </c>
      <c r="AG98">
        <f>survey_responses[[#This Row],[So với trước đây, tôi thấy cách tính thuế và các bậc thuế trong phương án mới đơn giản, dễ hiểu và dễ thực hiện hơn. - HUMAN-FAC2]]</f>
        <v>5</v>
      </c>
      <c r="AH98">
        <f t="shared" si="36"/>
        <v>0.44444444444444442</v>
      </c>
      <c r="AI98" s="32">
        <f t="shared" si="37"/>
        <v>0.66666666666666674</v>
      </c>
      <c r="AJ98" s="32">
        <f t="shared" si="38"/>
        <v>0.44444444444444442</v>
      </c>
      <c r="AK98">
        <f>step3_validation[[#This Row],[AI_TRU1]]</f>
        <v>5</v>
      </c>
      <c r="AL98">
        <f t="shared" si="39"/>
        <v>0.44444444444444442</v>
      </c>
      <c r="AM98">
        <f>survey_responses[[#This Row],[Tôi tin rằng Nhà nước, cơ quan thuế sẽ thực thi chính sách mới một cách khách quan, công tâm và đối xử bình đẳng với mọi người nộp thuế.  - HUMAN-TRU1]]</f>
        <v>5</v>
      </c>
      <c r="AN98">
        <f t="shared" si="40"/>
        <v>0.44444444444444442</v>
      </c>
      <c r="AO98">
        <f>step3_validation[[#This Row],[AI_TRU2]]</f>
        <v>6</v>
      </c>
      <c r="AP98">
        <f t="shared" si="41"/>
        <v>0.55555555555555558</v>
      </c>
      <c r="AQ98">
        <f>survey_responses[[#This Row],[Tôi thấy mức thuế tôi phải đóng theo phương án mới là công bằng (người thu nhập như tôi đóng mức này là hợp lý). - HUMAN-TRU2]]</f>
        <v>5</v>
      </c>
      <c r="AR98">
        <f t="shared" si="42"/>
        <v>0.44444444444444442</v>
      </c>
      <c r="AS98">
        <f>step3_validation[[#This Row],[AI_TRU3]]</f>
        <v>5</v>
      </c>
      <c r="AT98">
        <f t="shared" si="43"/>
        <v>0.44444444444444442</v>
      </c>
      <c r="AU98">
        <f>survey_responses[[#This Row],[Tôi tin tưởng số tiền thuế tôi đóng sẽ được Nhà nước sử dụng hiệu quả để cải thiện dịch vụ công (y tế, đường xá...). - HUMAN-TRU3]]</f>
        <v>5</v>
      </c>
      <c r="AV98">
        <f t="shared" si="44"/>
        <v>0.44444444444444442</v>
      </c>
      <c r="AW98">
        <f>step3_validation[[#This Row],[AI_TRU4]]</f>
        <v>7</v>
      </c>
      <c r="AX98">
        <f t="shared" si="45"/>
        <v>0.66666666666666663</v>
      </c>
      <c r="AY98">
        <f>survey_responses[[#This Row],[Tôi thấy Nhà nước đã giải thích rõ ràng, minh bạch về lý do và mục tiêu của việc sửa đổi thuế lần này. - HUMAN-TRU4]]</f>
        <v>5</v>
      </c>
      <c r="AZ98">
        <f t="shared" si="46"/>
        <v>0.44444444444444442</v>
      </c>
      <c r="BA98" s="32">
        <f t="shared" si="47"/>
        <v>0.52777777777777779</v>
      </c>
      <c r="BB98" s="32">
        <f t="shared" si="48"/>
        <v>0.44444444444444442</v>
      </c>
      <c r="BC98" s="7">
        <f t="shared" si="49"/>
        <v>0.60185185185185197</v>
      </c>
      <c r="BD98" s="7">
        <f t="shared" si="50"/>
        <v>0.48148148148148145</v>
      </c>
      <c r="BE98">
        <f>step3_validation[[#This Row],[AI_OUT1]]</f>
        <v>7</v>
      </c>
      <c r="BF98">
        <f t="shared" si="51"/>
        <v>0.66666666666666663</v>
      </c>
      <c r="BG98">
        <f>survey_responses[[#This Row],[Sau khi xem xét các quyền lợi và nghĩa vụ, bạn có ủng hộ và tuân thủ chính sách mới hiện nay? - HUMAN-OUT1]]</f>
        <v>5</v>
      </c>
      <c r="BH98">
        <f t="shared" si="52"/>
        <v>0.44444444444444442</v>
      </c>
      <c r="BI98" s="32">
        <f t="shared" si="53"/>
        <v>2</v>
      </c>
    </row>
    <row r="99" spans="1:61" x14ac:dyDescent="0.45">
      <c r="A99" s="30">
        <f>step3_validation[[#This Row],[Persona_ID]]</f>
        <v>98</v>
      </c>
      <c r="B99" s="31">
        <f>step3_validation[[#This Row],[Used_Seed]]</f>
        <v>139</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19.919094533873299</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7</v>
      </c>
      <c r="R99">
        <f t="shared" si="27"/>
        <v>0.66666666666666663</v>
      </c>
      <c r="S99">
        <f>survey_responses[[#This Row],[Tôi tin rằng với các quy định quản lý thuế hiện nay, hành vi gian lận hoặc trốn thuế sẽ dễ dàng bị phát hiện và xử lý nghiêm. - HUMAN-ENF1]]</f>
        <v>8</v>
      </c>
      <c r="T99">
        <f t="shared" si="28"/>
        <v>0.77777777777777779</v>
      </c>
      <c r="U99">
        <f>step3_validation[[#This Row],[AI_ENF2]]</f>
        <v>8</v>
      </c>
      <c r="V99">
        <f t="shared" si="29"/>
        <v>0.77777777777777779</v>
      </c>
      <c r="W99">
        <f>survey_responses[[#This Row],[Tôi tin rằng Nhà nước, cơ quan thuế có đủ khả năng và công nghệ để phát hiện, xử lý nghiêm các hành vi trốn thuế. - HUMAN-ENF2]]</f>
        <v>8</v>
      </c>
      <c r="X99">
        <f t="shared" si="30"/>
        <v>0.77777777777777779</v>
      </c>
      <c r="Y99" s="32">
        <f t="shared" si="31"/>
        <v>0.72222222222222221</v>
      </c>
      <c r="Z99" s="32">
        <f t="shared" si="32"/>
        <v>0.77777777777777779</v>
      </c>
      <c r="AA99">
        <f>step3_validation[[#This Row],[AI_FAC1]]</f>
        <v>9</v>
      </c>
      <c r="AB99">
        <f t="shared" si="33"/>
        <v>0.88888888888888884</v>
      </c>
      <c r="AC99">
        <f>survey_responses[[#This Row],[Các thủ tục khai báo thuế VÀ/HOẶC quy trình làm việc với cơ quan thuế đơn giản, tiện lợi, nhanh chóng hơn so với trước đây. - HUMAN-FAC1]]</f>
        <v>5</v>
      </c>
      <c r="AD99">
        <f t="shared" si="34"/>
        <v>0.44444444444444442</v>
      </c>
      <c r="AE99">
        <f>step3_validation[[#This Row],[AI_FAC2]]</f>
        <v>9</v>
      </c>
      <c r="AF99">
        <f t="shared" si="35"/>
        <v>0.88888888888888884</v>
      </c>
      <c r="AG99">
        <f>survey_responses[[#This Row],[So với trước đây, tôi thấy cách tính thuế và các bậc thuế trong phương án mới đơn giản, dễ hiểu và dễ thực hiện hơn. - HUMAN-FAC2]]</f>
        <v>8</v>
      </c>
      <c r="AH99">
        <f t="shared" si="36"/>
        <v>0.77777777777777779</v>
      </c>
      <c r="AI99" s="32">
        <f t="shared" si="37"/>
        <v>0.88888888888888884</v>
      </c>
      <c r="AJ99" s="32">
        <f t="shared" si="38"/>
        <v>0.61111111111111116</v>
      </c>
      <c r="AK99">
        <f>step3_validation[[#This Row],[AI_TRU1]]</f>
        <v>7</v>
      </c>
      <c r="AL99">
        <f t="shared" si="39"/>
        <v>0.66666666666666663</v>
      </c>
      <c r="AM99">
        <f>survey_responses[[#This Row],[Tôi tin rằng Nhà nước, cơ quan thuế sẽ thực thi chính sách mới một cách khách quan, công tâm và đối xử bình đẳng với mọi người nộp thuế.  - HUMAN-TRU1]]</f>
        <v>6</v>
      </c>
      <c r="AN99">
        <f t="shared" si="40"/>
        <v>0.55555555555555558</v>
      </c>
      <c r="AO99">
        <f>step3_validation[[#This Row],[AI_TRU2]]</f>
        <v>8</v>
      </c>
      <c r="AP99">
        <f t="shared" si="41"/>
        <v>0.77777777777777779</v>
      </c>
      <c r="AQ99">
        <f>survey_responses[[#This Row],[Tôi thấy mức thuế tôi phải đóng theo phương án mới là công bằng (người thu nhập như tôi đóng mức này là hợp lý). - HUMAN-TRU2]]</f>
        <v>9</v>
      </c>
      <c r="AR99">
        <f t="shared" si="42"/>
        <v>0.88888888888888884</v>
      </c>
      <c r="AS99">
        <f>step3_validation[[#This Row],[AI_TRU3]]</f>
        <v>6</v>
      </c>
      <c r="AT99">
        <f t="shared" si="43"/>
        <v>0.55555555555555558</v>
      </c>
      <c r="AU99">
        <f>survey_responses[[#This Row],[Tôi tin tưởng số tiền thuế tôi đóng sẽ được Nhà nước sử dụng hiệu quả để cải thiện dịch vụ công (y tế, đường xá...). - HUMAN-TRU3]]</f>
        <v>5</v>
      </c>
      <c r="AV99">
        <f t="shared" si="44"/>
        <v>0.44444444444444442</v>
      </c>
      <c r="AW99">
        <f>step3_validation[[#This Row],[AI_TRU4]]</f>
        <v>7</v>
      </c>
      <c r="AX99">
        <f t="shared" si="45"/>
        <v>0.66666666666666663</v>
      </c>
      <c r="AY99">
        <f>survey_responses[[#This Row],[Tôi thấy Nhà nước đã giải thích rõ ràng, minh bạch về lý do và mục tiêu của việc sửa đổi thuế lần này. - HUMAN-TRU4]]</f>
        <v>7</v>
      </c>
      <c r="AZ99">
        <f t="shared" si="46"/>
        <v>0.66666666666666663</v>
      </c>
      <c r="BA99" s="32">
        <f t="shared" si="47"/>
        <v>0.66666666666666663</v>
      </c>
      <c r="BB99" s="32">
        <f t="shared" si="48"/>
        <v>0.63888888888888884</v>
      </c>
      <c r="BC99" s="7">
        <f t="shared" si="49"/>
        <v>0.75925925925925919</v>
      </c>
      <c r="BD99" s="7">
        <f t="shared" si="50"/>
        <v>0.67592592592592593</v>
      </c>
      <c r="BE99">
        <f>step3_validation[[#This Row],[AI_OUT1]]</f>
        <v>9</v>
      </c>
      <c r="BF99">
        <f t="shared" si="51"/>
        <v>0.88888888888888884</v>
      </c>
      <c r="BG99">
        <f>survey_responses[[#This Row],[Sau khi xem xét các quyền lợi và nghĩa vụ, bạn có ủng hộ và tuân thủ chính sách mới hiện nay? - HUMAN-OUT1]]</f>
        <v>8</v>
      </c>
      <c r="BH99">
        <f t="shared" si="52"/>
        <v>0.77777777777777779</v>
      </c>
      <c r="BI99" s="32">
        <f t="shared" si="53"/>
        <v>1</v>
      </c>
    </row>
    <row r="100" spans="1:61" x14ac:dyDescent="0.45">
      <c r="A100" s="30">
        <f>step3_validation[[#This Row],[Persona_ID]]</f>
        <v>99</v>
      </c>
      <c r="B100" s="31">
        <f>step3_validation[[#This Row],[Used_Seed]]</f>
        <v>140</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30.787412476426358</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5</v>
      </c>
      <c r="R100">
        <f t="shared" si="27"/>
        <v>0.44444444444444442</v>
      </c>
      <c r="S100">
        <f>survey_responses[[#This Row],[Tôi tin rằng với các quy định quản lý thuế hiện nay, hành vi gian lận hoặc trốn thuế sẽ dễ dàng bị phát hiện và xử lý nghiêm. - HUMAN-ENF1]]</f>
        <v>6</v>
      </c>
      <c r="T100">
        <f t="shared" si="28"/>
        <v>0.55555555555555558</v>
      </c>
      <c r="U100">
        <f>step3_validation[[#This Row],[AI_ENF2]]</f>
        <v>6</v>
      </c>
      <c r="V100">
        <f t="shared" si="29"/>
        <v>0.55555555555555558</v>
      </c>
      <c r="W100">
        <f>survey_responses[[#This Row],[Tôi tin rằng Nhà nước, cơ quan thuế có đủ khả năng và công nghệ để phát hiện, xử lý nghiêm các hành vi trốn thuế. - HUMAN-ENF2]]</f>
        <v>6</v>
      </c>
      <c r="X100">
        <f t="shared" si="30"/>
        <v>0.55555555555555558</v>
      </c>
      <c r="Y100" s="32">
        <f t="shared" si="31"/>
        <v>0.5</v>
      </c>
      <c r="Z100" s="32">
        <f t="shared" si="32"/>
        <v>0.55555555555555558</v>
      </c>
      <c r="AA100">
        <f>step3_validation[[#This Row],[AI_FAC1]]</f>
        <v>7</v>
      </c>
      <c r="AB100">
        <f t="shared" si="33"/>
        <v>0.66666666666666663</v>
      </c>
      <c r="AC100">
        <f>survey_responses[[#This Row],[Các thủ tục khai báo thuế VÀ/HOẶC quy trình làm việc với cơ quan thuế đơn giản, tiện lợi, nhanh chóng hơn so với trước đây. - HUMAN-FAC1]]</f>
        <v>3</v>
      </c>
      <c r="AD100">
        <f t="shared" si="34"/>
        <v>0.22222222222222221</v>
      </c>
      <c r="AE100">
        <f>step3_validation[[#This Row],[AI_FAC2]]</f>
        <v>8</v>
      </c>
      <c r="AF100">
        <f t="shared" si="35"/>
        <v>0.77777777777777779</v>
      </c>
      <c r="AG100">
        <f>survey_responses[[#This Row],[So với trước đây, tôi thấy cách tính thuế và các bậc thuế trong phương án mới đơn giản, dễ hiểu và dễ thực hiện hơn. - HUMAN-FAC2]]</f>
        <v>6</v>
      </c>
      <c r="AH100">
        <f t="shared" si="36"/>
        <v>0.55555555555555558</v>
      </c>
      <c r="AI100" s="32">
        <f t="shared" si="37"/>
        <v>0.72222222222222221</v>
      </c>
      <c r="AJ100" s="32">
        <f t="shared" si="38"/>
        <v>0.3888888888888889</v>
      </c>
      <c r="AK100">
        <f>step3_validation[[#This Row],[AI_TRU1]]</f>
        <v>6</v>
      </c>
      <c r="AL100">
        <f t="shared" si="39"/>
        <v>0.55555555555555558</v>
      </c>
      <c r="AM100">
        <f>survey_responses[[#This Row],[Tôi tin rằng Nhà nước, cơ quan thuế sẽ thực thi chính sách mới một cách khách quan, công tâm và đối xử bình đẳng với mọi người nộp thuế.  - HUMAN-TRU1]]</f>
        <v>5</v>
      </c>
      <c r="AN100">
        <f t="shared" si="40"/>
        <v>0.44444444444444442</v>
      </c>
      <c r="AO100">
        <f>step3_validation[[#This Row],[AI_TRU2]]</f>
        <v>9</v>
      </c>
      <c r="AP100">
        <f t="shared" si="41"/>
        <v>0.88888888888888884</v>
      </c>
      <c r="AQ100">
        <f>survey_responses[[#This Row],[Tôi thấy mức thuế tôi phải đóng theo phương án mới là công bằng (người thu nhập như tôi đóng mức này là hợp lý). - HUMAN-TRU2]]</f>
        <v>6</v>
      </c>
      <c r="AR100">
        <f t="shared" si="42"/>
        <v>0.55555555555555558</v>
      </c>
      <c r="AS100">
        <f>step3_validation[[#This Row],[AI_TRU3]]</f>
        <v>7</v>
      </c>
      <c r="AT100">
        <f t="shared" si="43"/>
        <v>0.66666666666666663</v>
      </c>
      <c r="AU100">
        <f>survey_responses[[#This Row],[Tôi tin tưởng số tiền thuế tôi đóng sẽ được Nhà nước sử dụng hiệu quả để cải thiện dịch vụ công (y tế, đường xá...). - HUMAN-TRU3]]</f>
        <v>5</v>
      </c>
      <c r="AV100">
        <f t="shared" si="44"/>
        <v>0.44444444444444442</v>
      </c>
      <c r="AW100">
        <f>step3_validation[[#This Row],[AI_TRU4]]</f>
        <v>6</v>
      </c>
      <c r="AX100">
        <f t="shared" si="45"/>
        <v>0.55555555555555558</v>
      </c>
      <c r="AY100">
        <f>survey_responses[[#This Row],[Tôi thấy Nhà nước đã giải thích rõ ràng, minh bạch về lý do và mục tiêu của việc sửa đổi thuế lần này. - HUMAN-TRU4]]</f>
        <v>6</v>
      </c>
      <c r="AZ100">
        <f t="shared" si="46"/>
        <v>0.55555555555555558</v>
      </c>
      <c r="BA100" s="32">
        <f t="shared" si="47"/>
        <v>0.66666666666666674</v>
      </c>
      <c r="BB100" s="32">
        <f t="shared" si="48"/>
        <v>0.5</v>
      </c>
      <c r="BC100" s="7">
        <f t="shared" si="49"/>
        <v>0.62962962962962965</v>
      </c>
      <c r="BD100" s="7">
        <f t="shared" si="50"/>
        <v>0.48148148148148145</v>
      </c>
      <c r="BE100">
        <f>step3_validation[[#This Row],[AI_OUT1]]</f>
        <v>9</v>
      </c>
      <c r="BF100">
        <f t="shared" si="51"/>
        <v>0.88888888888888884</v>
      </c>
      <c r="BG100">
        <f>survey_responses[[#This Row],[Sau khi xem xét các quyền lợi và nghĩa vụ, bạn có ủng hộ và tuân thủ chính sách mới hiện nay? - HUMAN-OUT1]]</f>
        <v>6</v>
      </c>
      <c r="BH100">
        <f t="shared" si="52"/>
        <v>0.55555555555555558</v>
      </c>
      <c r="BI100" s="32">
        <f t="shared" si="53"/>
        <v>3</v>
      </c>
    </row>
    <row r="101" spans="1:61" x14ac:dyDescent="0.45">
      <c r="A101" s="30">
        <f>step3_validation[[#This Row],[Persona_ID]]</f>
        <v>100</v>
      </c>
      <c r="B101" s="31">
        <f>step3_validation[[#This Row],[Used_Seed]]</f>
        <v>141</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13.675299873446729</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5</v>
      </c>
      <c r="R101">
        <f t="shared" si="27"/>
        <v>0.44444444444444442</v>
      </c>
      <c r="S101">
        <f>survey_responses[[#This Row],[Tôi tin rằng với các quy định quản lý thuế hiện nay, hành vi gian lận hoặc trốn thuế sẽ dễ dàng bị phát hiện và xử lý nghiêm. - HUMAN-ENF1]]</f>
        <v>8</v>
      </c>
      <c r="T101">
        <f t="shared" si="28"/>
        <v>0.77777777777777779</v>
      </c>
      <c r="U101">
        <f>step3_validation[[#This Row],[AI_ENF2]]</f>
        <v>7</v>
      </c>
      <c r="V101">
        <f t="shared" si="29"/>
        <v>0.66666666666666663</v>
      </c>
      <c r="W101">
        <f>survey_responses[[#This Row],[Tôi tin rằng Nhà nước, cơ quan thuế có đủ khả năng và công nghệ để phát hiện, xử lý nghiêm các hành vi trốn thuế. - HUMAN-ENF2]]</f>
        <v>8</v>
      </c>
      <c r="X101">
        <f t="shared" si="30"/>
        <v>0.77777777777777779</v>
      </c>
      <c r="Y101" s="32">
        <f t="shared" si="31"/>
        <v>0.55555555555555558</v>
      </c>
      <c r="Z101" s="32">
        <f t="shared" si="32"/>
        <v>0.77777777777777779</v>
      </c>
      <c r="AA101">
        <f>step3_validation[[#This Row],[AI_FAC1]]</f>
        <v>9</v>
      </c>
      <c r="AB101">
        <f t="shared" si="33"/>
        <v>0.88888888888888884</v>
      </c>
      <c r="AC101">
        <f>survey_responses[[#This Row],[Các thủ tục khai báo thuế VÀ/HOẶC quy trình làm việc với cơ quan thuế đơn giản, tiện lợi, nhanh chóng hơn so với trước đây. - HUMAN-FAC1]]</f>
        <v>8</v>
      </c>
      <c r="AD101">
        <f t="shared" si="34"/>
        <v>0.77777777777777779</v>
      </c>
      <c r="AE101">
        <f>step3_validation[[#This Row],[AI_FAC2]]</f>
        <v>7</v>
      </c>
      <c r="AF101">
        <f t="shared" si="35"/>
        <v>0.66666666666666663</v>
      </c>
      <c r="AG101">
        <f>survey_responses[[#This Row],[So với trước đây, tôi thấy cách tính thuế và các bậc thuế trong phương án mới đơn giản, dễ hiểu và dễ thực hiện hơn. - HUMAN-FAC2]]</f>
        <v>10</v>
      </c>
      <c r="AH101">
        <f t="shared" si="36"/>
        <v>1</v>
      </c>
      <c r="AI101" s="32">
        <f t="shared" si="37"/>
        <v>0.77777777777777768</v>
      </c>
      <c r="AJ101" s="32">
        <f t="shared" si="38"/>
        <v>0.88888888888888884</v>
      </c>
      <c r="AK101">
        <f>step3_validation[[#This Row],[AI_TRU1]]</f>
        <v>8</v>
      </c>
      <c r="AL101">
        <f t="shared" si="39"/>
        <v>0.77777777777777779</v>
      </c>
      <c r="AM101">
        <f>survey_responses[[#This Row],[Tôi tin rằng Nhà nước, cơ quan thuế sẽ thực thi chính sách mới một cách khách quan, công tâm và đối xử bình đẳng với mọi người nộp thuế.  - HUMAN-TRU1]]</f>
        <v>10</v>
      </c>
      <c r="AN101">
        <f t="shared" si="40"/>
        <v>1</v>
      </c>
      <c r="AO101">
        <f>step3_validation[[#This Row],[AI_TRU2]]</f>
        <v>9</v>
      </c>
      <c r="AP101">
        <f t="shared" si="41"/>
        <v>0.88888888888888884</v>
      </c>
      <c r="AQ101">
        <f>survey_responses[[#This Row],[Tôi thấy mức thuế tôi phải đóng theo phương án mới là công bằng (người thu nhập như tôi đóng mức này là hợp lý). - HUMAN-TRU2]]</f>
        <v>10</v>
      </c>
      <c r="AR101">
        <f t="shared" si="42"/>
        <v>1</v>
      </c>
      <c r="AS101">
        <f>step3_validation[[#This Row],[AI_TRU3]]</f>
        <v>8</v>
      </c>
      <c r="AT101">
        <f t="shared" si="43"/>
        <v>0.77777777777777779</v>
      </c>
      <c r="AU101">
        <f>survey_responses[[#This Row],[Tôi tin tưởng số tiền thuế tôi đóng sẽ được Nhà nước sử dụng hiệu quả để cải thiện dịch vụ công (y tế, đường xá...). - HUMAN-TRU3]]</f>
        <v>10</v>
      </c>
      <c r="AV101">
        <f t="shared" si="44"/>
        <v>1</v>
      </c>
      <c r="AW101">
        <f>step3_validation[[#This Row],[AI_TRU4]]</f>
        <v>6</v>
      </c>
      <c r="AX101">
        <f t="shared" si="45"/>
        <v>0.55555555555555558</v>
      </c>
      <c r="AY101">
        <f>survey_responses[[#This Row],[Tôi thấy Nhà nước đã giải thích rõ ràng, minh bạch về lý do và mục tiêu của việc sửa đổi thuế lần này. - HUMAN-TRU4]]</f>
        <v>10</v>
      </c>
      <c r="AZ101">
        <f t="shared" si="46"/>
        <v>1</v>
      </c>
      <c r="BA101" s="32">
        <f t="shared" si="47"/>
        <v>0.75</v>
      </c>
      <c r="BB101" s="32">
        <f t="shared" si="48"/>
        <v>1</v>
      </c>
      <c r="BC101" s="7">
        <f t="shared" si="49"/>
        <v>0.69444444444444431</v>
      </c>
      <c r="BD101" s="7">
        <f t="shared" si="50"/>
        <v>0.88888888888888884</v>
      </c>
      <c r="BE101">
        <f>step3_validation[[#This Row],[AI_OUT1]]</f>
        <v>8</v>
      </c>
      <c r="BF101">
        <f t="shared" si="51"/>
        <v>0.77777777777777779</v>
      </c>
      <c r="BG101">
        <f>survey_responses[[#This Row],[Sau khi xem xét các quyền lợi và nghĩa vụ, bạn có ủng hộ và tuân thủ chính sách mới hiện nay? - HUMAN-OUT1]]</f>
        <v>10</v>
      </c>
      <c r="BH101">
        <f t="shared" si="52"/>
        <v>1</v>
      </c>
      <c r="BI101" s="32">
        <f t="shared" si="53"/>
        <v>2</v>
      </c>
    </row>
    <row r="102" spans="1:61" x14ac:dyDescent="0.45">
      <c r="A102" s="30">
        <f>step3_validation[[#This Row],[Persona_ID]]</f>
        <v>101</v>
      </c>
      <c r="B102" s="31">
        <f>step3_validation[[#This Row],[Used_Seed]]</f>
        <v>142</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73.984400877890153</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f t="shared" si="27"/>
        <v>0.66666666666666663</v>
      </c>
      <c r="S102">
        <f>survey_responses[[#This Row],[Tôi tin rằng với các quy định quản lý thuế hiện nay, hành vi gian lận hoặc trốn thuế sẽ dễ dàng bị phát hiện và xử lý nghiêm. - HUMAN-ENF1]]</f>
        <v>8</v>
      </c>
      <c r="T102">
        <f t="shared" si="28"/>
        <v>0.77777777777777779</v>
      </c>
      <c r="U102">
        <f>step3_validation[[#This Row],[AI_ENF2]]</f>
        <v>8</v>
      </c>
      <c r="V102">
        <f t="shared" si="29"/>
        <v>0.77777777777777779</v>
      </c>
      <c r="W102">
        <f>survey_responses[[#This Row],[Tôi tin rằng Nhà nước, cơ quan thuế có đủ khả năng và công nghệ để phát hiện, xử lý nghiêm các hành vi trốn thuế. - HUMAN-ENF2]]</f>
        <v>8</v>
      </c>
      <c r="X102">
        <f t="shared" si="30"/>
        <v>0.77777777777777779</v>
      </c>
      <c r="Y102" s="32">
        <f t="shared" si="31"/>
        <v>0.72222222222222221</v>
      </c>
      <c r="Z102" s="32">
        <f t="shared" si="32"/>
        <v>0.77777777777777779</v>
      </c>
      <c r="AA102">
        <f>step3_validation[[#This Row],[AI_FAC1]]</f>
        <v>7</v>
      </c>
      <c r="AB102">
        <f t="shared" si="33"/>
        <v>0.66666666666666663</v>
      </c>
      <c r="AC102">
        <f>survey_responses[[#This Row],[Các thủ tục khai báo thuế VÀ/HOẶC quy trình làm việc với cơ quan thuế đơn giản, tiện lợi, nhanh chóng hơn so với trước đây. - HUMAN-FAC1]]</f>
        <v>7</v>
      </c>
      <c r="AD102">
        <f t="shared" si="34"/>
        <v>0.66666666666666663</v>
      </c>
      <c r="AE102">
        <f>step3_validation[[#This Row],[AI_FAC2]]</f>
        <v>8</v>
      </c>
      <c r="AF102">
        <f t="shared" si="35"/>
        <v>0.77777777777777779</v>
      </c>
      <c r="AG102">
        <f>survey_responses[[#This Row],[So với trước đây, tôi thấy cách tính thuế và các bậc thuế trong phương án mới đơn giản, dễ hiểu và dễ thực hiện hơn. - HUMAN-FAC2]]</f>
        <v>8</v>
      </c>
      <c r="AH102">
        <f t="shared" si="36"/>
        <v>0.77777777777777779</v>
      </c>
      <c r="AI102" s="32">
        <f t="shared" si="37"/>
        <v>0.72222222222222221</v>
      </c>
      <c r="AJ102" s="32">
        <f t="shared" si="38"/>
        <v>0.72222222222222221</v>
      </c>
      <c r="AK102">
        <f>step3_validation[[#This Row],[AI_TRU1]]</f>
        <v>7</v>
      </c>
      <c r="AL102">
        <f t="shared" si="39"/>
        <v>0.66666666666666663</v>
      </c>
      <c r="AM102">
        <f>survey_responses[[#This Row],[Tôi tin rằng Nhà nước, cơ quan thuế sẽ thực thi chính sách mới một cách khách quan, công tâm và đối xử bình đẳng với mọi người nộp thuế.  - HUMAN-TRU1]]</f>
        <v>8</v>
      </c>
      <c r="AN102">
        <f t="shared" si="40"/>
        <v>0.77777777777777779</v>
      </c>
      <c r="AO102">
        <f>step3_validation[[#This Row],[AI_TRU2]]</f>
        <v>9</v>
      </c>
      <c r="AP102">
        <f t="shared" si="41"/>
        <v>0.88888888888888884</v>
      </c>
      <c r="AQ102">
        <f>survey_responses[[#This Row],[Tôi thấy mức thuế tôi phải đóng theo phương án mới là công bằng (người thu nhập như tôi đóng mức này là hợp lý). - HUMAN-TRU2]]</f>
        <v>7</v>
      </c>
      <c r="AR102">
        <f t="shared" si="42"/>
        <v>0.66666666666666663</v>
      </c>
      <c r="AS102">
        <f>step3_validation[[#This Row],[AI_TRU3]]</f>
        <v>7</v>
      </c>
      <c r="AT102">
        <f t="shared" si="43"/>
        <v>0.66666666666666663</v>
      </c>
      <c r="AU102">
        <f>survey_responses[[#This Row],[Tôi tin tưởng số tiền thuế tôi đóng sẽ được Nhà nước sử dụng hiệu quả để cải thiện dịch vụ công (y tế, đường xá...). - HUMAN-TRU3]]</f>
        <v>7</v>
      </c>
      <c r="AV102">
        <f t="shared" si="44"/>
        <v>0.66666666666666663</v>
      </c>
      <c r="AW102">
        <f>step3_validation[[#This Row],[AI_TRU4]]</f>
        <v>8</v>
      </c>
      <c r="AX102">
        <f t="shared" si="45"/>
        <v>0.77777777777777779</v>
      </c>
      <c r="AY102">
        <f>survey_responses[[#This Row],[Tôi thấy Nhà nước đã giải thích rõ ràng, minh bạch về lý do và mục tiêu của việc sửa đổi thuế lần này. - HUMAN-TRU4]]</f>
        <v>7</v>
      </c>
      <c r="AZ102">
        <f t="shared" si="46"/>
        <v>0.66666666666666663</v>
      </c>
      <c r="BA102" s="32">
        <f t="shared" si="47"/>
        <v>0.74999999999999989</v>
      </c>
      <c r="BB102" s="32">
        <f t="shared" si="48"/>
        <v>0.69444444444444442</v>
      </c>
      <c r="BC102" s="7">
        <f t="shared" si="49"/>
        <v>0.7314814814814814</v>
      </c>
      <c r="BD102" s="7">
        <f t="shared" si="50"/>
        <v>0.73148148148148151</v>
      </c>
      <c r="BE102">
        <f>step3_validation[[#This Row],[AI_OUT1]]</f>
        <v>9</v>
      </c>
      <c r="BF102">
        <f t="shared" si="51"/>
        <v>0.88888888888888884</v>
      </c>
      <c r="BG102">
        <f>survey_responses[[#This Row],[Sau khi xem xét các quyền lợi và nghĩa vụ, bạn có ủng hộ và tuân thủ chính sách mới hiện nay? - HUMAN-OUT1]]</f>
        <v>8</v>
      </c>
      <c r="BH102">
        <f t="shared" si="52"/>
        <v>0.77777777777777779</v>
      </c>
      <c r="BI102" s="32">
        <f t="shared" si="53"/>
        <v>1</v>
      </c>
    </row>
    <row r="103" spans="1:61" x14ac:dyDescent="0.45">
      <c r="A103" s="30">
        <f>step3_validation[[#This Row],[Persona_ID]]</f>
        <v>102</v>
      </c>
      <c r="B103" s="31">
        <f>step3_validation[[#This Row],[Used_Seed]]</f>
        <v>143</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16.418050193658651</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f t="shared" si="27"/>
        <v>0.66666666666666663</v>
      </c>
      <c r="S103">
        <f>survey_responses[[#This Row],[Tôi tin rằng với các quy định quản lý thuế hiện nay, hành vi gian lận hoặc trốn thuế sẽ dễ dàng bị phát hiện và xử lý nghiêm. - HUMAN-ENF1]]</f>
        <v>5</v>
      </c>
      <c r="T103">
        <f t="shared" si="28"/>
        <v>0.44444444444444442</v>
      </c>
      <c r="U103">
        <f>step3_validation[[#This Row],[AI_ENF2]]</f>
        <v>6</v>
      </c>
      <c r="V103">
        <f t="shared" si="29"/>
        <v>0.55555555555555558</v>
      </c>
      <c r="W103">
        <f>survey_responses[[#This Row],[Tôi tin rằng Nhà nước, cơ quan thuế có đủ khả năng và công nghệ để phát hiện, xử lý nghiêm các hành vi trốn thuế. - HUMAN-ENF2]]</f>
        <v>5</v>
      </c>
      <c r="X103">
        <f t="shared" si="30"/>
        <v>0.44444444444444442</v>
      </c>
      <c r="Y103" s="32">
        <f t="shared" si="31"/>
        <v>0.61111111111111116</v>
      </c>
      <c r="Z103" s="32">
        <f t="shared" si="32"/>
        <v>0.44444444444444442</v>
      </c>
      <c r="AA103">
        <f>step3_validation[[#This Row],[AI_FAC1]]</f>
        <v>8</v>
      </c>
      <c r="AB103">
        <f t="shared" si="33"/>
        <v>0.77777777777777779</v>
      </c>
      <c r="AC103">
        <f>survey_responses[[#This Row],[Các thủ tục khai báo thuế VÀ/HOẶC quy trình làm việc với cơ quan thuế đơn giản, tiện lợi, nhanh chóng hơn so với trước đây. - HUMAN-FAC1]]</f>
        <v>5</v>
      </c>
      <c r="AD103">
        <f t="shared" si="34"/>
        <v>0.44444444444444442</v>
      </c>
      <c r="AE103">
        <f>step3_validation[[#This Row],[AI_FAC2]]</f>
        <v>9</v>
      </c>
      <c r="AF103">
        <f t="shared" si="35"/>
        <v>0.88888888888888884</v>
      </c>
      <c r="AG103">
        <f>survey_responses[[#This Row],[So với trước đây, tôi thấy cách tính thuế và các bậc thuế trong phương án mới đơn giản, dễ hiểu và dễ thực hiện hơn. - HUMAN-FAC2]]</f>
        <v>5</v>
      </c>
      <c r="AH103">
        <f t="shared" si="36"/>
        <v>0.44444444444444442</v>
      </c>
      <c r="AI103" s="32">
        <f t="shared" si="37"/>
        <v>0.83333333333333326</v>
      </c>
      <c r="AJ103" s="32">
        <f t="shared" si="38"/>
        <v>0.44444444444444442</v>
      </c>
      <c r="AK103">
        <f>step3_validation[[#This Row],[AI_TRU1]]</f>
        <v>7</v>
      </c>
      <c r="AL103">
        <f t="shared" si="39"/>
        <v>0.66666666666666663</v>
      </c>
      <c r="AM103">
        <f>survey_responses[[#This Row],[Tôi tin rằng Nhà nước, cơ quan thuế sẽ thực thi chính sách mới một cách khách quan, công tâm và đối xử bình đẳng với mọi người nộp thuế.  - HUMAN-TRU1]]</f>
        <v>5</v>
      </c>
      <c r="AN103">
        <f t="shared" si="40"/>
        <v>0.44444444444444442</v>
      </c>
      <c r="AO103">
        <f>step3_validation[[#This Row],[AI_TRU2]]</f>
        <v>9</v>
      </c>
      <c r="AP103">
        <f t="shared" si="41"/>
        <v>0.88888888888888884</v>
      </c>
      <c r="AQ103">
        <f>survey_responses[[#This Row],[Tôi thấy mức thuế tôi phải đóng theo phương án mới là công bằng (người thu nhập như tôi đóng mức này là hợp lý). - HUMAN-TRU2]]</f>
        <v>5</v>
      </c>
      <c r="AR103">
        <f t="shared" si="42"/>
        <v>0.44444444444444442</v>
      </c>
      <c r="AS103">
        <f>step3_validation[[#This Row],[AI_TRU3]]</f>
        <v>8</v>
      </c>
      <c r="AT103">
        <f t="shared" si="43"/>
        <v>0.77777777777777779</v>
      </c>
      <c r="AU103">
        <f>survey_responses[[#This Row],[Tôi tin tưởng số tiền thuế tôi đóng sẽ được Nhà nước sử dụng hiệu quả để cải thiện dịch vụ công (y tế, đường xá...). - HUMAN-TRU3]]</f>
        <v>5</v>
      </c>
      <c r="AV103">
        <f t="shared" si="44"/>
        <v>0.44444444444444442</v>
      </c>
      <c r="AW103">
        <f>step3_validation[[#This Row],[AI_TRU4]]</f>
        <v>7</v>
      </c>
      <c r="AX103">
        <f t="shared" si="45"/>
        <v>0.66666666666666663</v>
      </c>
      <c r="AY103">
        <f>survey_responses[[#This Row],[Tôi thấy Nhà nước đã giải thích rõ ràng, minh bạch về lý do và mục tiêu của việc sửa đổi thuế lần này. - HUMAN-TRU4]]</f>
        <v>5</v>
      </c>
      <c r="AZ103">
        <f t="shared" si="46"/>
        <v>0.44444444444444442</v>
      </c>
      <c r="BA103" s="32">
        <f t="shared" si="47"/>
        <v>0.74999999999999989</v>
      </c>
      <c r="BB103" s="32">
        <f t="shared" si="48"/>
        <v>0.44444444444444442</v>
      </c>
      <c r="BC103" s="7">
        <f t="shared" si="49"/>
        <v>0.7314814814814814</v>
      </c>
      <c r="BD103" s="7">
        <f t="shared" si="50"/>
        <v>0.44444444444444442</v>
      </c>
      <c r="BE103">
        <f>step3_validation[[#This Row],[AI_OUT1]]</f>
        <v>9</v>
      </c>
      <c r="BF103">
        <f t="shared" si="51"/>
        <v>0.88888888888888884</v>
      </c>
      <c r="BG103">
        <f>survey_responses[[#This Row],[Sau khi xem xét các quyền lợi và nghĩa vụ, bạn có ủng hộ và tuân thủ chính sách mới hiện nay? - HUMAN-OUT1]]</f>
        <v>5</v>
      </c>
      <c r="BH103">
        <f t="shared" si="52"/>
        <v>0.44444444444444442</v>
      </c>
      <c r="BI103" s="32">
        <f t="shared" si="53"/>
        <v>4</v>
      </c>
    </row>
    <row r="104" spans="1:61" x14ac:dyDescent="0.45">
      <c r="A104" s="30">
        <f>step3_validation[[#This Row],[Persona_ID]]</f>
        <v>103</v>
      </c>
      <c r="B104" s="31">
        <f>step3_validation[[#This Row],[Used_Seed]]</f>
        <v>144</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38.789842537898139</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6</v>
      </c>
      <c r="R104">
        <f t="shared" si="27"/>
        <v>0.55555555555555558</v>
      </c>
      <c r="S104">
        <f>survey_responses[[#This Row],[Tôi tin rằng với các quy định quản lý thuế hiện nay, hành vi gian lận hoặc trốn thuế sẽ dễ dàng bị phát hiện và xử lý nghiêm. - HUMAN-ENF1]]</f>
        <v>8</v>
      </c>
      <c r="T104">
        <f t="shared" si="28"/>
        <v>0.77777777777777779</v>
      </c>
      <c r="U104">
        <f>step3_validation[[#This Row],[AI_ENF2]]</f>
        <v>5</v>
      </c>
      <c r="V104">
        <f t="shared" si="29"/>
        <v>0.44444444444444442</v>
      </c>
      <c r="W104">
        <f>survey_responses[[#This Row],[Tôi tin rằng Nhà nước, cơ quan thuế có đủ khả năng và công nghệ để phát hiện, xử lý nghiêm các hành vi trốn thuế. - HUMAN-ENF2]]</f>
        <v>8</v>
      </c>
      <c r="X104">
        <f t="shared" si="30"/>
        <v>0.77777777777777779</v>
      </c>
      <c r="Y104" s="32">
        <f t="shared" si="31"/>
        <v>0.5</v>
      </c>
      <c r="Z104" s="32">
        <f t="shared" si="32"/>
        <v>0.77777777777777779</v>
      </c>
      <c r="AA104">
        <f>step3_validation[[#This Row],[AI_FAC1]]</f>
        <v>7</v>
      </c>
      <c r="AB104">
        <f t="shared" si="33"/>
        <v>0.66666666666666663</v>
      </c>
      <c r="AC104">
        <f>survey_responses[[#This Row],[Các thủ tục khai báo thuế VÀ/HOẶC quy trình làm việc với cơ quan thuế đơn giản, tiện lợi, nhanh chóng hơn so với trước đây. - HUMAN-FAC1]]</f>
        <v>5</v>
      </c>
      <c r="AD104">
        <f t="shared" si="34"/>
        <v>0.44444444444444442</v>
      </c>
      <c r="AE104">
        <f>step3_validation[[#This Row],[AI_FAC2]]</f>
        <v>9</v>
      </c>
      <c r="AF104">
        <f t="shared" si="35"/>
        <v>0.88888888888888884</v>
      </c>
      <c r="AG104">
        <f>survey_responses[[#This Row],[So với trước đây, tôi thấy cách tính thuế và các bậc thuế trong phương án mới đơn giản, dễ hiểu và dễ thực hiện hơn. - HUMAN-FAC2]]</f>
        <v>8</v>
      </c>
      <c r="AH104">
        <f t="shared" si="36"/>
        <v>0.77777777777777779</v>
      </c>
      <c r="AI104" s="32">
        <f t="shared" si="37"/>
        <v>0.77777777777777768</v>
      </c>
      <c r="AJ104" s="32">
        <f t="shared" si="38"/>
        <v>0.61111111111111116</v>
      </c>
      <c r="AK104">
        <f>step3_validation[[#This Row],[AI_TRU1]]</f>
        <v>7</v>
      </c>
      <c r="AL104">
        <f t="shared" si="39"/>
        <v>0.66666666666666663</v>
      </c>
      <c r="AM104">
        <f>survey_responses[[#This Row],[Tôi tin rằng Nhà nước, cơ quan thuế sẽ thực thi chính sách mới một cách khách quan, công tâm và đối xử bình đẳng với mọi người nộp thuế.  - HUMAN-TRU1]]</f>
        <v>5</v>
      </c>
      <c r="AN104">
        <f t="shared" si="40"/>
        <v>0.44444444444444442</v>
      </c>
      <c r="AO104">
        <f>step3_validation[[#This Row],[AI_TRU2]]</f>
        <v>9</v>
      </c>
      <c r="AP104">
        <f t="shared" si="41"/>
        <v>0.88888888888888884</v>
      </c>
      <c r="AQ104">
        <f>survey_responses[[#This Row],[Tôi thấy mức thuế tôi phải đóng theo phương án mới là công bằng (người thu nhập như tôi đóng mức này là hợp lý). - HUMAN-TRU2]]</f>
        <v>5</v>
      </c>
      <c r="AR104">
        <f t="shared" si="42"/>
        <v>0.44444444444444442</v>
      </c>
      <c r="AS104">
        <f>step3_validation[[#This Row],[AI_TRU3]]</f>
        <v>7</v>
      </c>
      <c r="AT104">
        <f t="shared" si="43"/>
        <v>0.66666666666666663</v>
      </c>
      <c r="AU104">
        <f>survey_responses[[#This Row],[Tôi tin tưởng số tiền thuế tôi đóng sẽ được Nhà nước sử dụng hiệu quả để cải thiện dịch vụ công (y tế, đường xá...). - HUMAN-TRU3]]</f>
        <v>6</v>
      </c>
      <c r="AV104">
        <f t="shared" si="44"/>
        <v>0.55555555555555558</v>
      </c>
      <c r="AW104">
        <f>step3_validation[[#This Row],[AI_TRU4]]</f>
        <v>8</v>
      </c>
      <c r="AX104">
        <f t="shared" si="45"/>
        <v>0.77777777777777779</v>
      </c>
      <c r="AY104">
        <f>survey_responses[[#This Row],[Tôi thấy Nhà nước đã giải thích rõ ràng, minh bạch về lý do và mục tiêu của việc sửa đổi thuế lần này. - HUMAN-TRU4]]</f>
        <v>6</v>
      </c>
      <c r="AZ104">
        <f t="shared" si="46"/>
        <v>0.55555555555555558</v>
      </c>
      <c r="BA104" s="32">
        <f t="shared" si="47"/>
        <v>0.74999999999999989</v>
      </c>
      <c r="BB104" s="32">
        <f t="shared" si="48"/>
        <v>0.5</v>
      </c>
      <c r="BC104" s="7">
        <f t="shared" si="49"/>
        <v>0.67592592592592593</v>
      </c>
      <c r="BD104" s="7">
        <f t="shared" si="50"/>
        <v>0.62962962962962965</v>
      </c>
      <c r="BE104">
        <f>step3_validation[[#This Row],[AI_OUT1]]</f>
        <v>9</v>
      </c>
      <c r="BF104">
        <f t="shared" si="51"/>
        <v>0.88888888888888884</v>
      </c>
      <c r="BG104">
        <f>survey_responses[[#This Row],[Sau khi xem xét các quyền lợi và nghĩa vụ, bạn có ủng hộ và tuân thủ chính sách mới hiện nay? - HUMAN-OUT1]]</f>
        <v>5</v>
      </c>
      <c r="BH104">
        <f t="shared" si="52"/>
        <v>0.44444444444444442</v>
      </c>
      <c r="BI104" s="32">
        <f t="shared" si="53"/>
        <v>4</v>
      </c>
    </row>
    <row r="105" spans="1:61" x14ac:dyDescent="0.45">
      <c r="A105" s="30">
        <f>step3_validation[[#This Row],[Persona_ID]]</f>
        <v>104</v>
      </c>
      <c r="B105" s="31">
        <f>step3_validation[[#This Row],[Used_Seed]]</f>
        <v>145</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20.345669206619846</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f t="shared" si="27"/>
        <v>0.55555555555555558</v>
      </c>
      <c r="S105">
        <f>survey_responses[[#This Row],[Tôi tin rằng với các quy định quản lý thuế hiện nay, hành vi gian lận hoặc trốn thuế sẽ dễ dàng bị phát hiện và xử lý nghiêm. - HUMAN-ENF1]]</f>
        <v>6</v>
      </c>
      <c r="T105">
        <f t="shared" si="28"/>
        <v>0.55555555555555558</v>
      </c>
      <c r="U105">
        <f>step3_validation[[#This Row],[AI_ENF2]]</f>
        <v>7</v>
      </c>
      <c r="V105">
        <f t="shared" si="29"/>
        <v>0.66666666666666663</v>
      </c>
      <c r="W105">
        <f>survey_responses[[#This Row],[Tôi tin rằng Nhà nước, cơ quan thuế có đủ khả năng và công nghệ để phát hiện, xử lý nghiêm các hành vi trốn thuế. - HUMAN-ENF2]]</f>
        <v>7</v>
      </c>
      <c r="X105">
        <f t="shared" si="30"/>
        <v>0.66666666666666663</v>
      </c>
      <c r="Y105" s="32">
        <f t="shared" si="31"/>
        <v>0.61111111111111116</v>
      </c>
      <c r="Z105" s="32">
        <f t="shared" si="32"/>
        <v>0.61111111111111116</v>
      </c>
      <c r="AA105">
        <f>step3_validation[[#This Row],[AI_FAC1]]</f>
        <v>8</v>
      </c>
      <c r="AB105">
        <f t="shared" si="33"/>
        <v>0.77777777777777779</v>
      </c>
      <c r="AC105">
        <f>survey_responses[[#This Row],[Các thủ tục khai báo thuế VÀ/HOẶC quy trình làm việc với cơ quan thuế đơn giản, tiện lợi, nhanh chóng hơn so với trước đây. - HUMAN-FAC1]]</f>
        <v>6</v>
      </c>
      <c r="AD105">
        <f t="shared" si="34"/>
        <v>0.55555555555555558</v>
      </c>
      <c r="AE105">
        <f>step3_validation[[#This Row],[AI_FAC2]]</f>
        <v>9</v>
      </c>
      <c r="AF105">
        <f t="shared" si="35"/>
        <v>0.88888888888888884</v>
      </c>
      <c r="AG105">
        <f>survey_responses[[#This Row],[So với trước đây, tôi thấy cách tính thuế và các bậc thuế trong phương án mới đơn giản, dễ hiểu và dễ thực hiện hơn. - HUMAN-FAC2]]</f>
        <v>8</v>
      </c>
      <c r="AH105">
        <f t="shared" si="36"/>
        <v>0.77777777777777779</v>
      </c>
      <c r="AI105" s="32">
        <f t="shared" si="37"/>
        <v>0.83333333333333326</v>
      </c>
      <c r="AJ105" s="32">
        <f t="shared" si="38"/>
        <v>0.66666666666666674</v>
      </c>
      <c r="AK105">
        <f>step3_validation[[#This Row],[AI_TRU1]]</f>
        <v>7</v>
      </c>
      <c r="AL105">
        <f t="shared" si="39"/>
        <v>0.66666666666666663</v>
      </c>
      <c r="AM105">
        <f>survey_responses[[#This Row],[Tôi tin rằng Nhà nước, cơ quan thuế sẽ thực thi chính sách mới một cách khách quan, công tâm và đối xử bình đẳng với mọi người nộp thuế.  - HUMAN-TRU1]]</f>
        <v>6</v>
      </c>
      <c r="AN105">
        <f t="shared" si="40"/>
        <v>0.55555555555555558</v>
      </c>
      <c r="AO105">
        <f>step3_validation[[#This Row],[AI_TRU2]]</f>
        <v>9</v>
      </c>
      <c r="AP105">
        <f t="shared" si="41"/>
        <v>0.88888888888888884</v>
      </c>
      <c r="AQ105">
        <f>survey_responses[[#This Row],[Tôi thấy mức thuế tôi phải đóng theo phương án mới là công bằng (người thu nhập như tôi đóng mức này là hợp lý). - HUMAN-TRU2]]</f>
        <v>7</v>
      </c>
      <c r="AR105">
        <f t="shared" si="42"/>
        <v>0.66666666666666663</v>
      </c>
      <c r="AS105">
        <f>step3_validation[[#This Row],[AI_TRU3]]</f>
        <v>8</v>
      </c>
      <c r="AT105">
        <f t="shared" si="43"/>
        <v>0.77777777777777779</v>
      </c>
      <c r="AU105">
        <f>survey_responses[[#This Row],[Tôi tin tưởng số tiền thuế tôi đóng sẽ được Nhà nước sử dụng hiệu quả để cải thiện dịch vụ công (y tế, đường xá...). - HUMAN-TRU3]]</f>
        <v>6</v>
      </c>
      <c r="AV105">
        <f t="shared" si="44"/>
        <v>0.55555555555555558</v>
      </c>
      <c r="AW105">
        <f>step3_validation[[#This Row],[AI_TRU4]]</f>
        <v>7</v>
      </c>
      <c r="AX105">
        <f t="shared" si="45"/>
        <v>0.66666666666666663</v>
      </c>
      <c r="AY105">
        <f>survey_responses[[#This Row],[Tôi thấy Nhà nước đã giải thích rõ ràng, minh bạch về lý do và mục tiêu của việc sửa đổi thuế lần này. - HUMAN-TRU4]]</f>
        <v>6</v>
      </c>
      <c r="AZ105">
        <f t="shared" si="46"/>
        <v>0.55555555555555558</v>
      </c>
      <c r="BA105" s="32">
        <f t="shared" si="47"/>
        <v>0.74999999999999989</v>
      </c>
      <c r="BB105" s="32">
        <f t="shared" si="48"/>
        <v>0.58333333333333337</v>
      </c>
      <c r="BC105" s="7">
        <f t="shared" si="49"/>
        <v>0.7314814814814814</v>
      </c>
      <c r="BD105" s="7">
        <f t="shared" si="50"/>
        <v>0.62037037037037035</v>
      </c>
      <c r="BE105">
        <f>step3_validation[[#This Row],[AI_OUT1]]</f>
        <v>9</v>
      </c>
      <c r="BF105">
        <f t="shared" si="51"/>
        <v>0.88888888888888884</v>
      </c>
      <c r="BG105">
        <f>survey_responses[[#This Row],[Sau khi xem xét các quyền lợi và nghĩa vụ, bạn có ủng hộ và tuân thủ chính sách mới hiện nay? - HUMAN-OUT1]]</f>
        <v>7</v>
      </c>
      <c r="BH105">
        <f t="shared" si="52"/>
        <v>0.66666666666666663</v>
      </c>
      <c r="BI105" s="32">
        <f t="shared" si="53"/>
        <v>2</v>
      </c>
    </row>
    <row r="106" spans="1:61" x14ac:dyDescent="0.45">
      <c r="A106" s="30">
        <f>step3_validation[[#This Row],[Persona_ID]]</f>
        <v>105</v>
      </c>
      <c r="B106" s="31">
        <f>step3_validation[[#This Row],[Used_Seed]]</f>
        <v>146</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12.925167568684918</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f t="shared" si="27"/>
        <v>0.66666666666666663</v>
      </c>
      <c r="S106">
        <f>survey_responses[[#This Row],[Tôi tin rằng với các quy định quản lý thuế hiện nay, hành vi gian lận hoặc trốn thuế sẽ dễ dàng bị phát hiện và xử lý nghiêm. - HUMAN-ENF1]]</f>
        <v>9</v>
      </c>
      <c r="T106">
        <f t="shared" si="28"/>
        <v>0.88888888888888884</v>
      </c>
      <c r="U106">
        <f>step3_validation[[#This Row],[AI_ENF2]]</f>
        <v>9</v>
      </c>
      <c r="V106">
        <f t="shared" si="29"/>
        <v>0.88888888888888884</v>
      </c>
      <c r="W106">
        <f>survey_responses[[#This Row],[Tôi tin rằng Nhà nước, cơ quan thuế có đủ khả năng và công nghệ để phát hiện, xử lý nghiêm các hành vi trốn thuế. - HUMAN-ENF2]]</f>
        <v>10</v>
      </c>
      <c r="X106">
        <f t="shared" si="30"/>
        <v>1</v>
      </c>
      <c r="Y106" s="32">
        <f t="shared" si="31"/>
        <v>0.77777777777777768</v>
      </c>
      <c r="Z106" s="32">
        <f t="shared" si="32"/>
        <v>0.94444444444444442</v>
      </c>
      <c r="AA106">
        <f>step3_validation[[#This Row],[AI_FAC1]]</f>
        <v>8</v>
      </c>
      <c r="AB106">
        <f t="shared" si="33"/>
        <v>0.77777777777777779</v>
      </c>
      <c r="AC106">
        <f>survey_responses[[#This Row],[Các thủ tục khai báo thuế VÀ/HOẶC quy trình làm việc với cơ quan thuế đơn giản, tiện lợi, nhanh chóng hơn so với trước đây. - HUMAN-FAC1]]</f>
        <v>8</v>
      </c>
      <c r="AD106">
        <f t="shared" si="34"/>
        <v>0.77777777777777779</v>
      </c>
      <c r="AE106">
        <f>step3_validation[[#This Row],[AI_FAC2]]</f>
        <v>9</v>
      </c>
      <c r="AF106">
        <f t="shared" si="35"/>
        <v>0.88888888888888884</v>
      </c>
      <c r="AG106">
        <f>survey_responses[[#This Row],[So với trước đây, tôi thấy cách tính thuế và các bậc thuế trong phương án mới đơn giản, dễ hiểu và dễ thực hiện hơn. - HUMAN-FAC2]]</f>
        <v>8</v>
      </c>
      <c r="AH106">
        <f t="shared" si="36"/>
        <v>0.77777777777777779</v>
      </c>
      <c r="AI106" s="32">
        <f t="shared" si="37"/>
        <v>0.83333333333333326</v>
      </c>
      <c r="AJ106" s="32">
        <f t="shared" si="38"/>
        <v>0.77777777777777779</v>
      </c>
      <c r="AK106">
        <f>step3_validation[[#This Row],[AI_TRU1]]</f>
        <v>8</v>
      </c>
      <c r="AL106">
        <f t="shared" si="39"/>
        <v>0.77777777777777779</v>
      </c>
      <c r="AM106">
        <f>survey_responses[[#This Row],[Tôi tin rằng Nhà nước, cơ quan thuế sẽ thực thi chính sách mới một cách khách quan, công tâm và đối xử bình đẳng với mọi người nộp thuế.  - HUMAN-TRU1]]</f>
        <v>9</v>
      </c>
      <c r="AN106">
        <f t="shared" si="40"/>
        <v>0.88888888888888884</v>
      </c>
      <c r="AO106">
        <f>step3_validation[[#This Row],[AI_TRU2]]</f>
        <v>9</v>
      </c>
      <c r="AP106">
        <f t="shared" si="41"/>
        <v>0.88888888888888884</v>
      </c>
      <c r="AQ106">
        <f>survey_responses[[#This Row],[Tôi thấy mức thuế tôi phải đóng theo phương án mới là công bằng (người thu nhập như tôi đóng mức này là hợp lý). - HUMAN-TRU2]]</f>
        <v>9</v>
      </c>
      <c r="AR106">
        <f t="shared" si="42"/>
        <v>0.88888888888888884</v>
      </c>
      <c r="AS106">
        <f>step3_validation[[#This Row],[AI_TRU3]]</f>
        <v>7</v>
      </c>
      <c r="AT106">
        <f t="shared" si="43"/>
        <v>0.66666666666666663</v>
      </c>
      <c r="AU106">
        <f>survey_responses[[#This Row],[Tôi tin tưởng số tiền thuế tôi đóng sẽ được Nhà nước sử dụng hiệu quả để cải thiện dịch vụ công (y tế, đường xá...). - HUMAN-TRU3]]</f>
        <v>8</v>
      </c>
      <c r="AV106">
        <f t="shared" si="44"/>
        <v>0.77777777777777779</v>
      </c>
      <c r="AW106">
        <f>step3_validation[[#This Row],[AI_TRU4]]</f>
        <v>9</v>
      </c>
      <c r="AX106">
        <f t="shared" si="45"/>
        <v>0.88888888888888884</v>
      </c>
      <c r="AY106">
        <f>survey_responses[[#This Row],[Tôi thấy Nhà nước đã giải thích rõ ràng, minh bạch về lý do và mục tiêu của việc sửa đổi thuế lần này. - HUMAN-TRU4]]</f>
        <v>6</v>
      </c>
      <c r="AZ106">
        <f t="shared" si="46"/>
        <v>0.55555555555555558</v>
      </c>
      <c r="BA106" s="32">
        <f t="shared" si="47"/>
        <v>0.80555555555555547</v>
      </c>
      <c r="BB106" s="32">
        <f t="shared" si="48"/>
        <v>0.77777777777777768</v>
      </c>
      <c r="BC106" s="7">
        <f t="shared" si="49"/>
        <v>0.80555555555555547</v>
      </c>
      <c r="BD106" s="7">
        <f t="shared" si="50"/>
        <v>0.83333333333333337</v>
      </c>
      <c r="BE106">
        <f>step3_validation[[#This Row],[AI_OUT1]]</f>
        <v>8</v>
      </c>
      <c r="BF106">
        <f t="shared" si="51"/>
        <v>0.77777777777777779</v>
      </c>
      <c r="BG106">
        <f>survey_responses[[#This Row],[Sau khi xem xét các quyền lợi và nghĩa vụ, bạn có ủng hộ và tuân thủ chính sách mới hiện nay? - HUMAN-OUT1]]</f>
        <v>9</v>
      </c>
      <c r="BH106">
        <f t="shared" si="52"/>
        <v>0.88888888888888884</v>
      </c>
      <c r="BI106" s="32">
        <f t="shared" si="53"/>
        <v>1</v>
      </c>
    </row>
    <row r="107" spans="1:61" x14ac:dyDescent="0.45">
      <c r="A107" s="30">
        <f>step3_validation[[#This Row],[Persona_ID]]</f>
        <v>106</v>
      </c>
      <c r="B107" s="31">
        <f>step3_validation[[#This Row],[Used_Seed]]</f>
        <v>147</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f t="shared" si="27"/>
        <v>0.66666666666666663</v>
      </c>
      <c r="S107">
        <f>survey_responses[[#This Row],[Tôi tin rằng với các quy định quản lý thuế hiện nay, hành vi gian lận hoặc trốn thuế sẽ dễ dàng bị phát hiện và xử lý nghiêm. - HUMAN-ENF1]]</f>
        <v>10</v>
      </c>
      <c r="T107">
        <f t="shared" si="28"/>
        <v>1</v>
      </c>
      <c r="U107">
        <f>step3_validation[[#This Row],[AI_ENF2]]</f>
        <v>7</v>
      </c>
      <c r="V107">
        <f t="shared" si="29"/>
        <v>0.66666666666666663</v>
      </c>
      <c r="W107">
        <f>survey_responses[[#This Row],[Tôi tin rằng Nhà nước, cơ quan thuế có đủ khả năng và công nghệ để phát hiện, xử lý nghiêm các hành vi trốn thuế. - HUMAN-ENF2]]</f>
        <v>5</v>
      </c>
      <c r="X107">
        <f t="shared" si="30"/>
        <v>0.44444444444444442</v>
      </c>
      <c r="Y107" s="32">
        <f t="shared" si="31"/>
        <v>0.66666666666666663</v>
      </c>
      <c r="Z107" s="32">
        <f t="shared" si="32"/>
        <v>0.72222222222222221</v>
      </c>
      <c r="AA107">
        <f>step3_validation[[#This Row],[AI_FAC1]]</f>
        <v>9</v>
      </c>
      <c r="AB107">
        <f t="shared" si="33"/>
        <v>0.88888888888888884</v>
      </c>
      <c r="AC107">
        <f>survey_responses[[#This Row],[Các thủ tục khai báo thuế VÀ/HOẶC quy trình làm việc với cơ quan thuế đơn giản, tiện lợi, nhanh chóng hơn so với trước đây. - HUMAN-FAC1]]</f>
        <v>8</v>
      </c>
      <c r="AD107">
        <f t="shared" si="34"/>
        <v>0.77777777777777779</v>
      </c>
      <c r="AE107">
        <f>step3_validation[[#This Row],[AI_FAC2]]</f>
        <v>9</v>
      </c>
      <c r="AF107">
        <f t="shared" si="35"/>
        <v>0.88888888888888884</v>
      </c>
      <c r="AG107">
        <f>survey_responses[[#This Row],[So với trước đây, tôi thấy cách tính thuế và các bậc thuế trong phương án mới đơn giản, dễ hiểu và dễ thực hiện hơn. - HUMAN-FAC2]]</f>
        <v>8</v>
      </c>
      <c r="AH107">
        <f t="shared" si="36"/>
        <v>0.77777777777777779</v>
      </c>
      <c r="AI107" s="32">
        <f t="shared" si="37"/>
        <v>0.88888888888888884</v>
      </c>
      <c r="AJ107" s="32">
        <f t="shared" si="38"/>
        <v>0.77777777777777779</v>
      </c>
      <c r="AK107">
        <f>step3_validation[[#This Row],[AI_TRU1]]</f>
        <v>7</v>
      </c>
      <c r="AL107">
        <f t="shared" si="39"/>
        <v>0.66666666666666663</v>
      </c>
      <c r="AM107">
        <f>survey_responses[[#This Row],[Tôi tin rằng Nhà nước, cơ quan thuế sẽ thực thi chính sách mới một cách khách quan, công tâm và đối xử bình đẳng với mọi người nộp thuế.  - HUMAN-TRU1]]</f>
        <v>10</v>
      </c>
      <c r="AN107">
        <f t="shared" si="40"/>
        <v>1</v>
      </c>
      <c r="AO107">
        <f>step3_validation[[#This Row],[AI_TRU2]]</f>
        <v>9</v>
      </c>
      <c r="AP107">
        <f t="shared" si="41"/>
        <v>0.88888888888888884</v>
      </c>
      <c r="AQ107">
        <f>survey_responses[[#This Row],[Tôi thấy mức thuế tôi phải đóng theo phương án mới là công bằng (người thu nhập như tôi đóng mức này là hợp lý). - HUMAN-TRU2]]</f>
        <v>10</v>
      </c>
      <c r="AR107">
        <f t="shared" si="42"/>
        <v>1</v>
      </c>
      <c r="AS107">
        <f>step3_validation[[#This Row],[AI_TRU3]]</f>
        <v>7</v>
      </c>
      <c r="AT107">
        <f t="shared" si="43"/>
        <v>0.66666666666666663</v>
      </c>
      <c r="AU107">
        <f>survey_responses[[#This Row],[Tôi tin tưởng số tiền thuế tôi đóng sẽ được Nhà nước sử dụng hiệu quả để cải thiện dịch vụ công (y tế, đường xá...). - HUMAN-TRU3]]</f>
        <v>10</v>
      </c>
      <c r="AV107">
        <f t="shared" si="44"/>
        <v>1</v>
      </c>
      <c r="AW107">
        <f>step3_validation[[#This Row],[AI_TRU4]]</f>
        <v>8</v>
      </c>
      <c r="AX107">
        <f t="shared" si="45"/>
        <v>0.77777777777777779</v>
      </c>
      <c r="AY107">
        <f>survey_responses[[#This Row],[Tôi thấy Nhà nước đã giải thích rõ ràng, minh bạch về lý do và mục tiêu của việc sửa đổi thuế lần này. - HUMAN-TRU4]]</f>
        <v>10</v>
      </c>
      <c r="AZ107">
        <f t="shared" si="46"/>
        <v>1</v>
      </c>
      <c r="BA107" s="32">
        <f t="shared" si="47"/>
        <v>0.74999999999999989</v>
      </c>
      <c r="BB107" s="32">
        <f t="shared" si="48"/>
        <v>1</v>
      </c>
      <c r="BC107" s="7">
        <f t="shared" si="49"/>
        <v>0.76851851851851849</v>
      </c>
      <c r="BD107" s="7">
        <f t="shared" si="50"/>
        <v>0.83333333333333337</v>
      </c>
      <c r="BE107">
        <f>step3_validation[[#This Row],[AI_OUT1]]</f>
        <v>8</v>
      </c>
      <c r="BF107">
        <f t="shared" si="51"/>
        <v>0.77777777777777779</v>
      </c>
      <c r="BG107">
        <f>survey_responses[[#This Row],[Sau khi xem xét các quyền lợi và nghĩa vụ, bạn có ủng hộ và tuân thủ chính sách mới hiện nay? - HUMAN-OUT1]]</f>
        <v>10</v>
      </c>
      <c r="BH107">
        <f t="shared" si="52"/>
        <v>1</v>
      </c>
      <c r="BI107" s="32">
        <f t="shared" si="53"/>
        <v>2</v>
      </c>
    </row>
    <row r="108" spans="1:61" x14ac:dyDescent="0.45">
      <c r="A108" s="30">
        <f>step3_validation[[#This Row],[Persona_ID]]</f>
        <v>107</v>
      </c>
      <c r="B108" s="31">
        <f>step3_validation[[#This Row],[Used_Seed]]</f>
        <v>148</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29.307649563470548</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8</v>
      </c>
      <c r="R108">
        <f t="shared" si="27"/>
        <v>0.77777777777777779</v>
      </c>
      <c r="S108">
        <f>survey_responses[[#This Row],[Tôi tin rằng với các quy định quản lý thuế hiện nay, hành vi gian lận hoặc trốn thuế sẽ dễ dàng bị phát hiện và xử lý nghiêm. - HUMAN-ENF1]]</f>
        <v>7</v>
      </c>
      <c r="T108">
        <f t="shared" si="28"/>
        <v>0.66666666666666663</v>
      </c>
      <c r="U108">
        <f>step3_validation[[#This Row],[AI_ENF2]]</f>
        <v>7</v>
      </c>
      <c r="V108">
        <f t="shared" si="29"/>
        <v>0.66666666666666663</v>
      </c>
      <c r="W108">
        <f>survey_responses[[#This Row],[Tôi tin rằng Nhà nước, cơ quan thuế có đủ khả năng và công nghệ để phát hiện, xử lý nghiêm các hành vi trốn thuế. - HUMAN-ENF2]]</f>
        <v>7</v>
      </c>
      <c r="X108">
        <f t="shared" si="30"/>
        <v>0.66666666666666663</v>
      </c>
      <c r="Y108" s="32">
        <f t="shared" si="31"/>
        <v>0.72222222222222221</v>
      </c>
      <c r="Z108" s="32">
        <f t="shared" si="32"/>
        <v>0.66666666666666663</v>
      </c>
      <c r="AA108">
        <f>step3_validation[[#This Row],[AI_FAC1]]</f>
        <v>9</v>
      </c>
      <c r="AB108">
        <f t="shared" si="33"/>
        <v>0.88888888888888884</v>
      </c>
      <c r="AC108">
        <f>survey_responses[[#This Row],[Các thủ tục khai báo thuế VÀ/HOẶC quy trình làm việc với cơ quan thuế đơn giản, tiện lợi, nhanh chóng hơn so với trước đây. - HUMAN-FAC1]]</f>
        <v>7</v>
      </c>
      <c r="AD108">
        <f t="shared" si="34"/>
        <v>0.66666666666666663</v>
      </c>
      <c r="AE108">
        <f>step3_validation[[#This Row],[AI_FAC2]]</f>
        <v>8</v>
      </c>
      <c r="AF108">
        <f t="shared" si="35"/>
        <v>0.77777777777777779</v>
      </c>
      <c r="AG108">
        <f>survey_responses[[#This Row],[So với trước đây, tôi thấy cách tính thuế và các bậc thuế trong phương án mới đơn giản, dễ hiểu và dễ thực hiện hơn. - HUMAN-FAC2]]</f>
        <v>7</v>
      </c>
      <c r="AH108">
        <f t="shared" si="36"/>
        <v>0.66666666666666663</v>
      </c>
      <c r="AI108" s="32">
        <f t="shared" si="37"/>
        <v>0.83333333333333326</v>
      </c>
      <c r="AJ108" s="32">
        <f t="shared" si="38"/>
        <v>0.66666666666666663</v>
      </c>
      <c r="AK108">
        <f>step3_validation[[#This Row],[AI_TRU1]]</f>
        <v>9</v>
      </c>
      <c r="AL108">
        <f t="shared" si="39"/>
        <v>0.88888888888888884</v>
      </c>
      <c r="AM108">
        <f>survey_responses[[#This Row],[Tôi tin rằng Nhà nước, cơ quan thuế sẽ thực thi chính sách mới một cách khách quan, công tâm và đối xử bình đẳng với mọi người nộp thuế.  - HUMAN-TRU1]]</f>
        <v>7</v>
      </c>
      <c r="AN108">
        <f t="shared" si="40"/>
        <v>0.66666666666666663</v>
      </c>
      <c r="AO108">
        <f>step3_validation[[#This Row],[AI_TRU2]]</f>
        <v>8</v>
      </c>
      <c r="AP108">
        <f t="shared" si="41"/>
        <v>0.77777777777777779</v>
      </c>
      <c r="AQ108">
        <f>survey_responses[[#This Row],[Tôi thấy mức thuế tôi phải đóng theo phương án mới là công bằng (người thu nhập như tôi đóng mức này là hợp lý). - HUMAN-TRU2]]</f>
        <v>7</v>
      </c>
      <c r="AR108">
        <f t="shared" si="42"/>
        <v>0.66666666666666663</v>
      </c>
      <c r="AS108">
        <f>step3_validation[[#This Row],[AI_TRU3]]</f>
        <v>7</v>
      </c>
      <c r="AT108">
        <f t="shared" si="43"/>
        <v>0.66666666666666663</v>
      </c>
      <c r="AU108">
        <f>survey_responses[[#This Row],[Tôi tin tưởng số tiền thuế tôi đóng sẽ được Nhà nước sử dụng hiệu quả để cải thiện dịch vụ công (y tế, đường xá...). - HUMAN-TRU3]]</f>
        <v>7</v>
      </c>
      <c r="AV108">
        <f t="shared" si="44"/>
        <v>0.66666666666666663</v>
      </c>
      <c r="AW108">
        <f>step3_validation[[#This Row],[AI_TRU4]]</f>
        <v>8</v>
      </c>
      <c r="AX108">
        <f t="shared" si="45"/>
        <v>0.77777777777777779</v>
      </c>
      <c r="AY108">
        <f>survey_responses[[#This Row],[Tôi thấy Nhà nước đã giải thích rõ ràng, minh bạch về lý do và mục tiêu của việc sửa đổi thuế lần này. - HUMAN-TRU4]]</f>
        <v>7</v>
      </c>
      <c r="AZ108">
        <f t="shared" si="46"/>
        <v>0.66666666666666663</v>
      </c>
      <c r="BA108" s="32">
        <f t="shared" si="47"/>
        <v>0.77777777777777768</v>
      </c>
      <c r="BB108" s="32">
        <f t="shared" si="48"/>
        <v>0.66666666666666663</v>
      </c>
      <c r="BC108" s="7">
        <f t="shared" si="49"/>
        <v>0.77777777777777768</v>
      </c>
      <c r="BD108" s="7">
        <f t="shared" si="50"/>
        <v>0.66666666666666663</v>
      </c>
      <c r="BE108">
        <f>step3_validation[[#This Row],[AI_OUT1]]</f>
        <v>9</v>
      </c>
      <c r="BF108">
        <f t="shared" si="51"/>
        <v>0.88888888888888884</v>
      </c>
      <c r="BG108">
        <f>survey_responses[[#This Row],[Sau khi xem xét các quyền lợi và nghĩa vụ, bạn có ủng hộ và tuân thủ chính sách mới hiện nay? - HUMAN-OUT1]]</f>
        <v>8</v>
      </c>
      <c r="BH108">
        <f t="shared" si="52"/>
        <v>0.77777777777777779</v>
      </c>
      <c r="BI108" s="32">
        <f t="shared" si="53"/>
        <v>1</v>
      </c>
    </row>
    <row r="109" spans="1:61" x14ac:dyDescent="0.45">
      <c r="A109" s="30">
        <f>step3_validation[[#This Row],[Persona_ID]]</f>
        <v>108</v>
      </c>
      <c r="B109" s="31">
        <f>step3_validation[[#This Row],[Used_Seed]]</f>
        <v>149</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14.189068614330749</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f t="shared" si="27"/>
        <v>0.66666666666666663</v>
      </c>
      <c r="S109">
        <f>survey_responses[[#This Row],[Tôi tin rằng với các quy định quản lý thuế hiện nay, hành vi gian lận hoặc trốn thuế sẽ dễ dàng bị phát hiện và xử lý nghiêm. - HUMAN-ENF1]]</f>
        <v>5</v>
      </c>
      <c r="T109">
        <f t="shared" si="28"/>
        <v>0.44444444444444442</v>
      </c>
      <c r="U109">
        <f>step3_validation[[#This Row],[AI_ENF2]]</f>
        <v>8</v>
      </c>
      <c r="V109">
        <f t="shared" si="29"/>
        <v>0.77777777777777779</v>
      </c>
      <c r="W109">
        <f>survey_responses[[#This Row],[Tôi tin rằng Nhà nước, cơ quan thuế có đủ khả năng và công nghệ để phát hiện, xử lý nghiêm các hành vi trốn thuế. - HUMAN-ENF2]]</f>
        <v>10</v>
      </c>
      <c r="X109">
        <f t="shared" si="30"/>
        <v>1</v>
      </c>
      <c r="Y109" s="32">
        <f t="shared" si="31"/>
        <v>0.72222222222222221</v>
      </c>
      <c r="Z109" s="32">
        <f t="shared" si="32"/>
        <v>0.72222222222222221</v>
      </c>
      <c r="AA109">
        <f>step3_validation[[#This Row],[AI_FAC1]]</f>
        <v>9</v>
      </c>
      <c r="AB109">
        <f t="shared" si="33"/>
        <v>0.88888888888888884</v>
      </c>
      <c r="AC109">
        <f>survey_responses[[#This Row],[Các thủ tục khai báo thuế VÀ/HOẶC quy trình làm việc với cơ quan thuế đơn giản, tiện lợi, nhanh chóng hơn so với trước đây. - HUMAN-FAC1]]</f>
        <v>5</v>
      </c>
      <c r="AD109">
        <f t="shared" si="34"/>
        <v>0.44444444444444442</v>
      </c>
      <c r="AE109">
        <f>step3_validation[[#This Row],[AI_FAC2]]</f>
        <v>9</v>
      </c>
      <c r="AF109">
        <f t="shared" si="35"/>
        <v>0.88888888888888884</v>
      </c>
      <c r="AG109">
        <f>survey_responses[[#This Row],[So với trước đây, tôi thấy cách tính thuế và các bậc thuế trong phương án mới đơn giản, dễ hiểu và dễ thực hiện hơn. - HUMAN-FAC2]]</f>
        <v>5</v>
      </c>
      <c r="AH109">
        <f t="shared" si="36"/>
        <v>0.44444444444444442</v>
      </c>
      <c r="AI109" s="32">
        <f t="shared" si="37"/>
        <v>0.88888888888888884</v>
      </c>
      <c r="AJ109" s="32">
        <f t="shared" si="38"/>
        <v>0.44444444444444442</v>
      </c>
      <c r="AK109">
        <f>step3_validation[[#This Row],[AI_TRU1]]</f>
        <v>8</v>
      </c>
      <c r="AL109">
        <f t="shared" si="39"/>
        <v>0.77777777777777779</v>
      </c>
      <c r="AM109">
        <f>survey_responses[[#This Row],[Tôi tin rằng Nhà nước, cơ quan thuế sẽ thực thi chính sách mới một cách khách quan, công tâm và đối xử bình đẳng với mọi người nộp thuế.  - HUMAN-TRU1]]</f>
        <v>5</v>
      </c>
      <c r="AN109">
        <f t="shared" si="40"/>
        <v>0.44444444444444442</v>
      </c>
      <c r="AO109">
        <f>step3_validation[[#This Row],[AI_TRU2]]</f>
        <v>9</v>
      </c>
      <c r="AP109">
        <f t="shared" si="41"/>
        <v>0.88888888888888884</v>
      </c>
      <c r="AQ109">
        <f>survey_responses[[#This Row],[Tôi thấy mức thuế tôi phải đóng theo phương án mới là công bằng (người thu nhập như tôi đóng mức này là hợp lý). - HUMAN-TRU2]]</f>
        <v>5</v>
      </c>
      <c r="AR109">
        <f t="shared" si="42"/>
        <v>0.44444444444444442</v>
      </c>
      <c r="AS109">
        <f>step3_validation[[#This Row],[AI_TRU3]]</f>
        <v>8</v>
      </c>
      <c r="AT109">
        <f t="shared" si="43"/>
        <v>0.77777777777777779</v>
      </c>
      <c r="AU109">
        <f>survey_responses[[#This Row],[Tôi tin tưởng số tiền thuế tôi đóng sẽ được Nhà nước sử dụng hiệu quả để cải thiện dịch vụ công (y tế, đường xá...). - HUMAN-TRU3]]</f>
        <v>8</v>
      </c>
      <c r="AV109">
        <f t="shared" si="44"/>
        <v>0.77777777777777779</v>
      </c>
      <c r="AW109">
        <f>step3_validation[[#This Row],[AI_TRU4]]</f>
        <v>9</v>
      </c>
      <c r="AX109">
        <f t="shared" si="45"/>
        <v>0.88888888888888884</v>
      </c>
      <c r="AY109">
        <f>survey_responses[[#This Row],[Tôi thấy Nhà nước đã giải thích rõ ràng, minh bạch về lý do và mục tiêu của việc sửa đổi thuế lần này. - HUMAN-TRU4]]</f>
        <v>5</v>
      </c>
      <c r="AZ109">
        <f t="shared" si="46"/>
        <v>0.44444444444444442</v>
      </c>
      <c r="BA109" s="32">
        <f t="shared" si="47"/>
        <v>0.83333333333333326</v>
      </c>
      <c r="BB109" s="32">
        <f t="shared" si="48"/>
        <v>0.52777777777777768</v>
      </c>
      <c r="BC109" s="7">
        <f t="shared" si="49"/>
        <v>0.81481481481481488</v>
      </c>
      <c r="BD109" s="7">
        <f t="shared" si="50"/>
        <v>0.56481481481481477</v>
      </c>
      <c r="BE109">
        <f>step3_validation[[#This Row],[AI_OUT1]]</f>
        <v>10</v>
      </c>
      <c r="BF109">
        <f t="shared" si="51"/>
        <v>1</v>
      </c>
      <c r="BG109">
        <f>survey_responses[[#This Row],[Sau khi xem xét các quyền lợi và nghĩa vụ, bạn có ủng hộ và tuân thủ chính sách mới hiện nay? - HUMAN-OUT1]]</f>
        <v>6</v>
      </c>
      <c r="BH109">
        <f t="shared" si="52"/>
        <v>0.55555555555555558</v>
      </c>
      <c r="BI109" s="32">
        <f t="shared" si="53"/>
        <v>4</v>
      </c>
    </row>
    <row r="110" spans="1:61" x14ac:dyDescent="0.45">
      <c r="A110" s="30">
        <f>step3_validation[[#This Row],[Persona_ID]]</f>
        <v>109</v>
      </c>
      <c r="B110" s="31">
        <f>step3_validation[[#This Row],[Used_Seed]]</f>
        <v>150</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14.500927436212084</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8</v>
      </c>
      <c r="R110">
        <f t="shared" si="27"/>
        <v>0.77777777777777779</v>
      </c>
      <c r="S110">
        <f>survey_responses[[#This Row],[Tôi tin rằng với các quy định quản lý thuế hiện nay, hành vi gian lận hoặc trốn thuế sẽ dễ dàng bị phát hiện và xử lý nghiêm. - HUMAN-ENF1]]</f>
        <v>10</v>
      </c>
      <c r="T110">
        <f t="shared" si="28"/>
        <v>1</v>
      </c>
      <c r="U110">
        <f>step3_validation[[#This Row],[AI_ENF2]]</f>
        <v>7</v>
      </c>
      <c r="V110">
        <f t="shared" si="29"/>
        <v>0.66666666666666663</v>
      </c>
      <c r="W110">
        <f>survey_responses[[#This Row],[Tôi tin rằng Nhà nước, cơ quan thuế có đủ khả năng và công nghệ để phát hiện, xử lý nghiêm các hành vi trốn thuế. - HUMAN-ENF2]]</f>
        <v>10</v>
      </c>
      <c r="X110">
        <f t="shared" si="30"/>
        <v>1</v>
      </c>
      <c r="Y110" s="32">
        <f t="shared" si="31"/>
        <v>0.72222222222222221</v>
      </c>
      <c r="Z110" s="32">
        <f t="shared" si="32"/>
        <v>1</v>
      </c>
      <c r="AA110">
        <f>step3_validation[[#This Row],[AI_FAC1]]</f>
        <v>9</v>
      </c>
      <c r="AB110">
        <f t="shared" si="33"/>
        <v>0.88888888888888884</v>
      </c>
      <c r="AC110">
        <f>survey_responses[[#This Row],[Các thủ tục khai báo thuế VÀ/HOẶC quy trình làm việc với cơ quan thuế đơn giản, tiện lợi, nhanh chóng hơn so với trước đây. - HUMAN-FAC1]]</f>
        <v>10</v>
      </c>
      <c r="AD110">
        <f t="shared" si="34"/>
        <v>1</v>
      </c>
      <c r="AE110">
        <f>step3_validation[[#This Row],[AI_FAC2]]</f>
        <v>9</v>
      </c>
      <c r="AF110">
        <f t="shared" si="35"/>
        <v>0.88888888888888884</v>
      </c>
      <c r="AG110">
        <f>survey_responses[[#This Row],[So với trước đây, tôi thấy cách tính thuế và các bậc thuế trong phương án mới đơn giản, dễ hiểu và dễ thực hiện hơn. - HUMAN-FAC2]]</f>
        <v>10</v>
      </c>
      <c r="AH110">
        <f t="shared" si="36"/>
        <v>1</v>
      </c>
      <c r="AI110" s="32">
        <f t="shared" si="37"/>
        <v>0.88888888888888884</v>
      </c>
      <c r="AJ110" s="32">
        <f t="shared" si="38"/>
        <v>1</v>
      </c>
      <c r="AK110">
        <f>step3_validation[[#This Row],[AI_TRU1]]</f>
        <v>8</v>
      </c>
      <c r="AL110">
        <f t="shared" si="39"/>
        <v>0.77777777777777779</v>
      </c>
      <c r="AM110">
        <f>survey_responses[[#This Row],[Tôi tin rằng Nhà nước, cơ quan thuế sẽ thực thi chính sách mới một cách khách quan, công tâm và đối xử bình đẳng với mọi người nộp thuế.  - HUMAN-TRU1]]</f>
        <v>10</v>
      </c>
      <c r="AN110">
        <f t="shared" si="40"/>
        <v>1</v>
      </c>
      <c r="AO110">
        <f>step3_validation[[#This Row],[AI_TRU2]]</f>
        <v>9</v>
      </c>
      <c r="AP110">
        <f t="shared" si="41"/>
        <v>0.88888888888888884</v>
      </c>
      <c r="AQ110">
        <f>survey_responses[[#This Row],[Tôi thấy mức thuế tôi phải đóng theo phương án mới là công bằng (người thu nhập như tôi đóng mức này là hợp lý). - HUMAN-TRU2]]</f>
        <v>10</v>
      </c>
      <c r="AR110">
        <f t="shared" si="42"/>
        <v>1</v>
      </c>
      <c r="AS110">
        <f>step3_validation[[#This Row],[AI_TRU3]]</f>
        <v>8</v>
      </c>
      <c r="AT110">
        <f t="shared" si="43"/>
        <v>0.77777777777777779</v>
      </c>
      <c r="AU110">
        <f>survey_responses[[#This Row],[Tôi tin tưởng số tiền thuế tôi đóng sẽ được Nhà nước sử dụng hiệu quả để cải thiện dịch vụ công (y tế, đường xá...). - HUMAN-TRU3]]</f>
        <v>10</v>
      </c>
      <c r="AV110">
        <f t="shared" si="44"/>
        <v>1</v>
      </c>
      <c r="AW110">
        <f>step3_validation[[#This Row],[AI_TRU4]]</f>
        <v>9</v>
      </c>
      <c r="AX110">
        <f t="shared" si="45"/>
        <v>0.88888888888888884</v>
      </c>
      <c r="AY110">
        <f>survey_responses[[#This Row],[Tôi thấy Nhà nước đã giải thích rõ ràng, minh bạch về lý do và mục tiêu của việc sửa đổi thuế lần này. - HUMAN-TRU4]]</f>
        <v>10</v>
      </c>
      <c r="AZ110">
        <f t="shared" si="46"/>
        <v>1</v>
      </c>
      <c r="BA110" s="32">
        <f t="shared" si="47"/>
        <v>0.83333333333333326</v>
      </c>
      <c r="BB110" s="32">
        <f t="shared" si="48"/>
        <v>1</v>
      </c>
      <c r="BC110" s="7">
        <f t="shared" si="49"/>
        <v>0.81481481481481488</v>
      </c>
      <c r="BD110" s="7">
        <f t="shared" si="50"/>
        <v>1</v>
      </c>
      <c r="BE110">
        <f>step3_validation[[#This Row],[AI_OUT1]]</f>
        <v>8</v>
      </c>
      <c r="BF110">
        <f t="shared" si="51"/>
        <v>0.77777777777777779</v>
      </c>
      <c r="BG110">
        <f>survey_responses[[#This Row],[Sau khi xem xét các quyền lợi và nghĩa vụ, bạn có ủng hộ và tuân thủ chính sách mới hiện nay? - HUMAN-OUT1]]</f>
        <v>10</v>
      </c>
      <c r="BH110">
        <f t="shared" si="52"/>
        <v>1</v>
      </c>
      <c r="BI110" s="32">
        <f t="shared" si="53"/>
        <v>2</v>
      </c>
    </row>
    <row r="111" spans="1:61" x14ac:dyDescent="0.45">
      <c r="A111" s="30">
        <f>step3_validation[[#This Row],[Persona_ID]]</f>
        <v>110</v>
      </c>
      <c r="B111" s="31">
        <f>step3_validation[[#This Row],[Used_Seed]]</f>
        <v>151</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66.698083237342587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8</v>
      </c>
      <c r="R111">
        <f t="shared" si="27"/>
        <v>0.77777777777777779</v>
      </c>
      <c r="S111">
        <f>survey_responses[[#This Row],[Tôi tin rằng với các quy định quản lý thuế hiện nay, hành vi gian lận hoặc trốn thuế sẽ dễ dàng bị phát hiện và xử lý nghiêm. - HUMAN-ENF1]]</f>
        <v>7</v>
      </c>
      <c r="T111">
        <f t="shared" si="28"/>
        <v>0.66666666666666663</v>
      </c>
      <c r="U111">
        <f>step3_validation[[#This Row],[AI_ENF2]]</f>
        <v>9</v>
      </c>
      <c r="V111">
        <f t="shared" si="29"/>
        <v>0.88888888888888884</v>
      </c>
      <c r="W111">
        <f>survey_responses[[#This Row],[Tôi tin rằng Nhà nước, cơ quan thuế có đủ khả năng và công nghệ để phát hiện, xử lý nghiêm các hành vi trốn thuế. - HUMAN-ENF2]]</f>
        <v>6</v>
      </c>
      <c r="X111">
        <f t="shared" si="30"/>
        <v>0.55555555555555558</v>
      </c>
      <c r="Y111" s="32">
        <f t="shared" si="31"/>
        <v>0.83333333333333326</v>
      </c>
      <c r="Z111" s="32">
        <f t="shared" si="32"/>
        <v>0.61111111111111116</v>
      </c>
      <c r="AA111">
        <f>step3_validation[[#This Row],[AI_FAC1]]</f>
        <v>8</v>
      </c>
      <c r="AB111">
        <f t="shared" si="33"/>
        <v>0.77777777777777779</v>
      </c>
      <c r="AC111">
        <f>survey_responses[[#This Row],[Các thủ tục khai báo thuế VÀ/HOẶC quy trình làm việc với cơ quan thuế đơn giản, tiện lợi, nhanh chóng hơn so với trước đây. - HUMAN-FAC1]]</f>
        <v>8</v>
      </c>
      <c r="AD111">
        <f t="shared" si="34"/>
        <v>0.77777777777777779</v>
      </c>
      <c r="AE111">
        <f>step3_validation[[#This Row],[AI_FAC2]]</f>
        <v>9</v>
      </c>
      <c r="AF111">
        <f t="shared" si="35"/>
        <v>0.88888888888888884</v>
      </c>
      <c r="AG111">
        <f>survey_responses[[#This Row],[So với trước đây, tôi thấy cách tính thuế và các bậc thuế trong phương án mới đơn giản, dễ hiểu và dễ thực hiện hơn. - HUMAN-FAC2]]</f>
        <v>8</v>
      </c>
      <c r="AH111">
        <f t="shared" si="36"/>
        <v>0.77777777777777779</v>
      </c>
      <c r="AI111" s="32">
        <f t="shared" si="37"/>
        <v>0.83333333333333326</v>
      </c>
      <c r="AJ111" s="32">
        <f t="shared" si="38"/>
        <v>0.77777777777777779</v>
      </c>
      <c r="AK111">
        <f>step3_validation[[#This Row],[AI_TRU1]]</f>
        <v>8</v>
      </c>
      <c r="AL111">
        <f t="shared" si="39"/>
        <v>0.77777777777777779</v>
      </c>
      <c r="AM111">
        <f>survey_responses[[#This Row],[Tôi tin rằng Nhà nước, cơ quan thuế sẽ thực thi chính sách mới một cách khách quan, công tâm và đối xử bình đẳng với mọi người nộp thuế.  - HUMAN-TRU1]]</f>
        <v>7</v>
      </c>
      <c r="AN111">
        <f t="shared" si="40"/>
        <v>0.66666666666666663</v>
      </c>
      <c r="AO111">
        <f>step3_validation[[#This Row],[AI_TRU2]]</f>
        <v>9</v>
      </c>
      <c r="AP111">
        <f t="shared" si="41"/>
        <v>0.88888888888888884</v>
      </c>
      <c r="AQ111">
        <f>survey_responses[[#This Row],[Tôi thấy mức thuế tôi phải đóng theo phương án mới là công bằng (người thu nhập như tôi đóng mức này là hợp lý). - HUMAN-TRU2]]</f>
        <v>6</v>
      </c>
      <c r="AR111">
        <f t="shared" si="42"/>
        <v>0.55555555555555558</v>
      </c>
      <c r="AS111">
        <f>step3_validation[[#This Row],[AI_TRU3]]</f>
        <v>8</v>
      </c>
      <c r="AT111">
        <f t="shared" si="43"/>
        <v>0.77777777777777779</v>
      </c>
      <c r="AU111">
        <f>survey_responses[[#This Row],[Tôi tin tưởng số tiền thuế tôi đóng sẽ được Nhà nước sử dụng hiệu quả để cải thiện dịch vụ công (y tế, đường xá...). - HUMAN-TRU3]]</f>
        <v>5</v>
      </c>
      <c r="AV111">
        <f t="shared" si="44"/>
        <v>0.44444444444444442</v>
      </c>
      <c r="AW111">
        <f>step3_validation[[#This Row],[AI_TRU4]]</f>
        <v>9</v>
      </c>
      <c r="AX111">
        <f t="shared" si="45"/>
        <v>0.88888888888888884</v>
      </c>
      <c r="AY111">
        <f>survey_responses[[#This Row],[Tôi thấy Nhà nước đã giải thích rõ ràng, minh bạch về lý do và mục tiêu của việc sửa đổi thuế lần này. - HUMAN-TRU4]]</f>
        <v>5</v>
      </c>
      <c r="AZ111">
        <f t="shared" si="46"/>
        <v>0.44444444444444442</v>
      </c>
      <c r="BA111" s="32">
        <f t="shared" si="47"/>
        <v>0.83333333333333326</v>
      </c>
      <c r="BB111" s="32">
        <f t="shared" si="48"/>
        <v>0.52777777777777779</v>
      </c>
      <c r="BC111" s="7">
        <f t="shared" si="49"/>
        <v>0.83333333333333337</v>
      </c>
      <c r="BD111" s="7">
        <f t="shared" si="50"/>
        <v>0.63888888888888884</v>
      </c>
      <c r="BE111">
        <f>step3_validation[[#This Row],[AI_OUT1]]</f>
        <v>8</v>
      </c>
      <c r="BF111">
        <f t="shared" si="51"/>
        <v>0.77777777777777779</v>
      </c>
      <c r="BG111">
        <f>survey_responses[[#This Row],[Sau khi xem xét các quyền lợi và nghĩa vụ, bạn có ủng hộ và tuân thủ chính sách mới hiện nay? - HUMAN-OUT1]]</f>
        <v>8</v>
      </c>
      <c r="BH111">
        <f t="shared" si="52"/>
        <v>0.77777777777777779</v>
      </c>
      <c r="BI111" s="32">
        <f t="shared" si="53"/>
        <v>0</v>
      </c>
    </row>
    <row r="112" spans="1:61" x14ac:dyDescent="0.45">
      <c r="A112" s="30">
        <f>step3_validation[[#This Row],[Persona_ID]]</f>
        <v>111</v>
      </c>
      <c r="B112" s="31">
        <f>step3_validation[[#This Row],[Used_Seed]]</f>
        <v>152</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23.132941615936844</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f t="shared" si="27"/>
        <v>0.77777777777777779</v>
      </c>
      <c r="S112">
        <f>survey_responses[[#This Row],[Tôi tin rằng với các quy định quản lý thuế hiện nay, hành vi gian lận hoặc trốn thuế sẽ dễ dàng bị phát hiện và xử lý nghiêm. - HUMAN-ENF1]]</f>
        <v>8</v>
      </c>
      <c r="T112">
        <f t="shared" si="28"/>
        <v>0.77777777777777779</v>
      </c>
      <c r="U112">
        <f>step3_validation[[#This Row],[AI_ENF2]]</f>
        <v>9</v>
      </c>
      <c r="V112">
        <f t="shared" si="29"/>
        <v>0.88888888888888884</v>
      </c>
      <c r="W112">
        <f>survey_responses[[#This Row],[Tôi tin rằng Nhà nước, cơ quan thuế có đủ khả năng và công nghệ để phát hiện, xử lý nghiêm các hành vi trốn thuế. - HUMAN-ENF2]]</f>
        <v>8</v>
      </c>
      <c r="X112">
        <f t="shared" si="30"/>
        <v>0.77777777777777779</v>
      </c>
      <c r="Y112" s="32">
        <f t="shared" si="31"/>
        <v>0.83333333333333326</v>
      </c>
      <c r="Z112" s="32">
        <f t="shared" si="32"/>
        <v>0.77777777777777779</v>
      </c>
      <c r="AA112">
        <f>step3_validation[[#This Row],[AI_FAC1]]</f>
        <v>8</v>
      </c>
      <c r="AB112">
        <f t="shared" si="33"/>
        <v>0.77777777777777779</v>
      </c>
      <c r="AC112">
        <f>survey_responses[[#This Row],[Các thủ tục khai báo thuế VÀ/HOẶC quy trình làm việc với cơ quan thuế đơn giản, tiện lợi, nhanh chóng hơn so với trước đây. - HUMAN-FAC1]]</f>
        <v>6</v>
      </c>
      <c r="AD112">
        <f t="shared" si="34"/>
        <v>0.55555555555555558</v>
      </c>
      <c r="AE112">
        <f>step3_validation[[#This Row],[AI_FAC2]]</f>
        <v>9</v>
      </c>
      <c r="AF112">
        <f t="shared" si="35"/>
        <v>0.88888888888888884</v>
      </c>
      <c r="AG112">
        <f>survey_responses[[#This Row],[So với trước đây, tôi thấy cách tính thuế và các bậc thuế trong phương án mới đơn giản, dễ hiểu và dễ thực hiện hơn. - HUMAN-FAC2]]</f>
        <v>7</v>
      </c>
      <c r="AH112">
        <f t="shared" si="36"/>
        <v>0.66666666666666663</v>
      </c>
      <c r="AI112" s="32">
        <f t="shared" si="37"/>
        <v>0.83333333333333326</v>
      </c>
      <c r="AJ112" s="32">
        <f t="shared" si="38"/>
        <v>0.61111111111111116</v>
      </c>
      <c r="AK112">
        <f>step3_validation[[#This Row],[AI_TRU1]]</f>
        <v>8</v>
      </c>
      <c r="AL112">
        <f t="shared" si="39"/>
        <v>0.77777777777777779</v>
      </c>
      <c r="AM112">
        <f>survey_responses[[#This Row],[Tôi tin rằng Nhà nước, cơ quan thuế sẽ thực thi chính sách mới một cách khách quan, công tâm và đối xử bình đẳng với mọi người nộp thuế.  - HUMAN-TRU1]]</f>
        <v>6</v>
      </c>
      <c r="AN112">
        <f t="shared" si="40"/>
        <v>0.55555555555555558</v>
      </c>
      <c r="AO112">
        <f>step3_validation[[#This Row],[AI_TRU2]]</f>
        <v>9</v>
      </c>
      <c r="AP112">
        <f t="shared" si="41"/>
        <v>0.88888888888888884</v>
      </c>
      <c r="AQ112">
        <f>survey_responses[[#This Row],[Tôi thấy mức thuế tôi phải đóng theo phương án mới là công bằng (người thu nhập như tôi đóng mức này là hợp lý). - HUMAN-TRU2]]</f>
        <v>7</v>
      </c>
      <c r="AR112">
        <f t="shared" si="42"/>
        <v>0.66666666666666663</v>
      </c>
      <c r="AS112">
        <f>step3_validation[[#This Row],[AI_TRU3]]</f>
        <v>8</v>
      </c>
      <c r="AT112">
        <f t="shared" si="43"/>
        <v>0.77777777777777779</v>
      </c>
      <c r="AU112">
        <f>survey_responses[[#This Row],[Tôi tin tưởng số tiền thuế tôi đóng sẽ được Nhà nước sử dụng hiệu quả để cải thiện dịch vụ công (y tế, đường xá...). - HUMAN-TRU3]]</f>
        <v>5</v>
      </c>
      <c r="AV112">
        <f t="shared" si="44"/>
        <v>0.44444444444444442</v>
      </c>
      <c r="AW112">
        <f>step3_validation[[#This Row],[AI_TRU4]]</f>
        <v>7</v>
      </c>
      <c r="AX112">
        <f t="shared" si="45"/>
        <v>0.66666666666666663</v>
      </c>
      <c r="AY112">
        <f>survey_responses[[#This Row],[Tôi thấy Nhà nước đã giải thích rõ ràng, minh bạch về lý do và mục tiêu của việc sửa đổi thuế lần này. - HUMAN-TRU4]]</f>
        <v>5</v>
      </c>
      <c r="AZ112">
        <f t="shared" si="46"/>
        <v>0.44444444444444442</v>
      </c>
      <c r="BA112" s="32">
        <f t="shared" si="47"/>
        <v>0.77777777777777768</v>
      </c>
      <c r="BB112" s="32">
        <f t="shared" si="48"/>
        <v>0.52777777777777779</v>
      </c>
      <c r="BC112" s="7">
        <f t="shared" si="49"/>
        <v>0.81481481481481477</v>
      </c>
      <c r="BD112" s="7">
        <f t="shared" si="50"/>
        <v>0.63888888888888884</v>
      </c>
      <c r="BE112">
        <f>step3_validation[[#This Row],[AI_OUT1]]</f>
        <v>9</v>
      </c>
      <c r="BF112">
        <f t="shared" si="51"/>
        <v>0.88888888888888884</v>
      </c>
      <c r="BG112">
        <f>survey_responses[[#This Row],[Sau khi xem xét các quyền lợi và nghĩa vụ, bạn có ủng hộ và tuân thủ chính sách mới hiện nay? - HUMAN-OUT1]]</f>
        <v>5</v>
      </c>
      <c r="BH112">
        <f t="shared" si="52"/>
        <v>0.44444444444444442</v>
      </c>
      <c r="BI112" s="32">
        <f t="shared" si="53"/>
        <v>4</v>
      </c>
    </row>
    <row r="113" spans="1:61" x14ac:dyDescent="0.45">
      <c r="A113" s="30">
        <f>step3_validation[[#This Row],[Persona_ID]]</f>
        <v>112</v>
      </c>
      <c r="B113" s="31">
        <f>step3_validation[[#This Row],[Used_Seed]]</f>
        <v>153</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19.43793787470544</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8</v>
      </c>
      <c r="R113">
        <f t="shared" si="27"/>
        <v>0.77777777777777779</v>
      </c>
      <c r="S113">
        <f>survey_responses[[#This Row],[Tôi tin rằng với các quy định quản lý thuế hiện nay, hành vi gian lận hoặc trốn thuế sẽ dễ dàng bị phát hiện và xử lý nghiêm. - HUMAN-ENF1]]</f>
        <v>7</v>
      </c>
      <c r="T113">
        <f t="shared" si="28"/>
        <v>0.66666666666666663</v>
      </c>
      <c r="U113">
        <f>step3_validation[[#This Row],[AI_ENF2]]</f>
        <v>7</v>
      </c>
      <c r="V113">
        <f t="shared" si="29"/>
        <v>0.66666666666666663</v>
      </c>
      <c r="W113">
        <f>survey_responses[[#This Row],[Tôi tin rằng Nhà nước, cơ quan thuế có đủ khả năng và công nghệ để phát hiện, xử lý nghiêm các hành vi trốn thuế. - HUMAN-ENF2]]</f>
        <v>8</v>
      </c>
      <c r="X113">
        <f t="shared" si="30"/>
        <v>0.77777777777777779</v>
      </c>
      <c r="Y113" s="32">
        <f t="shared" si="31"/>
        <v>0.72222222222222221</v>
      </c>
      <c r="Z113" s="32">
        <f t="shared" si="32"/>
        <v>0.72222222222222221</v>
      </c>
      <c r="AA113">
        <f>step3_validation[[#This Row],[AI_FAC1]]</f>
        <v>9</v>
      </c>
      <c r="AB113">
        <f t="shared" si="33"/>
        <v>0.88888888888888884</v>
      </c>
      <c r="AC113">
        <f>survey_responses[[#This Row],[Các thủ tục khai báo thuế VÀ/HOẶC quy trình làm việc với cơ quan thuế đơn giản, tiện lợi, nhanh chóng hơn so với trước đây. - HUMAN-FAC1]]</f>
        <v>8</v>
      </c>
      <c r="AD113">
        <f t="shared" si="34"/>
        <v>0.77777777777777779</v>
      </c>
      <c r="AE113">
        <f>step3_validation[[#This Row],[AI_FAC2]]</f>
        <v>9</v>
      </c>
      <c r="AF113">
        <f t="shared" si="35"/>
        <v>0.88888888888888884</v>
      </c>
      <c r="AG113">
        <f>survey_responses[[#This Row],[So với trước đây, tôi thấy cách tính thuế và các bậc thuế trong phương án mới đơn giản, dễ hiểu và dễ thực hiện hơn. - HUMAN-FAC2]]</f>
        <v>8</v>
      </c>
      <c r="AH113">
        <f t="shared" si="36"/>
        <v>0.77777777777777779</v>
      </c>
      <c r="AI113" s="32">
        <f t="shared" si="37"/>
        <v>0.88888888888888884</v>
      </c>
      <c r="AJ113" s="32">
        <f t="shared" si="38"/>
        <v>0.77777777777777779</v>
      </c>
      <c r="AK113">
        <f>step3_validation[[#This Row],[AI_TRU1]]</f>
        <v>7</v>
      </c>
      <c r="AL113">
        <f t="shared" si="39"/>
        <v>0.66666666666666663</v>
      </c>
      <c r="AM113">
        <f>survey_responses[[#This Row],[Tôi tin rằng Nhà nước, cơ quan thuế sẽ thực thi chính sách mới một cách khách quan, công tâm và đối xử bình đẳng với mọi người nộp thuế.  - HUMAN-TRU1]]</f>
        <v>8</v>
      </c>
      <c r="AN113">
        <f t="shared" si="40"/>
        <v>0.77777777777777779</v>
      </c>
      <c r="AO113">
        <f>step3_validation[[#This Row],[AI_TRU2]]</f>
        <v>9</v>
      </c>
      <c r="AP113">
        <f t="shared" si="41"/>
        <v>0.88888888888888884</v>
      </c>
      <c r="AQ113">
        <f>survey_responses[[#This Row],[Tôi thấy mức thuế tôi phải đóng theo phương án mới là công bằng (người thu nhập như tôi đóng mức này là hợp lý). - HUMAN-TRU2]]</f>
        <v>8</v>
      </c>
      <c r="AR113">
        <f t="shared" si="42"/>
        <v>0.77777777777777779</v>
      </c>
      <c r="AS113">
        <f>step3_validation[[#This Row],[AI_TRU3]]</f>
        <v>6</v>
      </c>
      <c r="AT113">
        <f t="shared" si="43"/>
        <v>0.55555555555555558</v>
      </c>
      <c r="AU113">
        <f>survey_responses[[#This Row],[Tôi tin tưởng số tiền thuế tôi đóng sẽ được Nhà nước sử dụng hiệu quả để cải thiện dịch vụ công (y tế, đường xá...). - HUMAN-TRU3]]</f>
        <v>8</v>
      </c>
      <c r="AV113">
        <f t="shared" si="44"/>
        <v>0.77777777777777779</v>
      </c>
      <c r="AW113">
        <f>step3_validation[[#This Row],[AI_TRU4]]</f>
        <v>8</v>
      </c>
      <c r="AX113">
        <f t="shared" si="45"/>
        <v>0.77777777777777779</v>
      </c>
      <c r="AY113">
        <f>survey_responses[[#This Row],[Tôi thấy Nhà nước đã giải thích rõ ràng, minh bạch về lý do và mục tiêu của việc sửa đổi thuế lần này. - HUMAN-TRU4]]</f>
        <v>8</v>
      </c>
      <c r="AZ113">
        <f t="shared" si="46"/>
        <v>0.77777777777777779</v>
      </c>
      <c r="BA113" s="32">
        <f t="shared" si="47"/>
        <v>0.7222222222222221</v>
      </c>
      <c r="BB113" s="32">
        <f t="shared" si="48"/>
        <v>0.77777777777777779</v>
      </c>
      <c r="BC113" s="7">
        <f t="shared" si="49"/>
        <v>0.77777777777777768</v>
      </c>
      <c r="BD113" s="7">
        <f t="shared" si="50"/>
        <v>0.75925925925925919</v>
      </c>
      <c r="BE113">
        <f>step3_validation[[#This Row],[AI_OUT1]]</f>
        <v>9</v>
      </c>
      <c r="BF113">
        <f t="shared" si="51"/>
        <v>0.88888888888888884</v>
      </c>
      <c r="BG113">
        <f>survey_responses[[#This Row],[Sau khi xem xét các quyền lợi và nghĩa vụ, bạn có ủng hộ và tuân thủ chính sách mới hiện nay? - HUMAN-OUT1]]</f>
        <v>8</v>
      </c>
      <c r="BH113">
        <f t="shared" si="52"/>
        <v>0.77777777777777779</v>
      </c>
      <c r="BI113" s="32">
        <f t="shared" si="53"/>
        <v>1</v>
      </c>
    </row>
    <row r="114" spans="1:61" x14ac:dyDescent="0.45">
      <c r="A114" s="30">
        <f>step3_validation[[#This Row],[Persona_ID]]</f>
        <v>113</v>
      </c>
      <c r="B114" s="31">
        <f>step3_validation[[#This Row],[Used_Seed]]</f>
        <v>154</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9</v>
      </c>
      <c r="R114">
        <f t="shared" si="27"/>
        <v>0.88888888888888884</v>
      </c>
      <c r="S114">
        <f>survey_responses[[#This Row],[Tôi tin rằng với các quy định quản lý thuế hiện nay, hành vi gian lận hoặc trốn thuế sẽ dễ dàng bị phát hiện và xử lý nghiêm. - HUMAN-ENF1]]</f>
        <v>1</v>
      </c>
      <c r="T114">
        <f t="shared" si="28"/>
        <v>0</v>
      </c>
      <c r="U114">
        <f>step3_validation[[#This Row],[AI_ENF2]]</f>
        <v>8</v>
      </c>
      <c r="V114">
        <f t="shared" si="29"/>
        <v>0.77777777777777779</v>
      </c>
      <c r="W114">
        <f>survey_responses[[#This Row],[Tôi tin rằng Nhà nước, cơ quan thuế có đủ khả năng và công nghệ để phát hiện, xử lý nghiêm các hành vi trốn thuế. - HUMAN-ENF2]]</f>
        <v>1</v>
      </c>
      <c r="X114">
        <f t="shared" si="30"/>
        <v>0</v>
      </c>
      <c r="Y114" s="32">
        <f t="shared" si="31"/>
        <v>0.83333333333333326</v>
      </c>
      <c r="Z114" s="32">
        <f t="shared" si="32"/>
        <v>0</v>
      </c>
      <c r="AA114">
        <f>step3_validation[[#This Row],[AI_FAC1]]</f>
        <v>7</v>
      </c>
      <c r="AB114">
        <f t="shared" si="33"/>
        <v>0.66666666666666663</v>
      </c>
      <c r="AC114">
        <f>survey_responses[[#This Row],[Các thủ tục khai báo thuế VÀ/HOẶC quy trình làm việc với cơ quan thuế đơn giản, tiện lợi, nhanh chóng hơn so với trước đây. - HUMAN-FAC1]]</f>
        <v>1</v>
      </c>
      <c r="AD114">
        <f t="shared" si="34"/>
        <v>0</v>
      </c>
      <c r="AE114">
        <f>step3_validation[[#This Row],[AI_FAC2]]</f>
        <v>8</v>
      </c>
      <c r="AF114">
        <f t="shared" si="35"/>
        <v>0.77777777777777779</v>
      </c>
      <c r="AG114">
        <f>survey_responses[[#This Row],[So với trước đây, tôi thấy cách tính thuế và các bậc thuế trong phương án mới đơn giản, dễ hiểu và dễ thực hiện hơn. - HUMAN-FAC2]]</f>
        <v>1</v>
      </c>
      <c r="AH114">
        <f t="shared" si="36"/>
        <v>0</v>
      </c>
      <c r="AI114" s="32">
        <f t="shared" si="37"/>
        <v>0.72222222222222221</v>
      </c>
      <c r="AJ114" s="32">
        <f t="shared" si="38"/>
        <v>0</v>
      </c>
      <c r="AK114">
        <f>step3_validation[[#This Row],[AI_TRU1]]</f>
        <v>9</v>
      </c>
      <c r="AL114">
        <f t="shared" si="39"/>
        <v>0.88888888888888884</v>
      </c>
      <c r="AM114">
        <f>survey_responses[[#This Row],[Tôi tin rằng Nhà nước, cơ quan thuế sẽ thực thi chính sách mới một cách khách quan, công tâm và đối xử bình đẳng với mọi người nộp thuế.  - HUMAN-TRU1]]</f>
        <v>1</v>
      </c>
      <c r="AN114">
        <f t="shared" si="40"/>
        <v>0</v>
      </c>
      <c r="AO114">
        <f>step3_validation[[#This Row],[AI_TRU2]]</f>
        <v>8</v>
      </c>
      <c r="AP114">
        <f t="shared" si="41"/>
        <v>0.77777777777777779</v>
      </c>
      <c r="AQ114">
        <f>survey_responses[[#This Row],[Tôi thấy mức thuế tôi phải đóng theo phương án mới là công bằng (người thu nhập như tôi đóng mức này là hợp lý). - HUMAN-TRU2]]</f>
        <v>1</v>
      </c>
      <c r="AR114">
        <f t="shared" si="42"/>
        <v>0</v>
      </c>
      <c r="AS114">
        <f>step3_validation[[#This Row],[AI_TRU3]]</f>
        <v>9</v>
      </c>
      <c r="AT114">
        <f t="shared" si="43"/>
        <v>0.88888888888888884</v>
      </c>
      <c r="AU114">
        <f>survey_responses[[#This Row],[Tôi tin tưởng số tiền thuế tôi đóng sẽ được Nhà nước sử dụng hiệu quả để cải thiện dịch vụ công (y tế, đường xá...). - HUMAN-TRU3]]</f>
        <v>1</v>
      </c>
      <c r="AV114">
        <f t="shared" si="44"/>
        <v>0</v>
      </c>
      <c r="AW114">
        <f>step3_validation[[#This Row],[AI_TRU4]]</f>
        <v>8</v>
      </c>
      <c r="AX114">
        <f t="shared" si="45"/>
        <v>0.77777777777777779</v>
      </c>
      <c r="AY114">
        <f>survey_responses[[#This Row],[Tôi thấy Nhà nước đã giải thích rõ ràng, minh bạch về lý do và mục tiêu của việc sửa đổi thuế lần này. - HUMAN-TRU4]]</f>
        <v>1</v>
      </c>
      <c r="AZ114">
        <f t="shared" si="46"/>
        <v>0</v>
      </c>
      <c r="BA114" s="32">
        <f t="shared" si="47"/>
        <v>0.83333333333333326</v>
      </c>
      <c r="BB114" s="32">
        <f t="shared" si="48"/>
        <v>0</v>
      </c>
      <c r="BC114" s="7">
        <f t="shared" si="49"/>
        <v>0.79629629629629617</v>
      </c>
      <c r="BD114" s="7">
        <f t="shared" si="50"/>
        <v>0</v>
      </c>
      <c r="BE114">
        <f>step3_validation[[#This Row],[AI_OUT1]]</f>
        <v>9</v>
      </c>
      <c r="BF114">
        <f t="shared" si="51"/>
        <v>0.88888888888888884</v>
      </c>
      <c r="BG114">
        <f>survey_responses[[#This Row],[Sau khi xem xét các quyền lợi và nghĩa vụ, bạn có ủng hộ và tuân thủ chính sách mới hiện nay? - HUMAN-OUT1]]</f>
        <v>1</v>
      </c>
      <c r="BH114">
        <f t="shared" si="52"/>
        <v>0</v>
      </c>
      <c r="BI114" s="32">
        <f t="shared" si="53"/>
        <v>8</v>
      </c>
    </row>
    <row r="115" spans="1:61" x14ac:dyDescent="0.45">
      <c r="A115" s="30">
        <f>step3_validation[[#This Row],[Persona_ID]]</f>
        <v>114</v>
      </c>
      <c r="B115" s="31">
        <f>step3_validation[[#This Row],[Used_Seed]]</f>
        <v>155</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19.551035595401128</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8</v>
      </c>
      <c r="R115">
        <f t="shared" si="27"/>
        <v>0.77777777777777779</v>
      </c>
      <c r="S115">
        <f>survey_responses[[#This Row],[Tôi tin rằng với các quy định quản lý thuế hiện nay, hành vi gian lận hoặc trốn thuế sẽ dễ dàng bị phát hiện và xử lý nghiêm. - HUMAN-ENF1]]</f>
        <v>10</v>
      </c>
      <c r="T115">
        <f t="shared" si="28"/>
        <v>1</v>
      </c>
      <c r="U115">
        <f>step3_validation[[#This Row],[AI_ENF2]]</f>
        <v>7</v>
      </c>
      <c r="V115">
        <f t="shared" si="29"/>
        <v>0.66666666666666663</v>
      </c>
      <c r="W115">
        <f>survey_responses[[#This Row],[Tôi tin rằng Nhà nước, cơ quan thuế có đủ khả năng và công nghệ để phát hiện, xử lý nghiêm các hành vi trốn thuế. - HUMAN-ENF2]]</f>
        <v>10</v>
      </c>
      <c r="X115">
        <f t="shared" si="30"/>
        <v>1</v>
      </c>
      <c r="Y115" s="32">
        <f t="shared" si="31"/>
        <v>0.72222222222222221</v>
      </c>
      <c r="Z115" s="32">
        <f t="shared" si="32"/>
        <v>1</v>
      </c>
      <c r="AA115">
        <f>step3_validation[[#This Row],[AI_FAC1]]</f>
        <v>9</v>
      </c>
      <c r="AB115">
        <f t="shared" si="33"/>
        <v>0.88888888888888884</v>
      </c>
      <c r="AC115">
        <f>survey_responses[[#This Row],[Các thủ tục khai báo thuế VÀ/HOẶC quy trình làm việc với cơ quan thuế đơn giản, tiện lợi, nhanh chóng hơn so với trước đây. - HUMAN-FAC1]]</f>
        <v>10</v>
      </c>
      <c r="AD115">
        <f t="shared" si="34"/>
        <v>1</v>
      </c>
      <c r="AE115">
        <f>step3_validation[[#This Row],[AI_FAC2]]</f>
        <v>8</v>
      </c>
      <c r="AF115">
        <f t="shared" si="35"/>
        <v>0.77777777777777779</v>
      </c>
      <c r="AG115">
        <f>survey_responses[[#This Row],[So với trước đây, tôi thấy cách tính thuế và các bậc thuế trong phương án mới đơn giản, dễ hiểu và dễ thực hiện hơn. - HUMAN-FAC2]]</f>
        <v>10</v>
      </c>
      <c r="AH115">
        <f t="shared" si="36"/>
        <v>1</v>
      </c>
      <c r="AI115" s="32">
        <f t="shared" si="37"/>
        <v>0.83333333333333326</v>
      </c>
      <c r="AJ115" s="32">
        <f t="shared" si="38"/>
        <v>1</v>
      </c>
      <c r="AK115">
        <f>step3_validation[[#This Row],[AI_TRU1]]</f>
        <v>9</v>
      </c>
      <c r="AL115">
        <f t="shared" si="39"/>
        <v>0.88888888888888884</v>
      </c>
      <c r="AM115">
        <f>survey_responses[[#This Row],[Tôi tin rằng Nhà nước, cơ quan thuế sẽ thực thi chính sách mới một cách khách quan, công tâm và đối xử bình đẳng với mọi người nộp thuế.  - HUMAN-TRU1]]</f>
        <v>10</v>
      </c>
      <c r="AN115">
        <f t="shared" si="40"/>
        <v>1</v>
      </c>
      <c r="AO115">
        <f>step3_validation[[#This Row],[AI_TRU2]]</f>
        <v>8</v>
      </c>
      <c r="AP115">
        <f t="shared" si="41"/>
        <v>0.77777777777777779</v>
      </c>
      <c r="AQ115">
        <f>survey_responses[[#This Row],[Tôi thấy mức thuế tôi phải đóng theo phương án mới là công bằng (người thu nhập như tôi đóng mức này là hợp lý). - HUMAN-TRU2]]</f>
        <v>10</v>
      </c>
      <c r="AR115">
        <f t="shared" si="42"/>
        <v>1</v>
      </c>
      <c r="AS115">
        <f>step3_validation[[#This Row],[AI_TRU3]]</f>
        <v>9</v>
      </c>
      <c r="AT115">
        <f t="shared" si="43"/>
        <v>0.88888888888888884</v>
      </c>
      <c r="AU115">
        <f>survey_responses[[#This Row],[Tôi tin tưởng số tiền thuế tôi đóng sẽ được Nhà nước sử dụng hiệu quả để cải thiện dịch vụ công (y tế, đường xá...). - HUMAN-TRU3]]</f>
        <v>10</v>
      </c>
      <c r="AV115">
        <f t="shared" si="44"/>
        <v>1</v>
      </c>
      <c r="AW115">
        <f>step3_validation[[#This Row],[AI_TRU4]]</f>
        <v>8</v>
      </c>
      <c r="AX115">
        <f t="shared" si="45"/>
        <v>0.77777777777777779</v>
      </c>
      <c r="AY115">
        <f>survey_responses[[#This Row],[Tôi thấy Nhà nước đã giải thích rõ ràng, minh bạch về lý do và mục tiêu của việc sửa đổi thuế lần này. - HUMAN-TRU4]]</f>
        <v>10</v>
      </c>
      <c r="AZ115">
        <f t="shared" si="46"/>
        <v>1</v>
      </c>
      <c r="BA115" s="32">
        <f t="shared" si="47"/>
        <v>0.83333333333333326</v>
      </c>
      <c r="BB115" s="32">
        <f t="shared" si="48"/>
        <v>1</v>
      </c>
      <c r="BC115" s="7">
        <f t="shared" si="49"/>
        <v>0.79629629629629617</v>
      </c>
      <c r="BD115" s="7">
        <f t="shared" si="50"/>
        <v>1</v>
      </c>
      <c r="BE115">
        <f>step3_validation[[#This Row],[AI_OUT1]]</f>
        <v>10</v>
      </c>
      <c r="BF115">
        <f t="shared" si="51"/>
        <v>1</v>
      </c>
      <c r="BG115">
        <f>survey_responses[[#This Row],[Sau khi xem xét các quyền lợi và nghĩa vụ, bạn có ủng hộ và tuân thủ chính sách mới hiện nay? - HUMAN-OUT1]]</f>
        <v>10</v>
      </c>
      <c r="BH115">
        <f t="shared" si="52"/>
        <v>1</v>
      </c>
      <c r="BI115" s="32">
        <f t="shared" si="53"/>
        <v>0</v>
      </c>
    </row>
    <row r="116" spans="1:61" x14ac:dyDescent="0.45">
      <c r="A116" s="30">
        <f>step3_validation[[#This Row],[Persona_ID]]</f>
        <v>115</v>
      </c>
      <c r="B116" s="31">
        <f>step3_validation[[#This Row],[Used_Seed]]</f>
        <v>156</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12.25852098708115</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7</v>
      </c>
      <c r="R116">
        <f t="shared" si="27"/>
        <v>0.66666666666666663</v>
      </c>
      <c r="S116">
        <f>survey_responses[[#This Row],[Tôi tin rằng với các quy định quản lý thuế hiện nay, hành vi gian lận hoặc trốn thuế sẽ dễ dàng bị phát hiện và xử lý nghiêm. - HUMAN-ENF1]]</f>
        <v>1</v>
      </c>
      <c r="T116">
        <f t="shared" si="28"/>
        <v>0</v>
      </c>
      <c r="U116">
        <f>step3_validation[[#This Row],[AI_ENF2]]</f>
        <v>8</v>
      </c>
      <c r="V116">
        <f t="shared" si="29"/>
        <v>0.77777777777777779</v>
      </c>
      <c r="W116">
        <f>survey_responses[[#This Row],[Tôi tin rằng Nhà nước, cơ quan thuế có đủ khả năng và công nghệ để phát hiện, xử lý nghiêm các hành vi trốn thuế. - HUMAN-ENF2]]</f>
        <v>1</v>
      </c>
      <c r="X116">
        <f t="shared" si="30"/>
        <v>0</v>
      </c>
      <c r="Y116" s="32">
        <f t="shared" si="31"/>
        <v>0.72222222222222221</v>
      </c>
      <c r="Z116" s="32">
        <f t="shared" si="32"/>
        <v>0</v>
      </c>
      <c r="AA116">
        <f>step3_validation[[#This Row],[AI_FAC1]]</f>
        <v>7</v>
      </c>
      <c r="AB116">
        <f t="shared" si="33"/>
        <v>0.66666666666666663</v>
      </c>
      <c r="AC116">
        <f>survey_responses[[#This Row],[Các thủ tục khai báo thuế VÀ/HOẶC quy trình làm việc với cơ quan thuế đơn giản, tiện lợi, nhanh chóng hơn so với trước đây. - HUMAN-FAC1]]</f>
        <v>1</v>
      </c>
      <c r="AD116">
        <f t="shared" si="34"/>
        <v>0</v>
      </c>
      <c r="AE116">
        <f>step3_validation[[#This Row],[AI_FAC2]]</f>
        <v>9</v>
      </c>
      <c r="AF116">
        <f t="shared" si="35"/>
        <v>0.88888888888888884</v>
      </c>
      <c r="AG116">
        <f>survey_responses[[#This Row],[So với trước đây, tôi thấy cách tính thuế và các bậc thuế trong phương án mới đơn giản, dễ hiểu và dễ thực hiện hơn. - HUMAN-FAC2]]</f>
        <v>1</v>
      </c>
      <c r="AH116">
        <f t="shared" si="36"/>
        <v>0</v>
      </c>
      <c r="AI116" s="32">
        <f t="shared" si="37"/>
        <v>0.77777777777777768</v>
      </c>
      <c r="AJ116" s="32">
        <f t="shared" si="38"/>
        <v>0</v>
      </c>
      <c r="AK116">
        <f>step3_validation[[#This Row],[AI_TRU1]]</f>
        <v>8</v>
      </c>
      <c r="AL116">
        <f t="shared" si="39"/>
        <v>0.77777777777777779</v>
      </c>
      <c r="AM116">
        <f>survey_responses[[#This Row],[Tôi tin rằng Nhà nước, cơ quan thuế sẽ thực thi chính sách mới một cách khách quan, công tâm và đối xử bình đẳng với mọi người nộp thuế.  - HUMAN-TRU1]]</f>
        <v>1</v>
      </c>
      <c r="AN116">
        <f t="shared" si="40"/>
        <v>0</v>
      </c>
      <c r="AO116">
        <f>step3_validation[[#This Row],[AI_TRU2]]</f>
        <v>9</v>
      </c>
      <c r="AP116">
        <f t="shared" si="41"/>
        <v>0.88888888888888884</v>
      </c>
      <c r="AQ116">
        <f>survey_responses[[#This Row],[Tôi thấy mức thuế tôi phải đóng theo phương án mới là công bằng (người thu nhập như tôi đóng mức này là hợp lý). - HUMAN-TRU2]]</f>
        <v>1</v>
      </c>
      <c r="AR116">
        <f t="shared" si="42"/>
        <v>0</v>
      </c>
      <c r="AS116">
        <f>step3_validation[[#This Row],[AI_TRU3]]</f>
        <v>8</v>
      </c>
      <c r="AT116">
        <f t="shared" si="43"/>
        <v>0.77777777777777779</v>
      </c>
      <c r="AU116">
        <f>survey_responses[[#This Row],[Tôi tin tưởng số tiền thuế tôi đóng sẽ được Nhà nước sử dụng hiệu quả để cải thiện dịch vụ công (y tế, đường xá...). - HUMAN-TRU3]]</f>
        <v>1</v>
      </c>
      <c r="AV116">
        <f t="shared" si="44"/>
        <v>0</v>
      </c>
      <c r="AW116">
        <f>step3_validation[[#This Row],[AI_TRU4]]</f>
        <v>9</v>
      </c>
      <c r="AX116">
        <f t="shared" si="45"/>
        <v>0.88888888888888884</v>
      </c>
      <c r="AY116">
        <f>survey_responses[[#This Row],[Tôi thấy Nhà nước đã giải thích rõ ràng, minh bạch về lý do và mục tiêu của việc sửa đổi thuế lần này. - HUMAN-TRU4]]</f>
        <v>1</v>
      </c>
      <c r="AZ116">
        <f t="shared" si="46"/>
        <v>0</v>
      </c>
      <c r="BA116" s="32">
        <f t="shared" si="47"/>
        <v>0.83333333333333326</v>
      </c>
      <c r="BB116" s="32">
        <f t="shared" si="48"/>
        <v>0</v>
      </c>
      <c r="BC116" s="7">
        <f t="shared" si="49"/>
        <v>0.77777777777777768</v>
      </c>
      <c r="BD116" s="7">
        <f t="shared" si="50"/>
        <v>0</v>
      </c>
      <c r="BE116">
        <f>step3_validation[[#This Row],[AI_OUT1]]</f>
        <v>9</v>
      </c>
      <c r="BF116">
        <f t="shared" si="51"/>
        <v>0.88888888888888884</v>
      </c>
      <c r="BG116">
        <f>survey_responses[[#This Row],[Sau khi xem xét các quyền lợi và nghĩa vụ, bạn có ủng hộ và tuân thủ chính sách mới hiện nay? - HUMAN-OUT1]]</f>
        <v>1</v>
      </c>
      <c r="BH116">
        <f t="shared" si="52"/>
        <v>0</v>
      </c>
      <c r="BI116" s="32">
        <f t="shared" si="53"/>
        <v>8</v>
      </c>
    </row>
    <row r="117" spans="1:61" x14ac:dyDescent="0.45">
      <c r="A117" s="30">
        <f>step3_validation[[#This Row],[Persona_ID]]</f>
        <v>116</v>
      </c>
      <c r="B117" s="31">
        <f>step3_validation[[#This Row],[Used_Seed]]</f>
        <v>157</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14.926006526185645</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6</v>
      </c>
      <c r="R117">
        <f t="shared" si="27"/>
        <v>0.55555555555555558</v>
      </c>
      <c r="S117">
        <f>survey_responses[[#This Row],[Tôi tin rằng với các quy định quản lý thuế hiện nay, hành vi gian lận hoặc trốn thuế sẽ dễ dàng bị phát hiện và xử lý nghiêm. - HUMAN-ENF1]]</f>
        <v>9</v>
      </c>
      <c r="T117">
        <f t="shared" si="28"/>
        <v>0.88888888888888884</v>
      </c>
      <c r="U117">
        <f>step3_validation[[#This Row],[AI_ENF2]]</f>
        <v>6</v>
      </c>
      <c r="V117">
        <f t="shared" si="29"/>
        <v>0.55555555555555558</v>
      </c>
      <c r="W117">
        <f>survey_responses[[#This Row],[Tôi tin rằng Nhà nước, cơ quan thuế có đủ khả năng và công nghệ để phát hiện, xử lý nghiêm các hành vi trốn thuế. - HUMAN-ENF2]]</f>
        <v>9</v>
      </c>
      <c r="X117">
        <f t="shared" si="30"/>
        <v>0.88888888888888884</v>
      </c>
      <c r="Y117" s="32">
        <f t="shared" si="31"/>
        <v>0.55555555555555558</v>
      </c>
      <c r="Z117" s="32">
        <f t="shared" si="32"/>
        <v>0.88888888888888884</v>
      </c>
      <c r="AA117">
        <f>step3_validation[[#This Row],[AI_FAC1]]</f>
        <v>9</v>
      </c>
      <c r="AB117">
        <f t="shared" si="33"/>
        <v>0.88888888888888884</v>
      </c>
      <c r="AC117">
        <f>survey_responses[[#This Row],[Các thủ tục khai báo thuế VÀ/HOẶC quy trình làm việc với cơ quan thuế đơn giản, tiện lợi, nhanh chóng hơn so với trước đây. - HUMAN-FAC1]]</f>
        <v>9</v>
      </c>
      <c r="AD117">
        <f t="shared" si="34"/>
        <v>0.88888888888888884</v>
      </c>
      <c r="AE117">
        <f>step3_validation[[#This Row],[AI_FAC2]]</f>
        <v>8</v>
      </c>
      <c r="AF117">
        <f t="shared" si="35"/>
        <v>0.77777777777777779</v>
      </c>
      <c r="AG117">
        <f>survey_responses[[#This Row],[So với trước đây, tôi thấy cách tính thuế và các bậc thuế trong phương án mới đơn giản, dễ hiểu và dễ thực hiện hơn. - HUMAN-FAC2]]</f>
        <v>9</v>
      </c>
      <c r="AH117">
        <f t="shared" si="36"/>
        <v>0.88888888888888884</v>
      </c>
      <c r="AI117" s="32">
        <f t="shared" si="37"/>
        <v>0.83333333333333326</v>
      </c>
      <c r="AJ117" s="32">
        <f t="shared" si="38"/>
        <v>0.88888888888888884</v>
      </c>
      <c r="AK117">
        <f>step3_validation[[#This Row],[AI_TRU1]]</f>
        <v>9</v>
      </c>
      <c r="AL117">
        <f t="shared" si="39"/>
        <v>0.88888888888888884</v>
      </c>
      <c r="AM117">
        <f>survey_responses[[#This Row],[Tôi tin rằng Nhà nước, cơ quan thuế sẽ thực thi chính sách mới một cách khách quan, công tâm và đối xử bình đẳng với mọi người nộp thuế.  - HUMAN-TRU1]]</f>
        <v>9</v>
      </c>
      <c r="AN117">
        <f t="shared" si="40"/>
        <v>0.88888888888888884</v>
      </c>
      <c r="AO117">
        <f>step3_validation[[#This Row],[AI_TRU2]]</f>
        <v>8</v>
      </c>
      <c r="AP117">
        <f t="shared" si="41"/>
        <v>0.77777777777777779</v>
      </c>
      <c r="AQ117">
        <f>survey_responses[[#This Row],[Tôi thấy mức thuế tôi phải đóng theo phương án mới là công bằng (người thu nhập như tôi đóng mức này là hợp lý). - HUMAN-TRU2]]</f>
        <v>9</v>
      </c>
      <c r="AR117">
        <f t="shared" si="42"/>
        <v>0.88888888888888884</v>
      </c>
      <c r="AS117">
        <f>step3_validation[[#This Row],[AI_TRU3]]</f>
        <v>9</v>
      </c>
      <c r="AT117">
        <f t="shared" si="43"/>
        <v>0.88888888888888884</v>
      </c>
      <c r="AU117">
        <f>survey_responses[[#This Row],[Tôi tin tưởng số tiền thuế tôi đóng sẽ được Nhà nước sử dụng hiệu quả để cải thiện dịch vụ công (y tế, đường xá...). - HUMAN-TRU3]]</f>
        <v>9</v>
      </c>
      <c r="AV117">
        <f t="shared" si="44"/>
        <v>0.88888888888888884</v>
      </c>
      <c r="AW117">
        <f>step3_validation[[#This Row],[AI_TRU4]]</f>
        <v>8</v>
      </c>
      <c r="AX117">
        <f t="shared" si="45"/>
        <v>0.77777777777777779</v>
      </c>
      <c r="AY117">
        <f>survey_responses[[#This Row],[Tôi thấy Nhà nước đã giải thích rõ ràng, minh bạch về lý do và mục tiêu của việc sửa đổi thuế lần này. - HUMAN-TRU4]]</f>
        <v>8</v>
      </c>
      <c r="AZ117">
        <f t="shared" si="46"/>
        <v>0.77777777777777779</v>
      </c>
      <c r="BA117" s="32">
        <f t="shared" si="47"/>
        <v>0.83333333333333326</v>
      </c>
      <c r="BB117" s="32">
        <f t="shared" si="48"/>
        <v>0.86111111111111105</v>
      </c>
      <c r="BC117" s="7">
        <f t="shared" si="49"/>
        <v>0.74074074074074081</v>
      </c>
      <c r="BD117" s="7">
        <f t="shared" si="50"/>
        <v>0.87962962962962965</v>
      </c>
      <c r="BE117">
        <f>step3_validation[[#This Row],[AI_OUT1]]</f>
        <v>9</v>
      </c>
      <c r="BF117">
        <f t="shared" si="51"/>
        <v>0.88888888888888884</v>
      </c>
      <c r="BG117">
        <f>survey_responses[[#This Row],[Sau khi xem xét các quyền lợi và nghĩa vụ, bạn có ủng hộ và tuân thủ chính sách mới hiện nay? - HUMAN-OUT1]]</f>
        <v>9</v>
      </c>
      <c r="BH117">
        <f t="shared" si="52"/>
        <v>0.88888888888888884</v>
      </c>
      <c r="BI117" s="32">
        <f t="shared" si="53"/>
        <v>0</v>
      </c>
    </row>
    <row r="118" spans="1:61" x14ac:dyDescent="0.45">
      <c r="A118" s="30">
        <f>step3_validation[[#This Row],[Persona_ID]]</f>
        <v>117</v>
      </c>
      <c r="B118" s="31">
        <f>step3_validation[[#This Row],[Used_Seed]]</f>
        <v>158</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54.357397999614605</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9</v>
      </c>
      <c r="R118">
        <f t="shared" si="27"/>
        <v>0.88888888888888884</v>
      </c>
      <c r="S118">
        <f>survey_responses[[#This Row],[Tôi tin rằng với các quy định quản lý thuế hiện nay, hành vi gian lận hoặc trốn thuế sẽ dễ dàng bị phát hiện và xử lý nghiêm. - HUMAN-ENF1]]</f>
        <v>8</v>
      </c>
      <c r="T118">
        <f t="shared" si="28"/>
        <v>0.77777777777777779</v>
      </c>
      <c r="U118">
        <f>step3_validation[[#This Row],[AI_ENF2]]</f>
        <v>8</v>
      </c>
      <c r="V118">
        <f t="shared" si="29"/>
        <v>0.77777777777777779</v>
      </c>
      <c r="W118">
        <f>survey_responses[[#This Row],[Tôi tin rằng Nhà nước, cơ quan thuế có đủ khả năng và công nghệ để phát hiện, xử lý nghiêm các hành vi trốn thuế. - HUMAN-ENF2]]</f>
        <v>9</v>
      </c>
      <c r="X118">
        <f t="shared" si="30"/>
        <v>0.88888888888888884</v>
      </c>
      <c r="Y118" s="32">
        <f t="shared" si="31"/>
        <v>0.83333333333333326</v>
      </c>
      <c r="Z118" s="32">
        <f t="shared" si="32"/>
        <v>0.83333333333333326</v>
      </c>
      <c r="AA118">
        <f>step3_validation[[#This Row],[AI_FAC1]]</f>
        <v>8</v>
      </c>
      <c r="AB118">
        <f t="shared" si="33"/>
        <v>0.77777777777777779</v>
      </c>
      <c r="AC118">
        <f>survey_responses[[#This Row],[Các thủ tục khai báo thuế VÀ/HOẶC quy trình làm việc với cơ quan thuế đơn giản, tiện lợi, nhanh chóng hơn so với trước đây. - HUMAN-FAC1]]</f>
        <v>8</v>
      </c>
      <c r="AD118">
        <f t="shared" si="34"/>
        <v>0.77777777777777779</v>
      </c>
      <c r="AE118">
        <f>step3_validation[[#This Row],[AI_FAC2]]</f>
        <v>9</v>
      </c>
      <c r="AF118">
        <f t="shared" si="35"/>
        <v>0.88888888888888884</v>
      </c>
      <c r="AG118">
        <f>survey_responses[[#This Row],[So với trước đây, tôi thấy cách tính thuế và các bậc thuế trong phương án mới đơn giản, dễ hiểu và dễ thực hiện hơn. - HUMAN-FAC2]]</f>
        <v>6</v>
      </c>
      <c r="AH118">
        <f t="shared" si="36"/>
        <v>0.55555555555555558</v>
      </c>
      <c r="AI118" s="32">
        <f t="shared" si="37"/>
        <v>0.83333333333333326</v>
      </c>
      <c r="AJ118" s="32">
        <f t="shared" si="38"/>
        <v>0.66666666666666674</v>
      </c>
      <c r="AK118">
        <f>step3_validation[[#This Row],[AI_TRU1]]</f>
        <v>9</v>
      </c>
      <c r="AL118">
        <f t="shared" si="39"/>
        <v>0.88888888888888884</v>
      </c>
      <c r="AM118">
        <f>survey_responses[[#This Row],[Tôi tin rằng Nhà nước, cơ quan thuế sẽ thực thi chính sách mới một cách khách quan, công tâm và đối xử bình đẳng với mọi người nộp thuế.  - HUMAN-TRU1]]</f>
        <v>8</v>
      </c>
      <c r="AN118">
        <f t="shared" si="40"/>
        <v>0.77777777777777779</v>
      </c>
      <c r="AO118">
        <f>step3_validation[[#This Row],[AI_TRU2]]</f>
        <v>8</v>
      </c>
      <c r="AP118">
        <f t="shared" si="41"/>
        <v>0.77777777777777779</v>
      </c>
      <c r="AQ118">
        <f>survey_responses[[#This Row],[Tôi thấy mức thuế tôi phải đóng theo phương án mới là công bằng (người thu nhập như tôi đóng mức này là hợp lý). - HUMAN-TRU2]]</f>
        <v>8</v>
      </c>
      <c r="AR118">
        <f t="shared" si="42"/>
        <v>0.77777777777777779</v>
      </c>
      <c r="AS118">
        <f>step3_validation[[#This Row],[AI_TRU3]]</f>
        <v>9</v>
      </c>
      <c r="AT118">
        <f t="shared" si="43"/>
        <v>0.88888888888888884</v>
      </c>
      <c r="AU118">
        <f>survey_responses[[#This Row],[Tôi tin tưởng số tiền thuế tôi đóng sẽ được Nhà nước sử dụng hiệu quả để cải thiện dịch vụ công (y tế, đường xá...). - HUMAN-TRU3]]</f>
        <v>8</v>
      </c>
      <c r="AV118">
        <f t="shared" si="44"/>
        <v>0.77777777777777779</v>
      </c>
      <c r="AW118">
        <f>step3_validation[[#This Row],[AI_TRU4]]</f>
        <v>8</v>
      </c>
      <c r="AX118">
        <f t="shared" si="45"/>
        <v>0.77777777777777779</v>
      </c>
      <c r="AY118">
        <f>survey_responses[[#This Row],[Tôi thấy Nhà nước đã giải thích rõ ràng, minh bạch về lý do và mục tiêu của việc sửa đổi thuế lần này. - HUMAN-TRU4]]</f>
        <v>8</v>
      </c>
      <c r="AZ118">
        <f t="shared" si="46"/>
        <v>0.77777777777777779</v>
      </c>
      <c r="BA118" s="32">
        <f t="shared" si="47"/>
        <v>0.83333333333333326</v>
      </c>
      <c r="BB118" s="32">
        <f t="shared" si="48"/>
        <v>0.77777777777777779</v>
      </c>
      <c r="BC118" s="7">
        <f t="shared" si="49"/>
        <v>0.83333333333333337</v>
      </c>
      <c r="BD118" s="7">
        <f t="shared" si="50"/>
        <v>0.75925925925925919</v>
      </c>
      <c r="BE118">
        <f>step3_validation[[#This Row],[AI_OUT1]]</f>
        <v>9</v>
      </c>
      <c r="BF118">
        <f t="shared" si="51"/>
        <v>0.88888888888888884</v>
      </c>
      <c r="BG118">
        <f>survey_responses[[#This Row],[Sau khi xem xét các quyền lợi và nghĩa vụ, bạn có ủng hộ và tuân thủ chính sách mới hiện nay? - HUMAN-OUT1]]</f>
        <v>6</v>
      </c>
      <c r="BH118">
        <f t="shared" si="52"/>
        <v>0.55555555555555558</v>
      </c>
      <c r="BI118" s="32">
        <f t="shared" si="53"/>
        <v>3</v>
      </c>
    </row>
    <row r="119" spans="1:61" x14ac:dyDescent="0.45">
      <c r="A119" s="30">
        <f>step3_validation[[#This Row],[Persona_ID]]</f>
        <v>118</v>
      </c>
      <c r="B119" s="31">
        <f>step3_validation[[#This Row],[Used_Seed]]</f>
        <v>159</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35.067836146928116</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5</v>
      </c>
      <c r="R119">
        <f t="shared" si="27"/>
        <v>0.44444444444444442</v>
      </c>
      <c r="S119">
        <f>survey_responses[[#This Row],[Tôi tin rằng với các quy định quản lý thuế hiện nay, hành vi gian lận hoặc trốn thuế sẽ dễ dàng bị phát hiện và xử lý nghiêm. - HUMAN-ENF1]]</f>
        <v>4</v>
      </c>
      <c r="T119">
        <f t="shared" si="28"/>
        <v>0.33333333333333331</v>
      </c>
      <c r="U119">
        <f>step3_validation[[#This Row],[AI_ENF2]]</f>
        <v>6</v>
      </c>
      <c r="V119">
        <f t="shared" si="29"/>
        <v>0.55555555555555558</v>
      </c>
      <c r="W119">
        <f>survey_responses[[#This Row],[Tôi tin rằng Nhà nước, cơ quan thuế có đủ khả năng và công nghệ để phát hiện, xử lý nghiêm các hành vi trốn thuế. - HUMAN-ENF2]]</f>
        <v>1</v>
      </c>
      <c r="X119">
        <f t="shared" si="30"/>
        <v>0</v>
      </c>
      <c r="Y119" s="32">
        <f t="shared" si="31"/>
        <v>0.5</v>
      </c>
      <c r="Z119" s="32">
        <f t="shared" si="32"/>
        <v>0.16666666666666666</v>
      </c>
      <c r="AA119">
        <f>step3_validation[[#This Row],[AI_FAC1]]</f>
        <v>8</v>
      </c>
      <c r="AB119">
        <f t="shared" si="33"/>
        <v>0.77777777777777779</v>
      </c>
      <c r="AC119">
        <f>survey_responses[[#This Row],[Các thủ tục khai báo thuế VÀ/HOẶC quy trình làm việc với cơ quan thuế đơn giản, tiện lợi, nhanh chóng hơn so với trước đây. - HUMAN-FAC1]]</f>
        <v>1</v>
      </c>
      <c r="AD119">
        <f t="shared" si="34"/>
        <v>0</v>
      </c>
      <c r="AE119">
        <f>step3_validation[[#This Row],[AI_FAC2]]</f>
        <v>9</v>
      </c>
      <c r="AF119">
        <f t="shared" si="35"/>
        <v>0.88888888888888884</v>
      </c>
      <c r="AG119">
        <f>survey_responses[[#This Row],[So với trước đây, tôi thấy cách tính thuế và các bậc thuế trong phương án mới đơn giản, dễ hiểu và dễ thực hiện hơn. - HUMAN-FAC2]]</f>
        <v>5</v>
      </c>
      <c r="AH119">
        <f t="shared" si="36"/>
        <v>0.44444444444444442</v>
      </c>
      <c r="AI119" s="32">
        <f t="shared" si="37"/>
        <v>0.83333333333333326</v>
      </c>
      <c r="AJ119" s="32">
        <f t="shared" si="38"/>
        <v>0.22222222222222221</v>
      </c>
      <c r="AK119">
        <f>step3_validation[[#This Row],[AI_TRU1]]</f>
        <v>7</v>
      </c>
      <c r="AL119">
        <f t="shared" si="39"/>
        <v>0.66666666666666663</v>
      </c>
      <c r="AM119">
        <f>survey_responses[[#This Row],[Tôi tin rằng Nhà nước, cơ quan thuế sẽ thực thi chính sách mới một cách khách quan, công tâm và đối xử bình đẳng với mọi người nộp thuế.  - HUMAN-TRU1]]</f>
        <v>1</v>
      </c>
      <c r="AN119">
        <f t="shared" si="40"/>
        <v>0</v>
      </c>
      <c r="AO119">
        <f>step3_validation[[#This Row],[AI_TRU2]]</f>
        <v>8</v>
      </c>
      <c r="AP119">
        <f t="shared" si="41"/>
        <v>0.77777777777777779</v>
      </c>
      <c r="AQ119">
        <f>survey_responses[[#This Row],[Tôi thấy mức thuế tôi phải đóng theo phương án mới là công bằng (người thu nhập như tôi đóng mức này là hợp lý). - HUMAN-TRU2]]</f>
        <v>3</v>
      </c>
      <c r="AR119">
        <f t="shared" si="42"/>
        <v>0.22222222222222221</v>
      </c>
      <c r="AS119">
        <f>step3_validation[[#This Row],[AI_TRU3]]</f>
        <v>7</v>
      </c>
      <c r="AT119">
        <f t="shared" si="43"/>
        <v>0.66666666666666663</v>
      </c>
      <c r="AU119">
        <f>survey_responses[[#This Row],[Tôi tin tưởng số tiền thuế tôi đóng sẽ được Nhà nước sử dụng hiệu quả để cải thiện dịch vụ công (y tế, đường xá...). - HUMAN-TRU3]]</f>
        <v>1</v>
      </c>
      <c r="AV119">
        <f t="shared" si="44"/>
        <v>0</v>
      </c>
      <c r="AW119">
        <f>step3_validation[[#This Row],[AI_TRU4]]</f>
        <v>8</v>
      </c>
      <c r="AX119">
        <f t="shared" si="45"/>
        <v>0.77777777777777779</v>
      </c>
      <c r="AY119">
        <f>survey_responses[[#This Row],[Tôi thấy Nhà nước đã giải thích rõ ràng, minh bạch về lý do và mục tiêu của việc sửa đổi thuế lần này. - HUMAN-TRU4]]</f>
        <v>1</v>
      </c>
      <c r="AZ119">
        <f t="shared" si="46"/>
        <v>0</v>
      </c>
      <c r="BA119" s="32">
        <f t="shared" si="47"/>
        <v>0.72222222222222221</v>
      </c>
      <c r="BB119" s="32">
        <f t="shared" si="48"/>
        <v>5.5555555555555552E-2</v>
      </c>
      <c r="BC119" s="7">
        <f t="shared" si="49"/>
        <v>0.68518518518518512</v>
      </c>
      <c r="BD119" s="7">
        <f t="shared" si="50"/>
        <v>0.14814814814814814</v>
      </c>
      <c r="BE119">
        <f>step3_validation[[#This Row],[AI_OUT1]]</f>
        <v>7</v>
      </c>
      <c r="BF119">
        <f t="shared" si="51"/>
        <v>0.66666666666666663</v>
      </c>
      <c r="BG119">
        <f>survey_responses[[#This Row],[Sau khi xem xét các quyền lợi và nghĩa vụ, bạn có ủng hộ và tuân thủ chính sách mới hiện nay? - HUMAN-OUT1]]</f>
        <v>5</v>
      </c>
      <c r="BH119">
        <f t="shared" si="52"/>
        <v>0.44444444444444442</v>
      </c>
      <c r="BI119" s="32">
        <f t="shared" si="53"/>
        <v>2</v>
      </c>
    </row>
    <row r="120" spans="1:61" x14ac:dyDescent="0.45">
      <c r="A120" s="30">
        <f>step3_validation[[#This Row],[Persona_ID]]</f>
        <v>119</v>
      </c>
      <c r="B120" s="31">
        <f>step3_validation[[#This Row],[Used_Seed]]</f>
        <v>160</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64.115804334565809</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8</v>
      </c>
      <c r="R120">
        <f t="shared" si="27"/>
        <v>0.77777777777777779</v>
      </c>
      <c r="S120">
        <f>survey_responses[[#This Row],[Tôi tin rằng với các quy định quản lý thuế hiện nay, hành vi gian lận hoặc trốn thuế sẽ dễ dàng bị phát hiện và xử lý nghiêm. - HUMAN-ENF1]]</f>
        <v>8</v>
      </c>
      <c r="T120">
        <f t="shared" si="28"/>
        <v>0.77777777777777779</v>
      </c>
      <c r="U120">
        <f>step3_validation[[#This Row],[AI_ENF2]]</f>
        <v>7</v>
      </c>
      <c r="V120">
        <f t="shared" si="29"/>
        <v>0.66666666666666663</v>
      </c>
      <c r="W120">
        <f>survey_responses[[#This Row],[Tôi tin rằng Nhà nước, cơ quan thuế có đủ khả năng và công nghệ để phát hiện, xử lý nghiêm các hành vi trốn thuế. - HUMAN-ENF2]]</f>
        <v>8</v>
      </c>
      <c r="X120">
        <f t="shared" si="30"/>
        <v>0.77777777777777779</v>
      </c>
      <c r="Y120" s="32">
        <f t="shared" si="31"/>
        <v>0.72222222222222221</v>
      </c>
      <c r="Z120" s="32">
        <f t="shared" si="32"/>
        <v>0.77777777777777779</v>
      </c>
      <c r="AA120">
        <f>step3_validation[[#This Row],[AI_FAC1]]</f>
        <v>9</v>
      </c>
      <c r="AB120">
        <f t="shared" si="33"/>
        <v>0.88888888888888884</v>
      </c>
      <c r="AC120">
        <f>survey_responses[[#This Row],[Các thủ tục khai báo thuế VÀ/HOẶC quy trình làm việc với cơ quan thuế đơn giản, tiện lợi, nhanh chóng hơn so với trước đây. - HUMAN-FAC1]]</f>
        <v>6</v>
      </c>
      <c r="AD120">
        <f t="shared" si="34"/>
        <v>0.55555555555555558</v>
      </c>
      <c r="AE120">
        <f>step3_validation[[#This Row],[AI_FAC2]]</f>
        <v>8</v>
      </c>
      <c r="AF120">
        <f t="shared" si="35"/>
        <v>0.77777777777777779</v>
      </c>
      <c r="AG120">
        <f>survey_responses[[#This Row],[So với trước đây, tôi thấy cách tính thuế và các bậc thuế trong phương án mới đơn giản, dễ hiểu và dễ thực hiện hơn. - HUMAN-FAC2]]</f>
        <v>9</v>
      </c>
      <c r="AH120">
        <f t="shared" si="36"/>
        <v>0.88888888888888884</v>
      </c>
      <c r="AI120" s="32">
        <f t="shared" si="37"/>
        <v>0.83333333333333326</v>
      </c>
      <c r="AJ120" s="32">
        <f t="shared" si="38"/>
        <v>0.72222222222222221</v>
      </c>
      <c r="AK120">
        <f>step3_validation[[#This Row],[AI_TRU1]]</f>
        <v>9</v>
      </c>
      <c r="AL120">
        <f t="shared" si="39"/>
        <v>0.88888888888888884</v>
      </c>
      <c r="AM120">
        <f>survey_responses[[#This Row],[Tôi tin rằng Nhà nước, cơ quan thuế sẽ thực thi chính sách mới một cách khách quan, công tâm và đối xử bình đẳng với mọi người nộp thuế.  - HUMAN-TRU1]]</f>
        <v>8</v>
      </c>
      <c r="AN120">
        <f t="shared" si="40"/>
        <v>0.77777777777777779</v>
      </c>
      <c r="AO120">
        <f>step3_validation[[#This Row],[AI_TRU2]]</f>
        <v>7</v>
      </c>
      <c r="AP120">
        <f t="shared" si="41"/>
        <v>0.66666666666666663</v>
      </c>
      <c r="AQ120">
        <f>survey_responses[[#This Row],[Tôi thấy mức thuế tôi phải đóng theo phương án mới là công bằng (người thu nhập như tôi đóng mức này là hợp lý). - HUMAN-TRU2]]</f>
        <v>7</v>
      </c>
      <c r="AR120">
        <f t="shared" si="42"/>
        <v>0.66666666666666663</v>
      </c>
      <c r="AS120">
        <f>step3_validation[[#This Row],[AI_TRU3]]</f>
        <v>8</v>
      </c>
      <c r="AT120">
        <f t="shared" si="43"/>
        <v>0.77777777777777779</v>
      </c>
      <c r="AU120">
        <f>survey_responses[[#This Row],[Tôi tin tưởng số tiền thuế tôi đóng sẽ được Nhà nước sử dụng hiệu quả để cải thiện dịch vụ công (y tế, đường xá...). - HUMAN-TRU3]]</f>
        <v>7</v>
      </c>
      <c r="AV120">
        <f t="shared" si="44"/>
        <v>0.66666666666666663</v>
      </c>
      <c r="AW120">
        <f>step3_validation[[#This Row],[AI_TRU4]]</f>
        <v>6</v>
      </c>
      <c r="AX120">
        <f t="shared" si="45"/>
        <v>0.55555555555555558</v>
      </c>
      <c r="AY120">
        <f>survey_responses[[#This Row],[Tôi thấy Nhà nước đã giải thích rõ ràng, minh bạch về lý do và mục tiêu của việc sửa đổi thuế lần này. - HUMAN-TRU4]]</f>
        <v>7</v>
      </c>
      <c r="AZ120">
        <f t="shared" si="46"/>
        <v>0.66666666666666663</v>
      </c>
      <c r="BA120" s="32">
        <f t="shared" si="47"/>
        <v>0.7222222222222221</v>
      </c>
      <c r="BB120" s="32">
        <f t="shared" si="48"/>
        <v>0.69444444444444442</v>
      </c>
      <c r="BC120" s="7">
        <f t="shared" si="49"/>
        <v>0.75925925925925919</v>
      </c>
      <c r="BD120" s="7">
        <f t="shared" si="50"/>
        <v>0.73148148148148151</v>
      </c>
      <c r="BE120">
        <f>step3_validation[[#This Row],[AI_OUT1]]</f>
        <v>8</v>
      </c>
      <c r="BF120">
        <f t="shared" si="51"/>
        <v>0.77777777777777779</v>
      </c>
      <c r="BG120">
        <f>survey_responses[[#This Row],[Sau khi xem xét các quyền lợi và nghĩa vụ, bạn có ủng hộ và tuân thủ chính sách mới hiện nay? - HUMAN-OUT1]]</f>
        <v>7</v>
      </c>
      <c r="BH120">
        <f t="shared" si="52"/>
        <v>0.66666666666666663</v>
      </c>
      <c r="BI120" s="32">
        <f t="shared" si="53"/>
        <v>1</v>
      </c>
    </row>
    <row r="121" spans="1:61" x14ac:dyDescent="0.45">
      <c r="A121" s="30">
        <f>step3_validation[[#This Row],[Persona_ID]]</f>
        <v>120</v>
      </c>
      <c r="B121" s="31">
        <f>step3_validation[[#This Row],[Used_Seed]]</f>
        <v>161</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25.663526697818767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7</v>
      </c>
      <c r="R121">
        <f t="shared" si="27"/>
        <v>0.66666666666666663</v>
      </c>
      <c r="S121">
        <f>survey_responses[[#This Row],[Tôi tin rằng với các quy định quản lý thuế hiện nay, hành vi gian lận hoặc trốn thuế sẽ dễ dàng bị phát hiện và xử lý nghiêm. - HUMAN-ENF1]]</f>
        <v>6</v>
      </c>
      <c r="T121">
        <f t="shared" si="28"/>
        <v>0.55555555555555558</v>
      </c>
      <c r="U121">
        <f>step3_validation[[#This Row],[AI_ENF2]]</f>
        <v>8</v>
      </c>
      <c r="V121">
        <f t="shared" si="29"/>
        <v>0.77777777777777779</v>
      </c>
      <c r="W121">
        <f>survey_responses[[#This Row],[Tôi tin rằng Nhà nước, cơ quan thuế có đủ khả năng và công nghệ để phát hiện, xử lý nghiêm các hành vi trốn thuế. - HUMAN-ENF2]]</f>
        <v>6</v>
      </c>
      <c r="X121">
        <f t="shared" si="30"/>
        <v>0.55555555555555558</v>
      </c>
      <c r="Y121" s="32">
        <f t="shared" si="31"/>
        <v>0.72222222222222221</v>
      </c>
      <c r="Z121" s="32">
        <f t="shared" si="32"/>
        <v>0.55555555555555558</v>
      </c>
      <c r="AA121">
        <f>step3_validation[[#This Row],[AI_FAC1]]</f>
        <v>9</v>
      </c>
      <c r="AB121">
        <f t="shared" si="33"/>
        <v>0.88888888888888884</v>
      </c>
      <c r="AC121">
        <f>survey_responses[[#This Row],[Các thủ tục khai báo thuế VÀ/HOẶC quy trình làm việc với cơ quan thuế đơn giản, tiện lợi, nhanh chóng hơn so với trước đây. - HUMAN-FAC1]]</f>
        <v>6</v>
      </c>
      <c r="AD121">
        <f t="shared" si="34"/>
        <v>0.55555555555555558</v>
      </c>
      <c r="AE121">
        <f>step3_validation[[#This Row],[AI_FAC2]]</f>
        <v>9</v>
      </c>
      <c r="AF121">
        <f t="shared" si="35"/>
        <v>0.88888888888888884</v>
      </c>
      <c r="AG121">
        <f>survey_responses[[#This Row],[So với trước đây, tôi thấy cách tính thuế và các bậc thuế trong phương án mới đơn giản, dễ hiểu và dễ thực hiện hơn. - HUMAN-FAC2]]</f>
        <v>6</v>
      </c>
      <c r="AH121">
        <f t="shared" si="36"/>
        <v>0.55555555555555558</v>
      </c>
      <c r="AI121" s="32">
        <f t="shared" si="37"/>
        <v>0.88888888888888884</v>
      </c>
      <c r="AJ121" s="32">
        <f t="shared" si="38"/>
        <v>0.55555555555555558</v>
      </c>
      <c r="AK121">
        <f>step3_validation[[#This Row],[AI_TRU1]]</f>
        <v>7</v>
      </c>
      <c r="AL121">
        <f t="shared" si="39"/>
        <v>0.66666666666666663</v>
      </c>
      <c r="AM121">
        <f>survey_responses[[#This Row],[Tôi tin rằng Nhà nước, cơ quan thuế sẽ thực thi chính sách mới một cách khách quan, công tâm và đối xử bình đẳng với mọi người nộp thuế.  - HUMAN-TRU1]]</f>
        <v>6</v>
      </c>
      <c r="AN121">
        <f t="shared" si="40"/>
        <v>0.55555555555555558</v>
      </c>
      <c r="AO121">
        <f>step3_validation[[#This Row],[AI_TRU2]]</f>
        <v>8</v>
      </c>
      <c r="AP121">
        <f t="shared" si="41"/>
        <v>0.77777777777777779</v>
      </c>
      <c r="AQ121">
        <f>survey_responses[[#This Row],[Tôi thấy mức thuế tôi phải đóng theo phương án mới là công bằng (người thu nhập như tôi đóng mức này là hợp lý). - HUMAN-TRU2]]</f>
        <v>6</v>
      </c>
      <c r="AR121">
        <f t="shared" si="42"/>
        <v>0.55555555555555558</v>
      </c>
      <c r="AS121">
        <f>step3_validation[[#This Row],[AI_TRU3]]</f>
        <v>6</v>
      </c>
      <c r="AT121">
        <f t="shared" si="43"/>
        <v>0.55555555555555558</v>
      </c>
      <c r="AU121">
        <f>survey_responses[[#This Row],[Tôi tin tưởng số tiền thuế tôi đóng sẽ được Nhà nước sử dụng hiệu quả để cải thiện dịch vụ công (y tế, đường xá...). - HUMAN-TRU3]]</f>
        <v>6</v>
      </c>
      <c r="AV121">
        <f t="shared" si="44"/>
        <v>0.55555555555555558</v>
      </c>
      <c r="AW121">
        <f>step3_validation[[#This Row],[AI_TRU4]]</f>
        <v>7</v>
      </c>
      <c r="AX121">
        <f t="shared" si="45"/>
        <v>0.66666666666666663</v>
      </c>
      <c r="AY121">
        <f>survey_responses[[#This Row],[Tôi thấy Nhà nước đã giải thích rõ ràng, minh bạch về lý do và mục tiêu của việc sửa đổi thuế lần này. - HUMAN-TRU4]]</f>
        <v>6</v>
      </c>
      <c r="AZ121">
        <f t="shared" si="46"/>
        <v>0.55555555555555558</v>
      </c>
      <c r="BA121" s="32">
        <f t="shared" si="47"/>
        <v>0.66666666666666663</v>
      </c>
      <c r="BB121" s="32">
        <f t="shared" si="48"/>
        <v>0.55555555555555558</v>
      </c>
      <c r="BC121" s="7">
        <f t="shared" si="49"/>
        <v>0.75925925925925919</v>
      </c>
      <c r="BD121" s="7">
        <f t="shared" si="50"/>
        <v>0.55555555555555558</v>
      </c>
      <c r="BE121">
        <f>step3_validation[[#This Row],[AI_OUT1]]</f>
        <v>9</v>
      </c>
      <c r="BF121">
        <f t="shared" si="51"/>
        <v>0.88888888888888884</v>
      </c>
      <c r="BG121">
        <f>survey_responses[[#This Row],[Sau khi xem xét các quyền lợi và nghĩa vụ, bạn có ủng hộ và tuân thủ chính sách mới hiện nay? - HUMAN-OUT1]]</f>
        <v>6</v>
      </c>
      <c r="BH121">
        <f t="shared" si="52"/>
        <v>0.55555555555555558</v>
      </c>
      <c r="BI121" s="32">
        <f t="shared" si="53"/>
        <v>3</v>
      </c>
    </row>
    <row r="122" spans="1:61" x14ac:dyDescent="0.45">
      <c r="A122" s="30">
        <f>step3_validation[[#This Row],[Persona_ID]]</f>
        <v>121</v>
      </c>
      <c r="B122" s="31">
        <f>step3_validation[[#This Row],[Used_Seed]]</f>
        <v>162</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181.12453379527199</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f t="shared" si="27"/>
        <v>0.66666666666666663</v>
      </c>
      <c r="S122">
        <f>survey_responses[[#This Row],[Tôi tin rằng với các quy định quản lý thuế hiện nay, hành vi gian lận hoặc trốn thuế sẽ dễ dàng bị phát hiện và xử lý nghiêm. - HUMAN-ENF1]]</f>
        <v>1</v>
      </c>
      <c r="T122">
        <f t="shared" si="28"/>
        <v>0</v>
      </c>
      <c r="U122">
        <f>step3_validation[[#This Row],[AI_ENF2]]</f>
        <v>8</v>
      </c>
      <c r="V122">
        <f t="shared" si="29"/>
        <v>0.77777777777777779</v>
      </c>
      <c r="W122">
        <f>survey_responses[[#This Row],[Tôi tin rằng Nhà nước, cơ quan thuế có đủ khả năng và công nghệ để phát hiện, xử lý nghiêm các hành vi trốn thuế. - HUMAN-ENF2]]</f>
        <v>1</v>
      </c>
      <c r="X122">
        <f t="shared" si="30"/>
        <v>0</v>
      </c>
      <c r="Y122" s="32">
        <f t="shared" si="31"/>
        <v>0.72222222222222221</v>
      </c>
      <c r="Z122" s="32">
        <f t="shared" si="32"/>
        <v>0</v>
      </c>
      <c r="AA122">
        <f>step3_validation[[#This Row],[AI_FAC1]]</f>
        <v>6</v>
      </c>
      <c r="AB122">
        <f t="shared" si="33"/>
        <v>0.55555555555555558</v>
      </c>
      <c r="AC122">
        <f>survey_responses[[#This Row],[Các thủ tục khai báo thuế VÀ/HOẶC quy trình làm việc với cơ quan thuế đơn giản, tiện lợi, nhanh chóng hơn so với trước đây. - HUMAN-FAC1]]</f>
        <v>1</v>
      </c>
      <c r="AD122">
        <f t="shared" si="34"/>
        <v>0</v>
      </c>
      <c r="AE122">
        <f>step3_validation[[#This Row],[AI_FAC2]]</f>
        <v>9</v>
      </c>
      <c r="AF122">
        <f t="shared" si="35"/>
        <v>0.88888888888888884</v>
      </c>
      <c r="AG122">
        <f>survey_responses[[#This Row],[So với trước đây, tôi thấy cách tính thuế và các bậc thuế trong phương án mới đơn giản, dễ hiểu và dễ thực hiện hơn. - HUMAN-FAC2]]</f>
        <v>5</v>
      </c>
      <c r="AH122">
        <f t="shared" si="36"/>
        <v>0.44444444444444442</v>
      </c>
      <c r="AI122" s="32">
        <f t="shared" si="37"/>
        <v>0.72222222222222221</v>
      </c>
      <c r="AJ122" s="32">
        <f t="shared" si="38"/>
        <v>0.22222222222222221</v>
      </c>
      <c r="AK122">
        <f>step3_validation[[#This Row],[AI_TRU1]]</f>
        <v>7</v>
      </c>
      <c r="AL122">
        <f t="shared" si="39"/>
        <v>0.66666666666666663</v>
      </c>
      <c r="AM122">
        <f>survey_responses[[#This Row],[Tôi tin rằng Nhà nước, cơ quan thuế sẽ thực thi chính sách mới một cách khách quan, công tâm và đối xử bình đẳng với mọi người nộp thuế.  - HUMAN-TRU1]]</f>
        <v>1</v>
      </c>
      <c r="AN122">
        <f t="shared" si="40"/>
        <v>0</v>
      </c>
      <c r="AO122">
        <f>step3_validation[[#This Row],[AI_TRU2]]</f>
        <v>8</v>
      </c>
      <c r="AP122">
        <f t="shared" si="41"/>
        <v>0.77777777777777779</v>
      </c>
      <c r="AQ122">
        <f>survey_responses[[#This Row],[Tôi thấy mức thuế tôi phải đóng theo phương án mới là công bằng (người thu nhập như tôi đóng mức này là hợp lý). - HUMAN-TRU2]]</f>
        <v>1</v>
      </c>
      <c r="AR122">
        <f t="shared" si="42"/>
        <v>0</v>
      </c>
      <c r="AS122">
        <f>step3_validation[[#This Row],[AI_TRU3]]</f>
        <v>7</v>
      </c>
      <c r="AT122">
        <f t="shared" si="43"/>
        <v>0.66666666666666663</v>
      </c>
      <c r="AU122">
        <f>survey_responses[[#This Row],[Tôi tin tưởng số tiền thuế tôi đóng sẽ được Nhà nước sử dụng hiệu quả để cải thiện dịch vụ công (y tế, đường xá...). - HUMAN-TRU3]]</f>
        <v>1</v>
      </c>
      <c r="AV122">
        <f t="shared" si="44"/>
        <v>0</v>
      </c>
      <c r="AW122">
        <f>step3_validation[[#This Row],[AI_TRU4]]</f>
        <v>6</v>
      </c>
      <c r="AX122">
        <f t="shared" si="45"/>
        <v>0.55555555555555558</v>
      </c>
      <c r="AY122">
        <f>survey_responses[[#This Row],[Tôi thấy Nhà nước đã giải thích rõ ràng, minh bạch về lý do và mục tiêu của việc sửa đổi thuế lần này. - HUMAN-TRU4]]</f>
        <v>1</v>
      </c>
      <c r="AZ122">
        <f t="shared" si="46"/>
        <v>0</v>
      </c>
      <c r="BA122" s="32">
        <f t="shared" si="47"/>
        <v>0.66666666666666674</v>
      </c>
      <c r="BB122" s="32">
        <f t="shared" si="48"/>
        <v>0</v>
      </c>
      <c r="BC122" s="7">
        <f t="shared" si="49"/>
        <v>0.70370370370370372</v>
      </c>
      <c r="BD122" s="7">
        <f t="shared" si="50"/>
        <v>7.407407407407407E-2</v>
      </c>
      <c r="BE122">
        <f>step3_validation[[#This Row],[AI_OUT1]]</f>
        <v>9</v>
      </c>
      <c r="BF122">
        <f t="shared" si="51"/>
        <v>0.88888888888888884</v>
      </c>
      <c r="BG122">
        <f>survey_responses[[#This Row],[Sau khi xem xét các quyền lợi và nghĩa vụ, bạn có ủng hộ và tuân thủ chính sách mới hiện nay? - HUMAN-OUT1]]</f>
        <v>5</v>
      </c>
      <c r="BH122">
        <f t="shared" si="52"/>
        <v>0.44444444444444442</v>
      </c>
      <c r="BI122" s="32">
        <f t="shared" si="53"/>
        <v>4</v>
      </c>
    </row>
    <row r="123" spans="1:61" x14ac:dyDescent="0.45">
      <c r="A123" s="30">
        <f>step3_validation[[#This Row],[Persona_ID]]</f>
        <v>122</v>
      </c>
      <c r="B123" s="31">
        <f>step3_validation[[#This Row],[Used_Seed]]</f>
        <v>163</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210.09545177990483</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9</v>
      </c>
      <c r="R123">
        <f t="shared" si="27"/>
        <v>0.88888888888888884</v>
      </c>
      <c r="S123">
        <f>survey_responses[[#This Row],[Tôi tin rằng với các quy định quản lý thuế hiện nay, hành vi gian lận hoặc trốn thuế sẽ dễ dàng bị phát hiện và xử lý nghiêm. - HUMAN-ENF1]]</f>
        <v>4</v>
      </c>
      <c r="T123">
        <f t="shared" si="28"/>
        <v>0.33333333333333331</v>
      </c>
      <c r="U123">
        <f>step3_validation[[#This Row],[AI_ENF2]]</f>
        <v>8</v>
      </c>
      <c r="V123">
        <f t="shared" si="29"/>
        <v>0.77777777777777779</v>
      </c>
      <c r="W123">
        <f>survey_responses[[#This Row],[Tôi tin rằng Nhà nước, cơ quan thuế có đủ khả năng và công nghệ để phát hiện, xử lý nghiêm các hành vi trốn thuế. - HUMAN-ENF2]]</f>
        <v>4</v>
      </c>
      <c r="X123">
        <f t="shared" si="30"/>
        <v>0.33333333333333331</v>
      </c>
      <c r="Y123" s="32">
        <f t="shared" si="31"/>
        <v>0.83333333333333326</v>
      </c>
      <c r="Z123" s="32">
        <f t="shared" si="32"/>
        <v>0.33333333333333331</v>
      </c>
      <c r="AA123">
        <f>step3_validation[[#This Row],[AI_FAC1]]</f>
        <v>9</v>
      </c>
      <c r="AB123">
        <f t="shared" si="33"/>
        <v>0.88888888888888884</v>
      </c>
      <c r="AC123">
        <f>survey_responses[[#This Row],[Các thủ tục khai báo thuế VÀ/HOẶC quy trình làm việc với cơ quan thuế đơn giản, tiện lợi, nhanh chóng hơn so với trước đây. - HUMAN-FAC1]]</f>
        <v>2</v>
      </c>
      <c r="AD123">
        <f t="shared" si="34"/>
        <v>0.1111111111111111</v>
      </c>
      <c r="AE123">
        <f>step3_validation[[#This Row],[AI_FAC2]]</f>
        <v>8</v>
      </c>
      <c r="AF123">
        <f t="shared" si="35"/>
        <v>0.77777777777777779</v>
      </c>
      <c r="AG123">
        <f>survey_responses[[#This Row],[So với trước đây, tôi thấy cách tính thuế và các bậc thuế trong phương án mới đơn giản, dễ hiểu và dễ thực hiện hơn. - HUMAN-FAC2]]</f>
        <v>5</v>
      </c>
      <c r="AH123">
        <f t="shared" si="36"/>
        <v>0.44444444444444442</v>
      </c>
      <c r="AI123" s="32">
        <f t="shared" si="37"/>
        <v>0.83333333333333326</v>
      </c>
      <c r="AJ123" s="32">
        <f t="shared" si="38"/>
        <v>0.27777777777777779</v>
      </c>
      <c r="AK123">
        <f>step3_validation[[#This Row],[AI_TRU1]]</f>
        <v>7</v>
      </c>
      <c r="AL123">
        <f t="shared" si="39"/>
        <v>0.66666666666666663</v>
      </c>
      <c r="AM123">
        <f>survey_responses[[#This Row],[Tôi tin rằng Nhà nước, cơ quan thuế sẽ thực thi chính sách mới một cách khách quan, công tâm và đối xử bình đẳng với mọi người nộp thuế.  - HUMAN-TRU1]]</f>
        <v>1</v>
      </c>
      <c r="AN123">
        <f t="shared" si="40"/>
        <v>0</v>
      </c>
      <c r="AO123">
        <f>step3_validation[[#This Row],[AI_TRU2]]</f>
        <v>8</v>
      </c>
      <c r="AP123">
        <f t="shared" si="41"/>
        <v>0.77777777777777779</v>
      </c>
      <c r="AQ123">
        <f>survey_responses[[#This Row],[Tôi thấy mức thuế tôi phải đóng theo phương án mới là công bằng (người thu nhập như tôi đóng mức này là hợp lý). - HUMAN-TRU2]]</f>
        <v>1</v>
      </c>
      <c r="AR123">
        <f t="shared" si="42"/>
        <v>0</v>
      </c>
      <c r="AS123">
        <f>step3_validation[[#This Row],[AI_TRU3]]</f>
        <v>7</v>
      </c>
      <c r="AT123">
        <f t="shared" si="43"/>
        <v>0.66666666666666663</v>
      </c>
      <c r="AU123">
        <f>survey_responses[[#This Row],[Tôi tin tưởng số tiền thuế tôi đóng sẽ được Nhà nước sử dụng hiệu quả để cải thiện dịch vụ công (y tế, đường xá...). - HUMAN-TRU3]]</f>
        <v>1</v>
      </c>
      <c r="AV123">
        <f t="shared" si="44"/>
        <v>0</v>
      </c>
      <c r="AW123">
        <f>step3_validation[[#This Row],[AI_TRU4]]</f>
        <v>8</v>
      </c>
      <c r="AX123">
        <f t="shared" si="45"/>
        <v>0.77777777777777779</v>
      </c>
      <c r="AY123">
        <f>survey_responses[[#This Row],[Tôi thấy Nhà nước đã giải thích rõ ràng, minh bạch về lý do và mục tiêu của việc sửa đổi thuế lần này. - HUMAN-TRU4]]</f>
        <v>4</v>
      </c>
      <c r="AZ123">
        <f t="shared" si="46"/>
        <v>0.33333333333333331</v>
      </c>
      <c r="BA123" s="32">
        <f t="shared" si="47"/>
        <v>0.72222222222222221</v>
      </c>
      <c r="BB123" s="32">
        <f t="shared" si="48"/>
        <v>8.3333333333333329E-2</v>
      </c>
      <c r="BC123" s="7">
        <f t="shared" si="49"/>
        <v>0.79629629629629628</v>
      </c>
      <c r="BD123" s="7">
        <f t="shared" si="50"/>
        <v>0.23148148148148151</v>
      </c>
      <c r="BE123">
        <f>step3_validation[[#This Row],[AI_OUT1]]</f>
        <v>9</v>
      </c>
      <c r="BF123">
        <f t="shared" si="51"/>
        <v>0.88888888888888884</v>
      </c>
      <c r="BG123">
        <f>survey_responses[[#This Row],[Sau khi xem xét các quyền lợi và nghĩa vụ, bạn có ủng hộ và tuân thủ chính sách mới hiện nay? - HUMAN-OUT1]]</f>
        <v>4</v>
      </c>
      <c r="BH123">
        <f t="shared" si="52"/>
        <v>0.33333333333333331</v>
      </c>
      <c r="BI123" s="32">
        <f t="shared" si="53"/>
        <v>5</v>
      </c>
    </row>
    <row r="124" spans="1:61" x14ac:dyDescent="0.45">
      <c r="A124" s="30">
        <f>step3_validation[[#This Row],[Persona_ID]]</f>
        <v>123</v>
      </c>
      <c r="B124" s="31">
        <f>step3_validation[[#This Row],[Used_Seed]]</f>
        <v>164</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f t="shared" si="27"/>
        <v>0.77777777777777779</v>
      </c>
      <c r="S124">
        <f>survey_responses[[#This Row],[Tôi tin rằng với các quy định quản lý thuế hiện nay, hành vi gian lận hoặc trốn thuế sẽ dễ dàng bị phát hiện và xử lý nghiêm. - HUMAN-ENF1]]</f>
        <v>7</v>
      </c>
      <c r="T124">
        <f t="shared" si="28"/>
        <v>0.66666666666666663</v>
      </c>
      <c r="U124">
        <f>step3_validation[[#This Row],[AI_ENF2]]</f>
        <v>9</v>
      </c>
      <c r="V124">
        <f t="shared" si="29"/>
        <v>0.88888888888888884</v>
      </c>
      <c r="W124">
        <f>survey_responses[[#This Row],[Tôi tin rằng Nhà nước, cơ quan thuế có đủ khả năng và công nghệ để phát hiện, xử lý nghiêm các hành vi trốn thuế. - HUMAN-ENF2]]</f>
        <v>7</v>
      </c>
      <c r="X124">
        <f t="shared" si="30"/>
        <v>0.66666666666666663</v>
      </c>
      <c r="Y124" s="32">
        <f t="shared" si="31"/>
        <v>0.83333333333333326</v>
      </c>
      <c r="Z124" s="32">
        <f t="shared" si="32"/>
        <v>0.66666666666666663</v>
      </c>
      <c r="AA124">
        <f>step3_validation[[#This Row],[AI_FAC1]]</f>
        <v>8</v>
      </c>
      <c r="AB124">
        <f t="shared" si="33"/>
        <v>0.77777777777777779</v>
      </c>
      <c r="AC124">
        <f>survey_responses[[#This Row],[Các thủ tục khai báo thuế VÀ/HOẶC quy trình làm việc với cơ quan thuế đơn giản, tiện lợi, nhanh chóng hơn so với trước đây. - HUMAN-FAC1]]</f>
        <v>7</v>
      </c>
      <c r="AD124">
        <f t="shared" si="34"/>
        <v>0.66666666666666663</v>
      </c>
      <c r="AE124">
        <f>step3_validation[[#This Row],[AI_FAC2]]</f>
        <v>9</v>
      </c>
      <c r="AF124">
        <f t="shared" si="35"/>
        <v>0.88888888888888884</v>
      </c>
      <c r="AG124">
        <f>survey_responses[[#This Row],[So với trước đây, tôi thấy cách tính thuế và các bậc thuế trong phương án mới đơn giản, dễ hiểu và dễ thực hiện hơn. - HUMAN-FAC2]]</f>
        <v>7</v>
      </c>
      <c r="AH124">
        <f t="shared" si="36"/>
        <v>0.66666666666666663</v>
      </c>
      <c r="AI124" s="32">
        <f t="shared" si="37"/>
        <v>0.83333333333333326</v>
      </c>
      <c r="AJ124" s="32">
        <f t="shared" si="38"/>
        <v>0.66666666666666663</v>
      </c>
      <c r="AK124">
        <f>step3_validation[[#This Row],[AI_TRU1]]</f>
        <v>8</v>
      </c>
      <c r="AL124">
        <f t="shared" si="39"/>
        <v>0.77777777777777779</v>
      </c>
      <c r="AM124">
        <f>survey_responses[[#This Row],[Tôi tin rằng Nhà nước, cơ quan thuế sẽ thực thi chính sách mới một cách khách quan, công tâm và đối xử bình đẳng với mọi người nộp thuế.  - HUMAN-TRU1]]</f>
        <v>7</v>
      </c>
      <c r="AN124">
        <f t="shared" si="40"/>
        <v>0.66666666666666663</v>
      </c>
      <c r="AO124">
        <f>step3_validation[[#This Row],[AI_TRU2]]</f>
        <v>9</v>
      </c>
      <c r="AP124">
        <f t="shared" si="41"/>
        <v>0.88888888888888884</v>
      </c>
      <c r="AQ124">
        <f>survey_responses[[#This Row],[Tôi thấy mức thuế tôi phải đóng theo phương án mới là công bằng (người thu nhập như tôi đóng mức này là hợp lý). - HUMAN-TRU2]]</f>
        <v>7</v>
      </c>
      <c r="AR124">
        <f t="shared" si="42"/>
        <v>0.66666666666666663</v>
      </c>
      <c r="AS124">
        <f>step3_validation[[#This Row],[AI_TRU3]]</f>
        <v>8</v>
      </c>
      <c r="AT124">
        <f t="shared" si="43"/>
        <v>0.77777777777777779</v>
      </c>
      <c r="AU124">
        <f>survey_responses[[#This Row],[Tôi tin tưởng số tiền thuế tôi đóng sẽ được Nhà nước sử dụng hiệu quả để cải thiện dịch vụ công (y tế, đường xá...). - HUMAN-TRU3]]</f>
        <v>7</v>
      </c>
      <c r="AV124">
        <f t="shared" si="44"/>
        <v>0.66666666666666663</v>
      </c>
      <c r="AW124">
        <f>step3_validation[[#This Row],[AI_TRU4]]</f>
        <v>9</v>
      </c>
      <c r="AX124">
        <f t="shared" si="45"/>
        <v>0.88888888888888884</v>
      </c>
      <c r="AY124">
        <f>survey_responses[[#This Row],[Tôi thấy Nhà nước đã giải thích rõ ràng, minh bạch về lý do và mục tiêu của việc sửa đổi thuế lần này. - HUMAN-TRU4]]</f>
        <v>7</v>
      </c>
      <c r="AZ124">
        <f t="shared" si="46"/>
        <v>0.66666666666666663</v>
      </c>
      <c r="BA124" s="32">
        <f t="shared" si="47"/>
        <v>0.83333333333333326</v>
      </c>
      <c r="BB124" s="32">
        <f t="shared" si="48"/>
        <v>0.66666666666666663</v>
      </c>
      <c r="BC124" s="7">
        <f t="shared" si="49"/>
        <v>0.83333333333333337</v>
      </c>
      <c r="BD124" s="7">
        <f t="shared" si="50"/>
        <v>0.66666666666666663</v>
      </c>
      <c r="BE124">
        <f>step3_validation[[#This Row],[AI_OUT1]]</f>
        <v>8</v>
      </c>
      <c r="BF124">
        <f t="shared" si="51"/>
        <v>0.77777777777777779</v>
      </c>
      <c r="BG124">
        <f>survey_responses[[#This Row],[Sau khi xem xét các quyền lợi và nghĩa vụ, bạn có ủng hộ và tuân thủ chính sách mới hiện nay? - HUMAN-OUT1]]</f>
        <v>8</v>
      </c>
      <c r="BH124">
        <f t="shared" si="52"/>
        <v>0.77777777777777779</v>
      </c>
      <c r="BI124" s="32">
        <f t="shared" si="53"/>
        <v>0</v>
      </c>
    </row>
    <row r="125" spans="1:61" x14ac:dyDescent="0.45">
      <c r="A125" s="30">
        <f>step3_validation[[#This Row],[Persona_ID]]</f>
        <v>124</v>
      </c>
      <c r="B125" s="31">
        <f>step3_validation[[#This Row],[Used_Seed]]</f>
        <v>165</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41.047689617750216</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5</v>
      </c>
      <c r="R125">
        <f t="shared" si="27"/>
        <v>0.44444444444444442</v>
      </c>
      <c r="S125">
        <f>survey_responses[[#This Row],[Tôi tin rằng với các quy định quản lý thuế hiện nay, hành vi gian lận hoặc trốn thuế sẽ dễ dàng bị phát hiện và xử lý nghiêm. - HUMAN-ENF1]]</f>
        <v>10</v>
      </c>
      <c r="T125">
        <f t="shared" si="28"/>
        <v>1</v>
      </c>
      <c r="U125">
        <f>step3_validation[[#This Row],[AI_ENF2]]</f>
        <v>6</v>
      </c>
      <c r="V125">
        <f t="shared" si="29"/>
        <v>0.55555555555555558</v>
      </c>
      <c r="W125">
        <f>survey_responses[[#This Row],[Tôi tin rằng Nhà nước, cơ quan thuế có đủ khả năng và công nghệ để phát hiện, xử lý nghiêm các hành vi trốn thuế. - HUMAN-ENF2]]</f>
        <v>9</v>
      </c>
      <c r="X125">
        <f t="shared" si="30"/>
        <v>0.88888888888888884</v>
      </c>
      <c r="Y125" s="32">
        <f t="shared" si="31"/>
        <v>0.5</v>
      </c>
      <c r="Z125" s="32">
        <f t="shared" si="32"/>
        <v>0.94444444444444442</v>
      </c>
      <c r="AA125">
        <f>step3_validation[[#This Row],[AI_FAC1]]</f>
        <v>7</v>
      </c>
      <c r="AB125">
        <f t="shared" si="33"/>
        <v>0.66666666666666663</v>
      </c>
      <c r="AC125">
        <f>survey_responses[[#This Row],[Các thủ tục khai báo thuế VÀ/HOẶC quy trình làm việc với cơ quan thuế đơn giản, tiện lợi, nhanh chóng hơn so với trước đây. - HUMAN-FAC1]]</f>
        <v>10</v>
      </c>
      <c r="AD125">
        <f t="shared" si="34"/>
        <v>1</v>
      </c>
      <c r="AE125">
        <f>step3_validation[[#This Row],[AI_FAC2]]</f>
        <v>8</v>
      </c>
      <c r="AF125">
        <f t="shared" si="35"/>
        <v>0.77777777777777779</v>
      </c>
      <c r="AG125">
        <f>survey_responses[[#This Row],[So với trước đây, tôi thấy cách tính thuế và các bậc thuế trong phương án mới đơn giản, dễ hiểu và dễ thực hiện hơn. - HUMAN-FAC2]]</f>
        <v>10</v>
      </c>
      <c r="AH125">
        <f t="shared" si="36"/>
        <v>1</v>
      </c>
      <c r="AI125" s="32">
        <f t="shared" si="37"/>
        <v>0.72222222222222221</v>
      </c>
      <c r="AJ125" s="32">
        <f t="shared" si="38"/>
        <v>1</v>
      </c>
      <c r="AK125">
        <f>step3_validation[[#This Row],[AI_TRU1]]</f>
        <v>6</v>
      </c>
      <c r="AL125">
        <f t="shared" si="39"/>
        <v>0.55555555555555558</v>
      </c>
      <c r="AM125">
        <f>survey_responses[[#This Row],[Tôi tin rằng Nhà nước, cơ quan thuế sẽ thực thi chính sách mới một cách khách quan, công tâm và đối xử bình đẳng với mọi người nộp thuế.  - HUMAN-TRU1]]</f>
        <v>10</v>
      </c>
      <c r="AN125">
        <f t="shared" si="40"/>
        <v>1</v>
      </c>
      <c r="AO125">
        <f>step3_validation[[#This Row],[AI_TRU2]]</f>
        <v>8</v>
      </c>
      <c r="AP125">
        <f t="shared" si="41"/>
        <v>0.77777777777777779</v>
      </c>
      <c r="AQ125">
        <f>survey_responses[[#This Row],[Tôi thấy mức thuế tôi phải đóng theo phương án mới là công bằng (người thu nhập như tôi đóng mức này là hợp lý). - HUMAN-TRU2]]</f>
        <v>8</v>
      </c>
      <c r="AR125">
        <f t="shared" si="42"/>
        <v>0.77777777777777779</v>
      </c>
      <c r="AS125">
        <f>step3_validation[[#This Row],[AI_TRU3]]</f>
        <v>6</v>
      </c>
      <c r="AT125">
        <f t="shared" si="43"/>
        <v>0.55555555555555558</v>
      </c>
      <c r="AU125">
        <f>survey_responses[[#This Row],[Tôi tin tưởng số tiền thuế tôi đóng sẽ được Nhà nước sử dụng hiệu quả để cải thiện dịch vụ công (y tế, đường xá...). - HUMAN-TRU3]]</f>
        <v>9</v>
      </c>
      <c r="AV125">
        <f t="shared" si="44"/>
        <v>0.88888888888888884</v>
      </c>
      <c r="AW125">
        <f>step3_validation[[#This Row],[AI_TRU4]]</f>
        <v>7</v>
      </c>
      <c r="AX125">
        <f t="shared" si="45"/>
        <v>0.66666666666666663</v>
      </c>
      <c r="AY125">
        <f>survey_responses[[#This Row],[Tôi thấy Nhà nước đã giải thích rõ ràng, minh bạch về lý do và mục tiêu của việc sửa đổi thuế lần này. - HUMAN-TRU4]]</f>
        <v>9</v>
      </c>
      <c r="AZ125">
        <f t="shared" si="46"/>
        <v>0.88888888888888884</v>
      </c>
      <c r="BA125" s="32">
        <f t="shared" si="47"/>
        <v>0.63888888888888895</v>
      </c>
      <c r="BB125" s="32">
        <f t="shared" si="48"/>
        <v>0.88888888888888884</v>
      </c>
      <c r="BC125" s="7">
        <f t="shared" si="49"/>
        <v>0.62037037037037035</v>
      </c>
      <c r="BD125" s="7">
        <f t="shared" si="50"/>
        <v>0.94444444444444431</v>
      </c>
      <c r="BE125">
        <f>step3_validation[[#This Row],[AI_OUT1]]</f>
        <v>9</v>
      </c>
      <c r="BF125">
        <f t="shared" si="51"/>
        <v>0.88888888888888884</v>
      </c>
      <c r="BG125">
        <f>survey_responses[[#This Row],[Sau khi xem xét các quyền lợi và nghĩa vụ, bạn có ủng hộ và tuân thủ chính sách mới hiện nay? - HUMAN-OUT1]]</f>
        <v>9</v>
      </c>
      <c r="BH125">
        <f t="shared" si="52"/>
        <v>0.88888888888888884</v>
      </c>
      <c r="BI125" s="32">
        <f t="shared" si="53"/>
        <v>0</v>
      </c>
    </row>
    <row r="126" spans="1:61" x14ac:dyDescent="0.45">
      <c r="A126" s="30">
        <f>step3_validation[[#This Row],[Persona_ID]]</f>
        <v>125</v>
      </c>
      <c r="B126" s="31">
        <f>step3_validation[[#This Row],[Used_Seed]]</f>
        <v>166</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13.213746170526317</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8</v>
      </c>
      <c r="R126">
        <f t="shared" si="27"/>
        <v>0.77777777777777779</v>
      </c>
      <c r="S126">
        <f>survey_responses[[#This Row],[Tôi tin rằng với các quy định quản lý thuế hiện nay, hành vi gian lận hoặc trốn thuế sẽ dễ dàng bị phát hiện và xử lý nghiêm. - HUMAN-ENF1]]</f>
        <v>10</v>
      </c>
      <c r="T126">
        <f t="shared" si="28"/>
        <v>1</v>
      </c>
      <c r="U126">
        <f>step3_validation[[#This Row],[AI_ENF2]]</f>
        <v>9</v>
      </c>
      <c r="V126">
        <f t="shared" si="29"/>
        <v>0.88888888888888884</v>
      </c>
      <c r="W126">
        <f>survey_responses[[#This Row],[Tôi tin rằng Nhà nước, cơ quan thuế có đủ khả năng và công nghệ để phát hiện, xử lý nghiêm các hành vi trốn thuế. - HUMAN-ENF2]]</f>
        <v>10</v>
      </c>
      <c r="X126">
        <f t="shared" si="30"/>
        <v>1</v>
      </c>
      <c r="Y126" s="32">
        <f t="shared" si="31"/>
        <v>0.83333333333333326</v>
      </c>
      <c r="Z126" s="32">
        <f t="shared" si="32"/>
        <v>1</v>
      </c>
      <c r="AA126">
        <f>step3_validation[[#This Row],[AI_FAC1]]</f>
        <v>8</v>
      </c>
      <c r="AB126">
        <f t="shared" si="33"/>
        <v>0.77777777777777779</v>
      </c>
      <c r="AC126">
        <f>survey_responses[[#This Row],[Các thủ tục khai báo thuế VÀ/HOẶC quy trình làm việc với cơ quan thuế đơn giản, tiện lợi, nhanh chóng hơn so với trước đây. - HUMAN-FAC1]]</f>
        <v>10</v>
      </c>
      <c r="AD126">
        <f t="shared" si="34"/>
        <v>1</v>
      </c>
      <c r="AE126">
        <f>step3_validation[[#This Row],[AI_FAC2]]</f>
        <v>9</v>
      </c>
      <c r="AF126">
        <f t="shared" si="35"/>
        <v>0.88888888888888884</v>
      </c>
      <c r="AG126">
        <f>survey_responses[[#This Row],[So với trước đây, tôi thấy cách tính thuế và các bậc thuế trong phương án mới đơn giản, dễ hiểu và dễ thực hiện hơn. - HUMAN-FAC2]]</f>
        <v>10</v>
      </c>
      <c r="AH126">
        <f t="shared" si="36"/>
        <v>1</v>
      </c>
      <c r="AI126" s="32">
        <f t="shared" si="37"/>
        <v>0.83333333333333326</v>
      </c>
      <c r="AJ126" s="32">
        <f t="shared" si="38"/>
        <v>1</v>
      </c>
      <c r="AK126">
        <f>step3_validation[[#This Row],[AI_TRU1]]</f>
        <v>8</v>
      </c>
      <c r="AL126">
        <f t="shared" si="39"/>
        <v>0.77777777777777779</v>
      </c>
      <c r="AM126">
        <f>survey_responses[[#This Row],[Tôi tin rằng Nhà nước, cơ quan thuế sẽ thực thi chính sách mới một cách khách quan, công tâm và đối xử bình đẳng với mọi người nộp thuế.  - HUMAN-TRU1]]</f>
        <v>10</v>
      </c>
      <c r="AN126">
        <f t="shared" si="40"/>
        <v>1</v>
      </c>
      <c r="AO126">
        <f>step3_validation[[#This Row],[AI_TRU2]]</f>
        <v>9</v>
      </c>
      <c r="AP126">
        <f t="shared" si="41"/>
        <v>0.88888888888888884</v>
      </c>
      <c r="AQ126">
        <f>survey_responses[[#This Row],[Tôi thấy mức thuế tôi phải đóng theo phương án mới là công bằng (người thu nhập như tôi đóng mức này là hợp lý). - HUMAN-TRU2]]</f>
        <v>10</v>
      </c>
      <c r="AR126">
        <f t="shared" si="42"/>
        <v>1</v>
      </c>
      <c r="AS126">
        <f>step3_validation[[#This Row],[AI_TRU3]]</f>
        <v>8</v>
      </c>
      <c r="AT126">
        <f t="shared" si="43"/>
        <v>0.77777777777777779</v>
      </c>
      <c r="AU126">
        <f>survey_responses[[#This Row],[Tôi tin tưởng số tiền thuế tôi đóng sẽ được Nhà nước sử dụng hiệu quả để cải thiện dịch vụ công (y tế, đường xá...). - HUMAN-TRU3]]</f>
        <v>10</v>
      </c>
      <c r="AV126">
        <f t="shared" si="44"/>
        <v>1</v>
      </c>
      <c r="AW126">
        <f>step3_validation[[#This Row],[AI_TRU4]]</f>
        <v>7</v>
      </c>
      <c r="AX126">
        <f t="shared" si="45"/>
        <v>0.66666666666666663</v>
      </c>
      <c r="AY126">
        <f>survey_responses[[#This Row],[Tôi thấy Nhà nước đã giải thích rõ ràng, minh bạch về lý do và mục tiêu của việc sửa đổi thuế lần này. - HUMAN-TRU4]]</f>
        <v>10</v>
      </c>
      <c r="AZ126">
        <f t="shared" si="46"/>
        <v>1</v>
      </c>
      <c r="BA126" s="32">
        <f t="shared" si="47"/>
        <v>0.77777777777777768</v>
      </c>
      <c r="BB126" s="32">
        <f t="shared" si="48"/>
        <v>1</v>
      </c>
      <c r="BC126" s="7">
        <f t="shared" si="49"/>
        <v>0.81481481481481477</v>
      </c>
      <c r="BD126" s="7">
        <f t="shared" si="50"/>
        <v>1</v>
      </c>
      <c r="BE126">
        <f>step3_validation[[#This Row],[AI_OUT1]]</f>
        <v>8</v>
      </c>
      <c r="BF126">
        <f t="shared" si="51"/>
        <v>0.77777777777777779</v>
      </c>
      <c r="BG126">
        <f>survey_responses[[#This Row],[Sau khi xem xét các quyền lợi và nghĩa vụ, bạn có ủng hộ và tuân thủ chính sách mới hiện nay? - HUMAN-OUT1]]</f>
        <v>10</v>
      </c>
      <c r="BH126">
        <f t="shared" si="52"/>
        <v>1</v>
      </c>
      <c r="BI126" s="32">
        <f t="shared" si="53"/>
        <v>2</v>
      </c>
    </row>
    <row r="127" spans="1:61" x14ac:dyDescent="0.45">
      <c r="A127" s="30">
        <f>step3_validation[[#This Row],[Persona_ID]]</f>
        <v>126</v>
      </c>
      <c r="B127" s="31">
        <f>step3_validation[[#This Row],[Used_Seed]]</f>
        <v>167</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24.996805599134536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7</v>
      </c>
      <c r="R127">
        <f t="shared" si="27"/>
        <v>0.66666666666666663</v>
      </c>
      <c r="S127">
        <f>survey_responses[[#This Row],[Tôi tin rằng với các quy định quản lý thuế hiện nay, hành vi gian lận hoặc trốn thuế sẽ dễ dàng bị phát hiện và xử lý nghiêm. - HUMAN-ENF1]]</f>
        <v>8</v>
      </c>
      <c r="T127">
        <f t="shared" si="28"/>
        <v>0.77777777777777779</v>
      </c>
      <c r="U127">
        <f>step3_validation[[#This Row],[AI_ENF2]]</f>
        <v>8</v>
      </c>
      <c r="V127">
        <f t="shared" si="29"/>
        <v>0.77777777777777779</v>
      </c>
      <c r="W127">
        <f>survey_responses[[#This Row],[Tôi tin rằng Nhà nước, cơ quan thuế có đủ khả năng và công nghệ để phát hiện, xử lý nghiêm các hành vi trốn thuế. - HUMAN-ENF2]]</f>
        <v>8</v>
      </c>
      <c r="X127">
        <f t="shared" si="30"/>
        <v>0.77777777777777779</v>
      </c>
      <c r="Y127" s="32">
        <f t="shared" si="31"/>
        <v>0.72222222222222221</v>
      </c>
      <c r="Z127" s="32">
        <f t="shared" si="32"/>
        <v>0.77777777777777779</v>
      </c>
      <c r="AA127">
        <f>step3_validation[[#This Row],[AI_FAC1]]</f>
        <v>9</v>
      </c>
      <c r="AB127">
        <f t="shared" si="33"/>
        <v>0.88888888888888884</v>
      </c>
      <c r="AC127">
        <f>survey_responses[[#This Row],[Các thủ tục khai báo thuế VÀ/HOẶC quy trình làm việc với cơ quan thuế đơn giản, tiện lợi, nhanh chóng hơn so với trước đây. - HUMAN-FAC1]]</f>
        <v>5</v>
      </c>
      <c r="AD127">
        <f t="shared" si="34"/>
        <v>0.44444444444444442</v>
      </c>
      <c r="AE127">
        <f>step3_validation[[#This Row],[AI_FAC2]]</f>
        <v>9</v>
      </c>
      <c r="AF127">
        <f t="shared" si="35"/>
        <v>0.88888888888888884</v>
      </c>
      <c r="AG127">
        <f>survey_responses[[#This Row],[So với trước đây, tôi thấy cách tính thuế và các bậc thuế trong phương án mới đơn giản, dễ hiểu và dễ thực hiện hơn. - HUMAN-FAC2]]</f>
        <v>8</v>
      </c>
      <c r="AH127">
        <f t="shared" si="36"/>
        <v>0.77777777777777779</v>
      </c>
      <c r="AI127" s="32">
        <f t="shared" si="37"/>
        <v>0.88888888888888884</v>
      </c>
      <c r="AJ127" s="32">
        <f t="shared" si="38"/>
        <v>0.61111111111111116</v>
      </c>
      <c r="AK127">
        <f>step3_validation[[#This Row],[AI_TRU1]]</f>
        <v>6</v>
      </c>
      <c r="AL127">
        <f t="shared" si="39"/>
        <v>0.55555555555555558</v>
      </c>
      <c r="AM127">
        <f>survey_responses[[#This Row],[Tôi tin rằng Nhà nước, cơ quan thuế sẽ thực thi chính sách mới một cách khách quan, công tâm và đối xử bình đẳng với mọi người nộp thuế.  - HUMAN-TRU1]]</f>
        <v>8</v>
      </c>
      <c r="AN127">
        <f t="shared" si="40"/>
        <v>0.77777777777777779</v>
      </c>
      <c r="AO127">
        <f>step3_validation[[#This Row],[AI_TRU2]]</f>
        <v>8</v>
      </c>
      <c r="AP127">
        <f t="shared" si="41"/>
        <v>0.77777777777777779</v>
      </c>
      <c r="AQ127">
        <f>survey_responses[[#This Row],[Tôi thấy mức thuế tôi phải đóng theo phương án mới là công bằng (người thu nhập như tôi đóng mức này là hợp lý). - HUMAN-TRU2]]</f>
        <v>8</v>
      </c>
      <c r="AR127">
        <f t="shared" si="42"/>
        <v>0.77777777777777779</v>
      </c>
      <c r="AS127">
        <f>step3_validation[[#This Row],[AI_TRU3]]</f>
        <v>7</v>
      </c>
      <c r="AT127">
        <f t="shared" si="43"/>
        <v>0.66666666666666663</v>
      </c>
      <c r="AU127">
        <f>survey_responses[[#This Row],[Tôi tin tưởng số tiền thuế tôi đóng sẽ được Nhà nước sử dụng hiệu quả để cải thiện dịch vụ công (y tế, đường xá...). - HUMAN-TRU3]]</f>
        <v>7</v>
      </c>
      <c r="AV127">
        <f t="shared" si="44"/>
        <v>0.66666666666666663</v>
      </c>
      <c r="AW127">
        <f>step3_validation[[#This Row],[AI_TRU4]]</f>
        <v>6</v>
      </c>
      <c r="AX127">
        <f t="shared" si="45"/>
        <v>0.55555555555555558</v>
      </c>
      <c r="AY127">
        <f>survey_responses[[#This Row],[Tôi thấy Nhà nước đã giải thích rõ ràng, minh bạch về lý do và mục tiêu của việc sửa đổi thuế lần này. - HUMAN-TRU4]]</f>
        <v>7</v>
      </c>
      <c r="AZ127">
        <f t="shared" si="46"/>
        <v>0.66666666666666663</v>
      </c>
      <c r="BA127" s="32">
        <f t="shared" si="47"/>
        <v>0.63888888888888884</v>
      </c>
      <c r="BB127" s="32">
        <f t="shared" si="48"/>
        <v>0.72222222222222221</v>
      </c>
      <c r="BC127" s="7">
        <f t="shared" si="49"/>
        <v>0.75</v>
      </c>
      <c r="BD127" s="7">
        <f t="shared" si="50"/>
        <v>0.70370370370370372</v>
      </c>
      <c r="BE127">
        <f>step3_validation[[#This Row],[AI_OUT1]]</f>
        <v>9</v>
      </c>
      <c r="BF127">
        <f t="shared" si="51"/>
        <v>0.88888888888888884</v>
      </c>
      <c r="BG127">
        <f>survey_responses[[#This Row],[Sau khi xem xét các quyền lợi và nghĩa vụ, bạn có ủng hộ và tuân thủ chính sách mới hiện nay? - HUMAN-OUT1]]</f>
        <v>8</v>
      </c>
      <c r="BH127">
        <f t="shared" si="52"/>
        <v>0.77777777777777779</v>
      </c>
      <c r="BI127" s="32">
        <f t="shared" si="53"/>
        <v>1</v>
      </c>
    </row>
    <row r="128" spans="1:61" x14ac:dyDescent="0.45">
      <c r="A128" s="30">
        <f>step3_validation[[#This Row],[Persona_ID]]</f>
        <v>127</v>
      </c>
      <c r="B128" s="31">
        <f>step3_validation[[#This Row],[Used_Seed]]</f>
        <v>168</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137.79734230505227</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8</v>
      </c>
      <c r="R128">
        <f t="shared" si="27"/>
        <v>0.77777777777777779</v>
      </c>
      <c r="S128">
        <f>survey_responses[[#This Row],[Tôi tin rằng với các quy định quản lý thuế hiện nay, hành vi gian lận hoặc trốn thuế sẽ dễ dàng bị phát hiện và xử lý nghiêm. - HUMAN-ENF1]]</f>
        <v>1</v>
      </c>
      <c r="T128">
        <f t="shared" si="28"/>
        <v>0</v>
      </c>
      <c r="U128">
        <f>step3_validation[[#This Row],[AI_ENF2]]</f>
        <v>7</v>
      </c>
      <c r="V128">
        <f t="shared" si="29"/>
        <v>0.66666666666666663</v>
      </c>
      <c r="W128">
        <f>survey_responses[[#This Row],[Tôi tin rằng Nhà nước, cơ quan thuế có đủ khả năng và công nghệ để phát hiện, xử lý nghiêm các hành vi trốn thuế. - HUMAN-ENF2]]</f>
        <v>1</v>
      </c>
      <c r="X128">
        <f t="shared" si="30"/>
        <v>0</v>
      </c>
      <c r="Y128" s="32">
        <f t="shared" si="31"/>
        <v>0.72222222222222221</v>
      </c>
      <c r="Z128" s="32">
        <f t="shared" si="32"/>
        <v>0</v>
      </c>
      <c r="AA128">
        <f>step3_validation[[#This Row],[AI_FAC1]]</f>
        <v>6</v>
      </c>
      <c r="AB128">
        <f t="shared" si="33"/>
        <v>0.55555555555555558</v>
      </c>
      <c r="AC128">
        <f>survey_responses[[#This Row],[Các thủ tục khai báo thuế VÀ/HOẶC quy trình làm việc với cơ quan thuế đơn giản, tiện lợi, nhanh chóng hơn so với trước đây. - HUMAN-FAC1]]</f>
        <v>1</v>
      </c>
      <c r="AD128">
        <f t="shared" si="34"/>
        <v>0</v>
      </c>
      <c r="AE128">
        <f>step3_validation[[#This Row],[AI_FAC2]]</f>
        <v>9</v>
      </c>
      <c r="AF128">
        <f t="shared" si="35"/>
        <v>0.88888888888888884</v>
      </c>
      <c r="AG128">
        <f>survey_responses[[#This Row],[So với trước đây, tôi thấy cách tính thuế và các bậc thuế trong phương án mới đơn giản, dễ hiểu và dễ thực hiện hơn. - HUMAN-FAC2]]</f>
        <v>5</v>
      </c>
      <c r="AH128">
        <f t="shared" si="36"/>
        <v>0.44444444444444442</v>
      </c>
      <c r="AI128" s="32">
        <f t="shared" si="37"/>
        <v>0.72222222222222221</v>
      </c>
      <c r="AJ128" s="32">
        <f t="shared" si="38"/>
        <v>0.22222222222222221</v>
      </c>
      <c r="AK128">
        <f>step3_validation[[#This Row],[AI_TRU1]]</f>
        <v>7</v>
      </c>
      <c r="AL128">
        <f t="shared" si="39"/>
        <v>0.66666666666666663</v>
      </c>
      <c r="AM128">
        <f>survey_responses[[#This Row],[Tôi tin rằng Nhà nước, cơ quan thuế sẽ thực thi chính sách mới một cách khách quan, công tâm và đối xử bình đẳng với mọi người nộp thuế.  - HUMAN-TRU1]]</f>
        <v>1</v>
      </c>
      <c r="AN128">
        <f t="shared" si="40"/>
        <v>0</v>
      </c>
      <c r="AO128">
        <f>step3_validation[[#This Row],[AI_TRU2]]</f>
        <v>9</v>
      </c>
      <c r="AP128">
        <f t="shared" si="41"/>
        <v>0.88888888888888884</v>
      </c>
      <c r="AQ128">
        <f>survey_responses[[#This Row],[Tôi thấy mức thuế tôi phải đóng theo phương án mới là công bằng (người thu nhập như tôi đóng mức này là hợp lý). - HUMAN-TRU2]]</f>
        <v>1</v>
      </c>
      <c r="AR128">
        <f t="shared" si="42"/>
        <v>0</v>
      </c>
      <c r="AS128">
        <f>step3_validation[[#This Row],[AI_TRU3]]</f>
        <v>7</v>
      </c>
      <c r="AT128">
        <f t="shared" si="43"/>
        <v>0.66666666666666663</v>
      </c>
      <c r="AU128">
        <f>survey_responses[[#This Row],[Tôi tin tưởng số tiền thuế tôi đóng sẽ được Nhà nước sử dụng hiệu quả để cải thiện dịch vụ công (y tế, đường xá...). - HUMAN-TRU3]]</f>
        <v>1</v>
      </c>
      <c r="AV128">
        <f t="shared" si="44"/>
        <v>0</v>
      </c>
      <c r="AW128">
        <f>step3_validation[[#This Row],[AI_TRU4]]</f>
        <v>6</v>
      </c>
      <c r="AX128">
        <f t="shared" si="45"/>
        <v>0.55555555555555558</v>
      </c>
      <c r="AY128">
        <f>survey_responses[[#This Row],[Tôi thấy Nhà nước đã giải thích rõ ràng, minh bạch về lý do và mục tiêu của việc sửa đổi thuế lần này. - HUMAN-TRU4]]</f>
        <v>5</v>
      </c>
      <c r="AZ128">
        <f t="shared" si="46"/>
        <v>0.44444444444444442</v>
      </c>
      <c r="BA128" s="32">
        <f t="shared" si="47"/>
        <v>0.69444444444444442</v>
      </c>
      <c r="BB128" s="32">
        <f t="shared" si="48"/>
        <v>0.1111111111111111</v>
      </c>
      <c r="BC128" s="7">
        <f t="shared" si="49"/>
        <v>0.71296296296296291</v>
      </c>
      <c r="BD128" s="7">
        <f t="shared" si="50"/>
        <v>0.1111111111111111</v>
      </c>
      <c r="BE128">
        <f>step3_validation[[#This Row],[AI_OUT1]]</f>
        <v>8</v>
      </c>
      <c r="BF128">
        <f t="shared" si="51"/>
        <v>0.77777777777777779</v>
      </c>
      <c r="BG128">
        <f>survey_responses[[#This Row],[Sau khi xem xét các quyền lợi và nghĩa vụ, bạn có ủng hộ và tuân thủ chính sách mới hiện nay? - HUMAN-OUT1]]</f>
        <v>5</v>
      </c>
      <c r="BH128">
        <f t="shared" si="52"/>
        <v>0.44444444444444442</v>
      </c>
      <c r="BI128" s="32">
        <f t="shared" si="53"/>
        <v>3</v>
      </c>
    </row>
    <row r="129" spans="1:61" x14ac:dyDescent="0.45">
      <c r="A129" s="30">
        <f>step3_validation[[#This Row],[Persona_ID]]</f>
        <v>128</v>
      </c>
      <c r="B129" s="31">
        <f>step3_validation[[#This Row],[Used_Seed]]</f>
        <v>169</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159.61985604609188</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f t="shared" si="27"/>
        <v>0.66666666666666663</v>
      </c>
      <c r="S129">
        <f>survey_responses[[#This Row],[Tôi tin rằng với các quy định quản lý thuế hiện nay, hành vi gian lận hoặc trốn thuế sẽ dễ dàng bị phát hiện và xử lý nghiêm. - HUMAN-ENF1]]</f>
        <v>6</v>
      </c>
      <c r="T129">
        <f t="shared" si="28"/>
        <v>0.55555555555555558</v>
      </c>
      <c r="U129">
        <f>step3_validation[[#This Row],[AI_ENF2]]</f>
        <v>6</v>
      </c>
      <c r="V129">
        <f t="shared" si="29"/>
        <v>0.55555555555555558</v>
      </c>
      <c r="W129">
        <f>survey_responses[[#This Row],[Tôi tin rằng Nhà nước, cơ quan thuế có đủ khả năng và công nghệ để phát hiện, xử lý nghiêm các hành vi trốn thuế. - HUMAN-ENF2]]</f>
        <v>6</v>
      </c>
      <c r="X129">
        <f t="shared" si="30"/>
        <v>0.55555555555555558</v>
      </c>
      <c r="Y129" s="32">
        <f t="shared" si="31"/>
        <v>0.61111111111111116</v>
      </c>
      <c r="Z129" s="32">
        <f t="shared" si="32"/>
        <v>0.55555555555555558</v>
      </c>
      <c r="AA129">
        <f>step3_validation[[#This Row],[AI_FAC1]]</f>
        <v>9</v>
      </c>
      <c r="AB129">
        <f t="shared" si="33"/>
        <v>0.88888888888888884</v>
      </c>
      <c r="AC129">
        <f>survey_responses[[#This Row],[Các thủ tục khai báo thuế VÀ/HOẶC quy trình làm việc với cơ quan thuế đơn giản, tiện lợi, nhanh chóng hơn so với trước đây. - HUMAN-FAC1]]</f>
        <v>6</v>
      </c>
      <c r="AD129">
        <f t="shared" si="34"/>
        <v>0.55555555555555558</v>
      </c>
      <c r="AE129">
        <f>step3_validation[[#This Row],[AI_FAC2]]</f>
        <v>9</v>
      </c>
      <c r="AF129">
        <f t="shared" si="35"/>
        <v>0.88888888888888884</v>
      </c>
      <c r="AG129">
        <f>survey_responses[[#This Row],[So với trước đây, tôi thấy cách tính thuế và các bậc thuế trong phương án mới đơn giản, dễ hiểu và dễ thực hiện hơn. - HUMAN-FAC2]]</f>
        <v>8</v>
      </c>
      <c r="AH129">
        <f t="shared" si="36"/>
        <v>0.77777777777777779</v>
      </c>
      <c r="AI129" s="32">
        <f t="shared" si="37"/>
        <v>0.88888888888888884</v>
      </c>
      <c r="AJ129" s="32">
        <f t="shared" si="38"/>
        <v>0.66666666666666674</v>
      </c>
      <c r="AK129">
        <f>step3_validation[[#This Row],[AI_TRU1]]</f>
        <v>8</v>
      </c>
      <c r="AL129">
        <f t="shared" si="39"/>
        <v>0.77777777777777779</v>
      </c>
      <c r="AM129">
        <f>survey_responses[[#This Row],[Tôi tin rằng Nhà nước, cơ quan thuế sẽ thực thi chính sách mới một cách khách quan, công tâm và đối xử bình đẳng với mọi người nộp thuế.  - HUMAN-TRU1]]</f>
        <v>6</v>
      </c>
      <c r="AN129">
        <f t="shared" si="40"/>
        <v>0.55555555555555558</v>
      </c>
      <c r="AO129">
        <f>step3_validation[[#This Row],[AI_TRU2]]</f>
        <v>9</v>
      </c>
      <c r="AP129">
        <f t="shared" si="41"/>
        <v>0.88888888888888884</v>
      </c>
      <c r="AQ129">
        <f>survey_responses[[#This Row],[Tôi thấy mức thuế tôi phải đóng theo phương án mới là công bằng (người thu nhập như tôi đóng mức này là hợp lý). - HUMAN-TRU2]]</f>
        <v>3</v>
      </c>
      <c r="AR129">
        <f t="shared" si="42"/>
        <v>0.22222222222222221</v>
      </c>
      <c r="AS129">
        <f>step3_validation[[#This Row],[AI_TRU3]]</f>
        <v>8</v>
      </c>
      <c r="AT129">
        <f t="shared" si="43"/>
        <v>0.77777777777777779</v>
      </c>
      <c r="AU129">
        <f>survey_responses[[#This Row],[Tôi tin tưởng số tiền thuế tôi đóng sẽ được Nhà nước sử dụng hiệu quả để cải thiện dịch vụ công (y tế, đường xá...). - HUMAN-TRU3]]</f>
        <v>5</v>
      </c>
      <c r="AV129">
        <f t="shared" si="44"/>
        <v>0.44444444444444442</v>
      </c>
      <c r="AW129">
        <f>step3_validation[[#This Row],[AI_TRU4]]</f>
        <v>7</v>
      </c>
      <c r="AX129">
        <f t="shared" si="45"/>
        <v>0.66666666666666663</v>
      </c>
      <c r="AY129">
        <f>survey_responses[[#This Row],[Tôi thấy Nhà nước đã giải thích rõ ràng, minh bạch về lý do và mục tiêu của việc sửa đổi thuế lần này. - HUMAN-TRU4]]</f>
        <v>5</v>
      </c>
      <c r="AZ129">
        <f t="shared" si="46"/>
        <v>0.44444444444444442</v>
      </c>
      <c r="BA129" s="32">
        <f t="shared" si="47"/>
        <v>0.77777777777777768</v>
      </c>
      <c r="BB129" s="32">
        <f t="shared" si="48"/>
        <v>0.41666666666666669</v>
      </c>
      <c r="BC129" s="7">
        <f t="shared" si="49"/>
        <v>0.75925925925925919</v>
      </c>
      <c r="BD129" s="7">
        <f t="shared" si="50"/>
        <v>0.54629629629629639</v>
      </c>
      <c r="BE129">
        <f>step3_validation[[#This Row],[AI_OUT1]]</f>
        <v>9</v>
      </c>
      <c r="BF129">
        <f t="shared" si="51"/>
        <v>0.88888888888888884</v>
      </c>
      <c r="BG129">
        <f>survey_responses[[#This Row],[Sau khi xem xét các quyền lợi và nghĩa vụ, bạn có ủng hộ và tuân thủ chính sách mới hiện nay? - HUMAN-OUT1]]</f>
        <v>4</v>
      </c>
      <c r="BH129">
        <f t="shared" si="52"/>
        <v>0.33333333333333331</v>
      </c>
      <c r="BI129" s="32">
        <f t="shared" si="53"/>
        <v>5</v>
      </c>
    </row>
    <row r="130" spans="1:61" x14ac:dyDescent="0.45">
      <c r="A130" s="30">
        <f>step3_validation[[#This Row],[Persona_ID]]</f>
        <v>129</v>
      </c>
      <c r="B130" s="31">
        <f>step3_validation[[#This Row],[Used_Seed]]</f>
        <v>170</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247.19604490785346</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7</v>
      </c>
      <c r="R130">
        <f t="shared" si="27"/>
        <v>0.66666666666666663</v>
      </c>
      <c r="S130">
        <f>survey_responses[[#This Row],[Tôi tin rằng với các quy định quản lý thuế hiện nay, hành vi gian lận hoặc trốn thuế sẽ dễ dàng bị phát hiện và xử lý nghiêm. - HUMAN-ENF1]]</f>
        <v>6</v>
      </c>
      <c r="T130">
        <f t="shared" si="28"/>
        <v>0.55555555555555558</v>
      </c>
      <c r="U130">
        <f>step3_validation[[#This Row],[AI_ENF2]]</f>
        <v>6</v>
      </c>
      <c r="V130">
        <f t="shared" si="29"/>
        <v>0.55555555555555558</v>
      </c>
      <c r="W130">
        <f>survey_responses[[#This Row],[Tôi tin rằng Nhà nước, cơ quan thuế có đủ khả năng và công nghệ để phát hiện, xử lý nghiêm các hành vi trốn thuế. - HUMAN-ENF2]]</f>
        <v>6</v>
      </c>
      <c r="X130">
        <f t="shared" si="30"/>
        <v>0.55555555555555558</v>
      </c>
      <c r="Y130" s="32">
        <f t="shared" si="31"/>
        <v>0.61111111111111116</v>
      </c>
      <c r="Z130" s="32">
        <f t="shared" si="32"/>
        <v>0.55555555555555558</v>
      </c>
      <c r="AA130">
        <f>step3_validation[[#This Row],[AI_FAC1]]</f>
        <v>8</v>
      </c>
      <c r="AB130">
        <f t="shared" si="33"/>
        <v>0.77777777777777779</v>
      </c>
      <c r="AC130">
        <f>survey_responses[[#This Row],[Các thủ tục khai báo thuế VÀ/HOẶC quy trình làm việc với cơ quan thuế đơn giản, tiện lợi, nhanh chóng hơn so với trước đây. - HUMAN-FAC1]]</f>
        <v>4</v>
      </c>
      <c r="AD130">
        <f t="shared" si="34"/>
        <v>0.33333333333333331</v>
      </c>
      <c r="AE130">
        <f>step3_validation[[#This Row],[AI_FAC2]]</f>
        <v>9</v>
      </c>
      <c r="AF130">
        <f t="shared" si="35"/>
        <v>0.88888888888888884</v>
      </c>
      <c r="AG130">
        <f>survey_responses[[#This Row],[So với trước đây, tôi thấy cách tính thuế và các bậc thuế trong phương án mới đơn giản, dễ hiểu và dễ thực hiện hơn. - HUMAN-FAC2]]</f>
        <v>5</v>
      </c>
      <c r="AH130">
        <f t="shared" si="36"/>
        <v>0.44444444444444442</v>
      </c>
      <c r="AI130" s="32">
        <f t="shared" si="37"/>
        <v>0.83333333333333326</v>
      </c>
      <c r="AJ130" s="32">
        <f t="shared" si="38"/>
        <v>0.38888888888888884</v>
      </c>
      <c r="AK130">
        <f>step3_validation[[#This Row],[AI_TRU1]]</f>
        <v>7</v>
      </c>
      <c r="AL130">
        <f t="shared" si="39"/>
        <v>0.66666666666666663</v>
      </c>
      <c r="AM130">
        <f>survey_responses[[#This Row],[Tôi tin rằng Nhà nước, cơ quan thuế sẽ thực thi chính sách mới một cách khách quan, công tâm và đối xử bình đẳng với mọi người nộp thuế.  - HUMAN-TRU1]]</f>
        <v>5</v>
      </c>
      <c r="AN130">
        <f t="shared" si="40"/>
        <v>0.44444444444444442</v>
      </c>
      <c r="AO130">
        <f>step3_validation[[#This Row],[AI_TRU2]]</f>
        <v>9</v>
      </c>
      <c r="AP130">
        <f t="shared" si="41"/>
        <v>0.88888888888888884</v>
      </c>
      <c r="AQ130">
        <f>survey_responses[[#This Row],[Tôi thấy mức thuế tôi phải đóng theo phương án mới là công bằng (người thu nhập như tôi đóng mức này là hợp lý). - HUMAN-TRU2]]</f>
        <v>1</v>
      </c>
      <c r="AR130">
        <f t="shared" si="42"/>
        <v>0</v>
      </c>
      <c r="AS130">
        <f>step3_validation[[#This Row],[AI_TRU3]]</f>
        <v>8</v>
      </c>
      <c r="AT130">
        <f t="shared" si="43"/>
        <v>0.77777777777777779</v>
      </c>
      <c r="AU130">
        <f>survey_responses[[#This Row],[Tôi tin tưởng số tiền thuế tôi đóng sẽ được Nhà nước sử dụng hiệu quả để cải thiện dịch vụ công (y tế, đường xá...). - HUMAN-TRU3]]</f>
        <v>5</v>
      </c>
      <c r="AV130">
        <f t="shared" si="44"/>
        <v>0.44444444444444442</v>
      </c>
      <c r="AW130">
        <f>step3_validation[[#This Row],[AI_TRU4]]</f>
        <v>6</v>
      </c>
      <c r="AX130">
        <f t="shared" si="45"/>
        <v>0.55555555555555558</v>
      </c>
      <c r="AY130">
        <f>survey_responses[[#This Row],[Tôi thấy Nhà nước đã giải thích rõ ràng, minh bạch về lý do và mục tiêu của việc sửa đổi thuế lần này. - HUMAN-TRU4]]</f>
        <v>4</v>
      </c>
      <c r="AZ130">
        <f t="shared" si="46"/>
        <v>0.33333333333333331</v>
      </c>
      <c r="BA130" s="32">
        <f t="shared" si="47"/>
        <v>0.7222222222222221</v>
      </c>
      <c r="BB130" s="32">
        <f t="shared" si="48"/>
        <v>0.30555555555555552</v>
      </c>
      <c r="BC130" s="7">
        <f t="shared" si="49"/>
        <v>0.72222222222222221</v>
      </c>
      <c r="BD130" s="7">
        <f t="shared" si="50"/>
        <v>0.41666666666666669</v>
      </c>
      <c r="BE130">
        <f>step3_validation[[#This Row],[AI_OUT1]]</f>
        <v>9</v>
      </c>
      <c r="BF130">
        <f t="shared" si="51"/>
        <v>0.88888888888888884</v>
      </c>
      <c r="BG130">
        <f>survey_responses[[#This Row],[Sau khi xem xét các quyền lợi và nghĩa vụ, bạn có ủng hộ và tuân thủ chính sách mới hiện nay? - HUMAN-OUT1]]</f>
        <v>5</v>
      </c>
      <c r="BH130">
        <f t="shared" si="52"/>
        <v>0.44444444444444442</v>
      </c>
      <c r="BI130" s="32">
        <f t="shared" si="53"/>
        <v>4</v>
      </c>
    </row>
    <row r="131" spans="1:61" x14ac:dyDescent="0.45">
      <c r="A131" s="30">
        <f>step3_validation[[#This Row],[Persona_ID]]</f>
        <v>130</v>
      </c>
      <c r="B131" s="31">
        <f>step3_validation[[#This Row],[Used_Seed]]</f>
        <v>171</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97.463060900714908</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6</v>
      </c>
      <c r="R131">
        <f t="shared" ref="R131:R194" si="54">(Q131-1)/9</f>
        <v>0.55555555555555558</v>
      </c>
      <c r="S131">
        <f>survey_responses[[#This Row],[Tôi tin rằng với các quy định quản lý thuế hiện nay, hành vi gian lận hoặc trốn thuế sẽ dễ dàng bị phát hiện và xử lý nghiêm. - HUMAN-ENF1]]</f>
        <v>5</v>
      </c>
      <c r="T131">
        <f t="shared" ref="T131:T194" si="55">(S131-1)/9</f>
        <v>0.44444444444444442</v>
      </c>
      <c r="U131">
        <f>step3_validation[[#This Row],[AI_ENF2]]</f>
        <v>6</v>
      </c>
      <c r="V131">
        <f t="shared" ref="V131:V194" si="56">(U131-1)/9</f>
        <v>0.55555555555555558</v>
      </c>
      <c r="W131">
        <f>survey_responses[[#This Row],[Tôi tin rằng Nhà nước, cơ quan thuế có đủ khả năng và công nghệ để phát hiện, xử lý nghiêm các hành vi trốn thuế. - HUMAN-ENF2]]</f>
        <v>5</v>
      </c>
      <c r="X131">
        <f t="shared" ref="X131:X194" si="57">(W131-1)/9</f>
        <v>0.44444444444444442</v>
      </c>
      <c r="Y131" s="32">
        <f t="shared" ref="Y131:Y194" si="58">AVERAGE(R131,V131)</f>
        <v>0.55555555555555558</v>
      </c>
      <c r="Z131" s="32">
        <f t="shared" ref="Z131:Z194" si="59">AVERAGE(T131,X131)</f>
        <v>0.44444444444444442</v>
      </c>
      <c r="AA131">
        <f>step3_validation[[#This Row],[AI_FAC1]]</f>
        <v>9</v>
      </c>
      <c r="AB131">
        <f t="shared" ref="AB131:AB194" si="60">(AA131-1)/9</f>
        <v>0.88888888888888884</v>
      </c>
      <c r="AC131">
        <f>survey_responses[[#This Row],[Các thủ tục khai báo thuế VÀ/HOẶC quy trình làm việc với cơ quan thuế đơn giản, tiện lợi, nhanh chóng hơn so với trước đây. - HUMAN-FAC1]]</f>
        <v>1</v>
      </c>
      <c r="AD131">
        <f t="shared" ref="AD131:AD194" si="61">(AC131-1)/9</f>
        <v>0</v>
      </c>
      <c r="AE131">
        <f>step3_validation[[#This Row],[AI_FAC2]]</f>
        <v>8</v>
      </c>
      <c r="AF131">
        <f t="shared" ref="AF131:AF194" si="62">(AE131-1)/9</f>
        <v>0.77777777777777779</v>
      </c>
      <c r="AG131">
        <f>survey_responses[[#This Row],[So với trước đây, tôi thấy cách tính thuế và các bậc thuế trong phương án mới đơn giản, dễ hiểu và dễ thực hiện hơn. - HUMAN-FAC2]]</f>
        <v>4</v>
      </c>
      <c r="AH131">
        <f t="shared" ref="AH131:AH194" si="63">(AG131-1)/9</f>
        <v>0.33333333333333331</v>
      </c>
      <c r="AI131" s="32">
        <f t="shared" ref="AI131:AI194" si="64">AVERAGE(AB131,AF131)</f>
        <v>0.83333333333333326</v>
      </c>
      <c r="AJ131" s="32">
        <f t="shared" ref="AJ131:AJ194" si="65">AVERAGE(AD131,AH131)</f>
        <v>0.16666666666666666</v>
      </c>
      <c r="AK131">
        <f>step3_validation[[#This Row],[AI_TRU1]]</f>
        <v>7</v>
      </c>
      <c r="AL131">
        <f t="shared" ref="AL131:AL194" si="66">(AK131-1)/9</f>
        <v>0.66666666666666663</v>
      </c>
      <c r="AM131">
        <f>survey_responses[[#This Row],[Tôi tin rằng Nhà nước, cơ quan thuế sẽ thực thi chính sách mới một cách khách quan, công tâm và đối xử bình đẳng với mọi người nộp thuế.  - HUMAN-TRU1]]</f>
        <v>2</v>
      </c>
      <c r="AN131">
        <f t="shared" ref="AN131:AN194" si="67">(AM131-1)/9</f>
        <v>0.1111111111111111</v>
      </c>
      <c r="AO131">
        <f>step3_validation[[#This Row],[AI_TRU2]]</f>
        <v>8</v>
      </c>
      <c r="AP131">
        <f t="shared" ref="AP131:AP194" si="68">(AO131-1)/9</f>
        <v>0.77777777777777779</v>
      </c>
      <c r="AQ131">
        <f>survey_responses[[#This Row],[Tôi thấy mức thuế tôi phải đóng theo phương án mới là công bằng (người thu nhập như tôi đóng mức này là hợp lý). - HUMAN-TRU2]]</f>
        <v>1</v>
      </c>
      <c r="AR131">
        <f t="shared" ref="AR131:AR194" si="69">(AQ131-1)/9</f>
        <v>0</v>
      </c>
      <c r="AS131">
        <f>step3_validation[[#This Row],[AI_TRU3]]</f>
        <v>7</v>
      </c>
      <c r="AT131">
        <f t="shared" ref="AT131:AT194" si="70">(AS131-1)/9</f>
        <v>0.66666666666666663</v>
      </c>
      <c r="AU131">
        <f>survey_responses[[#This Row],[Tôi tin tưởng số tiền thuế tôi đóng sẽ được Nhà nước sử dụng hiệu quả để cải thiện dịch vụ công (y tế, đường xá...). - HUMAN-TRU3]]</f>
        <v>1</v>
      </c>
      <c r="AV131">
        <f t="shared" ref="AV131:AV194" si="71">(AU131-1)/9</f>
        <v>0</v>
      </c>
      <c r="AW131">
        <f>step3_validation[[#This Row],[AI_TRU4]]</f>
        <v>8</v>
      </c>
      <c r="AX131">
        <f t="shared" ref="AX131:AX194" si="72">(AW131-1)/9</f>
        <v>0.77777777777777779</v>
      </c>
      <c r="AY131">
        <f>survey_responses[[#This Row],[Tôi thấy Nhà nước đã giải thích rõ ràng, minh bạch về lý do và mục tiêu của việc sửa đổi thuế lần này. - HUMAN-TRU4]]</f>
        <v>1</v>
      </c>
      <c r="AZ131">
        <f t="shared" ref="AZ131:AZ194" si="73">(AY131-1)/9</f>
        <v>0</v>
      </c>
      <c r="BA131" s="32">
        <f t="shared" ref="BA131:BA194" si="74">AVERAGE(AL131,AP131,AT131,AX131)</f>
        <v>0.72222222222222221</v>
      </c>
      <c r="BB131" s="32">
        <f t="shared" ref="BB131:BB194" si="75">AVERAGE(AN131,AR131,AV131,AZ131)</f>
        <v>2.7777777777777776E-2</v>
      </c>
      <c r="BC131" s="7">
        <f t="shared" ref="BC131:BC194" si="76">(Y131+AI131+BA131)/3</f>
        <v>0.70370370370370372</v>
      </c>
      <c r="BD131" s="7">
        <f t="shared" ref="BD131:BD194" si="77">(Z131+AJ131+BB131)/3</f>
        <v>0.21296296296296294</v>
      </c>
      <c r="BE131">
        <f>step3_validation[[#This Row],[AI_OUT1]]</f>
        <v>9</v>
      </c>
      <c r="BF131">
        <f t="shared" ref="BF131:BF194" si="78">(BE131-1)/9</f>
        <v>0.88888888888888884</v>
      </c>
      <c r="BG131">
        <f>survey_responses[[#This Row],[Sau khi xem xét các quyền lợi và nghĩa vụ, bạn có ủng hộ và tuân thủ chính sách mới hiện nay? - HUMAN-OUT1]]</f>
        <v>5</v>
      </c>
      <c r="BH131">
        <f t="shared" ref="BH131:BH194" si="79">(BG131-1)/9</f>
        <v>0.44444444444444442</v>
      </c>
      <c r="BI131" s="32">
        <f t="shared" ref="BI131:BI194" si="80">ABS(BG131-BE131)</f>
        <v>4</v>
      </c>
    </row>
    <row r="132" spans="1:61" x14ac:dyDescent="0.45">
      <c r="A132" s="30">
        <f>step3_validation[[#This Row],[Persona_ID]]</f>
        <v>131</v>
      </c>
      <c r="B132" s="31">
        <f>step3_validation[[#This Row],[Used_Seed]]</f>
        <v>172</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99.222990346484991</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6</v>
      </c>
      <c r="R132">
        <f t="shared" si="54"/>
        <v>0.55555555555555558</v>
      </c>
      <c r="S132">
        <f>survey_responses[[#This Row],[Tôi tin rằng với các quy định quản lý thuế hiện nay, hành vi gian lận hoặc trốn thuế sẽ dễ dàng bị phát hiện và xử lý nghiêm. - HUMAN-ENF1]]</f>
        <v>8</v>
      </c>
      <c r="T132">
        <f t="shared" si="55"/>
        <v>0.77777777777777779</v>
      </c>
      <c r="U132">
        <f>step3_validation[[#This Row],[AI_ENF2]]</f>
        <v>6</v>
      </c>
      <c r="V132">
        <f t="shared" si="56"/>
        <v>0.55555555555555558</v>
      </c>
      <c r="W132">
        <f>survey_responses[[#This Row],[Tôi tin rằng Nhà nước, cơ quan thuế có đủ khả năng và công nghệ để phát hiện, xử lý nghiêm các hành vi trốn thuế. - HUMAN-ENF2]]</f>
        <v>9</v>
      </c>
      <c r="X132">
        <f t="shared" si="57"/>
        <v>0.88888888888888884</v>
      </c>
      <c r="Y132" s="32">
        <f t="shared" si="58"/>
        <v>0.55555555555555558</v>
      </c>
      <c r="Z132" s="32">
        <f t="shared" si="59"/>
        <v>0.83333333333333326</v>
      </c>
      <c r="AA132">
        <f>step3_validation[[#This Row],[AI_FAC1]]</f>
        <v>8</v>
      </c>
      <c r="AB132">
        <f t="shared" si="60"/>
        <v>0.77777777777777779</v>
      </c>
      <c r="AC132">
        <f>survey_responses[[#This Row],[Các thủ tục khai báo thuế VÀ/HOẶC quy trình làm việc với cơ quan thuế đơn giản, tiện lợi, nhanh chóng hơn so với trước đây. - HUMAN-FAC1]]</f>
        <v>5</v>
      </c>
      <c r="AD132">
        <f t="shared" si="61"/>
        <v>0.44444444444444442</v>
      </c>
      <c r="AE132">
        <f>step3_validation[[#This Row],[AI_FAC2]]</f>
        <v>9</v>
      </c>
      <c r="AF132">
        <f t="shared" si="62"/>
        <v>0.88888888888888884</v>
      </c>
      <c r="AG132">
        <f>survey_responses[[#This Row],[So với trước đây, tôi thấy cách tính thuế và các bậc thuế trong phương án mới đơn giản, dễ hiểu và dễ thực hiện hơn. - HUMAN-FAC2]]</f>
        <v>5</v>
      </c>
      <c r="AH132">
        <f t="shared" si="63"/>
        <v>0.44444444444444442</v>
      </c>
      <c r="AI132" s="32">
        <f t="shared" si="64"/>
        <v>0.83333333333333326</v>
      </c>
      <c r="AJ132" s="32">
        <f t="shared" si="65"/>
        <v>0.44444444444444442</v>
      </c>
      <c r="AK132">
        <f>step3_validation[[#This Row],[AI_TRU1]]</f>
        <v>7</v>
      </c>
      <c r="AL132">
        <f t="shared" si="66"/>
        <v>0.66666666666666663</v>
      </c>
      <c r="AM132">
        <f>survey_responses[[#This Row],[Tôi tin rằng Nhà nước, cơ quan thuế sẽ thực thi chính sách mới một cách khách quan, công tâm và đối xử bình đẳng với mọi người nộp thuế.  - HUMAN-TRU1]]</f>
        <v>5</v>
      </c>
      <c r="AN132">
        <f t="shared" si="67"/>
        <v>0.44444444444444442</v>
      </c>
      <c r="AO132">
        <f>step3_validation[[#This Row],[AI_TRU2]]</f>
        <v>9</v>
      </c>
      <c r="AP132">
        <f t="shared" si="68"/>
        <v>0.88888888888888884</v>
      </c>
      <c r="AQ132">
        <f>survey_responses[[#This Row],[Tôi thấy mức thuế tôi phải đóng theo phương án mới là công bằng (người thu nhập như tôi đóng mức này là hợp lý). - HUMAN-TRU2]]</f>
        <v>4</v>
      </c>
      <c r="AR132">
        <f t="shared" si="69"/>
        <v>0.33333333333333331</v>
      </c>
      <c r="AS132">
        <f>step3_validation[[#This Row],[AI_TRU3]]</f>
        <v>8</v>
      </c>
      <c r="AT132">
        <f t="shared" si="70"/>
        <v>0.77777777777777779</v>
      </c>
      <c r="AU132">
        <f>survey_responses[[#This Row],[Tôi tin tưởng số tiền thuế tôi đóng sẽ được Nhà nước sử dụng hiệu quả để cải thiện dịch vụ công (y tế, đường xá...). - HUMAN-TRU3]]</f>
        <v>5</v>
      </c>
      <c r="AV132">
        <f t="shared" si="71"/>
        <v>0.44444444444444442</v>
      </c>
      <c r="AW132">
        <f>step3_validation[[#This Row],[AI_TRU4]]</f>
        <v>7</v>
      </c>
      <c r="AX132">
        <f t="shared" si="72"/>
        <v>0.66666666666666663</v>
      </c>
      <c r="AY132">
        <f>survey_responses[[#This Row],[Tôi thấy Nhà nước đã giải thích rõ ràng, minh bạch về lý do và mục tiêu của việc sửa đổi thuế lần này. - HUMAN-TRU4]]</f>
        <v>5</v>
      </c>
      <c r="AZ132">
        <f t="shared" si="73"/>
        <v>0.44444444444444442</v>
      </c>
      <c r="BA132" s="32">
        <f t="shared" si="74"/>
        <v>0.74999999999999989</v>
      </c>
      <c r="BB132" s="32">
        <f t="shared" si="75"/>
        <v>0.41666666666666663</v>
      </c>
      <c r="BC132" s="7">
        <f t="shared" si="76"/>
        <v>0.71296296296296291</v>
      </c>
      <c r="BD132" s="7">
        <f t="shared" si="77"/>
        <v>0.56481481481481477</v>
      </c>
      <c r="BE132">
        <f>step3_validation[[#This Row],[AI_OUT1]]</f>
        <v>9</v>
      </c>
      <c r="BF132">
        <f t="shared" si="78"/>
        <v>0.88888888888888884</v>
      </c>
      <c r="BG132">
        <f>survey_responses[[#This Row],[Sau khi xem xét các quyền lợi và nghĩa vụ, bạn có ủng hộ và tuân thủ chính sách mới hiện nay? - HUMAN-OUT1]]</f>
        <v>5</v>
      </c>
      <c r="BH132">
        <f t="shared" si="79"/>
        <v>0.44444444444444442</v>
      </c>
      <c r="BI132" s="32">
        <f t="shared" si="80"/>
        <v>4</v>
      </c>
    </row>
    <row r="133" spans="1:61" x14ac:dyDescent="0.45">
      <c r="A133" s="30">
        <f>step3_validation[[#This Row],[Persona_ID]]</f>
        <v>132</v>
      </c>
      <c r="B133" s="31">
        <f>step3_validation[[#This Row],[Used_Seed]]</f>
        <v>173</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15.268705496420361</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6</v>
      </c>
      <c r="R133">
        <f t="shared" si="54"/>
        <v>0.55555555555555558</v>
      </c>
      <c r="S133">
        <f>survey_responses[[#This Row],[Tôi tin rằng với các quy định quản lý thuế hiện nay, hành vi gian lận hoặc trốn thuế sẽ dễ dàng bị phát hiện và xử lý nghiêm. - HUMAN-ENF1]]</f>
        <v>9</v>
      </c>
      <c r="T133">
        <f t="shared" si="55"/>
        <v>0.88888888888888884</v>
      </c>
      <c r="U133">
        <f>step3_validation[[#This Row],[AI_ENF2]]</f>
        <v>7</v>
      </c>
      <c r="V133">
        <f t="shared" si="56"/>
        <v>0.66666666666666663</v>
      </c>
      <c r="W133">
        <f>survey_responses[[#This Row],[Tôi tin rằng Nhà nước, cơ quan thuế có đủ khả năng và công nghệ để phát hiện, xử lý nghiêm các hành vi trốn thuế. - HUMAN-ENF2]]</f>
        <v>9</v>
      </c>
      <c r="X133">
        <f t="shared" si="57"/>
        <v>0.88888888888888884</v>
      </c>
      <c r="Y133" s="32">
        <f t="shared" si="58"/>
        <v>0.61111111111111116</v>
      </c>
      <c r="Z133" s="32">
        <f t="shared" si="59"/>
        <v>0.88888888888888884</v>
      </c>
      <c r="AA133">
        <f>step3_validation[[#This Row],[AI_FAC1]]</f>
        <v>8</v>
      </c>
      <c r="AB133">
        <f t="shared" si="60"/>
        <v>0.77777777777777779</v>
      </c>
      <c r="AC133">
        <f>survey_responses[[#This Row],[Các thủ tục khai báo thuế VÀ/HOẶC quy trình làm việc với cơ quan thuế đơn giản, tiện lợi, nhanh chóng hơn so với trước đây. - HUMAN-FAC1]]</f>
        <v>9</v>
      </c>
      <c r="AD133">
        <f t="shared" si="61"/>
        <v>0.88888888888888884</v>
      </c>
      <c r="AE133">
        <f>step3_validation[[#This Row],[AI_FAC2]]</f>
        <v>9</v>
      </c>
      <c r="AF133">
        <f t="shared" si="62"/>
        <v>0.88888888888888884</v>
      </c>
      <c r="AG133">
        <f>survey_responses[[#This Row],[So với trước đây, tôi thấy cách tính thuế và các bậc thuế trong phương án mới đơn giản, dễ hiểu và dễ thực hiện hơn. - HUMAN-FAC2]]</f>
        <v>9</v>
      </c>
      <c r="AH133">
        <f t="shared" si="63"/>
        <v>0.88888888888888884</v>
      </c>
      <c r="AI133" s="32">
        <f t="shared" si="64"/>
        <v>0.83333333333333326</v>
      </c>
      <c r="AJ133" s="32">
        <f t="shared" si="65"/>
        <v>0.88888888888888884</v>
      </c>
      <c r="AK133">
        <f>step3_validation[[#This Row],[AI_TRU1]]</f>
        <v>7</v>
      </c>
      <c r="AL133">
        <f t="shared" si="66"/>
        <v>0.66666666666666663</v>
      </c>
      <c r="AM133">
        <f>survey_responses[[#This Row],[Tôi tin rằng Nhà nước, cơ quan thuế sẽ thực thi chính sách mới một cách khách quan, công tâm và đối xử bình đẳng với mọi người nộp thuế.  - HUMAN-TRU1]]</f>
        <v>7</v>
      </c>
      <c r="AN133">
        <f t="shared" si="67"/>
        <v>0.66666666666666663</v>
      </c>
      <c r="AO133">
        <f>step3_validation[[#This Row],[AI_TRU2]]</f>
        <v>8</v>
      </c>
      <c r="AP133">
        <f t="shared" si="68"/>
        <v>0.77777777777777779</v>
      </c>
      <c r="AQ133">
        <f>survey_responses[[#This Row],[Tôi thấy mức thuế tôi phải đóng theo phương án mới là công bằng (người thu nhập như tôi đóng mức này là hợp lý). - HUMAN-TRU2]]</f>
        <v>10</v>
      </c>
      <c r="AR133">
        <f t="shared" si="69"/>
        <v>1</v>
      </c>
      <c r="AS133">
        <f>step3_validation[[#This Row],[AI_TRU3]]</f>
        <v>7</v>
      </c>
      <c r="AT133">
        <f t="shared" si="70"/>
        <v>0.66666666666666663</v>
      </c>
      <c r="AU133">
        <f>survey_responses[[#This Row],[Tôi tin tưởng số tiền thuế tôi đóng sẽ được Nhà nước sử dụng hiệu quả để cải thiện dịch vụ công (y tế, đường xá...). - HUMAN-TRU3]]</f>
        <v>5</v>
      </c>
      <c r="AV133">
        <f t="shared" si="71"/>
        <v>0.44444444444444442</v>
      </c>
      <c r="AW133">
        <f>step3_validation[[#This Row],[AI_TRU4]]</f>
        <v>6</v>
      </c>
      <c r="AX133">
        <f t="shared" si="72"/>
        <v>0.55555555555555558</v>
      </c>
      <c r="AY133">
        <f>survey_responses[[#This Row],[Tôi thấy Nhà nước đã giải thích rõ ràng, minh bạch về lý do và mục tiêu của việc sửa đổi thuế lần này. - HUMAN-TRU4]]</f>
        <v>5</v>
      </c>
      <c r="AZ133">
        <f t="shared" si="73"/>
        <v>0.44444444444444442</v>
      </c>
      <c r="BA133" s="32">
        <f t="shared" si="74"/>
        <v>0.66666666666666674</v>
      </c>
      <c r="BB133" s="32">
        <f t="shared" si="75"/>
        <v>0.63888888888888884</v>
      </c>
      <c r="BC133" s="7">
        <f t="shared" si="76"/>
        <v>0.70370370370370372</v>
      </c>
      <c r="BD133" s="7">
        <f t="shared" si="77"/>
        <v>0.80555555555555547</v>
      </c>
      <c r="BE133">
        <f>step3_validation[[#This Row],[AI_OUT1]]</f>
        <v>9</v>
      </c>
      <c r="BF133">
        <f t="shared" si="78"/>
        <v>0.88888888888888884</v>
      </c>
      <c r="BG133">
        <f>survey_responses[[#This Row],[Sau khi xem xét các quyền lợi và nghĩa vụ, bạn có ủng hộ và tuân thủ chính sách mới hiện nay? - HUMAN-OUT1]]</f>
        <v>9</v>
      </c>
      <c r="BH133">
        <f t="shared" si="79"/>
        <v>0.88888888888888884</v>
      </c>
      <c r="BI133" s="32">
        <f t="shared" si="80"/>
        <v>0</v>
      </c>
    </row>
    <row r="134" spans="1:61" x14ac:dyDescent="0.45">
      <c r="A134" s="30">
        <f>step3_validation[[#This Row],[Persona_ID]]</f>
        <v>133</v>
      </c>
      <c r="B134" s="31">
        <f>step3_validation[[#This Row],[Used_Seed]]</f>
        <v>174</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40.779172389044575</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6</v>
      </c>
      <c r="R134">
        <f t="shared" si="54"/>
        <v>0.55555555555555558</v>
      </c>
      <c r="S134">
        <f>survey_responses[[#This Row],[Tôi tin rằng với các quy định quản lý thuế hiện nay, hành vi gian lận hoặc trốn thuế sẽ dễ dàng bị phát hiện và xử lý nghiêm. - HUMAN-ENF1]]</f>
        <v>5</v>
      </c>
      <c r="T134">
        <f t="shared" si="55"/>
        <v>0.44444444444444442</v>
      </c>
      <c r="U134">
        <f>step3_validation[[#This Row],[AI_ENF2]]</f>
        <v>6</v>
      </c>
      <c r="V134">
        <f t="shared" si="56"/>
        <v>0.55555555555555558</v>
      </c>
      <c r="W134">
        <f>survey_responses[[#This Row],[Tôi tin rằng Nhà nước, cơ quan thuế có đủ khả năng và công nghệ để phát hiện, xử lý nghiêm các hành vi trốn thuế. - HUMAN-ENF2]]</f>
        <v>5</v>
      </c>
      <c r="X134">
        <f t="shared" si="57"/>
        <v>0.44444444444444442</v>
      </c>
      <c r="Y134" s="32">
        <f t="shared" si="58"/>
        <v>0.55555555555555558</v>
      </c>
      <c r="Z134" s="32">
        <f t="shared" si="59"/>
        <v>0.44444444444444442</v>
      </c>
      <c r="AA134">
        <f>step3_validation[[#This Row],[AI_FAC1]]</f>
        <v>8</v>
      </c>
      <c r="AB134">
        <f t="shared" si="60"/>
        <v>0.77777777777777779</v>
      </c>
      <c r="AC134">
        <f>survey_responses[[#This Row],[Các thủ tục khai báo thuế VÀ/HOẶC quy trình làm việc với cơ quan thuế đơn giản, tiện lợi, nhanh chóng hơn so với trước đây. - HUMAN-FAC1]]</f>
        <v>5</v>
      </c>
      <c r="AD134">
        <f t="shared" si="61"/>
        <v>0.44444444444444442</v>
      </c>
      <c r="AE134">
        <f>step3_validation[[#This Row],[AI_FAC2]]</f>
        <v>9</v>
      </c>
      <c r="AF134">
        <f t="shared" si="62"/>
        <v>0.88888888888888884</v>
      </c>
      <c r="AG134">
        <f>survey_responses[[#This Row],[So với trước đây, tôi thấy cách tính thuế và các bậc thuế trong phương án mới đơn giản, dễ hiểu và dễ thực hiện hơn. - HUMAN-FAC2]]</f>
        <v>5</v>
      </c>
      <c r="AH134">
        <f t="shared" si="63"/>
        <v>0.44444444444444442</v>
      </c>
      <c r="AI134" s="32">
        <f t="shared" si="64"/>
        <v>0.83333333333333326</v>
      </c>
      <c r="AJ134" s="32">
        <f t="shared" si="65"/>
        <v>0.44444444444444442</v>
      </c>
      <c r="AK134">
        <f>step3_validation[[#This Row],[AI_TRU1]]</f>
        <v>7</v>
      </c>
      <c r="AL134">
        <f t="shared" si="66"/>
        <v>0.66666666666666663</v>
      </c>
      <c r="AM134">
        <f>survey_responses[[#This Row],[Tôi tin rằng Nhà nước, cơ quan thuế sẽ thực thi chính sách mới một cách khách quan, công tâm và đối xử bình đẳng với mọi người nộp thuế.  - HUMAN-TRU1]]</f>
        <v>5</v>
      </c>
      <c r="AN134">
        <f t="shared" si="67"/>
        <v>0.44444444444444442</v>
      </c>
      <c r="AO134">
        <f>step3_validation[[#This Row],[AI_TRU2]]</f>
        <v>8</v>
      </c>
      <c r="AP134">
        <f t="shared" si="68"/>
        <v>0.77777777777777779</v>
      </c>
      <c r="AQ134">
        <f>survey_responses[[#This Row],[Tôi thấy mức thuế tôi phải đóng theo phương án mới là công bằng (người thu nhập như tôi đóng mức này là hợp lý). - HUMAN-TRU2]]</f>
        <v>5</v>
      </c>
      <c r="AR134">
        <f t="shared" si="69"/>
        <v>0.44444444444444442</v>
      </c>
      <c r="AS134">
        <f>step3_validation[[#This Row],[AI_TRU3]]</f>
        <v>7</v>
      </c>
      <c r="AT134">
        <f t="shared" si="70"/>
        <v>0.66666666666666663</v>
      </c>
      <c r="AU134">
        <f>survey_responses[[#This Row],[Tôi tin tưởng số tiền thuế tôi đóng sẽ được Nhà nước sử dụng hiệu quả để cải thiện dịch vụ công (y tế, đường xá...). - HUMAN-TRU3]]</f>
        <v>5</v>
      </c>
      <c r="AV134">
        <f t="shared" si="71"/>
        <v>0.44444444444444442</v>
      </c>
      <c r="AW134">
        <f>step3_validation[[#This Row],[AI_TRU4]]</f>
        <v>8</v>
      </c>
      <c r="AX134">
        <f t="shared" si="72"/>
        <v>0.77777777777777779</v>
      </c>
      <c r="AY134">
        <f>survey_responses[[#This Row],[Tôi thấy Nhà nước đã giải thích rõ ràng, minh bạch về lý do và mục tiêu của việc sửa đổi thuế lần này. - HUMAN-TRU4]]</f>
        <v>5</v>
      </c>
      <c r="AZ134">
        <f t="shared" si="73"/>
        <v>0.44444444444444442</v>
      </c>
      <c r="BA134" s="32">
        <f t="shared" si="74"/>
        <v>0.72222222222222221</v>
      </c>
      <c r="BB134" s="32">
        <f t="shared" si="75"/>
        <v>0.44444444444444442</v>
      </c>
      <c r="BC134" s="7">
        <f t="shared" si="76"/>
        <v>0.70370370370370372</v>
      </c>
      <c r="BD134" s="7">
        <f t="shared" si="77"/>
        <v>0.44444444444444442</v>
      </c>
      <c r="BE134">
        <f>step3_validation[[#This Row],[AI_OUT1]]</f>
        <v>9</v>
      </c>
      <c r="BF134">
        <f t="shared" si="78"/>
        <v>0.88888888888888884</v>
      </c>
      <c r="BG134">
        <f>survey_responses[[#This Row],[Sau khi xem xét các quyền lợi và nghĩa vụ, bạn có ủng hộ và tuân thủ chính sách mới hiện nay? - HUMAN-OUT1]]</f>
        <v>5</v>
      </c>
      <c r="BH134">
        <f t="shared" si="79"/>
        <v>0.44444444444444442</v>
      </c>
      <c r="BI134" s="32">
        <f t="shared" si="80"/>
        <v>4</v>
      </c>
    </row>
    <row r="135" spans="1:61" x14ac:dyDescent="0.45">
      <c r="A135" s="30">
        <f>step3_validation[[#This Row],[Persona_ID]]</f>
        <v>134</v>
      </c>
      <c r="B135" s="31">
        <f>step3_validation[[#This Row],[Used_Seed]]</f>
        <v>175</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20.199505970710106</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7</v>
      </c>
      <c r="R135">
        <f t="shared" si="54"/>
        <v>0.66666666666666663</v>
      </c>
      <c r="S135">
        <f>survey_responses[[#This Row],[Tôi tin rằng với các quy định quản lý thuế hiện nay, hành vi gian lận hoặc trốn thuế sẽ dễ dàng bị phát hiện và xử lý nghiêm. - HUMAN-ENF1]]</f>
        <v>9</v>
      </c>
      <c r="T135">
        <f t="shared" si="55"/>
        <v>0.88888888888888884</v>
      </c>
      <c r="U135">
        <f>step3_validation[[#This Row],[AI_ENF2]]</f>
        <v>7</v>
      </c>
      <c r="V135">
        <f t="shared" si="56"/>
        <v>0.66666666666666663</v>
      </c>
      <c r="W135">
        <f>survey_responses[[#This Row],[Tôi tin rằng Nhà nước, cơ quan thuế có đủ khả năng và công nghệ để phát hiện, xử lý nghiêm các hành vi trốn thuế. - HUMAN-ENF2]]</f>
        <v>9</v>
      </c>
      <c r="X135">
        <f t="shared" si="57"/>
        <v>0.88888888888888884</v>
      </c>
      <c r="Y135" s="32">
        <f t="shared" si="58"/>
        <v>0.66666666666666663</v>
      </c>
      <c r="Z135" s="32">
        <f t="shared" si="59"/>
        <v>0.88888888888888884</v>
      </c>
      <c r="AA135">
        <f>step3_validation[[#This Row],[AI_FAC1]]</f>
        <v>9</v>
      </c>
      <c r="AB135">
        <f t="shared" si="60"/>
        <v>0.88888888888888884</v>
      </c>
      <c r="AC135">
        <f>survey_responses[[#This Row],[Các thủ tục khai báo thuế VÀ/HOẶC quy trình làm việc với cơ quan thuế đơn giản, tiện lợi, nhanh chóng hơn so với trước đây. - HUMAN-FAC1]]</f>
        <v>5</v>
      </c>
      <c r="AD135">
        <f t="shared" si="61"/>
        <v>0.44444444444444442</v>
      </c>
      <c r="AE135">
        <f>step3_validation[[#This Row],[AI_FAC2]]</f>
        <v>8</v>
      </c>
      <c r="AF135">
        <f t="shared" si="62"/>
        <v>0.77777777777777779</v>
      </c>
      <c r="AG135">
        <f>survey_responses[[#This Row],[So với trước đây, tôi thấy cách tính thuế và các bậc thuế trong phương án mới đơn giản, dễ hiểu và dễ thực hiện hơn. - HUMAN-FAC2]]</f>
        <v>9</v>
      </c>
      <c r="AH135">
        <f t="shared" si="63"/>
        <v>0.88888888888888884</v>
      </c>
      <c r="AI135" s="32">
        <f t="shared" si="64"/>
        <v>0.83333333333333326</v>
      </c>
      <c r="AJ135" s="32">
        <f t="shared" si="65"/>
        <v>0.66666666666666663</v>
      </c>
      <c r="AK135">
        <f>step3_validation[[#This Row],[AI_TRU1]]</f>
        <v>7</v>
      </c>
      <c r="AL135">
        <f t="shared" si="66"/>
        <v>0.66666666666666663</v>
      </c>
      <c r="AM135">
        <f>survey_responses[[#This Row],[Tôi tin rằng Nhà nước, cơ quan thuế sẽ thực thi chính sách mới một cách khách quan, công tâm và đối xử bình đẳng với mọi người nộp thuế.  - HUMAN-TRU1]]</f>
        <v>8</v>
      </c>
      <c r="AN135">
        <f t="shared" si="67"/>
        <v>0.77777777777777779</v>
      </c>
      <c r="AO135">
        <f>step3_validation[[#This Row],[AI_TRU2]]</f>
        <v>8</v>
      </c>
      <c r="AP135">
        <f t="shared" si="68"/>
        <v>0.77777777777777779</v>
      </c>
      <c r="AQ135">
        <f>survey_responses[[#This Row],[Tôi thấy mức thuế tôi phải đóng theo phương án mới là công bằng (người thu nhập như tôi đóng mức này là hợp lý). - HUMAN-TRU2]]</f>
        <v>10</v>
      </c>
      <c r="AR135">
        <f t="shared" si="69"/>
        <v>1</v>
      </c>
      <c r="AS135">
        <f>step3_validation[[#This Row],[AI_TRU3]]</f>
        <v>8</v>
      </c>
      <c r="AT135">
        <f t="shared" si="70"/>
        <v>0.77777777777777779</v>
      </c>
      <c r="AU135">
        <f>survey_responses[[#This Row],[Tôi tin tưởng số tiền thuế tôi đóng sẽ được Nhà nước sử dụng hiệu quả để cải thiện dịch vụ công (y tế, đường xá...). - HUMAN-TRU3]]</f>
        <v>5</v>
      </c>
      <c r="AV135">
        <f t="shared" si="71"/>
        <v>0.44444444444444442</v>
      </c>
      <c r="AW135">
        <f>step3_validation[[#This Row],[AI_TRU4]]</f>
        <v>7</v>
      </c>
      <c r="AX135">
        <f t="shared" si="72"/>
        <v>0.66666666666666663</v>
      </c>
      <c r="AY135">
        <f>survey_responses[[#This Row],[Tôi thấy Nhà nước đã giải thích rõ ràng, minh bạch về lý do và mục tiêu của việc sửa đổi thuế lần này. - HUMAN-TRU4]]</f>
        <v>5</v>
      </c>
      <c r="AZ135">
        <f t="shared" si="73"/>
        <v>0.44444444444444442</v>
      </c>
      <c r="BA135" s="32">
        <f t="shared" si="74"/>
        <v>0.72222222222222221</v>
      </c>
      <c r="BB135" s="32">
        <f t="shared" si="75"/>
        <v>0.66666666666666674</v>
      </c>
      <c r="BC135" s="7">
        <f t="shared" si="76"/>
        <v>0.74074074074074081</v>
      </c>
      <c r="BD135" s="7">
        <f t="shared" si="77"/>
        <v>0.74074074074074081</v>
      </c>
      <c r="BE135">
        <f>step3_validation[[#This Row],[AI_OUT1]]</f>
        <v>8</v>
      </c>
      <c r="BF135">
        <f t="shared" si="78"/>
        <v>0.77777777777777779</v>
      </c>
      <c r="BG135">
        <f>survey_responses[[#This Row],[Sau khi xem xét các quyền lợi và nghĩa vụ, bạn có ủng hộ và tuân thủ chính sách mới hiện nay? - HUMAN-OUT1]]</f>
        <v>7</v>
      </c>
      <c r="BH135">
        <f t="shared" si="79"/>
        <v>0.66666666666666663</v>
      </c>
      <c r="BI135" s="32">
        <f t="shared" si="80"/>
        <v>1</v>
      </c>
    </row>
    <row r="136" spans="1:61" x14ac:dyDescent="0.45">
      <c r="A136" s="30">
        <f>step3_validation[[#This Row],[Persona_ID]]</f>
        <v>135</v>
      </c>
      <c r="B136" s="31">
        <f>step3_validation[[#This Row],[Used_Seed]]</f>
        <v>176</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14.325720764134783</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6</v>
      </c>
      <c r="R136">
        <f t="shared" si="54"/>
        <v>0.55555555555555558</v>
      </c>
      <c r="S136">
        <f>survey_responses[[#This Row],[Tôi tin rằng với các quy định quản lý thuế hiện nay, hành vi gian lận hoặc trốn thuế sẽ dễ dàng bị phát hiện và xử lý nghiêm. - HUMAN-ENF1]]</f>
        <v>5</v>
      </c>
      <c r="T136">
        <f t="shared" si="55"/>
        <v>0.44444444444444442</v>
      </c>
      <c r="U136">
        <f>step3_validation[[#This Row],[AI_ENF2]]</f>
        <v>8</v>
      </c>
      <c r="V136">
        <f t="shared" si="56"/>
        <v>0.77777777777777779</v>
      </c>
      <c r="W136">
        <f>survey_responses[[#This Row],[Tôi tin rằng Nhà nước, cơ quan thuế có đủ khả năng và công nghệ để phát hiện, xử lý nghiêm các hành vi trốn thuế. - HUMAN-ENF2]]</f>
        <v>5</v>
      </c>
      <c r="X136">
        <f t="shared" si="57"/>
        <v>0.44444444444444442</v>
      </c>
      <c r="Y136" s="32">
        <f t="shared" si="58"/>
        <v>0.66666666666666674</v>
      </c>
      <c r="Z136" s="32">
        <f t="shared" si="59"/>
        <v>0.44444444444444442</v>
      </c>
      <c r="AA136">
        <f>step3_validation[[#This Row],[AI_FAC1]]</f>
        <v>7</v>
      </c>
      <c r="AB136">
        <f t="shared" si="60"/>
        <v>0.66666666666666663</v>
      </c>
      <c r="AC136">
        <f>survey_responses[[#This Row],[Các thủ tục khai báo thuế VÀ/HOẶC quy trình làm việc với cơ quan thuế đơn giản, tiện lợi, nhanh chóng hơn so với trước đây. - HUMAN-FAC1]]</f>
        <v>5</v>
      </c>
      <c r="AD136">
        <f t="shared" si="61"/>
        <v>0.44444444444444442</v>
      </c>
      <c r="AE136">
        <f>step3_validation[[#This Row],[AI_FAC2]]</f>
        <v>8</v>
      </c>
      <c r="AF136">
        <f t="shared" si="62"/>
        <v>0.77777777777777779</v>
      </c>
      <c r="AG136">
        <f>survey_responses[[#This Row],[So với trước đây, tôi thấy cách tính thuế và các bậc thuế trong phương án mới đơn giản, dễ hiểu và dễ thực hiện hơn. - HUMAN-FAC2]]</f>
        <v>6</v>
      </c>
      <c r="AH136">
        <f t="shared" si="63"/>
        <v>0.55555555555555558</v>
      </c>
      <c r="AI136" s="32">
        <f t="shared" si="64"/>
        <v>0.72222222222222221</v>
      </c>
      <c r="AJ136" s="32">
        <f t="shared" si="65"/>
        <v>0.5</v>
      </c>
      <c r="AK136">
        <f>step3_validation[[#This Row],[AI_TRU1]]</f>
        <v>7</v>
      </c>
      <c r="AL136">
        <f t="shared" si="66"/>
        <v>0.66666666666666663</v>
      </c>
      <c r="AM136">
        <f>survey_responses[[#This Row],[Tôi tin rằng Nhà nước, cơ quan thuế sẽ thực thi chính sách mới một cách khách quan, công tâm và đối xử bình đẳng với mọi người nộp thuế.  - HUMAN-TRU1]]</f>
        <v>6</v>
      </c>
      <c r="AN136">
        <f t="shared" si="67"/>
        <v>0.55555555555555558</v>
      </c>
      <c r="AO136">
        <f>step3_validation[[#This Row],[AI_TRU2]]</f>
        <v>8</v>
      </c>
      <c r="AP136">
        <f t="shared" si="68"/>
        <v>0.77777777777777779</v>
      </c>
      <c r="AQ136">
        <f>survey_responses[[#This Row],[Tôi thấy mức thuế tôi phải đóng theo phương án mới là công bằng (người thu nhập như tôi đóng mức này là hợp lý). - HUMAN-TRU2]]</f>
        <v>6</v>
      </c>
      <c r="AR136">
        <f t="shared" si="69"/>
        <v>0.55555555555555558</v>
      </c>
      <c r="AS136">
        <f>step3_validation[[#This Row],[AI_TRU3]]</f>
        <v>7</v>
      </c>
      <c r="AT136">
        <f t="shared" si="70"/>
        <v>0.66666666666666663</v>
      </c>
      <c r="AU136">
        <f>survey_responses[[#This Row],[Tôi tin tưởng số tiền thuế tôi đóng sẽ được Nhà nước sử dụng hiệu quả để cải thiện dịch vụ công (y tế, đường xá...). - HUMAN-TRU3]]</f>
        <v>6</v>
      </c>
      <c r="AV136">
        <f t="shared" si="71"/>
        <v>0.55555555555555558</v>
      </c>
      <c r="AW136">
        <f>step3_validation[[#This Row],[AI_TRU4]]</f>
        <v>8</v>
      </c>
      <c r="AX136">
        <f t="shared" si="72"/>
        <v>0.77777777777777779</v>
      </c>
      <c r="AY136">
        <f>survey_responses[[#This Row],[Tôi thấy Nhà nước đã giải thích rõ ràng, minh bạch về lý do và mục tiêu của việc sửa đổi thuế lần này. - HUMAN-TRU4]]</f>
        <v>6</v>
      </c>
      <c r="AZ136">
        <f t="shared" si="73"/>
        <v>0.55555555555555558</v>
      </c>
      <c r="BA136" s="32">
        <f t="shared" si="74"/>
        <v>0.72222222222222221</v>
      </c>
      <c r="BB136" s="32">
        <f t="shared" si="75"/>
        <v>0.55555555555555558</v>
      </c>
      <c r="BC136" s="7">
        <f t="shared" si="76"/>
        <v>0.70370370370370372</v>
      </c>
      <c r="BD136" s="7">
        <f t="shared" si="77"/>
        <v>0.5</v>
      </c>
      <c r="BE136">
        <f>step3_validation[[#This Row],[AI_OUT1]]</f>
        <v>9</v>
      </c>
      <c r="BF136">
        <f t="shared" si="78"/>
        <v>0.88888888888888884</v>
      </c>
      <c r="BG136">
        <f>survey_responses[[#This Row],[Sau khi xem xét các quyền lợi và nghĩa vụ, bạn có ủng hộ và tuân thủ chính sách mới hiện nay? - HUMAN-OUT1]]</f>
        <v>6</v>
      </c>
      <c r="BH136">
        <f t="shared" si="79"/>
        <v>0.55555555555555558</v>
      </c>
      <c r="BI136" s="32">
        <f t="shared" si="80"/>
        <v>3</v>
      </c>
    </row>
    <row r="137" spans="1:61" x14ac:dyDescent="0.45">
      <c r="A137" s="30">
        <f>step3_validation[[#This Row],[Persona_ID]]</f>
        <v>136</v>
      </c>
      <c r="B137" s="31">
        <f>step3_validation[[#This Row],[Used_Seed]]</f>
        <v>177</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f t="shared" si="54"/>
        <v>0.55555555555555558</v>
      </c>
      <c r="S137">
        <f>survey_responses[[#This Row],[Tôi tin rằng với các quy định quản lý thuế hiện nay, hành vi gian lận hoặc trốn thuế sẽ dễ dàng bị phát hiện và xử lý nghiêm. - HUMAN-ENF1]]</f>
        <v>8</v>
      </c>
      <c r="T137">
        <f t="shared" si="55"/>
        <v>0.77777777777777779</v>
      </c>
      <c r="U137">
        <f>step3_validation[[#This Row],[AI_ENF2]]</f>
        <v>7</v>
      </c>
      <c r="V137">
        <f t="shared" si="56"/>
        <v>0.66666666666666663</v>
      </c>
      <c r="W137">
        <f>survey_responses[[#This Row],[Tôi tin rằng Nhà nước, cơ quan thuế có đủ khả năng và công nghệ để phát hiện, xử lý nghiêm các hành vi trốn thuế. - HUMAN-ENF2]]</f>
        <v>8</v>
      </c>
      <c r="X137">
        <f t="shared" si="57"/>
        <v>0.77777777777777779</v>
      </c>
      <c r="Y137" s="32">
        <f t="shared" si="58"/>
        <v>0.61111111111111116</v>
      </c>
      <c r="Z137" s="32">
        <f t="shared" si="59"/>
        <v>0.77777777777777779</v>
      </c>
      <c r="AA137">
        <f>step3_validation[[#This Row],[AI_FAC1]]</f>
        <v>9</v>
      </c>
      <c r="AB137">
        <f t="shared" si="60"/>
        <v>0.88888888888888884</v>
      </c>
      <c r="AC137">
        <f>survey_responses[[#This Row],[Các thủ tục khai báo thuế VÀ/HOẶC quy trình làm việc với cơ quan thuế đơn giản, tiện lợi, nhanh chóng hơn so với trước đây. - HUMAN-FAC1]]</f>
        <v>8</v>
      </c>
      <c r="AD137">
        <f t="shared" si="61"/>
        <v>0.77777777777777779</v>
      </c>
      <c r="AE137">
        <f>step3_validation[[#This Row],[AI_FAC2]]</f>
        <v>8</v>
      </c>
      <c r="AF137">
        <f t="shared" si="62"/>
        <v>0.77777777777777779</v>
      </c>
      <c r="AG137">
        <f>survey_responses[[#This Row],[So với trước đây, tôi thấy cách tính thuế và các bậc thuế trong phương án mới đơn giản, dễ hiểu và dễ thực hiện hơn. - HUMAN-FAC2]]</f>
        <v>8</v>
      </c>
      <c r="AH137">
        <f t="shared" si="63"/>
        <v>0.77777777777777779</v>
      </c>
      <c r="AI137" s="32">
        <f t="shared" si="64"/>
        <v>0.83333333333333326</v>
      </c>
      <c r="AJ137" s="32">
        <f t="shared" si="65"/>
        <v>0.77777777777777779</v>
      </c>
      <c r="AK137">
        <f>step3_validation[[#This Row],[AI_TRU1]]</f>
        <v>9</v>
      </c>
      <c r="AL137">
        <f t="shared" si="66"/>
        <v>0.88888888888888884</v>
      </c>
      <c r="AM137">
        <f>survey_responses[[#This Row],[Tôi tin rằng Nhà nước, cơ quan thuế sẽ thực thi chính sách mới một cách khách quan, công tâm và đối xử bình đẳng với mọi người nộp thuế.  - HUMAN-TRU1]]</f>
        <v>10</v>
      </c>
      <c r="AN137">
        <f t="shared" si="67"/>
        <v>1</v>
      </c>
      <c r="AO137">
        <f>step3_validation[[#This Row],[AI_TRU2]]</f>
        <v>8</v>
      </c>
      <c r="AP137">
        <f t="shared" si="68"/>
        <v>0.77777777777777779</v>
      </c>
      <c r="AQ137">
        <f>survey_responses[[#This Row],[Tôi thấy mức thuế tôi phải đóng theo phương án mới là công bằng (người thu nhập như tôi đóng mức này là hợp lý). - HUMAN-TRU2]]</f>
        <v>10</v>
      </c>
      <c r="AR137">
        <f t="shared" si="69"/>
        <v>1</v>
      </c>
      <c r="AS137">
        <f>step3_validation[[#This Row],[AI_TRU3]]</f>
        <v>9</v>
      </c>
      <c r="AT137">
        <f t="shared" si="70"/>
        <v>0.88888888888888884</v>
      </c>
      <c r="AU137">
        <f>survey_responses[[#This Row],[Tôi tin tưởng số tiền thuế tôi đóng sẽ được Nhà nước sử dụng hiệu quả để cải thiện dịch vụ công (y tế, đường xá...). - HUMAN-TRU3]]</f>
        <v>10</v>
      </c>
      <c r="AV137">
        <f t="shared" si="71"/>
        <v>1</v>
      </c>
      <c r="AW137">
        <f>step3_validation[[#This Row],[AI_TRU4]]</f>
        <v>7</v>
      </c>
      <c r="AX137">
        <f t="shared" si="72"/>
        <v>0.66666666666666663</v>
      </c>
      <c r="AY137">
        <f>survey_responses[[#This Row],[Tôi thấy Nhà nước đã giải thích rõ ràng, minh bạch về lý do và mục tiêu của việc sửa đổi thuế lần này. - HUMAN-TRU4]]</f>
        <v>10</v>
      </c>
      <c r="AZ137">
        <f t="shared" si="73"/>
        <v>1</v>
      </c>
      <c r="BA137" s="32">
        <f t="shared" si="74"/>
        <v>0.80555555555555547</v>
      </c>
      <c r="BB137" s="32">
        <f t="shared" si="75"/>
        <v>1</v>
      </c>
      <c r="BC137" s="7">
        <f t="shared" si="76"/>
        <v>0.75</v>
      </c>
      <c r="BD137" s="7">
        <f t="shared" si="77"/>
        <v>0.85185185185185175</v>
      </c>
      <c r="BE137">
        <f>step3_validation[[#This Row],[AI_OUT1]]</f>
        <v>9</v>
      </c>
      <c r="BF137">
        <f t="shared" si="78"/>
        <v>0.88888888888888884</v>
      </c>
      <c r="BG137">
        <f>survey_responses[[#This Row],[Sau khi xem xét các quyền lợi và nghĩa vụ, bạn có ủng hộ và tuân thủ chính sách mới hiện nay? - HUMAN-OUT1]]</f>
        <v>10</v>
      </c>
      <c r="BH137">
        <f t="shared" si="79"/>
        <v>1</v>
      </c>
      <c r="BI137" s="32">
        <f t="shared" si="80"/>
        <v>1</v>
      </c>
    </row>
    <row r="138" spans="1:61" x14ac:dyDescent="0.45">
      <c r="A138" s="30">
        <f>step3_validation[[#This Row],[Persona_ID]]</f>
        <v>137</v>
      </c>
      <c r="B138" s="31">
        <f>step3_validation[[#This Row],[Used_Seed]]</f>
        <v>178</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216.32615820100276</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f t="shared" si="54"/>
        <v>0.66666666666666663</v>
      </c>
      <c r="S138">
        <f>survey_responses[[#This Row],[Tôi tin rằng với các quy định quản lý thuế hiện nay, hành vi gian lận hoặc trốn thuế sẽ dễ dàng bị phát hiện và xử lý nghiêm. - HUMAN-ENF1]]</f>
        <v>8</v>
      </c>
      <c r="T138">
        <f t="shared" si="55"/>
        <v>0.77777777777777779</v>
      </c>
      <c r="U138">
        <f>step3_validation[[#This Row],[AI_ENF2]]</f>
        <v>8</v>
      </c>
      <c r="V138">
        <f t="shared" si="56"/>
        <v>0.77777777777777779</v>
      </c>
      <c r="W138">
        <f>survey_responses[[#This Row],[Tôi tin rằng Nhà nước, cơ quan thuế có đủ khả năng và công nghệ để phát hiện, xử lý nghiêm các hành vi trốn thuế. - HUMAN-ENF2]]</f>
        <v>8</v>
      </c>
      <c r="X138">
        <f t="shared" si="57"/>
        <v>0.77777777777777779</v>
      </c>
      <c r="Y138" s="32">
        <f t="shared" si="58"/>
        <v>0.72222222222222221</v>
      </c>
      <c r="Z138" s="32">
        <f t="shared" si="59"/>
        <v>0.77777777777777779</v>
      </c>
      <c r="AA138">
        <f>step3_validation[[#This Row],[AI_FAC1]]</f>
        <v>6</v>
      </c>
      <c r="AB138">
        <f t="shared" si="60"/>
        <v>0.55555555555555558</v>
      </c>
      <c r="AC138">
        <f>survey_responses[[#This Row],[Các thủ tục khai báo thuế VÀ/HOẶC quy trình làm việc với cơ quan thuế đơn giản, tiện lợi, nhanh chóng hơn so với trước đây. - HUMAN-FAC1]]</f>
        <v>8</v>
      </c>
      <c r="AD138">
        <f t="shared" si="61"/>
        <v>0.77777777777777779</v>
      </c>
      <c r="AE138">
        <f>step3_validation[[#This Row],[AI_FAC2]]</f>
        <v>9</v>
      </c>
      <c r="AF138">
        <f t="shared" si="62"/>
        <v>0.88888888888888884</v>
      </c>
      <c r="AG138">
        <f>survey_responses[[#This Row],[So với trước đây, tôi thấy cách tính thuế và các bậc thuế trong phương án mới đơn giản, dễ hiểu và dễ thực hiện hơn. - HUMAN-FAC2]]</f>
        <v>8</v>
      </c>
      <c r="AH138">
        <f t="shared" si="63"/>
        <v>0.77777777777777779</v>
      </c>
      <c r="AI138" s="32">
        <f t="shared" si="64"/>
        <v>0.72222222222222221</v>
      </c>
      <c r="AJ138" s="32">
        <f t="shared" si="65"/>
        <v>0.77777777777777779</v>
      </c>
      <c r="AK138">
        <f>step3_validation[[#This Row],[AI_TRU1]]</f>
        <v>7</v>
      </c>
      <c r="AL138">
        <f t="shared" si="66"/>
        <v>0.66666666666666663</v>
      </c>
      <c r="AM138">
        <f>survey_responses[[#This Row],[Tôi tin rằng Nhà nước, cơ quan thuế sẽ thực thi chính sách mới một cách khách quan, công tâm và đối xử bình đẳng với mọi người nộp thuế.  - HUMAN-TRU1]]</f>
        <v>8</v>
      </c>
      <c r="AN138">
        <f t="shared" si="67"/>
        <v>0.77777777777777779</v>
      </c>
      <c r="AO138">
        <f>step3_validation[[#This Row],[AI_TRU2]]</f>
        <v>8</v>
      </c>
      <c r="AP138">
        <f t="shared" si="68"/>
        <v>0.77777777777777779</v>
      </c>
      <c r="AQ138">
        <f>survey_responses[[#This Row],[Tôi thấy mức thuế tôi phải đóng theo phương án mới là công bằng (người thu nhập như tôi đóng mức này là hợp lý). - HUMAN-TRU2]]</f>
        <v>8</v>
      </c>
      <c r="AR138">
        <f t="shared" si="69"/>
        <v>0.77777777777777779</v>
      </c>
      <c r="AS138">
        <f>step3_validation[[#This Row],[AI_TRU3]]</f>
        <v>6</v>
      </c>
      <c r="AT138">
        <f t="shared" si="70"/>
        <v>0.55555555555555558</v>
      </c>
      <c r="AU138">
        <f>survey_responses[[#This Row],[Tôi tin tưởng số tiền thuế tôi đóng sẽ được Nhà nước sử dụng hiệu quả để cải thiện dịch vụ công (y tế, đường xá...). - HUMAN-TRU3]]</f>
        <v>5</v>
      </c>
      <c r="AV138">
        <f t="shared" si="71"/>
        <v>0.44444444444444442</v>
      </c>
      <c r="AW138">
        <f>step3_validation[[#This Row],[AI_TRU4]]</f>
        <v>8</v>
      </c>
      <c r="AX138">
        <f t="shared" si="72"/>
        <v>0.77777777777777779</v>
      </c>
      <c r="AY138">
        <f>survey_responses[[#This Row],[Tôi thấy Nhà nước đã giải thích rõ ràng, minh bạch về lý do và mục tiêu của việc sửa đổi thuế lần này. - HUMAN-TRU4]]</f>
        <v>7</v>
      </c>
      <c r="AZ138">
        <f t="shared" si="73"/>
        <v>0.66666666666666663</v>
      </c>
      <c r="BA138" s="32">
        <f t="shared" si="74"/>
        <v>0.69444444444444442</v>
      </c>
      <c r="BB138" s="32">
        <f t="shared" si="75"/>
        <v>0.66666666666666663</v>
      </c>
      <c r="BC138" s="7">
        <f t="shared" si="76"/>
        <v>0.71296296296296291</v>
      </c>
      <c r="BD138" s="7">
        <f t="shared" si="77"/>
        <v>0.74074074074074081</v>
      </c>
      <c r="BE138">
        <f>step3_validation[[#This Row],[AI_OUT1]]</f>
        <v>9</v>
      </c>
      <c r="BF138">
        <f t="shared" si="78"/>
        <v>0.88888888888888884</v>
      </c>
      <c r="BG138">
        <f>survey_responses[[#This Row],[Sau khi xem xét các quyền lợi và nghĩa vụ, bạn có ủng hộ và tuân thủ chính sách mới hiện nay? - HUMAN-OUT1]]</f>
        <v>8</v>
      </c>
      <c r="BH138">
        <f t="shared" si="79"/>
        <v>0.77777777777777779</v>
      </c>
      <c r="BI138" s="32">
        <f t="shared" si="80"/>
        <v>1</v>
      </c>
    </row>
    <row r="139" spans="1:61" x14ac:dyDescent="0.45">
      <c r="A139" s="30">
        <f>step3_validation[[#This Row],[Persona_ID]]</f>
        <v>138</v>
      </c>
      <c r="B139" s="31">
        <f>step3_validation[[#This Row],[Used_Seed]]</f>
        <v>179</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15.140784211430701</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7</v>
      </c>
      <c r="R139">
        <f t="shared" si="54"/>
        <v>0.66666666666666663</v>
      </c>
      <c r="S139">
        <f>survey_responses[[#This Row],[Tôi tin rằng với các quy định quản lý thuế hiện nay, hành vi gian lận hoặc trốn thuế sẽ dễ dàng bị phát hiện và xử lý nghiêm. - HUMAN-ENF1]]</f>
        <v>8</v>
      </c>
      <c r="T139">
        <f t="shared" si="55"/>
        <v>0.77777777777777779</v>
      </c>
      <c r="U139">
        <f>step3_validation[[#This Row],[AI_ENF2]]</f>
        <v>6</v>
      </c>
      <c r="V139">
        <f t="shared" si="56"/>
        <v>0.55555555555555558</v>
      </c>
      <c r="W139">
        <f>survey_responses[[#This Row],[Tôi tin rằng Nhà nước, cơ quan thuế có đủ khả năng và công nghệ để phát hiện, xử lý nghiêm các hành vi trốn thuế. - HUMAN-ENF2]]</f>
        <v>9</v>
      </c>
      <c r="X139">
        <f t="shared" si="57"/>
        <v>0.88888888888888884</v>
      </c>
      <c r="Y139" s="32">
        <f t="shared" si="58"/>
        <v>0.61111111111111116</v>
      </c>
      <c r="Z139" s="32">
        <f t="shared" si="59"/>
        <v>0.83333333333333326</v>
      </c>
      <c r="AA139">
        <f>step3_validation[[#This Row],[AI_FAC1]]</f>
        <v>9</v>
      </c>
      <c r="AB139">
        <f t="shared" si="60"/>
        <v>0.88888888888888884</v>
      </c>
      <c r="AC139">
        <f>survey_responses[[#This Row],[Các thủ tục khai báo thuế VÀ/HOẶC quy trình làm việc với cơ quan thuế đơn giản, tiện lợi, nhanh chóng hơn so với trước đây. - HUMAN-FAC1]]</f>
        <v>7</v>
      </c>
      <c r="AD139">
        <f t="shared" si="61"/>
        <v>0.66666666666666663</v>
      </c>
      <c r="AE139">
        <f>step3_validation[[#This Row],[AI_FAC2]]</f>
        <v>9</v>
      </c>
      <c r="AF139">
        <f t="shared" si="62"/>
        <v>0.88888888888888884</v>
      </c>
      <c r="AG139">
        <f>survey_responses[[#This Row],[So với trước đây, tôi thấy cách tính thuế và các bậc thuế trong phương án mới đơn giản, dễ hiểu và dễ thực hiện hơn. - HUMAN-FAC2]]</f>
        <v>7</v>
      </c>
      <c r="AH139">
        <f t="shared" si="63"/>
        <v>0.66666666666666663</v>
      </c>
      <c r="AI139" s="32">
        <f t="shared" si="64"/>
        <v>0.88888888888888884</v>
      </c>
      <c r="AJ139" s="32">
        <f t="shared" si="65"/>
        <v>0.66666666666666663</v>
      </c>
      <c r="AK139">
        <f>step3_validation[[#This Row],[AI_TRU1]]</f>
        <v>6</v>
      </c>
      <c r="AL139">
        <f t="shared" si="66"/>
        <v>0.55555555555555558</v>
      </c>
      <c r="AM139">
        <f>survey_responses[[#This Row],[Tôi tin rằng Nhà nước, cơ quan thuế sẽ thực thi chính sách mới một cách khách quan, công tâm và đối xử bình đẳng với mọi người nộp thuế.  - HUMAN-TRU1]]</f>
        <v>6</v>
      </c>
      <c r="AN139">
        <f t="shared" si="67"/>
        <v>0.55555555555555558</v>
      </c>
      <c r="AO139">
        <f>step3_validation[[#This Row],[AI_TRU2]]</f>
        <v>7</v>
      </c>
      <c r="AP139">
        <f t="shared" si="68"/>
        <v>0.66666666666666663</v>
      </c>
      <c r="AQ139">
        <f>survey_responses[[#This Row],[Tôi thấy mức thuế tôi phải đóng theo phương án mới là công bằng (người thu nhập như tôi đóng mức này là hợp lý). - HUMAN-TRU2]]</f>
        <v>6</v>
      </c>
      <c r="AR139">
        <f t="shared" si="69"/>
        <v>0.55555555555555558</v>
      </c>
      <c r="AS139">
        <f>step3_validation[[#This Row],[AI_TRU3]]</f>
        <v>6</v>
      </c>
      <c r="AT139">
        <f t="shared" si="70"/>
        <v>0.55555555555555558</v>
      </c>
      <c r="AU139">
        <f>survey_responses[[#This Row],[Tôi tin tưởng số tiền thuế tôi đóng sẽ được Nhà nước sử dụng hiệu quả để cải thiện dịch vụ công (y tế, đường xá...). - HUMAN-TRU3]]</f>
        <v>2</v>
      </c>
      <c r="AV139">
        <f t="shared" si="71"/>
        <v>0.1111111111111111</v>
      </c>
      <c r="AW139">
        <f>step3_validation[[#This Row],[AI_TRU4]]</f>
        <v>7</v>
      </c>
      <c r="AX139">
        <f t="shared" si="72"/>
        <v>0.66666666666666663</v>
      </c>
      <c r="AY139">
        <f>survey_responses[[#This Row],[Tôi thấy Nhà nước đã giải thích rõ ràng, minh bạch về lý do và mục tiêu của việc sửa đổi thuế lần này. - HUMAN-TRU4]]</f>
        <v>5</v>
      </c>
      <c r="AZ139">
        <f t="shared" si="73"/>
        <v>0.44444444444444442</v>
      </c>
      <c r="BA139" s="32">
        <f t="shared" si="74"/>
        <v>0.61111111111111116</v>
      </c>
      <c r="BB139" s="32">
        <f t="shared" si="75"/>
        <v>0.41666666666666669</v>
      </c>
      <c r="BC139" s="7">
        <f t="shared" si="76"/>
        <v>0.70370370370370372</v>
      </c>
      <c r="BD139" s="7">
        <f t="shared" si="77"/>
        <v>0.63888888888888895</v>
      </c>
      <c r="BE139">
        <f>step3_validation[[#This Row],[AI_OUT1]]</f>
        <v>8</v>
      </c>
      <c r="BF139">
        <f t="shared" si="78"/>
        <v>0.77777777777777779</v>
      </c>
      <c r="BG139">
        <f>survey_responses[[#This Row],[Sau khi xem xét các quyền lợi và nghĩa vụ, bạn có ủng hộ và tuân thủ chính sách mới hiện nay? - HUMAN-OUT1]]</f>
        <v>6</v>
      </c>
      <c r="BH139">
        <f t="shared" si="79"/>
        <v>0.55555555555555558</v>
      </c>
      <c r="BI139" s="32">
        <f t="shared" si="80"/>
        <v>2</v>
      </c>
    </row>
    <row r="140" spans="1:61" x14ac:dyDescent="0.45">
      <c r="A140" s="30">
        <f>step3_validation[[#This Row],[Persona_ID]]</f>
        <v>139</v>
      </c>
      <c r="B140" s="31">
        <f>step3_validation[[#This Row],[Used_Seed]]</f>
        <v>180</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146.83240846076191</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6</v>
      </c>
      <c r="R140">
        <f t="shared" si="54"/>
        <v>0.55555555555555558</v>
      </c>
      <c r="S140">
        <f>survey_responses[[#This Row],[Tôi tin rằng với các quy định quản lý thuế hiện nay, hành vi gian lận hoặc trốn thuế sẽ dễ dàng bị phát hiện và xử lý nghiêm. - HUMAN-ENF1]]</f>
        <v>5</v>
      </c>
      <c r="T140">
        <f t="shared" si="55"/>
        <v>0.44444444444444442</v>
      </c>
      <c r="U140">
        <f>step3_validation[[#This Row],[AI_ENF2]]</f>
        <v>6</v>
      </c>
      <c r="V140">
        <f t="shared" si="56"/>
        <v>0.55555555555555558</v>
      </c>
      <c r="W140">
        <f>survey_responses[[#This Row],[Tôi tin rằng Nhà nước, cơ quan thuế có đủ khả năng và công nghệ để phát hiện, xử lý nghiêm các hành vi trốn thuế. - HUMAN-ENF2]]</f>
        <v>4</v>
      </c>
      <c r="X140">
        <f t="shared" si="57"/>
        <v>0.33333333333333331</v>
      </c>
      <c r="Y140" s="32">
        <f t="shared" si="58"/>
        <v>0.55555555555555558</v>
      </c>
      <c r="Z140" s="32">
        <f t="shared" si="59"/>
        <v>0.38888888888888884</v>
      </c>
      <c r="AA140">
        <f>step3_validation[[#This Row],[AI_FAC1]]</f>
        <v>7</v>
      </c>
      <c r="AB140">
        <f t="shared" si="60"/>
        <v>0.66666666666666663</v>
      </c>
      <c r="AC140">
        <f>survey_responses[[#This Row],[Các thủ tục khai báo thuế VÀ/HOẶC quy trình làm việc với cơ quan thuế đơn giản, tiện lợi, nhanh chóng hơn so với trước đây. - HUMAN-FAC1]]</f>
        <v>7</v>
      </c>
      <c r="AD140">
        <f t="shared" si="61"/>
        <v>0.66666666666666663</v>
      </c>
      <c r="AE140">
        <f>step3_validation[[#This Row],[AI_FAC2]]</f>
        <v>9</v>
      </c>
      <c r="AF140">
        <f t="shared" si="62"/>
        <v>0.88888888888888884</v>
      </c>
      <c r="AG140">
        <f>survey_responses[[#This Row],[So với trước đây, tôi thấy cách tính thuế và các bậc thuế trong phương án mới đơn giản, dễ hiểu và dễ thực hiện hơn. - HUMAN-FAC2]]</f>
        <v>6</v>
      </c>
      <c r="AH140">
        <f t="shared" si="63"/>
        <v>0.55555555555555558</v>
      </c>
      <c r="AI140" s="32">
        <f t="shared" si="64"/>
        <v>0.77777777777777768</v>
      </c>
      <c r="AJ140" s="32">
        <f t="shared" si="65"/>
        <v>0.61111111111111116</v>
      </c>
      <c r="AK140">
        <f>step3_validation[[#This Row],[AI_TRU1]]</f>
        <v>6</v>
      </c>
      <c r="AL140">
        <f t="shared" si="66"/>
        <v>0.55555555555555558</v>
      </c>
      <c r="AM140">
        <f>survey_responses[[#This Row],[Tôi tin rằng Nhà nước, cơ quan thuế sẽ thực thi chính sách mới một cách khách quan, công tâm và đối xử bình đẳng với mọi người nộp thuế.  - HUMAN-TRU1]]</f>
        <v>3</v>
      </c>
      <c r="AN140">
        <f t="shared" si="67"/>
        <v>0.22222222222222221</v>
      </c>
      <c r="AO140">
        <f>step3_validation[[#This Row],[AI_TRU2]]</f>
        <v>8</v>
      </c>
      <c r="AP140">
        <f t="shared" si="68"/>
        <v>0.77777777777777779</v>
      </c>
      <c r="AQ140">
        <f>survey_responses[[#This Row],[Tôi thấy mức thuế tôi phải đóng theo phương án mới là công bằng (người thu nhập như tôi đóng mức này là hợp lý). - HUMAN-TRU2]]</f>
        <v>4</v>
      </c>
      <c r="AR140">
        <f t="shared" si="69"/>
        <v>0.33333333333333331</v>
      </c>
      <c r="AS140">
        <f>step3_validation[[#This Row],[AI_TRU3]]</f>
        <v>7</v>
      </c>
      <c r="AT140">
        <f t="shared" si="70"/>
        <v>0.66666666666666663</v>
      </c>
      <c r="AU140">
        <f>survey_responses[[#This Row],[Tôi tin tưởng số tiền thuế tôi đóng sẽ được Nhà nước sử dụng hiệu quả để cải thiện dịch vụ công (y tế, đường xá...). - HUMAN-TRU3]]</f>
        <v>4</v>
      </c>
      <c r="AV140">
        <f t="shared" si="71"/>
        <v>0.33333333333333331</v>
      </c>
      <c r="AW140">
        <f>step3_validation[[#This Row],[AI_TRU4]]</f>
        <v>8</v>
      </c>
      <c r="AX140">
        <f t="shared" si="72"/>
        <v>0.77777777777777779</v>
      </c>
      <c r="AY140">
        <f>survey_responses[[#This Row],[Tôi thấy Nhà nước đã giải thích rõ ràng, minh bạch về lý do và mục tiêu của việc sửa đổi thuế lần này. - HUMAN-TRU4]]</f>
        <v>5</v>
      </c>
      <c r="AZ140">
        <f t="shared" si="73"/>
        <v>0.44444444444444442</v>
      </c>
      <c r="BA140" s="32">
        <f t="shared" si="74"/>
        <v>0.69444444444444442</v>
      </c>
      <c r="BB140" s="32">
        <f t="shared" si="75"/>
        <v>0.33333333333333331</v>
      </c>
      <c r="BC140" s="7">
        <f t="shared" si="76"/>
        <v>0.67592592592592593</v>
      </c>
      <c r="BD140" s="7">
        <f t="shared" si="77"/>
        <v>0.44444444444444442</v>
      </c>
      <c r="BE140">
        <f>step3_validation[[#This Row],[AI_OUT1]]</f>
        <v>9</v>
      </c>
      <c r="BF140">
        <f t="shared" si="78"/>
        <v>0.88888888888888884</v>
      </c>
      <c r="BG140">
        <f>survey_responses[[#This Row],[Sau khi xem xét các quyền lợi và nghĩa vụ, bạn có ủng hộ và tuân thủ chính sách mới hiện nay? - HUMAN-OUT1]]</f>
        <v>5</v>
      </c>
      <c r="BH140">
        <f t="shared" si="79"/>
        <v>0.44444444444444442</v>
      </c>
      <c r="BI140" s="32">
        <f t="shared" si="80"/>
        <v>4</v>
      </c>
    </row>
    <row r="141" spans="1:61" x14ac:dyDescent="0.45">
      <c r="A141" s="30">
        <f>step3_validation[[#This Row],[Persona_ID]]</f>
        <v>140</v>
      </c>
      <c r="B141" s="31">
        <f>step3_validation[[#This Row],[Used_Seed]]</f>
        <v>181</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27.096377940677293</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7</v>
      </c>
      <c r="R141">
        <f t="shared" si="54"/>
        <v>0.66666666666666663</v>
      </c>
      <c r="S141">
        <f>survey_responses[[#This Row],[Tôi tin rằng với các quy định quản lý thuế hiện nay, hành vi gian lận hoặc trốn thuế sẽ dễ dàng bị phát hiện và xử lý nghiêm. - HUMAN-ENF1]]</f>
        <v>10</v>
      </c>
      <c r="T141">
        <f t="shared" si="55"/>
        <v>1</v>
      </c>
      <c r="U141">
        <f>step3_validation[[#This Row],[AI_ENF2]]</f>
        <v>6</v>
      </c>
      <c r="V141">
        <f t="shared" si="56"/>
        <v>0.55555555555555558</v>
      </c>
      <c r="W141">
        <f>survey_responses[[#This Row],[Tôi tin rằng Nhà nước, cơ quan thuế có đủ khả năng và công nghệ để phát hiện, xử lý nghiêm các hành vi trốn thuế. - HUMAN-ENF2]]</f>
        <v>9</v>
      </c>
      <c r="X141">
        <f t="shared" si="57"/>
        <v>0.88888888888888884</v>
      </c>
      <c r="Y141" s="32">
        <f t="shared" si="58"/>
        <v>0.61111111111111116</v>
      </c>
      <c r="Z141" s="32">
        <f t="shared" si="59"/>
        <v>0.94444444444444442</v>
      </c>
      <c r="AA141">
        <f>step3_validation[[#This Row],[AI_FAC1]]</f>
        <v>7</v>
      </c>
      <c r="AB141">
        <f t="shared" si="60"/>
        <v>0.66666666666666663</v>
      </c>
      <c r="AC141">
        <f>survey_responses[[#This Row],[Các thủ tục khai báo thuế VÀ/HOẶC quy trình làm việc với cơ quan thuế đơn giản, tiện lợi, nhanh chóng hơn so với trước đây. - HUMAN-FAC1]]</f>
        <v>9</v>
      </c>
      <c r="AD141">
        <f t="shared" si="61"/>
        <v>0.88888888888888884</v>
      </c>
      <c r="AE141">
        <f>step3_validation[[#This Row],[AI_FAC2]]</f>
        <v>9</v>
      </c>
      <c r="AF141">
        <f t="shared" si="62"/>
        <v>0.88888888888888884</v>
      </c>
      <c r="AG141">
        <f>survey_responses[[#This Row],[So với trước đây, tôi thấy cách tính thuế và các bậc thuế trong phương án mới đơn giản, dễ hiểu và dễ thực hiện hơn. - HUMAN-FAC2]]</f>
        <v>9</v>
      </c>
      <c r="AH141">
        <f t="shared" si="63"/>
        <v>0.88888888888888884</v>
      </c>
      <c r="AI141" s="32">
        <f t="shared" si="64"/>
        <v>0.77777777777777768</v>
      </c>
      <c r="AJ141" s="32">
        <f t="shared" si="65"/>
        <v>0.88888888888888884</v>
      </c>
      <c r="AK141">
        <f>step3_validation[[#This Row],[AI_TRU1]]</f>
        <v>8</v>
      </c>
      <c r="AL141">
        <f t="shared" si="66"/>
        <v>0.77777777777777779</v>
      </c>
      <c r="AM141">
        <f>survey_responses[[#This Row],[Tôi tin rằng Nhà nước, cơ quan thuế sẽ thực thi chính sách mới một cách khách quan, công tâm và đối xử bình đẳng với mọi người nộp thuế.  - HUMAN-TRU1]]</f>
        <v>8</v>
      </c>
      <c r="AN141">
        <f t="shared" si="67"/>
        <v>0.77777777777777779</v>
      </c>
      <c r="AO141">
        <f>step3_validation[[#This Row],[AI_TRU2]]</f>
        <v>9</v>
      </c>
      <c r="AP141">
        <f t="shared" si="68"/>
        <v>0.88888888888888884</v>
      </c>
      <c r="AQ141">
        <f>survey_responses[[#This Row],[Tôi thấy mức thuế tôi phải đóng theo phương án mới là công bằng (người thu nhập như tôi đóng mức này là hợp lý). - HUMAN-TRU2]]</f>
        <v>8</v>
      </c>
      <c r="AR141">
        <f t="shared" si="69"/>
        <v>0.77777777777777779</v>
      </c>
      <c r="AS141">
        <f>step3_validation[[#This Row],[AI_TRU3]]</f>
        <v>8</v>
      </c>
      <c r="AT141">
        <f t="shared" si="70"/>
        <v>0.77777777777777779</v>
      </c>
      <c r="AU141">
        <f>survey_responses[[#This Row],[Tôi tin tưởng số tiền thuế tôi đóng sẽ được Nhà nước sử dụng hiệu quả để cải thiện dịch vụ công (y tế, đường xá...). - HUMAN-TRU3]]</f>
        <v>8</v>
      </c>
      <c r="AV141">
        <f t="shared" si="71"/>
        <v>0.77777777777777779</v>
      </c>
      <c r="AW141">
        <f>step3_validation[[#This Row],[AI_TRU4]]</f>
        <v>7</v>
      </c>
      <c r="AX141">
        <f t="shared" si="72"/>
        <v>0.66666666666666663</v>
      </c>
      <c r="AY141">
        <f>survey_responses[[#This Row],[Tôi thấy Nhà nước đã giải thích rõ ràng, minh bạch về lý do và mục tiêu của việc sửa đổi thuế lần này. - HUMAN-TRU4]]</f>
        <v>8</v>
      </c>
      <c r="AZ141">
        <f t="shared" si="73"/>
        <v>0.77777777777777779</v>
      </c>
      <c r="BA141" s="32">
        <f t="shared" si="74"/>
        <v>0.77777777777777768</v>
      </c>
      <c r="BB141" s="32">
        <f t="shared" si="75"/>
        <v>0.77777777777777779</v>
      </c>
      <c r="BC141" s="7">
        <f t="shared" si="76"/>
        <v>0.72222222222222221</v>
      </c>
      <c r="BD141" s="7">
        <f t="shared" si="77"/>
        <v>0.87037037037037035</v>
      </c>
      <c r="BE141">
        <f>step3_validation[[#This Row],[AI_OUT1]]</f>
        <v>9</v>
      </c>
      <c r="BF141">
        <f t="shared" si="78"/>
        <v>0.88888888888888884</v>
      </c>
      <c r="BG141">
        <f>survey_responses[[#This Row],[Sau khi xem xét các quyền lợi và nghĩa vụ, bạn có ủng hộ và tuân thủ chính sách mới hiện nay? - HUMAN-OUT1]]</f>
        <v>10</v>
      </c>
      <c r="BH141">
        <f t="shared" si="79"/>
        <v>1</v>
      </c>
      <c r="BI141" s="32">
        <f t="shared" si="80"/>
        <v>1</v>
      </c>
    </row>
    <row r="142" spans="1:61" x14ac:dyDescent="0.45">
      <c r="A142" s="30">
        <f>step3_validation[[#This Row],[Persona_ID]]</f>
        <v>141</v>
      </c>
      <c r="B142" s="31">
        <f>step3_validation[[#This Row],[Used_Seed]]</f>
        <v>182</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28.971869558930631</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9</v>
      </c>
      <c r="R142">
        <f t="shared" si="54"/>
        <v>0.88888888888888884</v>
      </c>
      <c r="S142">
        <f>survey_responses[[#This Row],[Tôi tin rằng với các quy định quản lý thuế hiện nay, hành vi gian lận hoặc trốn thuế sẽ dễ dàng bị phát hiện và xử lý nghiêm. - HUMAN-ENF1]]</f>
        <v>8</v>
      </c>
      <c r="T142">
        <f t="shared" si="55"/>
        <v>0.77777777777777779</v>
      </c>
      <c r="U142">
        <f>step3_validation[[#This Row],[AI_ENF2]]</f>
        <v>8</v>
      </c>
      <c r="V142">
        <f t="shared" si="56"/>
        <v>0.77777777777777779</v>
      </c>
      <c r="W142">
        <f>survey_responses[[#This Row],[Tôi tin rằng Nhà nước, cơ quan thuế có đủ khả năng và công nghệ để phát hiện, xử lý nghiêm các hành vi trốn thuế. - HUMAN-ENF2]]</f>
        <v>7</v>
      </c>
      <c r="X142">
        <f t="shared" si="57"/>
        <v>0.66666666666666663</v>
      </c>
      <c r="Y142" s="32">
        <f t="shared" si="58"/>
        <v>0.83333333333333326</v>
      </c>
      <c r="Z142" s="32">
        <f t="shared" si="59"/>
        <v>0.72222222222222221</v>
      </c>
      <c r="AA142">
        <f>step3_validation[[#This Row],[AI_FAC1]]</f>
        <v>9</v>
      </c>
      <c r="AB142">
        <f t="shared" si="60"/>
        <v>0.88888888888888884</v>
      </c>
      <c r="AC142">
        <f>survey_responses[[#This Row],[Các thủ tục khai báo thuế VÀ/HOẶC quy trình làm việc với cơ quan thuế đơn giản, tiện lợi, nhanh chóng hơn so với trước đây. - HUMAN-FAC1]]</f>
        <v>6</v>
      </c>
      <c r="AD142">
        <f t="shared" si="61"/>
        <v>0.55555555555555558</v>
      </c>
      <c r="AE142">
        <f>step3_validation[[#This Row],[AI_FAC2]]</f>
        <v>8</v>
      </c>
      <c r="AF142">
        <f t="shared" si="62"/>
        <v>0.77777777777777779</v>
      </c>
      <c r="AG142">
        <f>survey_responses[[#This Row],[So với trước đây, tôi thấy cách tính thuế và các bậc thuế trong phương án mới đơn giản, dễ hiểu và dễ thực hiện hơn. - HUMAN-FAC2]]</f>
        <v>6</v>
      </c>
      <c r="AH142">
        <f t="shared" si="63"/>
        <v>0.55555555555555558</v>
      </c>
      <c r="AI142" s="32">
        <f t="shared" si="64"/>
        <v>0.83333333333333326</v>
      </c>
      <c r="AJ142" s="32">
        <f t="shared" si="65"/>
        <v>0.55555555555555558</v>
      </c>
      <c r="AK142">
        <f>step3_validation[[#This Row],[AI_TRU1]]</f>
        <v>7</v>
      </c>
      <c r="AL142">
        <f t="shared" si="66"/>
        <v>0.66666666666666663</v>
      </c>
      <c r="AM142">
        <f>survey_responses[[#This Row],[Tôi tin rằng Nhà nước, cơ quan thuế sẽ thực thi chính sách mới một cách khách quan, công tâm và đối xử bình đẳng với mọi người nộp thuế.  - HUMAN-TRU1]]</f>
        <v>5</v>
      </c>
      <c r="AN142">
        <f t="shared" si="67"/>
        <v>0.44444444444444442</v>
      </c>
      <c r="AO142">
        <f>step3_validation[[#This Row],[AI_TRU2]]</f>
        <v>9</v>
      </c>
      <c r="AP142">
        <f t="shared" si="68"/>
        <v>0.88888888888888884</v>
      </c>
      <c r="AQ142">
        <f>survey_responses[[#This Row],[Tôi thấy mức thuế tôi phải đóng theo phương án mới là công bằng (người thu nhập như tôi đóng mức này là hợp lý). - HUMAN-TRU2]]</f>
        <v>5</v>
      </c>
      <c r="AR142">
        <f t="shared" si="69"/>
        <v>0.44444444444444442</v>
      </c>
      <c r="AS142">
        <f>step3_validation[[#This Row],[AI_TRU3]]</f>
        <v>6</v>
      </c>
      <c r="AT142">
        <f t="shared" si="70"/>
        <v>0.55555555555555558</v>
      </c>
      <c r="AU142">
        <f>survey_responses[[#This Row],[Tôi tin tưởng số tiền thuế tôi đóng sẽ được Nhà nước sử dụng hiệu quả để cải thiện dịch vụ công (y tế, đường xá...). - HUMAN-TRU3]]</f>
        <v>3</v>
      </c>
      <c r="AV142">
        <f t="shared" si="71"/>
        <v>0.22222222222222221</v>
      </c>
      <c r="AW142">
        <f>step3_validation[[#This Row],[AI_TRU4]]</f>
        <v>7</v>
      </c>
      <c r="AX142">
        <f t="shared" si="72"/>
        <v>0.66666666666666663</v>
      </c>
      <c r="AY142">
        <f>survey_responses[[#This Row],[Tôi thấy Nhà nước đã giải thích rõ ràng, minh bạch về lý do và mục tiêu của việc sửa đổi thuế lần này. - HUMAN-TRU4]]</f>
        <v>3</v>
      </c>
      <c r="AZ142">
        <f t="shared" si="73"/>
        <v>0.22222222222222221</v>
      </c>
      <c r="BA142" s="32">
        <f t="shared" si="74"/>
        <v>0.69444444444444431</v>
      </c>
      <c r="BB142" s="32">
        <f t="shared" si="75"/>
        <v>0.33333333333333337</v>
      </c>
      <c r="BC142" s="7">
        <f t="shared" si="76"/>
        <v>0.78703703703703687</v>
      </c>
      <c r="BD142" s="7">
        <f t="shared" si="77"/>
        <v>0.53703703703703709</v>
      </c>
      <c r="BE142">
        <f>step3_validation[[#This Row],[AI_OUT1]]</f>
        <v>8</v>
      </c>
      <c r="BF142">
        <f t="shared" si="78"/>
        <v>0.77777777777777779</v>
      </c>
      <c r="BG142">
        <f>survey_responses[[#This Row],[Sau khi xem xét các quyền lợi và nghĩa vụ, bạn có ủng hộ và tuân thủ chính sách mới hiện nay? - HUMAN-OUT1]]</f>
        <v>5</v>
      </c>
      <c r="BH142">
        <f t="shared" si="79"/>
        <v>0.44444444444444442</v>
      </c>
      <c r="BI142" s="32">
        <f t="shared" si="80"/>
        <v>3</v>
      </c>
    </row>
    <row r="143" spans="1:61" x14ac:dyDescent="0.45">
      <c r="A143" s="30">
        <f>step3_validation[[#This Row],[Persona_ID]]</f>
        <v>142</v>
      </c>
      <c r="B143" s="31">
        <f>step3_validation[[#This Row],[Used_Seed]]</f>
        <v>183</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8</v>
      </c>
      <c r="R143">
        <f t="shared" si="54"/>
        <v>0.77777777777777779</v>
      </c>
      <c r="S143">
        <f>survey_responses[[#This Row],[Tôi tin rằng với các quy định quản lý thuế hiện nay, hành vi gian lận hoặc trốn thuế sẽ dễ dàng bị phát hiện và xử lý nghiêm. - HUMAN-ENF1]]</f>
        <v>5</v>
      </c>
      <c r="T143">
        <f t="shared" si="55"/>
        <v>0.44444444444444442</v>
      </c>
      <c r="U143">
        <f>step3_validation[[#This Row],[AI_ENF2]]</f>
        <v>9</v>
      </c>
      <c r="V143">
        <f t="shared" si="56"/>
        <v>0.88888888888888884</v>
      </c>
      <c r="W143">
        <f>survey_responses[[#This Row],[Tôi tin rằng Nhà nước, cơ quan thuế có đủ khả năng và công nghệ để phát hiện, xử lý nghiêm các hành vi trốn thuế. - HUMAN-ENF2]]</f>
        <v>6</v>
      </c>
      <c r="X143">
        <f t="shared" si="57"/>
        <v>0.55555555555555558</v>
      </c>
      <c r="Y143" s="32">
        <f t="shared" si="58"/>
        <v>0.83333333333333326</v>
      </c>
      <c r="Z143" s="32">
        <f t="shared" si="59"/>
        <v>0.5</v>
      </c>
      <c r="AA143">
        <f>step3_validation[[#This Row],[AI_FAC1]]</f>
        <v>8</v>
      </c>
      <c r="AB143">
        <f t="shared" si="60"/>
        <v>0.77777777777777779</v>
      </c>
      <c r="AC143">
        <f>survey_responses[[#This Row],[Các thủ tục khai báo thuế VÀ/HOẶC quy trình làm việc với cơ quan thuế đơn giản, tiện lợi, nhanh chóng hơn so với trước đây. - HUMAN-FAC1]]</f>
        <v>5</v>
      </c>
      <c r="AD143">
        <f t="shared" si="61"/>
        <v>0.44444444444444442</v>
      </c>
      <c r="AE143">
        <f>step3_validation[[#This Row],[AI_FAC2]]</f>
        <v>9</v>
      </c>
      <c r="AF143">
        <f t="shared" si="62"/>
        <v>0.88888888888888884</v>
      </c>
      <c r="AG143">
        <f>survey_responses[[#This Row],[So với trước đây, tôi thấy cách tính thuế và các bậc thuế trong phương án mới đơn giản, dễ hiểu và dễ thực hiện hơn. - HUMAN-FAC2]]</f>
        <v>7</v>
      </c>
      <c r="AH143">
        <f t="shared" si="63"/>
        <v>0.66666666666666663</v>
      </c>
      <c r="AI143" s="32">
        <f t="shared" si="64"/>
        <v>0.83333333333333326</v>
      </c>
      <c r="AJ143" s="32">
        <f t="shared" si="65"/>
        <v>0.55555555555555558</v>
      </c>
      <c r="AK143">
        <f>step3_validation[[#This Row],[AI_TRU1]]</f>
        <v>8</v>
      </c>
      <c r="AL143">
        <f t="shared" si="66"/>
        <v>0.77777777777777779</v>
      </c>
      <c r="AM143">
        <f>survey_responses[[#This Row],[Tôi tin rằng Nhà nước, cơ quan thuế sẽ thực thi chính sách mới một cách khách quan, công tâm và đối xử bình đẳng với mọi người nộp thuế.  - HUMAN-TRU1]]</f>
        <v>6</v>
      </c>
      <c r="AN143">
        <f t="shared" si="67"/>
        <v>0.55555555555555558</v>
      </c>
      <c r="AO143">
        <f>step3_validation[[#This Row],[AI_TRU2]]</f>
        <v>9</v>
      </c>
      <c r="AP143">
        <f t="shared" si="68"/>
        <v>0.88888888888888884</v>
      </c>
      <c r="AQ143">
        <f>survey_responses[[#This Row],[Tôi thấy mức thuế tôi phải đóng theo phương án mới là công bằng (người thu nhập như tôi đóng mức này là hợp lý). - HUMAN-TRU2]]</f>
        <v>6</v>
      </c>
      <c r="AR143">
        <f t="shared" si="69"/>
        <v>0.55555555555555558</v>
      </c>
      <c r="AS143">
        <f>step3_validation[[#This Row],[AI_TRU3]]</f>
        <v>8</v>
      </c>
      <c r="AT143">
        <f t="shared" si="70"/>
        <v>0.77777777777777779</v>
      </c>
      <c r="AU143">
        <f>survey_responses[[#This Row],[Tôi tin tưởng số tiền thuế tôi đóng sẽ được Nhà nước sử dụng hiệu quả để cải thiện dịch vụ công (y tế, đường xá...). - HUMAN-TRU3]]</f>
        <v>6</v>
      </c>
      <c r="AV143">
        <f t="shared" si="71"/>
        <v>0.55555555555555558</v>
      </c>
      <c r="AW143">
        <f>step3_validation[[#This Row],[AI_TRU4]]</f>
        <v>9</v>
      </c>
      <c r="AX143">
        <f t="shared" si="72"/>
        <v>0.88888888888888884</v>
      </c>
      <c r="AY143">
        <f>survey_responses[[#This Row],[Tôi thấy Nhà nước đã giải thích rõ ràng, minh bạch về lý do và mục tiêu của việc sửa đổi thuế lần này. - HUMAN-TRU4]]</f>
        <v>7</v>
      </c>
      <c r="AZ143">
        <f t="shared" si="73"/>
        <v>0.66666666666666663</v>
      </c>
      <c r="BA143" s="32">
        <f t="shared" si="74"/>
        <v>0.83333333333333326</v>
      </c>
      <c r="BB143" s="32">
        <f t="shared" si="75"/>
        <v>0.58333333333333337</v>
      </c>
      <c r="BC143" s="7">
        <f t="shared" si="76"/>
        <v>0.83333333333333337</v>
      </c>
      <c r="BD143" s="7">
        <f t="shared" si="77"/>
        <v>0.54629629629629628</v>
      </c>
      <c r="BE143">
        <f>step3_validation[[#This Row],[AI_OUT1]]</f>
        <v>9</v>
      </c>
      <c r="BF143">
        <f t="shared" si="78"/>
        <v>0.88888888888888884</v>
      </c>
      <c r="BG143">
        <f>survey_responses[[#This Row],[Sau khi xem xét các quyền lợi và nghĩa vụ, bạn có ủng hộ và tuân thủ chính sách mới hiện nay? - HUMAN-OUT1]]</f>
        <v>7</v>
      </c>
      <c r="BH143">
        <f t="shared" si="79"/>
        <v>0.66666666666666663</v>
      </c>
      <c r="BI143" s="32">
        <f t="shared" si="80"/>
        <v>2</v>
      </c>
    </row>
    <row r="144" spans="1:61" x14ac:dyDescent="0.45">
      <c r="A144" s="30">
        <f>step3_validation[[#This Row],[Persona_ID]]</f>
        <v>143</v>
      </c>
      <c r="B144" s="31">
        <f>step3_validation[[#This Row],[Used_Seed]]</f>
        <v>184</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203.84268490148614</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f t="shared" si="54"/>
        <v>0.66666666666666663</v>
      </c>
      <c r="S144">
        <f>survey_responses[[#This Row],[Tôi tin rằng với các quy định quản lý thuế hiện nay, hành vi gian lận hoặc trốn thuế sẽ dễ dàng bị phát hiện và xử lý nghiêm. - HUMAN-ENF1]]</f>
        <v>1</v>
      </c>
      <c r="T144">
        <f t="shared" si="55"/>
        <v>0</v>
      </c>
      <c r="U144">
        <f>step3_validation[[#This Row],[AI_ENF2]]</f>
        <v>6</v>
      </c>
      <c r="V144">
        <f t="shared" si="56"/>
        <v>0.55555555555555558</v>
      </c>
      <c r="W144">
        <f>survey_responses[[#This Row],[Tôi tin rằng Nhà nước, cơ quan thuế có đủ khả năng và công nghệ để phát hiện, xử lý nghiêm các hành vi trốn thuế. - HUMAN-ENF2]]</f>
        <v>1</v>
      </c>
      <c r="X144">
        <f t="shared" si="57"/>
        <v>0</v>
      </c>
      <c r="Y144" s="32">
        <f t="shared" si="58"/>
        <v>0.61111111111111116</v>
      </c>
      <c r="Z144" s="32">
        <f t="shared" si="59"/>
        <v>0</v>
      </c>
      <c r="AA144">
        <f>step3_validation[[#This Row],[AI_FAC1]]</f>
        <v>9</v>
      </c>
      <c r="AB144">
        <f t="shared" si="60"/>
        <v>0.88888888888888884</v>
      </c>
      <c r="AC144">
        <f>survey_responses[[#This Row],[Các thủ tục khai báo thuế VÀ/HOẶC quy trình làm việc với cơ quan thuế đơn giản, tiện lợi, nhanh chóng hơn so với trước đây. - HUMAN-FAC1]]</f>
        <v>8</v>
      </c>
      <c r="AD144">
        <f t="shared" si="61"/>
        <v>0.77777777777777779</v>
      </c>
      <c r="AE144">
        <f>step3_validation[[#This Row],[AI_FAC2]]</f>
        <v>8</v>
      </c>
      <c r="AF144">
        <f t="shared" si="62"/>
        <v>0.77777777777777779</v>
      </c>
      <c r="AG144">
        <f>survey_responses[[#This Row],[So với trước đây, tôi thấy cách tính thuế và các bậc thuế trong phương án mới đơn giản, dễ hiểu và dễ thực hiện hơn. - HUMAN-FAC2]]</f>
        <v>8</v>
      </c>
      <c r="AH144">
        <f t="shared" si="63"/>
        <v>0.77777777777777779</v>
      </c>
      <c r="AI144" s="32">
        <f t="shared" si="64"/>
        <v>0.83333333333333326</v>
      </c>
      <c r="AJ144" s="32">
        <f t="shared" si="65"/>
        <v>0.77777777777777779</v>
      </c>
      <c r="AK144">
        <f>step3_validation[[#This Row],[AI_TRU1]]</f>
        <v>9</v>
      </c>
      <c r="AL144">
        <f t="shared" si="66"/>
        <v>0.88888888888888884</v>
      </c>
      <c r="AM144">
        <f>survey_responses[[#This Row],[Tôi tin rằng Nhà nước, cơ quan thuế sẽ thực thi chính sách mới một cách khách quan, công tâm và đối xử bình đẳng với mọi người nộp thuế.  - HUMAN-TRU1]]</f>
        <v>8</v>
      </c>
      <c r="AN144">
        <f t="shared" si="67"/>
        <v>0.77777777777777779</v>
      </c>
      <c r="AO144">
        <f>step3_validation[[#This Row],[AI_TRU2]]</f>
        <v>8</v>
      </c>
      <c r="AP144">
        <f t="shared" si="68"/>
        <v>0.77777777777777779</v>
      </c>
      <c r="AQ144">
        <f>survey_responses[[#This Row],[Tôi thấy mức thuế tôi phải đóng theo phương án mới là công bằng (người thu nhập như tôi đóng mức này là hợp lý). - HUMAN-TRU2]]</f>
        <v>8</v>
      </c>
      <c r="AR144">
        <f t="shared" si="69"/>
        <v>0.77777777777777779</v>
      </c>
      <c r="AS144">
        <f>step3_validation[[#This Row],[AI_TRU3]]</f>
        <v>9</v>
      </c>
      <c r="AT144">
        <f t="shared" si="70"/>
        <v>0.88888888888888884</v>
      </c>
      <c r="AU144">
        <f>survey_responses[[#This Row],[Tôi tin tưởng số tiền thuế tôi đóng sẽ được Nhà nước sử dụng hiệu quả để cải thiện dịch vụ công (y tế, đường xá...). - HUMAN-TRU3]]</f>
        <v>8</v>
      </c>
      <c r="AV144">
        <f t="shared" si="71"/>
        <v>0.77777777777777779</v>
      </c>
      <c r="AW144">
        <f>step3_validation[[#This Row],[AI_TRU4]]</f>
        <v>7</v>
      </c>
      <c r="AX144">
        <f t="shared" si="72"/>
        <v>0.66666666666666663</v>
      </c>
      <c r="AY144">
        <f>survey_responses[[#This Row],[Tôi thấy Nhà nước đã giải thích rõ ràng, minh bạch về lý do và mục tiêu của việc sửa đổi thuế lần này. - HUMAN-TRU4]]</f>
        <v>8</v>
      </c>
      <c r="AZ144">
        <f t="shared" si="73"/>
        <v>0.77777777777777779</v>
      </c>
      <c r="BA144" s="32">
        <f t="shared" si="74"/>
        <v>0.80555555555555547</v>
      </c>
      <c r="BB144" s="32">
        <f t="shared" si="75"/>
        <v>0.77777777777777779</v>
      </c>
      <c r="BC144" s="7">
        <f t="shared" si="76"/>
        <v>0.75</v>
      </c>
      <c r="BD144" s="7">
        <f t="shared" si="77"/>
        <v>0.51851851851851849</v>
      </c>
      <c r="BE144">
        <f>step3_validation[[#This Row],[AI_OUT1]]</f>
        <v>9</v>
      </c>
      <c r="BF144">
        <f t="shared" si="78"/>
        <v>0.88888888888888884</v>
      </c>
      <c r="BG144">
        <f>survey_responses[[#This Row],[Sau khi xem xét các quyền lợi và nghĩa vụ, bạn có ủng hộ và tuân thủ chính sách mới hiện nay? - HUMAN-OUT1]]</f>
        <v>8</v>
      </c>
      <c r="BH144">
        <f t="shared" si="79"/>
        <v>0.77777777777777779</v>
      </c>
      <c r="BI144" s="32">
        <f t="shared" si="80"/>
        <v>1</v>
      </c>
    </row>
    <row r="145" spans="1:61" x14ac:dyDescent="0.45">
      <c r="A145" s="30">
        <f>step3_validation[[#This Row],[Persona_ID]]</f>
        <v>144</v>
      </c>
      <c r="B145" s="31">
        <f>step3_validation[[#This Row],[Used_Seed]]</f>
        <v>185</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56.009713937760701</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9</v>
      </c>
      <c r="R145">
        <f t="shared" si="54"/>
        <v>0.88888888888888884</v>
      </c>
      <c r="S145">
        <f>survey_responses[[#This Row],[Tôi tin rằng với các quy định quản lý thuế hiện nay, hành vi gian lận hoặc trốn thuế sẽ dễ dàng bị phát hiện và xử lý nghiêm. - HUMAN-ENF1]]</f>
        <v>9</v>
      </c>
      <c r="T145">
        <f t="shared" si="55"/>
        <v>0.88888888888888884</v>
      </c>
      <c r="U145">
        <f>step3_validation[[#This Row],[AI_ENF2]]</f>
        <v>9</v>
      </c>
      <c r="V145">
        <f t="shared" si="56"/>
        <v>0.88888888888888884</v>
      </c>
      <c r="W145">
        <f>survey_responses[[#This Row],[Tôi tin rằng Nhà nước, cơ quan thuế có đủ khả năng và công nghệ để phát hiện, xử lý nghiêm các hành vi trốn thuế. - HUMAN-ENF2]]</f>
        <v>9</v>
      </c>
      <c r="X145">
        <f t="shared" si="57"/>
        <v>0.88888888888888884</v>
      </c>
      <c r="Y145" s="32">
        <f t="shared" si="58"/>
        <v>0.88888888888888884</v>
      </c>
      <c r="Z145" s="32">
        <f t="shared" si="59"/>
        <v>0.88888888888888884</v>
      </c>
      <c r="AA145">
        <f>step3_validation[[#This Row],[AI_FAC1]]</f>
        <v>8</v>
      </c>
      <c r="AB145">
        <f t="shared" si="60"/>
        <v>0.77777777777777779</v>
      </c>
      <c r="AC145">
        <f>survey_responses[[#This Row],[Các thủ tục khai báo thuế VÀ/HOẶC quy trình làm việc với cơ quan thuế đơn giản, tiện lợi, nhanh chóng hơn so với trước đây. - HUMAN-FAC1]]</f>
        <v>9</v>
      </c>
      <c r="AD145">
        <f t="shared" si="61"/>
        <v>0.88888888888888884</v>
      </c>
      <c r="AE145">
        <f>step3_validation[[#This Row],[AI_FAC2]]</f>
        <v>9</v>
      </c>
      <c r="AF145">
        <f t="shared" si="62"/>
        <v>0.88888888888888884</v>
      </c>
      <c r="AG145">
        <f>survey_responses[[#This Row],[So với trước đây, tôi thấy cách tính thuế và các bậc thuế trong phương án mới đơn giản, dễ hiểu và dễ thực hiện hơn. - HUMAN-FAC2]]</f>
        <v>9</v>
      </c>
      <c r="AH145">
        <f t="shared" si="63"/>
        <v>0.88888888888888884</v>
      </c>
      <c r="AI145" s="32">
        <f t="shared" si="64"/>
        <v>0.83333333333333326</v>
      </c>
      <c r="AJ145" s="32">
        <f t="shared" si="65"/>
        <v>0.88888888888888884</v>
      </c>
      <c r="AK145">
        <f>step3_validation[[#This Row],[AI_TRU1]]</f>
        <v>8</v>
      </c>
      <c r="AL145">
        <f t="shared" si="66"/>
        <v>0.77777777777777779</v>
      </c>
      <c r="AM145">
        <f>survey_responses[[#This Row],[Tôi tin rằng Nhà nước, cơ quan thuế sẽ thực thi chính sách mới một cách khách quan, công tâm và đối xử bình đẳng với mọi người nộp thuế.  - HUMAN-TRU1]]</f>
        <v>10</v>
      </c>
      <c r="AN145">
        <f t="shared" si="67"/>
        <v>1</v>
      </c>
      <c r="AO145">
        <f>step3_validation[[#This Row],[AI_TRU2]]</f>
        <v>9</v>
      </c>
      <c r="AP145">
        <f t="shared" si="68"/>
        <v>0.88888888888888884</v>
      </c>
      <c r="AQ145">
        <f>survey_responses[[#This Row],[Tôi thấy mức thuế tôi phải đóng theo phương án mới là công bằng (người thu nhập như tôi đóng mức này là hợp lý). - HUMAN-TRU2]]</f>
        <v>5</v>
      </c>
      <c r="AR145">
        <f t="shared" si="69"/>
        <v>0.44444444444444442</v>
      </c>
      <c r="AS145">
        <f>step3_validation[[#This Row],[AI_TRU3]]</f>
        <v>8</v>
      </c>
      <c r="AT145">
        <f t="shared" si="70"/>
        <v>0.77777777777777779</v>
      </c>
      <c r="AU145">
        <f>survey_responses[[#This Row],[Tôi tin tưởng số tiền thuế tôi đóng sẽ được Nhà nước sử dụng hiệu quả để cải thiện dịch vụ công (y tế, đường xá...). - HUMAN-TRU3]]</f>
        <v>9</v>
      </c>
      <c r="AV145">
        <f t="shared" si="71"/>
        <v>0.88888888888888884</v>
      </c>
      <c r="AW145">
        <f>step3_validation[[#This Row],[AI_TRU4]]</f>
        <v>9</v>
      </c>
      <c r="AX145">
        <f t="shared" si="72"/>
        <v>0.88888888888888884</v>
      </c>
      <c r="AY145">
        <f>survey_responses[[#This Row],[Tôi thấy Nhà nước đã giải thích rõ ràng, minh bạch về lý do và mục tiêu của việc sửa đổi thuế lần này. - HUMAN-TRU4]]</f>
        <v>9</v>
      </c>
      <c r="AZ145">
        <f t="shared" si="73"/>
        <v>0.88888888888888884</v>
      </c>
      <c r="BA145" s="32">
        <f t="shared" si="74"/>
        <v>0.83333333333333326</v>
      </c>
      <c r="BB145" s="32">
        <f t="shared" si="75"/>
        <v>0.80555555555555547</v>
      </c>
      <c r="BC145" s="7">
        <f t="shared" si="76"/>
        <v>0.85185185185185175</v>
      </c>
      <c r="BD145" s="7">
        <f t="shared" si="77"/>
        <v>0.86111111111111105</v>
      </c>
      <c r="BE145">
        <f>step3_validation[[#This Row],[AI_OUT1]]</f>
        <v>10</v>
      </c>
      <c r="BF145">
        <f t="shared" si="78"/>
        <v>1</v>
      </c>
      <c r="BG145">
        <f>survey_responses[[#This Row],[Sau khi xem xét các quyền lợi và nghĩa vụ, bạn có ủng hộ và tuân thủ chính sách mới hiện nay? - HUMAN-OUT1]]</f>
        <v>10</v>
      </c>
      <c r="BH145">
        <f t="shared" si="79"/>
        <v>1</v>
      </c>
      <c r="BI145" s="32">
        <f t="shared" si="80"/>
        <v>0</v>
      </c>
    </row>
    <row r="146" spans="1:61" x14ac:dyDescent="0.45">
      <c r="A146" s="30">
        <f>step3_validation[[#This Row],[Persona_ID]]</f>
        <v>145</v>
      </c>
      <c r="B146" s="31">
        <f>step3_validation[[#This Row],[Used_Seed]]</f>
        <v>186</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53.381056109162323</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5</v>
      </c>
      <c r="R146">
        <f t="shared" si="54"/>
        <v>0.44444444444444442</v>
      </c>
      <c r="S146">
        <f>survey_responses[[#This Row],[Tôi tin rằng với các quy định quản lý thuế hiện nay, hành vi gian lận hoặc trốn thuế sẽ dễ dàng bị phát hiện và xử lý nghiêm. - HUMAN-ENF1]]</f>
        <v>10</v>
      </c>
      <c r="T146">
        <f t="shared" si="55"/>
        <v>1</v>
      </c>
      <c r="U146">
        <f>step3_validation[[#This Row],[AI_ENF2]]</f>
        <v>6</v>
      </c>
      <c r="V146">
        <f t="shared" si="56"/>
        <v>0.55555555555555558</v>
      </c>
      <c r="W146">
        <f>survey_responses[[#This Row],[Tôi tin rằng Nhà nước, cơ quan thuế có đủ khả năng và công nghệ để phát hiện, xử lý nghiêm các hành vi trốn thuế. - HUMAN-ENF2]]</f>
        <v>10</v>
      </c>
      <c r="X146">
        <f t="shared" si="57"/>
        <v>1</v>
      </c>
      <c r="Y146" s="32">
        <f t="shared" si="58"/>
        <v>0.5</v>
      </c>
      <c r="Z146" s="32">
        <f t="shared" si="59"/>
        <v>1</v>
      </c>
      <c r="AA146">
        <f>step3_validation[[#This Row],[AI_FAC1]]</f>
        <v>8</v>
      </c>
      <c r="AB146">
        <f t="shared" si="60"/>
        <v>0.77777777777777779</v>
      </c>
      <c r="AC146">
        <f>survey_responses[[#This Row],[Các thủ tục khai báo thuế VÀ/HOẶC quy trình làm việc với cơ quan thuế đơn giản, tiện lợi, nhanh chóng hơn so với trước đây. - HUMAN-FAC1]]</f>
        <v>9</v>
      </c>
      <c r="AD146">
        <f t="shared" si="61"/>
        <v>0.88888888888888884</v>
      </c>
      <c r="AE146">
        <f>step3_validation[[#This Row],[AI_FAC2]]</f>
        <v>9</v>
      </c>
      <c r="AF146">
        <f t="shared" si="62"/>
        <v>0.88888888888888884</v>
      </c>
      <c r="AG146">
        <f>survey_responses[[#This Row],[So với trước đây, tôi thấy cách tính thuế và các bậc thuế trong phương án mới đơn giản, dễ hiểu và dễ thực hiện hơn. - HUMAN-FAC2]]</f>
        <v>6</v>
      </c>
      <c r="AH146">
        <f t="shared" si="63"/>
        <v>0.55555555555555558</v>
      </c>
      <c r="AI146" s="32">
        <f t="shared" si="64"/>
        <v>0.83333333333333326</v>
      </c>
      <c r="AJ146" s="32">
        <f t="shared" si="65"/>
        <v>0.72222222222222221</v>
      </c>
      <c r="AK146">
        <f>step3_validation[[#This Row],[AI_TRU1]]</f>
        <v>7</v>
      </c>
      <c r="AL146">
        <f t="shared" si="66"/>
        <v>0.66666666666666663</v>
      </c>
      <c r="AM146">
        <f>survey_responses[[#This Row],[Tôi tin rằng Nhà nước, cơ quan thuế sẽ thực thi chính sách mới một cách khách quan, công tâm và đối xử bình đẳng với mọi người nộp thuế.  - HUMAN-TRU1]]</f>
        <v>6</v>
      </c>
      <c r="AN146">
        <f t="shared" si="67"/>
        <v>0.55555555555555558</v>
      </c>
      <c r="AO146">
        <f>step3_validation[[#This Row],[AI_TRU2]]</f>
        <v>9</v>
      </c>
      <c r="AP146">
        <f t="shared" si="68"/>
        <v>0.88888888888888884</v>
      </c>
      <c r="AQ146">
        <f>survey_responses[[#This Row],[Tôi thấy mức thuế tôi phải đóng theo phương án mới là công bằng (người thu nhập như tôi đóng mức này là hợp lý). - HUMAN-TRU2]]</f>
        <v>3</v>
      </c>
      <c r="AR146">
        <f t="shared" si="69"/>
        <v>0.22222222222222221</v>
      </c>
      <c r="AS146">
        <f>step3_validation[[#This Row],[AI_TRU3]]</f>
        <v>8</v>
      </c>
      <c r="AT146">
        <f t="shared" si="70"/>
        <v>0.77777777777777779</v>
      </c>
      <c r="AU146">
        <f>survey_responses[[#This Row],[Tôi tin tưởng số tiền thuế tôi đóng sẽ được Nhà nước sử dụng hiệu quả để cải thiện dịch vụ công (y tế, đường xá...). - HUMAN-TRU3]]</f>
        <v>5</v>
      </c>
      <c r="AV146">
        <f t="shared" si="71"/>
        <v>0.44444444444444442</v>
      </c>
      <c r="AW146">
        <f>step3_validation[[#This Row],[AI_TRU4]]</f>
        <v>9</v>
      </c>
      <c r="AX146">
        <f t="shared" si="72"/>
        <v>0.88888888888888884</v>
      </c>
      <c r="AY146">
        <f>survey_responses[[#This Row],[Tôi thấy Nhà nước đã giải thích rõ ràng, minh bạch về lý do và mục tiêu của việc sửa đổi thuế lần này. - HUMAN-TRU4]]</f>
        <v>5</v>
      </c>
      <c r="AZ146">
        <f t="shared" si="73"/>
        <v>0.44444444444444442</v>
      </c>
      <c r="BA146" s="32">
        <f t="shared" si="74"/>
        <v>0.80555555555555547</v>
      </c>
      <c r="BB146" s="32">
        <f t="shared" si="75"/>
        <v>0.41666666666666669</v>
      </c>
      <c r="BC146" s="7">
        <f t="shared" si="76"/>
        <v>0.71296296296296291</v>
      </c>
      <c r="BD146" s="7">
        <f t="shared" si="77"/>
        <v>0.71296296296296291</v>
      </c>
      <c r="BE146">
        <f>step3_validation[[#This Row],[AI_OUT1]]</f>
        <v>8</v>
      </c>
      <c r="BF146">
        <f t="shared" si="78"/>
        <v>0.77777777777777779</v>
      </c>
      <c r="BG146">
        <f>survey_responses[[#This Row],[Sau khi xem xét các quyền lợi và nghĩa vụ, bạn có ủng hộ và tuân thủ chính sách mới hiện nay? - HUMAN-OUT1]]</f>
        <v>1</v>
      </c>
      <c r="BH146">
        <f t="shared" si="79"/>
        <v>0</v>
      </c>
      <c r="BI146" s="32">
        <f t="shared" si="80"/>
        <v>7</v>
      </c>
    </row>
    <row r="147" spans="1:61" x14ac:dyDescent="0.45">
      <c r="A147" s="30">
        <f>step3_validation[[#This Row],[Persona_ID]]</f>
        <v>146</v>
      </c>
      <c r="B147" s="31">
        <f>step3_validation[[#This Row],[Used_Seed]]</f>
        <v>187</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93.090341062768715</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f t="shared" si="54"/>
        <v>0.66666666666666663</v>
      </c>
      <c r="S147">
        <f>survey_responses[[#This Row],[Tôi tin rằng với các quy định quản lý thuế hiện nay, hành vi gian lận hoặc trốn thuế sẽ dễ dàng bị phát hiện và xử lý nghiêm. - HUMAN-ENF1]]</f>
        <v>8</v>
      </c>
      <c r="T147">
        <f t="shared" si="55"/>
        <v>0.77777777777777779</v>
      </c>
      <c r="U147">
        <f>step3_validation[[#This Row],[AI_ENF2]]</f>
        <v>8</v>
      </c>
      <c r="V147">
        <f t="shared" si="56"/>
        <v>0.77777777777777779</v>
      </c>
      <c r="W147">
        <f>survey_responses[[#This Row],[Tôi tin rằng Nhà nước, cơ quan thuế có đủ khả năng và công nghệ để phát hiện, xử lý nghiêm các hành vi trốn thuế. - HUMAN-ENF2]]</f>
        <v>8</v>
      </c>
      <c r="X147">
        <f t="shared" si="57"/>
        <v>0.77777777777777779</v>
      </c>
      <c r="Y147" s="32">
        <f t="shared" si="58"/>
        <v>0.72222222222222221</v>
      </c>
      <c r="Z147" s="32">
        <f t="shared" si="59"/>
        <v>0.77777777777777779</v>
      </c>
      <c r="AA147">
        <f>step3_validation[[#This Row],[AI_FAC1]]</f>
        <v>6</v>
      </c>
      <c r="AB147">
        <f t="shared" si="60"/>
        <v>0.55555555555555558</v>
      </c>
      <c r="AC147">
        <f>survey_responses[[#This Row],[Các thủ tục khai báo thuế VÀ/HOẶC quy trình làm việc với cơ quan thuế đơn giản, tiện lợi, nhanh chóng hơn so với trước đây. - HUMAN-FAC1]]</f>
        <v>5</v>
      </c>
      <c r="AD147">
        <f t="shared" si="61"/>
        <v>0.44444444444444442</v>
      </c>
      <c r="AE147">
        <f>step3_validation[[#This Row],[AI_FAC2]]</f>
        <v>9</v>
      </c>
      <c r="AF147">
        <f t="shared" si="62"/>
        <v>0.88888888888888884</v>
      </c>
      <c r="AG147">
        <f>survey_responses[[#This Row],[So với trước đây, tôi thấy cách tính thuế và các bậc thuế trong phương án mới đơn giản, dễ hiểu và dễ thực hiện hơn. - HUMAN-FAC2]]</f>
        <v>5</v>
      </c>
      <c r="AH147">
        <f t="shared" si="63"/>
        <v>0.44444444444444442</v>
      </c>
      <c r="AI147" s="32">
        <f t="shared" si="64"/>
        <v>0.72222222222222221</v>
      </c>
      <c r="AJ147" s="32">
        <f t="shared" si="65"/>
        <v>0.44444444444444442</v>
      </c>
      <c r="AK147">
        <f>step3_validation[[#This Row],[AI_TRU1]]</f>
        <v>7</v>
      </c>
      <c r="AL147">
        <f t="shared" si="66"/>
        <v>0.66666666666666663</v>
      </c>
      <c r="AM147">
        <f>survey_responses[[#This Row],[Tôi tin rằng Nhà nước, cơ quan thuế sẽ thực thi chính sách mới một cách khách quan, công tâm và đối xử bình đẳng với mọi người nộp thuế.  - HUMAN-TRU1]]</f>
        <v>5</v>
      </c>
      <c r="AN147">
        <f t="shared" si="67"/>
        <v>0.44444444444444442</v>
      </c>
      <c r="AO147">
        <f>step3_validation[[#This Row],[AI_TRU2]]</f>
        <v>9</v>
      </c>
      <c r="AP147">
        <f t="shared" si="68"/>
        <v>0.88888888888888884</v>
      </c>
      <c r="AQ147">
        <f>survey_responses[[#This Row],[Tôi thấy mức thuế tôi phải đóng theo phương án mới là công bằng (người thu nhập như tôi đóng mức này là hợp lý). - HUMAN-TRU2]]</f>
        <v>3</v>
      </c>
      <c r="AR147">
        <f t="shared" si="69"/>
        <v>0.22222222222222221</v>
      </c>
      <c r="AS147">
        <f>step3_validation[[#This Row],[AI_TRU3]]</f>
        <v>7</v>
      </c>
      <c r="AT147">
        <f t="shared" si="70"/>
        <v>0.66666666666666663</v>
      </c>
      <c r="AU147">
        <f>survey_responses[[#This Row],[Tôi tin tưởng số tiền thuế tôi đóng sẽ được Nhà nước sử dụng hiệu quả để cải thiện dịch vụ công (y tế, đường xá...). - HUMAN-TRU3]]</f>
        <v>5</v>
      </c>
      <c r="AV147">
        <f t="shared" si="71"/>
        <v>0.44444444444444442</v>
      </c>
      <c r="AW147">
        <f>step3_validation[[#This Row],[AI_TRU4]]</f>
        <v>8</v>
      </c>
      <c r="AX147">
        <f t="shared" si="72"/>
        <v>0.77777777777777779</v>
      </c>
      <c r="AY147">
        <f>survey_responses[[#This Row],[Tôi thấy Nhà nước đã giải thích rõ ràng, minh bạch về lý do và mục tiêu của việc sửa đổi thuế lần này. - HUMAN-TRU4]]</f>
        <v>5</v>
      </c>
      <c r="AZ147">
        <f t="shared" si="73"/>
        <v>0.44444444444444442</v>
      </c>
      <c r="BA147" s="32">
        <f t="shared" si="74"/>
        <v>0.74999999999999989</v>
      </c>
      <c r="BB147" s="32">
        <f t="shared" si="75"/>
        <v>0.3888888888888889</v>
      </c>
      <c r="BC147" s="7">
        <f t="shared" si="76"/>
        <v>0.7314814814814814</v>
      </c>
      <c r="BD147" s="7">
        <f t="shared" si="77"/>
        <v>0.53703703703703709</v>
      </c>
      <c r="BE147">
        <f>step3_validation[[#This Row],[AI_OUT1]]</f>
        <v>9</v>
      </c>
      <c r="BF147">
        <f t="shared" si="78"/>
        <v>0.88888888888888884</v>
      </c>
      <c r="BG147">
        <f>survey_responses[[#This Row],[Sau khi xem xét các quyền lợi và nghĩa vụ, bạn có ủng hộ và tuân thủ chính sách mới hiện nay? - HUMAN-OUT1]]</f>
        <v>5</v>
      </c>
      <c r="BH147">
        <f t="shared" si="79"/>
        <v>0.44444444444444442</v>
      </c>
      <c r="BI147" s="32">
        <f t="shared" si="80"/>
        <v>4</v>
      </c>
    </row>
    <row r="148" spans="1:61" x14ac:dyDescent="0.45">
      <c r="A148" s="30">
        <f>step3_validation[[#This Row],[Persona_ID]]</f>
        <v>147</v>
      </c>
      <c r="B148" s="31">
        <f>step3_validation[[#This Row],[Used_Seed]]</f>
        <v>188</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122.63747376055527</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8</v>
      </c>
      <c r="R148">
        <f t="shared" si="54"/>
        <v>0.77777777777777779</v>
      </c>
      <c r="S148">
        <f>survey_responses[[#This Row],[Tôi tin rằng với các quy định quản lý thuế hiện nay, hành vi gian lận hoặc trốn thuế sẽ dễ dàng bị phát hiện và xử lý nghiêm. - HUMAN-ENF1]]</f>
        <v>7</v>
      </c>
      <c r="T148">
        <f t="shared" si="55"/>
        <v>0.66666666666666663</v>
      </c>
      <c r="U148">
        <f>step3_validation[[#This Row],[AI_ENF2]]</f>
        <v>8</v>
      </c>
      <c r="V148">
        <f t="shared" si="56"/>
        <v>0.77777777777777779</v>
      </c>
      <c r="W148">
        <f>survey_responses[[#This Row],[Tôi tin rằng Nhà nước, cơ quan thuế có đủ khả năng và công nghệ để phát hiện, xử lý nghiêm các hành vi trốn thuế. - HUMAN-ENF2]]</f>
        <v>7</v>
      </c>
      <c r="X148">
        <f t="shared" si="57"/>
        <v>0.66666666666666663</v>
      </c>
      <c r="Y148" s="32">
        <f t="shared" si="58"/>
        <v>0.77777777777777779</v>
      </c>
      <c r="Z148" s="32">
        <f t="shared" si="59"/>
        <v>0.66666666666666663</v>
      </c>
      <c r="AA148">
        <f>step3_validation[[#This Row],[AI_FAC1]]</f>
        <v>9</v>
      </c>
      <c r="AB148">
        <f t="shared" si="60"/>
        <v>0.88888888888888884</v>
      </c>
      <c r="AC148">
        <f>survey_responses[[#This Row],[Các thủ tục khai báo thuế VÀ/HOẶC quy trình làm việc với cơ quan thuế đơn giản, tiện lợi, nhanh chóng hơn so với trước đây. - HUMAN-FAC1]]</f>
        <v>1</v>
      </c>
      <c r="AD148">
        <f t="shared" si="61"/>
        <v>0</v>
      </c>
      <c r="AE148">
        <f>step3_validation[[#This Row],[AI_FAC2]]</f>
        <v>9</v>
      </c>
      <c r="AF148">
        <f t="shared" si="62"/>
        <v>0.88888888888888884</v>
      </c>
      <c r="AG148">
        <f>survey_responses[[#This Row],[So với trước đây, tôi thấy cách tính thuế và các bậc thuế trong phương án mới đơn giản, dễ hiểu và dễ thực hiện hơn. - HUMAN-FAC2]]</f>
        <v>6</v>
      </c>
      <c r="AH148">
        <f t="shared" si="63"/>
        <v>0.55555555555555558</v>
      </c>
      <c r="AI148" s="32">
        <f t="shared" si="64"/>
        <v>0.88888888888888884</v>
      </c>
      <c r="AJ148" s="32">
        <f t="shared" si="65"/>
        <v>0.27777777777777779</v>
      </c>
      <c r="AK148">
        <f>step3_validation[[#This Row],[AI_TRU1]]</f>
        <v>8</v>
      </c>
      <c r="AL148">
        <f t="shared" si="66"/>
        <v>0.77777777777777779</v>
      </c>
      <c r="AM148">
        <f>survey_responses[[#This Row],[Tôi tin rằng Nhà nước, cơ quan thuế sẽ thực thi chính sách mới một cách khách quan, công tâm và đối xử bình đẳng với mọi người nộp thuế.  - HUMAN-TRU1]]</f>
        <v>3</v>
      </c>
      <c r="AN148">
        <f t="shared" si="67"/>
        <v>0.22222222222222221</v>
      </c>
      <c r="AO148">
        <f>step3_validation[[#This Row],[AI_TRU2]]</f>
        <v>9</v>
      </c>
      <c r="AP148">
        <f t="shared" si="68"/>
        <v>0.88888888888888884</v>
      </c>
      <c r="AQ148">
        <f>survey_responses[[#This Row],[Tôi thấy mức thuế tôi phải đóng theo phương án mới là công bằng (người thu nhập như tôi đóng mức này là hợp lý). - HUMAN-TRU2]]</f>
        <v>5</v>
      </c>
      <c r="AR148">
        <f t="shared" si="69"/>
        <v>0.44444444444444442</v>
      </c>
      <c r="AS148">
        <f>step3_validation[[#This Row],[AI_TRU3]]</f>
        <v>8</v>
      </c>
      <c r="AT148">
        <f t="shared" si="70"/>
        <v>0.77777777777777779</v>
      </c>
      <c r="AU148">
        <f>survey_responses[[#This Row],[Tôi tin tưởng số tiền thuế tôi đóng sẽ được Nhà nước sử dụng hiệu quả để cải thiện dịch vụ công (y tế, đường xá...). - HUMAN-TRU3]]</f>
        <v>1</v>
      </c>
      <c r="AV148">
        <f t="shared" si="71"/>
        <v>0</v>
      </c>
      <c r="AW148">
        <f>step3_validation[[#This Row],[AI_TRU4]]</f>
        <v>9</v>
      </c>
      <c r="AX148">
        <f t="shared" si="72"/>
        <v>0.88888888888888884</v>
      </c>
      <c r="AY148">
        <f>survey_responses[[#This Row],[Tôi thấy Nhà nước đã giải thích rõ ràng, minh bạch về lý do và mục tiêu của việc sửa đổi thuế lần này. - HUMAN-TRU4]]</f>
        <v>4</v>
      </c>
      <c r="AZ148">
        <f t="shared" si="73"/>
        <v>0.33333333333333331</v>
      </c>
      <c r="BA148" s="32">
        <f t="shared" si="74"/>
        <v>0.83333333333333326</v>
      </c>
      <c r="BB148" s="32">
        <f t="shared" si="75"/>
        <v>0.25</v>
      </c>
      <c r="BC148" s="7">
        <f t="shared" si="76"/>
        <v>0.83333333333333337</v>
      </c>
      <c r="BD148" s="7">
        <f t="shared" si="77"/>
        <v>0.39814814814814814</v>
      </c>
      <c r="BE148">
        <f>step3_validation[[#This Row],[AI_OUT1]]</f>
        <v>9</v>
      </c>
      <c r="BF148">
        <f t="shared" si="78"/>
        <v>0.88888888888888884</v>
      </c>
      <c r="BG148">
        <f>survey_responses[[#This Row],[Sau khi xem xét các quyền lợi và nghĩa vụ, bạn có ủng hộ và tuân thủ chính sách mới hiện nay? - HUMAN-OUT1]]</f>
        <v>5</v>
      </c>
      <c r="BH148">
        <f t="shared" si="79"/>
        <v>0.44444444444444442</v>
      </c>
      <c r="BI148" s="32">
        <f t="shared" si="80"/>
        <v>4</v>
      </c>
    </row>
    <row r="149" spans="1:61" x14ac:dyDescent="0.45">
      <c r="A149" s="30">
        <f>step3_validation[[#This Row],[Persona_ID]]</f>
        <v>148</v>
      </c>
      <c r="B149" s="31">
        <f>step3_validation[[#This Row],[Used_Seed]]</f>
        <v>189</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19.575929224705416</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9</v>
      </c>
      <c r="R149">
        <f t="shared" si="54"/>
        <v>0.88888888888888884</v>
      </c>
      <c r="S149">
        <f>survey_responses[[#This Row],[Tôi tin rằng với các quy định quản lý thuế hiện nay, hành vi gian lận hoặc trốn thuế sẽ dễ dàng bị phát hiện và xử lý nghiêm. - HUMAN-ENF1]]</f>
        <v>6</v>
      </c>
      <c r="T149">
        <f t="shared" si="55"/>
        <v>0.55555555555555558</v>
      </c>
      <c r="U149">
        <f>step3_validation[[#This Row],[AI_ENF2]]</f>
        <v>8</v>
      </c>
      <c r="V149">
        <f t="shared" si="56"/>
        <v>0.77777777777777779</v>
      </c>
      <c r="W149">
        <f>survey_responses[[#This Row],[Tôi tin rằng Nhà nước, cơ quan thuế có đủ khả năng và công nghệ để phát hiện, xử lý nghiêm các hành vi trốn thuế. - HUMAN-ENF2]]</f>
        <v>6</v>
      </c>
      <c r="X149">
        <f t="shared" si="57"/>
        <v>0.55555555555555558</v>
      </c>
      <c r="Y149" s="32">
        <f t="shared" si="58"/>
        <v>0.83333333333333326</v>
      </c>
      <c r="Z149" s="32">
        <f t="shared" si="59"/>
        <v>0.55555555555555558</v>
      </c>
      <c r="AA149">
        <f>step3_validation[[#This Row],[AI_FAC1]]</f>
        <v>9</v>
      </c>
      <c r="AB149">
        <f t="shared" si="60"/>
        <v>0.88888888888888884</v>
      </c>
      <c r="AC149">
        <f>survey_responses[[#This Row],[Các thủ tục khai báo thuế VÀ/HOẶC quy trình làm việc với cơ quan thuế đơn giản, tiện lợi, nhanh chóng hơn so với trước đây. - HUMAN-FAC1]]</f>
        <v>5</v>
      </c>
      <c r="AD149">
        <f t="shared" si="61"/>
        <v>0.44444444444444442</v>
      </c>
      <c r="AE149">
        <f>step3_validation[[#This Row],[AI_FAC2]]</f>
        <v>8</v>
      </c>
      <c r="AF149">
        <f t="shared" si="62"/>
        <v>0.77777777777777779</v>
      </c>
      <c r="AG149">
        <f>survey_responses[[#This Row],[So với trước đây, tôi thấy cách tính thuế và các bậc thuế trong phương án mới đơn giản, dễ hiểu và dễ thực hiện hơn. - HUMAN-FAC2]]</f>
        <v>7</v>
      </c>
      <c r="AH149">
        <f t="shared" si="63"/>
        <v>0.66666666666666663</v>
      </c>
      <c r="AI149" s="32">
        <f t="shared" si="64"/>
        <v>0.83333333333333326</v>
      </c>
      <c r="AJ149" s="32">
        <f t="shared" si="65"/>
        <v>0.55555555555555558</v>
      </c>
      <c r="AK149">
        <f>step3_validation[[#This Row],[AI_TRU1]]</f>
        <v>9</v>
      </c>
      <c r="AL149">
        <f t="shared" si="66"/>
        <v>0.88888888888888884</v>
      </c>
      <c r="AM149">
        <f>survey_responses[[#This Row],[Tôi tin rằng Nhà nước, cơ quan thuế sẽ thực thi chính sách mới một cách khách quan, công tâm và đối xử bình đẳng với mọi người nộp thuế.  - HUMAN-TRU1]]</f>
        <v>5</v>
      </c>
      <c r="AN149">
        <f t="shared" si="67"/>
        <v>0.44444444444444442</v>
      </c>
      <c r="AO149">
        <f>step3_validation[[#This Row],[AI_TRU2]]</f>
        <v>8</v>
      </c>
      <c r="AP149">
        <f t="shared" si="68"/>
        <v>0.77777777777777779</v>
      </c>
      <c r="AQ149">
        <f>survey_responses[[#This Row],[Tôi thấy mức thuế tôi phải đóng theo phương án mới là công bằng (người thu nhập như tôi đóng mức này là hợp lý). - HUMAN-TRU2]]</f>
        <v>7</v>
      </c>
      <c r="AR149">
        <f t="shared" si="69"/>
        <v>0.66666666666666663</v>
      </c>
      <c r="AS149">
        <f>step3_validation[[#This Row],[AI_TRU3]]</f>
        <v>9</v>
      </c>
      <c r="AT149">
        <f t="shared" si="70"/>
        <v>0.88888888888888884</v>
      </c>
      <c r="AU149">
        <f>survey_responses[[#This Row],[Tôi tin tưởng số tiền thuế tôi đóng sẽ được Nhà nước sử dụng hiệu quả để cải thiện dịch vụ công (y tế, đường xá...). - HUMAN-TRU3]]</f>
        <v>5</v>
      </c>
      <c r="AV149">
        <f t="shared" si="71"/>
        <v>0.44444444444444442</v>
      </c>
      <c r="AW149">
        <f>step3_validation[[#This Row],[AI_TRU4]]</f>
        <v>8</v>
      </c>
      <c r="AX149">
        <f t="shared" si="72"/>
        <v>0.77777777777777779</v>
      </c>
      <c r="AY149">
        <f>survey_responses[[#This Row],[Tôi thấy Nhà nước đã giải thích rõ ràng, minh bạch về lý do và mục tiêu của việc sửa đổi thuế lần này. - HUMAN-TRU4]]</f>
        <v>6</v>
      </c>
      <c r="AZ149">
        <f t="shared" si="73"/>
        <v>0.55555555555555558</v>
      </c>
      <c r="BA149" s="32">
        <f t="shared" si="74"/>
        <v>0.83333333333333326</v>
      </c>
      <c r="BB149" s="32">
        <f t="shared" si="75"/>
        <v>0.52777777777777779</v>
      </c>
      <c r="BC149" s="7">
        <f t="shared" si="76"/>
        <v>0.83333333333333337</v>
      </c>
      <c r="BD149" s="7">
        <f t="shared" si="77"/>
        <v>0.54629629629629628</v>
      </c>
      <c r="BE149">
        <f>step3_validation[[#This Row],[AI_OUT1]]</f>
        <v>9</v>
      </c>
      <c r="BF149">
        <f t="shared" si="78"/>
        <v>0.88888888888888884</v>
      </c>
      <c r="BG149">
        <f>survey_responses[[#This Row],[Sau khi xem xét các quyền lợi và nghĩa vụ, bạn có ủng hộ và tuân thủ chính sách mới hiện nay? - HUMAN-OUT1]]</f>
        <v>7</v>
      </c>
      <c r="BH149">
        <f t="shared" si="79"/>
        <v>0.66666666666666663</v>
      </c>
      <c r="BI149" s="32">
        <f t="shared" si="80"/>
        <v>2</v>
      </c>
    </row>
    <row r="150" spans="1:61" x14ac:dyDescent="0.45">
      <c r="A150" s="30">
        <f>step3_validation[[#This Row],[Persona_ID]]</f>
        <v>149</v>
      </c>
      <c r="B150" s="31">
        <f>step3_validation[[#This Row],[Used_Seed]]</f>
        <v>190</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130.91660072990831</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6</v>
      </c>
      <c r="R150">
        <f t="shared" si="54"/>
        <v>0.55555555555555558</v>
      </c>
      <c r="S150">
        <f>survey_responses[[#This Row],[Tôi tin rằng với các quy định quản lý thuế hiện nay, hành vi gian lận hoặc trốn thuế sẽ dễ dàng bị phát hiện và xử lý nghiêm. - HUMAN-ENF1]]</f>
        <v>10</v>
      </c>
      <c r="T150">
        <f t="shared" si="55"/>
        <v>1</v>
      </c>
      <c r="U150">
        <f>step3_validation[[#This Row],[AI_ENF2]]</f>
        <v>7</v>
      </c>
      <c r="V150">
        <f t="shared" si="56"/>
        <v>0.66666666666666663</v>
      </c>
      <c r="W150">
        <f>survey_responses[[#This Row],[Tôi tin rằng Nhà nước, cơ quan thuế có đủ khả năng và công nghệ để phát hiện, xử lý nghiêm các hành vi trốn thuế. - HUMAN-ENF2]]</f>
        <v>10</v>
      </c>
      <c r="X150">
        <f t="shared" si="57"/>
        <v>1</v>
      </c>
      <c r="Y150" s="32">
        <f t="shared" si="58"/>
        <v>0.61111111111111116</v>
      </c>
      <c r="Z150" s="32">
        <f t="shared" si="59"/>
        <v>1</v>
      </c>
      <c r="AA150">
        <f>step3_validation[[#This Row],[AI_FAC1]]</f>
        <v>9</v>
      </c>
      <c r="AB150">
        <f t="shared" si="60"/>
        <v>0.88888888888888884</v>
      </c>
      <c r="AC150">
        <f>survey_responses[[#This Row],[Các thủ tục khai báo thuế VÀ/HOẶC quy trình làm việc với cơ quan thuế đơn giản, tiện lợi, nhanh chóng hơn so với trước đây. - HUMAN-FAC1]]</f>
        <v>7</v>
      </c>
      <c r="AD150">
        <f t="shared" si="61"/>
        <v>0.66666666666666663</v>
      </c>
      <c r="AE150">
        <f>step3_validation[[#This Row],[AI_FAC2]]</f>
        <v>9</v>
      </c>
      <c r="AF150">
        <f t="shared" si="62"/>
        <v>0.88888888888888884</v>
      </c>
      <c r="AG150">
        <f>survey_responses[[#This Row],[So với trước đây, tôi thấy cách tính thuế và các bậc thuế trong phương án mới đơn giản, dễ hiểu và dễ thực hiện hơn. - HUMAN-FAC2]]</f>
        <v>8</v>
      </c>
      <c r="AH150">
        <f t="shared" si="63"/>
        <v>0.77777777777777779</v>
      </c>
      <c r="AI150" s="32">
        <f t="shared" si="64"/>
        <v>0.88888888888888884</v>
      </c>
      <c r="AJ150" s="32">
        <f t="shared" si="65"/>
        <v>0.72222222222222221</v>
      </c>
      <c r="AK150">
        <f>step3_validation[[#This Row],[AI_TRU1]]</f>
        <v>8</v>
      </c>
      <c r="AL150">
        <f t="shared" si="66"/>
        <v>0.77777777777777779</v>
      </c>
      <c r="AM150">
        <f>survey_responses[[#This Row],[Tôi tin rằng Nhà nước, cơ quan thuế sẽ thực thi chính sách mới một cách khách quan, công tâm và đối xử bình đẳng với mọi người nộp thuế.  - HUMAN-TRU1]]</f>
        <v>8</v>
      </c>
      <c r="AN150">
        <f t="shared" si="67"/>
        <v>0.77777777777777779</v>
      </c>
      <c r="AO150">
        <f>step3_validation[[#This Row],[AI_TRU2]]</f>
        <v>9</v>
      </c>
      <c r="AP150">
        <f t="shared" si="68"/>
        <v>0.88888888888888884</v>
      </c>
      <c r="AQ150">
        <f>survey_responses[[#This Row],[Tôi thấy mức thuế tôi phải đóng theo phương án mới là công bằng (người thu nhập như tôi đóng mức này là hợp lý). - HUMAN-TRU2]]</f>
        <v>4</v>
      </c>
      <c r="AR150">
        <f t="shared" si="69"/>
        <v>0.33333333333333331</v>
      </c>
      <c r="AS150">
        <f>step3_validation[[#This Row],[AI_TRU3]]</f>
        <v>8</v>
      </c>
      <c r="AT150">
        <f t="shared" si="70"/>
        <v>0.77777777777777779</v>
      </c>
      <c r="AU150">
        <f>survey_responses[[#This Row],[Tôi tin tưởng số tiền thuế tôi đóng sẽ được Nhà nước sử dụng hiệu quả để cải thiện dịch vụ công (y tế, đường xá...). - HUMAN-TRU3]]</f>
        <v>1</v>
      </c>
      <c r="AV150">
        <f t="shared" si="71"/>
        <v>0</v>
      </c>
      <c r="AW150">
        <f>step3_validation[[#This Row],[AI_TRU4]]</f>
        <v>9</v>
      </c>
      <c r="AX150">
        <f t="shared" si="72"/>
        <v>0.88888888888888884</v>
      </c>
      <c r="AY150">
        <f>survey_responses[[#This Row],[Tôi thấy Nhà nước đã giải thích rõ ràng, minh bạch về lý do và mục tiêu của việc sửa đổi thuế lần này. - HUMAN-TRU4]]</f>
        <v>3</v>
      </c>
      <c r="AZ150">
        <f t="shared" si="73"/>
        <v>0.22222222222222221</v>
      </c>
      <c r="BA150" s="32">
        <f t="shared" si="74"/>
        <v>0.83333333333333326</v>
      </c>
      <c r="BB150" s="32">
        <f t="shared" si="75"/>
        <v>0.33333333333333337</v>
      </c>
      <c r="BC150" s="7">
        <f t="shared" si="76"/>
        <v>0.77777777777777768</v>
      </c>
      <c r="BD150" s="7">
        <f t="shared" si="77"/>
        <v>0.68518518518518523</v>
      </c>
      <c r="BE150">
        <f>step3_validation[[#This Row],[AI_OUT1]]</f>
        <v>8</v>
      </c>
      <c r="BF150">
        <f t="shared" si="78"/>
        <v>0.77777777777777779</v>
      </c>
      <c r="BG150">
        <f>survey_responses[[#This Row],[Sau khi xem xét các quyền lợi và nghĩa vụ, bạn có ủng hộ và tuân thủ chính sách mới hiện nay? - HUMAN-OUT1]]</f>
        <v>6</v>
      </c>
      <c r="BH150">
        <f t="shared" si="79"/>
        <v>0.55555555555555558</v>
      </c>
      <c r="BI150" s="32">
        <f t="shared" si="80"/>
        <v>2</v>
      </c>
    </row>
    <row r="151" spans="1:61" x14ac:dyDescent="0.45">
      <c r="A151" s="30">
        <f>step3_validation[[#This Row],[Persona_ID]]</f>
        <v>150</v>
      </c>
      <c r="B151" s="31">
        <f>step3_validation[[#This Row],[Used_Seed]]</f>
        <v>191</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64.91024447298237</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7</v>
      </c>
      <c r="R151">
        <f t="shared" si="54"/>
        <v>0.66666666666666663</v>
      </c>
      <c r="S151">
        <f>survey_responses[[#This Row],[Tôi tin rằng với các quy định quản lý thuế hiện nay, hành vi gian lận hoặc trốn thuế sẽ dễ dàng bị phát hiện và xử lý nghiêm. - HUMAN-ENF1]]</f>
        <v>7</v>
      </c>
      <c r="T151">
        <f t="shared" si="55"/>
        <v>0.66666666666666663</v>
      </c>
      <c r="U151">
        <f>step3_validation[[#This Row],[AI_ENF2]]</f>
        <v>6</v>
      </c>
      <c r="V151">
        <f t="shared" si="56"/>
        <v>0.55555555555555558</v>
      </c>
      <c r="W151">
        <f>survey_responses[[#This Row],[Tôi tin rằng Nhà nước, cơ quan thuế có đủ khả năng và công nghệ để phát hiện, xử lý nghiêm các hành vi trốn thuế. - HUMAN-ENF2]]</f>
        <v>10</v>
      </c>
      <c r="X151">
        <f t="shared" si="57"/>
        <v>1</v>
      </c>
      <c r="Y151" s="32">
        <f t="shared" si="58"/>
        <v>0.61111111111111116</v>
      </c>
      <c r="Z151" s="32">
        <f t="shared" si="59"/>
        <v>0.83333333333333326</v>
      </c>
      <c r="AA151">
        <f>step3_validation[[#This Row],[AI_FAC1]]</f>
        <v>8</v>
      </c>
      <c r="AB151">
        <f t="shared" si="60"/>
        <v>0.77777777777777779</v>
      </c>
      <c r="AC151">
        <f>survey_responses[[#This Row],[Các thủ tục khai báo thuế VÀ/HOẶC quy trình làm việc với cơ quan thuế đơn giản, tiện lợi, nhanh chóng hơn so với trước đây. - HUMAN-FAC1]]</f>
        <v>5</v>
      </c>
      <c r="AD151">
        <f t="shared" si="61"/>
        <v>0.44444444444444442</v>
      </c>
      <c r="AE151">
        <f>step3_validation[[#This Row],[AI_FAC2]]</f>
        <v>9</v>
      </c>
      <c r="AF151">
        <f t="shared" si="62"/>
        <v>0.88888888888888884</v>
      </c>
      <c r="AG151">
        <f>survey_responses[[#This Row],[So với trước đây, tôi thấy cách tính thuế và các bậc thuế trong phương án mới đơn giản, dễ hiểu và dễ thực hiện hơn. - HUMAN-FAC2]]</f>
        <v>7</v>
      </c>
      <c r="AH151">
        <f t="shared" si="63"/>
        <v>0.66666666666666663</v>
      </c>
      <c r="AI151" s="32">
        <f t="shared" si="64"/>
        <v>0.83333333333333326</v>
      </c>
      <c r="AJ151" s="32">
        <f t="shared" si="65"/>
        <v>0.55555555555555558</v>
      </c>
      <c r="AK151">
        <f>step3_validation[[#This Row],[AI_TRU1]]</f>
        <v>7</v>
      </c>
      <c r="AL151">
        <f t="shared" si="66"/>
        <v>0.66666666666666663</v>
      </c>
      <c r="AM151">
        <f>survey_responses[[#This Row],[Tôi tin rằng Nhà nước, cơ quan thuế sẽ thực thi chính sách mới một cách khách quan, công tâm và đối xử bình đẳng với mọi người nộp thuế.  - HUMAN-TRU1]]</f>
        <v>7</v>
      </c>
      <c r="AN151">
        <f t="shared" si="67"/>
        <v>0.66666666666666663</v>
      </c>
      <c r="AO151">
        <f>step3_validation[[#This Row],[AI_TRU2]]</f>
        <v>9</v>
      </c>
      <c r="AP151">
        <f t="shared" si="68"/>
        <v>0.88888888888888884</v>
      </c>
      <c r="AQ151">
        <f>survey_responses[[#This Row],[Tôi thấy mức thuế tôi phải đóng theo phương án mới là công bằng (người thu nhập như tôi đóng mức này là hợp lý). - HUMAN-TRU2]]</f>
        <v>7</v>
      </c>
      <c r="AR151">
        <f t="shared" si="69"/>
        <v>0.66666666666666663</v>
      </c>
      <c r="AS151">
        <f>step3_validation[[#This Row],[AI_TRU3]]</f>
        <v>6</v>
      </c>
      <c r="AT151">
        <f t="shared" si="70"/>
        <v>0.55555555555555558</v>
      </c>
      <c r="AU151">
        <f>survey_responses[[#This Row],[Tôi tin tưởng số tiền thuế tôi đóng sẽ được Nhà nước sử dụng hiệu quả để cải thiện dịch vụ công (y tế, đường xá...). - HUMAN-TRU3]]</f>
        <v>7</v>
      </c>
      <c r="AV151">
        <f t="shared" si="71"/>
        <v>0.66666666666666663</v>
      </c>
      <c r="AW151">
        <f>step3_validation[[#This Row],[AI_TRU4]]</f>
        <v>7</v>
      </c>
      <c r="AX151">
        <f t="shared" si="72"/>
        <v>0.66666666666666663</v>
      </c>
      <c r="AY151">
        <f>survey_responses[[#This Row],[Tôi thấy Nhà nước đã giải thích rõ ràng, minh bạch về lý do và mục tiêu của việc sửa đổi thuế lần này. - HUMAN-TRU4]]</f>
        <v>7</v>
      </c>
      <c r="AZ151">
        <f t="shared" si="73"/>
        <v>0.66666666666666663</v>
      </c>
      <c r="BA151" s="32">
        <f t="shared" si="74"/>
        <v>0.69444444444444431</v>
      </c>
      <c r="BB151" s="32">
        <f t="shared" si="75"/>
        <v>0.66666666666666663</v>
      </c>
      <c r="BC151" s="7">
        <f t="shared" si="76"/>
        <v>0.71296296296296291</v>
      </c>
      <c r="BD151" s="7">
        <f t="shared" si="77"/>
        <v>0.68518518518518512</v>
      </c>
      <c r="BE151">
        <f>step3_validation[[#This Row],[AI_OUT1]]</f>
        <v>8</v>
      </c>
      <c r="BF151">
        <f t="shared" si="78"/>
        <v>0.77777777777777779</v>
      </c>
      <c r="BG151">
        <f>survey_responses[[#This Row],[Sau khi xem xét các quyền lợi và nghĩa vụ, bạn có ủng hộ và tuân thủ chính sách mới hiện nay? - HUMAN-OUT1]]</f>
        <v>10</v>
      </c>
      <c r="BH151">
        <f t="shared" si="79"/>
        <v>1</v>
      </c>
      <c r="BI151" s="32">
        <f t="shared" si="80"/>
        <v>2</v>
      </c>
    </row>
    <row r="152" spans="1:61" x14ac:dyDescent="0.45">
      <c r="A152" s="30">
        <f>step3_validation[[#This Row],[Persona_ID]]</f>
        <v>151</v>
      </c>
      <c r="B152" s="31">
        <f>step3_validation[[#This Row],[Used_Seed]]</f>
        <v>192</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99.654731348476687</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7</v>
      </c>
      <c r="R152">
        <f t="shared" si="54"/>
        <v>0.66666666666666663</v>
      </c>
      <c r="S152">
        <f>survey_responses[[#This Row],[Tôi tin rằng với các quy định quản lý thuế hiện nay, hành vi gian lận hoặc trốn thuế sẽ dễ dàng bị phát hiện và xử lý nghiêm. - HUMAN-ENF1]]</f>
        <v>8</v>
      </c>
      <c r="T152">
        <f t="shared" si="55"/>
        <v>0.77777777777777779</v>
      </c>
      <c r="U152">
        <f>step3_validation[[#This Row],[AI_ENF2]]</f>
        <v>9</v>
      </c>
      <c r="V152">
        <f t="shared" si="56"/>
        <v>0.88888888888888884</v>
      </c>
      <c r="W152">
        <f>survey_responses[[#This Row],[Tôi tin rằng Nhà nước, cơ quan thuế có đủ khả năng và công nghệ để phát hiện, xử lý nghiêm các hành vi trốn thuế. - HUMAN-ENF2]]</f>
        <v>8</v>
      </c>
      <c r="X152">
        <f t="shared" si="57"/>
        <v>0.77777777777777779</v>
      </c>
      <c r="Y152" s="32">
        <f t="shared" si="58"/>
        <v>0.77777777777777768</v>
      </c>
      <c r="Z152" s="32">
        <f t="shared" si="59"/>
        <v>0.77777777777777779</v>
      </c>
      <c r="AA152">
        <f>step3_validation[[#This Row],[AI_FAC1]]</f>
        <v>8</v>
      </c>
      <c r="AB152">
        <f t="shared" si="60"/>
        <v>0.77777777777777779</v>
      </c>
      <c r="AC152">
        <f>survey_responses[[#This Row],[Các thủ tục khai báo thuế VÀ/HOẶC quy trình làm việc với cơ quan thuế đơn giản, tiện lợi, nhanh chóng hơn so với trước đây. - HUMAN-FAC1]]</f>
        <v>8</v>
      </c>
      <c r="AD152">
        <f t="shared" si="61"/>
        <v>0.77777777777777779</v>
      </c>
      <c r="AE152">
        <f>step3_validation[[#This Row],[AI_FAC2]]</f>
        <v>9</v>
      </c>
      <c r="AF152">
        <f t="shared" si="62"/>
        <v>0.88888888888888884</v>
      </c>
      <c r="AG152">
        <f>survey_responses[[#This Row],[So với trước đây, tôi thấy cách tính thuế và các bậc thuế trong phương án mới đơn giản, dễ hiểu và dễ thực hiện hơn. - HUMAN-FAC2]]</f>
        <v>8</v>
      </c>
      <c r="AH152">
        <f t="shared" si="63"/>
        <v>0.77777777777777779</v>
      </c>
      <c r="AI152" s="32">
        <f t="shared" si="64"/>
        <v>0.83333333333333326</v>
      </c>
      <c r="AJ152" s="32">
        <f t="shared" si="65"/>
        <v>0.77777777777777779</v>
      </c>
      <c r="AK152">
        <f>step3_validation[[#This Row],[AI_TRU1]]</f>
        <v>7</v>
      </c>
      <c r="AL152">
        <f t="shared" si="66"/>
        <v>0.66666666666666663</v>
      </c>
      <c r="AM152">
        <f>survey_responses[[#This Row],[Tôi tin rằng Nhà nước, cơ quan thuế sẽ thực thi chính sách mới một cách khách quan, công tâm và đối xử bình đẳng với mọi người nộp thuế.  - HUMAN-TRU1]]</f>
        <v>8</v>
      </c>
      <c r="AN152">
        <f t="shared" si="67"/>
        <v>0.77777777777777779</v>
      </c>
      <c r="AO152">
        <f>step3_validation[[#This Row],[AI_TRU2]]</f>
        <v>8</v>
      </c>
      <c r="AP152">
        <f t="shared" si="68"/>
        <v>0.77777777777777779</v>
      </c>
      <c r="AQ152">
        <f>survey_responses[[#This Row],[Tôi thấy mức thuế tôi phải đóng theo phương án mới là công bằng (người thu nhập như tôi đóng mức này là hợp lý). - HUMAN-TRU2]]</f>
        <v>8</v>
      </c>
      <c r="AR152">
        <f t="shared" si="69"/>
        <v>0.77777777777777779</v>
      </c>
      <c r="AS152">
        <f>step3_validation[[#This Row],[AI_TRU3]]</f>
        <v>6</v>
      </c>
      <c r="AT152">
        <f t="shared" si="70"/>
        <v>0.55555555555555558</v>
      </c>
      <c r="AU152">
        <f>survey_responses[[#This Row],[Tôi tin tưởng số tiền thuế tôi đóng sẽ được Nhà nước sử dụng hiệu quả để cải thiện dịch vụ công (y tế, đường xá...). - HUMAN-TRU3]]</f>
        <v>8</v>
      </c>
      <c r="AV152">
        <f t="shared" si="71"/>
        <v>0.77777777777777779</v>
      </c>
      <c r="AW152">
        <f>step3_validation[[#This Row],[AI_TRU4]]</f>
        <v>9</v>
      </c>
      <c r="AX152">
        <f t="shared" si="72"/>
        <v>0.88888888888888884</v>
      </c>
      <c r="AY152">
        <f>survey_responses[[#This Row],[Tôi thấy Nhà nước đã giải thích rõ ràng, minh bạch về lý do và mục tiêu của việc sửa đổi thuế lần này. - HUMAN-TRU4]]</f>
        <v>8</v>
      </c>
      <c r="AZ152">
        <f t="shared" si="73"/>
        <v>0.77777777777777779</v>
      </c>
      <c r="BA152" s="32">
        <f t="shared" si="74"/>
        <v>0.72222222222222221</v>
      </c>
      <c r="BB152" s="32">
        <f t="shared" si="75"/>
        <v>0.77777777777777779</v>
      </c>
      <c r="BC152" s="7">
        <f t="shared" si="76"/>
        <v>0.77777777777777768</v>
      </c>
      <c r="BD152" s="7">
        <f t="shared" si="77"/>
        <v>0.77777777777777779</v>
      </c>
      <c r="BE152">
        <f>step3_validation[[#This Row],[AI_OUT1]]</f>
        <v>8</v>
      </c>
      <c r="BF152">
        <f t="shared" si="78"/>
        <v>0.77777777777777779</v>
      </c>
      <c r="BG152">
        <f>survey_responses[[#This Row],[Sau khi xem xét các quyền lợi và nghĩa vụ, bạn có ủng hộ và tuân thủ chính sách mới hiện nay? - HUMAN-OUT1]]</f>
        <v>8</v>
      </c>
      <c r="BH152">
        <f t="shared" si="79"/>
        <v>0.77777777777777779</v>
      </c>
      <c r="BI152" s="32">
        <f t="shared" si="80"/>
        <v>0</v>
      </c>
    </row>
    <row r="153" spans="1:61" x14ac:dyDescent="0.45">
      <c r="A153" s="30">
        <f>step3_validation[[#This Row],[Persona_ID]]</f>
        <v>152</v>
      </c>
      <c r="B153" s="31">
        <f>step3_validation[[#This Row],[Used_Seed]]</f>
        <v>193</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75.496027824512325</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6</v>
      </c>
      <c r="R153">
        <f t="shared" si="54"/>
        <v>0.55555555555555558</v>
      </c>
      <c r="S153">
        <f>survey_responses[[#This Row],[Tôi tin rằng với các quy định quản lý thuế hiện nay, hành vi gian lận hoặc trốn thuế sẽ dễ dàng bị phát hiện và xử lý nghiêm. - HUMAN-ENF1]]</f>
        <v>10</v>
      </c>
      <c r="T153">
        <f t="shared" si="55"/>
        <v>1</v>
      </c>
      <c r="U153">
        <f>step3_validation[[#This Row],[AI_ENF2]]</f>
        <v>7</v>
      </c>
      <c r="V153">
        <f t="shared" si="56"/>
        <v>0.66666666666666663</v>
      </c>
      <c r="W153">
        <f>survey_responses[[#This Row],[Tôi tin rằng Nhà nước, cơ quan thuế có đủ khả năng và công nghệ để phát hiện, xử lý nghiêm các hành vi trốn thuế. - HUMAN-ENF2]]</f>
        <v>10</v>
      </c>
      <c r="X153">
        <f t="shared" si="57"/>
        <v>1</v>
      </c>
      <c r="Y153" s="32">
        <f t="shared" si="58"/>
        <v>0.61111111111111116</v>
      </c>
      <c r="Z153" s="32">
        <f t="shared" si="59"/>
        <v>1</v>
      </c>
      <c r="AA153">
        <f>step3_validation[[#This Row],[AI_FAC1]]</f>
        <v>8</v>
      </c>
      <c r="AB153">
        <f t="shared" si="60"/>
        <v>0.77777777777777779</v>
      </c>
      <c r="AC153">
        <f>survey_responses[[#This Row],[Các thủ tục khai báo thuế VÀ/HOẶC quy trình làm việc với cơ quan thuế đơn giản, tiện lợi, nhanh chóng hơn so với trước đây. - HUMAN-FAC1]]</f>
        <v>10</v>
      </c>
      <c r="AD153">
        <f t="shared" si="61"/>
        <v>1</v>
      </c>
      <c r="AE153">
        <f>step3_validation[[#This Row],[AI_FAC2]]</f>
        <v>9</v>
      </c>
      <c r="AF153">
        <f t="shared" si="62"/>
        <v>0.88888888888888884</v>
      </c>
      <c r="AG153">
        <f>survey_responses[[#This Row],[So với trước đây, tôi thấy cách tính thuế và các bậc thuế trong phương án mới đơn giản, dễ hiểu và dễ thực hiện hơn. - HUMAN-FAC2]]</f>
        <v>10</v>
      </c>
      <c r="AH153">
        <f t="shared" si="63"/>
        <v>1</v>
      </c>
      <c r="AI153" s="32">
        <f t="shared" si="64"/>
        <v>0.83333333333333326</v>
      </c>
      <c r="AJ153" s="32">
        <f t="shared" si="65"/>
        <v>1</v>
      </c>
      <c r="AK153">
        <f>step3_validation[[#This Row],[AI_TRU1]]</f>
        <v>8</v>
      </c>
      <c r="AL153">
        <f t="shared" si="66"/>
        <v>0.77777777777777779</v>
      </c>
      <c r="AM153">
        <f>survey_responses[[#This Row],[Tôi tin rằng Nhà nước, cơ quan thuế sẽ thực thi chính sách mới một cách khách quan, công tâm và đối xử bình đẳng với mọi người nộp thuế.  - HUMAN-TRU1]]</f>
        <v>10</v>
      </c>
      <c r="AN153">
        <f t="shared" si="67"/>
        <v>1</v>
      </c>
      <c r="AO153">
        <f>step3_validation[[#This Row],[AI_TRU2]]</f>
        <v>9</v>
      </c>
      <c r="AP153">
        <f t="shared" si="68"/>
        <v>0.88888888888888884</v>
      </c>
      <c r="AQ153">
        <f>survey_responses[[#This Row],[Tôi thấy mức thuế tôi phải đóng theo phương án mới là công bằng (người thu nhập như tôi đóng mức này là hợp lý). - HUMAN-TRU2]]</f>
        <v>10</v>
      </c>
      <c r="AR153">
        <f t="shared" si="69"/>
        <v>1</v>
      </c>
      <c r="AS153">
        <f>step3_validation[[#This Row],[AI_TRU3]]</f>
        <v>8</v>
      </c>
      <c r="AT153">
        <f t="shared" si="70"/>
        <v>0.77777777777777779</v>
      </c>
      <c r="AU153">
        <f>survey_responses[[#This Row],[Tôi tin tưởng số tiền thuế tôi đóng sẽ được Nhà nước sử dụng hiệu quả để cải thiện dịch vụ công (y tế, đường xá...). - HUMAN-TRU3]]</f>
        <v>10</v>
      </c>
      <c r="AV153">
        <f t="shared" si="71"/>
        <v>1</v>
      </c>
      <c r="AW153">
        <f>step3_validation[[#This Row],[AI_TRU4]]</f>
        <v>7</v>
      </c>
      <c r="AX153">
        <f t="shared" si="72"/>
        <v>0.66666666666666663</v>
      </c>
      <c r="AY153">
        <f>survey_responses[[#This Row],[Tôi thấy Nhà nước đã giải thích rõ ràng, minh bạch về lý do và mục tiêu của việc sửa đổi thuế lần này. - HUMAN-TRU4]]</f>
        <v>10</v>
      </c>
      <c r="AZ153">
        <f t="shared" si="73"/>
        <v>1</v>
      </c>
      <c r="BA153" s="32">
        <f t="shared" si="74"/>
        <v>0.77777777777777768</v>
      </c>
      <c r="BB153" s="32">
        <f t="shared" si="75"/>
        <v>1</v>
      </c>
      <c r="BC153" s="7">
        <f t="shared" si="76"/>
        <v>0.74074074074074081</v>
      </c>
      <c r="BD153" s="7">
        <f t="shared" si="77"/>
        <v>1</v>
      </c>
      <c r="BE153">
        <f>step3_validation[[#This Row],[AI_OUT1]]</f>
        <v>9</v>
      </c>
      <c r="BF153">
        <f t="shared" si="78"/>
        <v>0.88888888888888884</v>
      </c>
      <c r="BG153">
        <f>survey_responses[[#This Row],[Sau khi xem xét các quyền lợi và nghĩa vụ, bạn có ủng hộ và tuân thủ chính sách mới hiện nay? - HUMAN-OUT1]]</f>
        <v>10</v>
      </c>
      <c r="BH153">
        <f t="shared" si="79"/>
        <v>1</v>
      </c>
      <c r="BI153" s="32">
        <f t="shared" si="80"/>
        <v>1</v>
      </c>
    </row>
    <row r="154" spans="1:61" x14ac:dyDescent="0.45">
      <c r="A154" s="30">
        <f>step3_validation[[#This Row],[Persona_ID]]</f>
        <v>153</v>
      </c>
      <c r="B154" s="31">
        <f>step3_validation[[#This Row],[Used_Seed]]</f>
        <v>194</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10</v>
      </c>
      <c r="R154">
        <f t="shared" si="54"/>
        <v>1</v>
      </c>
      <c r="S154">
        <f>survey_responses[[#This Row],[Tôi tin rằng với các quy định quản lý thuế hiện nay, hành vi gian lận hoặc trốn thuế sẽ dễ dàng bị phát hiện và xử lý nghiêm. - HUMAN-ENF1]]</f>
        <v>7</v>
      </c>
      <c r="T154">
        <f t="shared" si="55"/>
        <v>0.66666666666666663</v>
      </c>
      <c r="U154">
        <f>step3_validation[[#This Row],[AI_ENF2]]</f>
        <v>2</v>
      </c>
      <c r="V154">
        <f t="shared" si="56"/>
        <v>0.1111111111111111</v>
      </c>
      <c r="W154">
        <f>survey_responses[[#This Row],[Tôi tin rằng Nhà nước, cơ quan thuế có đủ khả năng và công nghệ để phát hiện, xử lý nghiêm các hành vi trốn thuế. - HUMAN-ENF2]]</f>
        <v>7</v>
      </c>
      <c r="X154">
        <f t="shared" si="57"/>
        <v>0.66666666666666663</v>
      </c>
      <c r="Y154" s="32">
        <f t="shared" si="58"/>
        <v>0.55555555555555558</v>
      </c>
      <c r="Z154" s="32">
        <f t="shared" si="59"/>
        <v>0.66666666666666663</v>
      </c>
      <c r="AA154">
        <f>step3_validation[[#This Row],[AI_FAC1]]</f>
        <v>10</v>
      </c>
      <c r="AB154">
        <f t="shared" si="60"/>
        <v>1</v>
      </c>
      <c r="AC154">
        <f>survey_responses[[#This Row],[Các thủ tục khai báo thuế VÀ/HOẶC quy trình làm việc với cơ quan thuế đơn giản, tiện lợi, nhanh chóng hơn so với trước đây. - HUMAN-FAC1]]</f>
        <v>5</v>
      </c>
      <c r="AD154">
        <f t="shared" si="61"/>
        <v>0.44444444444444442</v>
      </c>
      <c r="AE154">
        <f>step3_validation[[#This Row],[AI_FAC2]]</f>
        <v>10</v>
      </c>
      <c r="AF154">
        <f t="shared" si="62"/>
        <v>1</v>
      </c>
      <c r="AG154">
        <f>survey_responses[[#This Row],[So với trước đây, tôi thấy cách tính thuế và các bậc thuế trong phương án mới đơn giản, dễ hiểu và dễ thực hiện hơn. - HUMAN-FAC2]]</f>
        <v>7</v>
      </c>
      <c r="AH154">
        <f t="shared" si="63"/>
        <v>0.66666666666666663</v>
      </c>
      <c r="AI154" s="32">
        <f t="shared" si="64"/>
        <v>1</v>
      </c>
      <c r="AJ154" s="32">
        <f t="shared" si="65"/>
        <v>0.55555555555555558</v>
      </c>
      <c r="AK154">
        <f>step3_validation[[#This Row],[AI_TRU1]]</f>
        <v>10</v>
      </c>
      <c r="AL154">
        <f t="shared" si="66"/>
        <v>1</v>
      </c>
      <c r="AM154">
        <f>survey_responses[[#This Row],[Tôi tin rằng Nhà nước, cơ quan thuế sẽ thực thi chính sách mới một cách khách quan, công tâm và đối xử bình đẳng với mọi người nộp thuế.  - HUMAN-TRU1]]</f>
        <v>7</v>
      </c>
      <c r="AN154">
        <f t="shared" si="67"/>
        <v>0.66666666666666663</v>
      </c>
      <c r="AO154">
        <f>step3_validation[[#This Row],[AI_TRU2]]</f>
        <v>10</v>
      </c>
      <c r="AP154">
        <f t="shared" si="68"/>
        <v>1</v>
      </c>
      <c r="AQ154">
        <f>survey_responses[[#This Row],[Tôi thấy mức thuế tôi phải đóng theo phương án mới là công bằng (người thu nhập như tôi đóng mức này là hợp lý). - HUMAN-TRU2]]</f>
        <v>7</v>
      </c>
      <c r="AR154">
        <f t="shared" si="69"/>
        <v>0.66666666666666663</v>
      </c>
      <c r="AS154">
        <f>step3_validation[[#This Row],[AI_TRU3]]</f>
        <v>10</v>
      </c>
      <c r="AT154">
        <f t="shared" si="70"/>
        <v>1</v>
      </c>
      <c r="AU154">
        <f>survey_responses[[#This Row],[Tôi tin tưởng số tiền thuế tôi đóng sẽ được Nhà nước sử dụng hiệu quả để cải thiện dịch vụ công (y tế, đường xá...). - HUMAN-TRU3]]</f>
        <v>7</v>
      </c>
      <c r="AV154">
        <f t="shared" si="71"/>
        <v>0.66666666666666663</v>
      </c>
      <c r="AW154">
        <f>step3_validation[[#This Row],[AI_TRU4]]</f>
        <v>10</v>
      </c>
      <c r="AX154">
        <f t="shared" si="72"/>
        <v>1</v>
      </c>
      <c r="AY154">
        <f>survey_responses[[#This Row],[Tôi thấy Nhà nước đã giải thích rõ ràng, minh bạch về lý do và mục tiêu của việc sửa đổi thuế lần này. - HUMAN-TRU4]]</f>
        <v>7</v>
      </c>
      <c r="AZ154">
        <f t="shared" si="73"/>
        <v>0.66666666666666663</v>
      </c>
      <c r="BA154" s="32">
        <f t="shared" si="74"/>
        <v>1</v>
      </c>
      <c r="BB154" s="32">
        <f t="shared" si="75"/>
        <v>0.66666666666666663</v>
      </c>
      <c r="BC154" s="7">
        <f t="shared" si="76"/>
        <v>0.85185185185185175</v>
      </c>
      <c r="BD154" s="7">
        <f t="shared" si="77"/>
        <v>0.62962962962962965</v>
      </c>
      <c r="BE154">
        <f>step3_validation[[#This Row],[AI_OUT1]]</f>
        <v>10</v>
      </c>
      <c r="BF154">
        <f t="shared" si="78"/>
        <v>1</v>
      </c>
      <c r="BG154">
        <f>survey_responses[[#This Row],[Sau khi xem xét các quyền lợi và nghĩa vụ, bạn có ủng hộ và tuân thủ chính sách mới hiện nay? - HUMAN-OUT1]]</f>
        <v>7</v>
      </c>
      <c r="BH154">
        <f t="shared" si="79"/>
        <v>0.66666666666666663</v>
      </c>
      <c r="BI154" s="32">
        <f t="shared" si="80"/>
        <v>3</v>
      </c>
    </row>
    <row r="155" spans="1:61" x14ac:dyDescent="0.45">
      <c r="A155" s="30">
        <f>step3_validation[[#This Row],[Persona_ID]]</f>
        <v>154</v>
      </c>
      <c r="B155" s="31">
        <f>step3_validation[[#This Row],[Used_Seed]]</f>
        <v>195</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6</v>
      </c>
      <c r="R155">
        <f t="shared" si="54"/>
        <v>0.55555555555555558</v>
      </c>
      <c r="S155">
        <f>survey_responses[[#This Row],[Tôi tin rằng với các quy định quản lý thuế hiện nay, hành vi gian lận hoặc trốn thuế sẽ dễ dàng bị phát hiện và xử lý nghiêm. - HUMAN-ENF1]]</f>
        <v>7</v>
      </c>
      <c r="T155">
        <f t="shared" si="55"/>
        <v>0.66666666666666663</v>
      </c>
      <c r="U155">
        <f>step3_validation[[#This Row],[AI_ENF2]]</f>
        <v>7</v>
      </c>
      <c r="V155">
        <f t="shared" si="56"/>
        <v>0.66666666666666663</v>
      </c>
      <c r="W155">
        <f>survey_responses[[#This Row],[Tôi tin rằng Nhà nước, cơ quan thuế có đủ khả năng và công nghệ để phát hiện, xử lý nghiêm các hành vi trốn thuế. - HUMAN-ENF2]]</f>
        <v>8</v>
      </c>
      <c r="X155">
        <f t="shared" si="57"/>
        <v>0.77777777777777779</v>
      </c>
      <c r="Y155" s="32">
        <f t="shared" si="58"/>
        <v>0.61111111111111116</v>
      </c>
      <c r="Z155" s="32">
        <f t="shared" si="59"/>
        <v>0.72222222222222221</v>
      </c>
      <c r="AA155">
        <f>step3_validation[[#This Row],[AI_FAC1]]</f>
        <v>9</v>
      </c>
      <c r="AB155">
        <f t="shared" si="60"/>
        <v>0.88888888888888884</v>
      </c>
      <c r="AC155">
        <f>survey_responses[[#This Row],[Các thủ tục khai báo thuế VÀ/HOẶC quy trình làm việc với cơ quan thuế đơn giản, tiện lợi, nhanh chóng hơn so với trước đây. - HUMAN-FAC1]]</f>
        <v>8</v>
      </c>
      <c r="AD155">
        <f t="shared" si="61"/>
        <v>0.77777777777777779</v>
      </c>
      <c r="AE155">
        <f>step3_validation[[#This Row],[AI_FAC2]]</f>
        <v>8</v>
      </c>
      <c r="AF155">
        <f t="shared" si="62"/>
        <v>0.77777777777777779</v>
      </c>
      <c r="AG155">
        <f>survey_responses[[#This Row],[So với trước đây, tôi thấy cách tính thuế và các bậc thuế trong phương án mới đơn giản, dễ hiểu và dễ thực hiện hơn. - HUMAN-FAC2]]</f>
        <v>8</v>
      </c>
      <c r="AH155">
        <f t="shared" si="63"/>
        <v>0.77777777777777779</v>
      </c>
      <c r="AI155" s="32">
        <f t="shared" si="64"/>
        <v>0.83333333333333326</v>
      </c>
      <c r="AJ155" s="32">
        <f t="shared" si="65"/>
        <v>0.77777777777777779</v>
      </c>
      <c r="AK155">
        <f>step3_validation[[#This Row],[AI_TRU1]]</f>
        <v>9</v>
      </c>
      <c r="AL155">
        <f t="shared" si="66"/>
        <v>0.88888888888888884</v>
      </c>
      <c r="AM155">
        <f>survey_responses[[#This Row],[Tôi tin rằng Nhà nước, cơ quan thuế sẽ thực thi chính sách mới một cách khách quan, công tâm và đối xử bình đẳng với mọi người nộp thuế.  - HUMAN-TRU1]]</f>
        <v>6</v>
      </c>
      <c r="AN155">
        <f t="shared" si="67"/>
        <v>0.55555555555555558</v>
      </c>
      <c r="AO155">
        <f>step3_validation[[#This Row],[AI_TRU2]]</f>
        <v>8</v>
      </c>
      <c r="AP155">
        <f t="shared" si="68"/>
        <v>0.77777777777777779</v>
      </c>
      <c r="AQ155">
        <f>survey_responses[[#This Row],[Tôi thấy mức thuế tôi phải đóng theo phương án mới là công bằng (người thu nhập như tôi đóng mức này là hợp lý). - HUMAN-TRU2]]</f>
        <v>8</v>
      </c>
      <c r="AR155">
        <f t="shared" si="69"/>
        <v>0.77777777777777779</v>
      </c>
      <c r="AS155">
        <f>step3_validation[[#This Row],[AI_TRU3]]</f>
        <v>9</v>
      </c>
      <c r="AT155">
        <f t="shared" si="70"/>
        <v>0.88888888888888884</v>
      </c>
      <c r="AU155">
        <f>survey_responses[[#This Row],[Tôi tin tưởng số tiền thuế tôi đóng sẽ được Nhà nước sử dụng hiệu quả để cải thiện dịch vụ công (y tế, đường xá...). - HUMAN-TRU3]]</f>
        <v>5</v>
      </c>
      <c r="AV155">
        <f t="shared" si="71"/>
        <v>0.44444444444444442</v>
      </c>
      <c r="AW155">
        <f>step3_validation[[#This Row],[AI_TRU4]]</f>
        <v>8</v>
      </c>
      <c r="AX155">
        <f t="shared" si="72"/>
        <v>0.77777777777777779</v>
      </c>
      <c r="AY155">
        <f>survey_responses[[#This Row],[Tôi thấy Nhà nước đã giải thích rõ ràng, minh bạch về lý do và mục tiêu của việc sửa đổi thuế lần này. - HUMAN-TRU4]]</f>
        <v>8</v>
      </c>
      <c r="AZ155">
        <f t="shared" si="73"/>
        <v>0.77777777777777779</v>
      </c>
      <c r="BA155" s="32">
        <f t="shared" si="74"/>
        <v>0.83333333333333326</v>
      </c>
      <c r="BB155" s="32">
        <f t="shared" si="75"/>
        <v>0.63888888888888895</v>
      </c>
      <c r="BC155" s="7">
        <f t="shared" si="76"/>
        <v>0.75925925925925919</v>
      </c>
      <c r="BD155" s="7">
        <f t="shared" si="77"/>
        <v>0.71296296296296291</v>
      </c>
      <c r="BE155">
        <f>step3_validation[[#This Row],[AI_OUT1]]</f>
        <v>9</v>
      </c>
      <c r="BF155">
        <f t="shared" si="78"/>
        <v>0.88888888888888884</v>
      </c>
      <c r="BG155">
        <f>survey_responses[[#This Row],[Sau khi xem xét các quyền lợi và nghĩa vụ, bạn có ủng hộ và tuân thủ chính sách mới hiện nay? - HUMAN-OUT1]]</f>
        <v>8</v>
      </c>
      <c r="BH155">
        <f t="shared" si="79"/>
        <v>0.77777777777777779</v>
      </c>
      <c r="BI155" s="32">
        <f t="shared" si="80"/>
        <v>1</v>
      </c>
    </row>
    <row r="156" spans="1:61" x14ac:dyDescent="0.45">
      <c r="A156" s="30">
        <f>step3_validation[[#This Row],[Persona_ID]]</f>
        <v>155</v>
      </c>
      <c r="B156" s="31">
        <f>step3_validation[[#This Row],[Used_Seed]]</f>
        <v>196</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49.56805591050923</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7</v>
      </c>
      <c r="R156">
        <f t="shared" si="54"/>
        <v>0.66666666666666663</v>
      </c>
      <c r="S156">
        <f>survey_responses[[#This Row],[Tôi tin rằng với các quy định quản lý thuế hiện nay, hành vi gian lận hoặc trốn thuế sẽ dễ dàng bị phát hiện và xử lý nghiêm. - HUMAN-ENF1]]</f>
        <v>10</v>
      </c>
      <c r="T156">
        <f t="shared" si="55"/>
        <v>1</v>
      </c>
      <c r="U156">
        <f>step3_validation[[#This Row],[AI_ENF2]]</f>
        <v>8</v>
      </c>
      <c r="V156">
        <f t="shared" si="56"/>
        <v>0.77777777777777779</v>
      </c>
      <c r="W156">
        <f>survey_responses[[#This Row],[Tôi tin rằng Nhà nước, cơ quan thuế có đủ khả năng và công nghệ để phát hiện, xử lý nghiêm các hành vi trốn thuế. - HUMAN-ENF2]]</f>
        <v>10</v>
      </c>
      <c r="X156">
        <f t="shared" si="57"/>
        <v>1</v>
      </c>
      <c r="Y156" s="32">
        <f t="shared" si="58"/>
        <v>0.72222222222222221</v>
      </c>
      <c r="Z156" s="32">
        <f t="shared" si="59"/>
        <v>1</v>
      </c>
      <c r="AA156">
        <f>step3_validation[[#This Row],[AI_FAC1]]</f>
        <v>7</v>
      </c>
      <c r="AB156">
        <f t="shared" si="60"/>
        <v>0.66666666666666663</v>
      </c>
      <c r="AC156">
        <f>survey_responses[[#This Row],[Các thủ tục khai báo thuế VÀ/HOẶC quy trình làm việc với cơ quan thuế đơn giản, tiện lợi, nhanh chóng hơn so với trước đây. - HUMAN-FAC1]]</f>
        <v>10</v>
      </c>
      <c r="AD156">
        <f t="shared" si="61"/>
        <v>1</v>
      </c>
      <c r="AE156">
        <f>step3_validation[[#This Row],[AI_FAC2]]</f>
        <v>9</v>
      </c>
      <c r="AF156">
        <f t="shared" si="62"/>
        <v>0.88888888888888884</v>
      </c>
      <c r="AG156">
        <f>survey_responses[[#This Row],[So với trước đây, tôi thấy cách tính thuế và các bậc thuế trong phương án mới đơn giản, dễ hiểu và dễ thực hiện hơn. - HUMAN-FAC2]]</f>
        <v>10</v>
      </c>
      <c r="AH156">
        <f t="shared" si="63"/>
        <v>1</v>
      </c>
      <c r="AI156" s="32">
        <f t="shared" si="64"/>
        <v>0.77777777777777768</v>
      </c>
      <c r="AJ156" s="32">
        <f t="shared" si="65"/>
        <v>1</v>
      </c>
      <c r="AK156">
        <f>step3_validation[[#This Row],[AI_TRU1]]</f>
        <v>6</v>
      </c>
      <c r="AL156">
        <f t="shared" si="66"/>
        <v>0.55555555555555558</v>
      </c>
      <c r="AM156">
        <f>survey_responses[[#This Row],[Tôi tin rằng Nhà nước, cơ quan thuế sẽ thực thi chính sách mới một cách khách quan, công tâm và đối xử bình đẳng với mọi người nộp thuế.  - HUMAN-TRU1]]</f>
        <v>10</v>
      </c>
      <c r="AN156">
        <f t="shared" si="67"/>
        <v>1</v>
      </c>
      <c r="AO156">
        <f>step3_validation[[#This Row],[AI_TRU2]]</f>
        <v>8</v>
      </c>
      <c r="AP156">
        <f t="shared" si="68"/>
        <v>0.77777777777777779</v>
      </c>
      <c r="AQ156">
        <f>survey_responses[[#This Row],[Tôi thấy mức thuế tôi phải đóng theo phương án mới là công bằng (người thu nhập như tôi đóng mức này là hợp lý). - HUMAN-TRU2]]</f>
        <v>10</v>
      </c>
      <c r="AR156">
        <f t="shared" si="69"/>
        <v>1</v>
      </c>
      <c r="AS156">
        <f>step3_validation[[#This Row],[AI_TRU3]]</f>
        <v>6</v>
      </c>
      <c r="AT156">
        <f t="shared" si="70"/>
        <v>0.55555555555555558</v>
      </c>
      <c r="AU156">
        <f>survey_responses[[#This Row],[Tôi tin tưởng số tiền thuế tôi đóng sẽ được Nhà nước sử dụng hiệu quả để cải thiện dịch vụ công (y tế, đường xá...). - HUMAN-TRU3]]</f>
        <v>10</v>
      </c>
      <c r="AV156">
        <f t="shared" si="71"/>
        <v>1</v>
      </c>
      <c r="AW156">
        <f>step3_validation[[#This Row],[AI_TRU4]]</f>
        <v>7</v>
      </c>
      <c r="AX156">
        <f t="shared" si="72"/>
        <v>0.66666666666666663</v>
      </c>
      <c r="AY156">
        <f>survey_responses[[#This Row],[Tôi thấy Nhà nước đã giải thích rõ ràng, minh bạch về lý do và mục tiêu của việc sửa đổi thuế lần này. - HUMAN-TRU4]]</f>
        <v>10</v>
      </c>
      <c r="AZ156">
        <f t="shared" si="73"/>
        <v>1</v>
      </c>
      <c r="BA156" s="32">
        <f t="shared" si="74"/>
        <v>0.63888888888888895</v>
      </c>
      <c r="BB156" s="32">
        <f t="shared" si="75"/>
        <v>1</v>
      </c>
      <c r="BC156" s="7">
        <f t="shared" si="76"/>
        <v>0.71296296296296291</v>
      </c>
      <c r="BD156" s="7">
        <f t="shared" si="77"/>
        <v>1</v>
      </c>
      <c r="BE156">
        <f>step3_validation[[#This Row],[AI_OUT1]]</f>
        <v>8</v>
      </c>
      <c r="BF156">
        <f t="shared" si="78"/>
        <v>0.77777777777777779</v>
      </c>
      <c r="BG156">
        <f>survey_responses[[#This Row],[Sau khi xem xét các quyền lợi và nghĩa vụ, bạn có ủng hộ và tuân thủ chính sách mới hiện nay? - HUMAN-OUT1]]</f>
        <v>10</v>
      </c>
      <c r="BH156">
        <f t="shared" si="79"/>
        <v>1</v>
      </c>
      <c r="BI156" s="32">
        <f t="shared" si="80"/>
        <v>2</v>
      </c>
    </row>
    <row r="157" spans="1:61" x14ac:dyDescent="0.45">
      <c r="A157" s="30">
        <f>step3_validation[[#This Row],[Persona_ID]]</f>
        <v>156</v>
      </c>
      <c r="B157" s="31">
        <f>step3_validation[[#This Row],[Used_Seed]]</f>
        <v>197</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25.572093263662541</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7</v>
      </c>
      <c r="R157">
        <f t="shared" si="54"/>
        <v>0.66666666666666663</v>
      </c>
      <c r="S157">
        <f>survey_responses[[#This Row],[Tôi tin rằng với các quy định quản lý thuế hiện nay, hành vi gian lận hoặc trốn thuế sẽ dễ dàng bị phát hiện và xử lý nghiêm. - HUMAN-ENF1]]</f>
        <v>10</v>
      </c>
      <c r="T157">
        <f t="shared" si="55"/>
        <v>1</v>
      </c>
      <c r="U157">
        <f>step3_validation[[#This Row],[AI_ENF2]]</f>
        <v>6</v>
      </c>
      <c r="V157">
        <f t="shared" si="56"/>
        <v>0.55555555555555558</v>
      </c>
      <c r="W157">
        <f>survey_responses[[#This Row],[Tôi tin rằng Nhà nước, cơ quan thuế có đủ khả năng và công nghệ để phát hiện, xử lý nghiêm các hành vi trốn thuế. - HUMAN-ENF2]]</f>
        <v>10</v>
      </c>
      <c r="X157">
        <f t="shared" si="57"/>
        <v>1</v>
      </c>
      <c r="Y157" s="32">
        <f t="shared" si="58"/>
        <v>0.61111111111111116</v>
      </c>
      <c r="Z157" s="32">
        <f t="shared" si="59"/>
        <v>1</v>
      </c>
      <c r="AA157">
        <f>step3_validation[[#This Row],[AI_FAC1]]</f>
        <v>8</v>
      </c>
      <c r="AB157">
        <f t="shared" si="60"/>
        <v>0.77777777777777779</v>
      </c>
      <c r="AC157">
        <f>survey_responses[[#This Row],[Các thủ tục khai báo thuế VÀ/HOẶC quy trình làm việc với cơ quan thuế đơn giản, tiện lợi, nhanh chóng hơn so với trước đây. - HUMAN-FAC1]]</f>
        <v>10</v>
      </c>
      <c r="AD157">
        <f t="shared" si="61"/>
        <v>1</v>
      </c>
      <c r="AE157">
        <f>step3_validation[[#This Row],[AI_FAC2]]</f>
        <v>9</v>
      </c>
      <c r="AF157">
        <f t="shared" si="62"/>
        <v>0.88888888888888884</v>
      </c>
      <c r="AG157">
        <f>survey_responses[[#This Row],[So với trước đây, tôi thấy cách tính thuế và các bậc thuế trong phương án mới đơn giản, dễ hiểu và dễ thực hiện hơn. - HUMAN-FAC2]]</f>
        <v>10</v>
      </c>
      <c r="AH157">
        <f t="shared" si="63"/>
        <v>1</v>
      </c>
      <c r="AI157" s="32">
        <f t="shared" si="64"/>
        <v>0.83333333333333326</v>
      </c>
      <c r="AJ157" s="32">
        <f t="shared" si="65"/>
        <v>1</v>
      </c>
      <c r="AK157">
        <f>step3_validation[[#This Row],[AI_TRU1]]</f>
        <v>8</v>
      </c>
      <c r="AL157">
        <f t="shared" si="66"/>
        <v>0.77777777777777779</v>
      </c>
      <c r="AM157">
        <f>survey_responses[[#This Row],[Tôi tin rằng Nhà nước, cơ quan thuế sẽ thực thi chính sách mới một cách khách quan, công tâm và đối xử bình đẳng với mọi người nộp thuế.  - HUMAN-TRU1]]</f>
        <v>10</v>
      </c>
      <c r="AN157">
        <f t="shared" si="67"/>
        <v>1</v>
      </c>
      <c r="AO157">
        <f>step3_validation[[#This Row],[AI_TRU2]]</f>
        <v>9</v>
      </c>
      <c r="AP157">
        <f t="shared" si="68"/>
        <v>0.88888888888888884</v>
      </c>
      <c r="AQ157">
        <f>survey_responses[[#This Row],[Tôi thấy mức thuế tôi phải đóng theo phương án mới là công bằng (người thu nhập như tôi đóng mức này là hợp lý). - HUMAN-TRU2]]</f>
        <v>10</v>
      </c>
      <c r="AR157">
        <f t="shared" si="69"/>
        <v>1</v>
      </c>
      <c r="AS157">
        <f>step3_validation[[#This Row],[AI_TRU3]]</f>
        <v>8</v>
      </c>
      <c r="AT157">
        <f t="shared" si="70"/>
        <v>0.77777777777777779</v>
      </c>
      <c r="AU157">
        <f>survey_responses[[#This Row],[Tôi tin tưởng số tiền thuế tôi đóng sẽ được Nhà nước sử dụng hiệu quả để cải thiện dịch vụ công (y tế, đường xá...). - HUMAN-TRU3]]</f>
        <v>10</v>
      </c>
      <c r="AV157">
        <f t="shared" si="71"/>
        <v>1</v>
      </c>
      <c r="AW157">
        <f>step3_validation[[#This Row],[AI_TRU4]]</f>
        <v>7</v>
      </c>
      <c r="AX157">
        <f t="shared" si="72"/>
        <v>0.66666666666666663</v>
      </c>
      <c r="AY157">
        <f>survey_responses[[#This Row],[Tôi thấy Nhà nước đã giải thích rõ ràng, minh bạch về lý do và mục tiêu của việc sửa đổi thuế lần này. - HUMAN-TRU4]]</f>
        <v>10</v>
      </c>
      <c r="AZ157">
        <f t="shared" si="73"/>
        <v>1</v>
      </c>
      <c r="BA157" s="32">
        <f t="shared" si="74"/>
        <v>0.77777777777777768</v>
      </c>
      <c r="BB157" s="32">
        <f t="shared" si="75"/>
        <v>1</v>
      </c>
      <c r="BC157" s="7">
        <f t="shared" si="76"/>
        <v>0.74074074074074081</v>
      </c>
      <c r="BD157" s="7">
        <f t="shared" si="77"/>
        <v>1</v>
      </c>
      <c r="BE157">
        <f>step3_validation[[#This Row],[AI_OUT1]]</f>
        <v>9</v>
      </c>
      <c r="BF157">
        <f t="shared" si="78"/>
        <v>0.88888888888888884</v>
      </c>
      <c r="BG157">
        <f>survey_responses[[#This Row],[Sau khi xem xét các quyền lợi và nghĩa vụ, bạn có ủng hộ và tuân thủ chính sách mới hiện nay? - HUMAN-OUT1]]</f>
        <v>10</v>
      </c>
      <c r="BH157">
        <f t="shared" si="79"/>
        <v>1</v>
      </c>
      <c r="BI157" s="32">
        <f t="shared" si="80"/>
        <v>1</v>
      </c>
    </row>
    <row r="158" spans="1:61" x14ac:dyDescent="0.45">
      <c r="A158" s="30">
        <f>step3_validation[[#This Row],[Persona_ID]]</f>
        <v>157</v>
      </c>
      <c r="B158" s="31">
        <f>step3_validation[[#This Row],[Used_Seed]]</f>
        <v>198</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97.632638972926856</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f t="shared" si="54"/>
        <v>0.66666666666666663</v>
      </c>
      <c r="S158">
        <f>survey_responses[[#This Row],[Tôi tin rằng với các quy định quản lý thuế hiện nay, hành vi gian lận hoặc trốn thuế sẽ dễ dàng bị phát hiện và xử lý nghiêm. - HUMAN-ENF1]]</f>
        <v>10</v>
      </c>
      <c r="T158">
        <f t="shared" si="55"/>
        <v>1</v>
      </c>
      <c r="U158">
        <f>step3_validation[[#This Row],[AI_ENF2]]</f>
        <v>8</v>
      </c>
      <c r="V158">
        <f t="shared" si="56"/>
        <v>0.77777777777777779</v>
      </c>
      <c r="W158">
        <f>survey_responses[[#This Row],[Tôi tin rằng Nhà nước, cơ quan thuế có đủ khả năng và công nghệ để phát hiện, xử lý nghiêm các hành vi trốn thuế. - HUMAN-ENF2]]</f>
        <v>10</v>
      </c>
      <c r="X158">
        <f t="shared" si="57"/>
        <v>1</v>
      </c>
      <c r="Y158" s="32">
        <f t="shared" si="58"/>
        <v>0.72222222222222221</v>
      </c>
      <c r="Z158" s="32">
        <f t="shared" si="59"/>
        <v>1</v>
      </c>
      <c r="AA158">
        <f>step3_validation[[#This Row],[AI_FAC1]]</f>
        <v>7</v>
      </c>
      <c r="AB158">
        <f t="shared" si="60"/>
        <v>0.66666666666666663</v>
      </c>
      <c r="AC158">
        <f>survey_responses[[#This Row],[Các thủ tục khai báo thuế VÀ/HOẶC quy trình làm việc với cơ quan thuế đơn giản, tiện lợi, nhanh chóng hơn so với trước đây. - HUMAN-FAC1]]</f>
        <v>1</v>
      </c>
      <c r="AD158">
        <f t="shared" si="61"/>
        <v>0</v>
      </c>
      <c r="AE158">
        <f>step3_validation[[#This Row],[AI_FAC2]]</f>
        <v>9</v>
      </c>
      <c r="AF158">
        <f t="shared" si="62"/>
        <v>0.88888888888888884</v>
      </c>
      <c r="AG158">
        <f>survey_responses[[#This Row],[So với trước đây, tôi thấy cách tính thuế và các bậc thuế trong phương án mới đơn giản, dễ hiểu và dễ thực hiện hơn. - HUMAN-FAC2]]</f>
        <v>10</v>
      </c>
      <c r="AH158">
        <f t="shared" si="63"/>
        <v>1</v>
      </c>
      <c r="AI158" s="32">
        <f t="shared" si="64"/>
        <v>0.77777777777777768</v>
      </c>
      <c r="AJ158" s="32">
        <f t="shared" si="65"/>
        <v>0.5</v>
      </c>
      <c r="AK158">
        <f>step3_validation[[#This Row],[AI_TRU1]]</f>
        <v>8</v>
      </c>
      <c r="AL158">
        <f t="shared" si="66"/>
        <v>0.77777777777777779</v>
      </c>
      <c r="AM158">
        <f>survey_responses[[#This Row],[Tôi tin rằng Nhà nước, cơ quan thuế sẽ thực thi chính sách mới một cách khách quan, công tâm và đối xử bình đẳng với mọi người nộp thuế.  - HUMAN-TRU1]]</f>
        <v>1</v>
      </c>
      <c r="AN158">
        <f t="shared" si="67"/>
        <v>0</v>
      </c>
      <c r="AO158">
        <f>step3_validation[[#This Row],[AI_TRU2]]</f>
        <v>9</v>
      </c>
      <c r="AP158">
        <f t="shared" si="68"/>
        <v>0.88888888888888884</v>
      </c>
      <c r="AQ158">
        <f>survey_responses[[#This Row],[Tôi thấy mức thuế tôi phải đóng theo phương án mới là công bằng (người thu nhập như tôi đóng mức này là hợp lý). - HUMAN-TRU2]]</f>
        <v>1</v>
      </c>
      <c r="AR158">
        <f t="shared" si="69"/>
        <v>0</v>
      </c>
      <c r="AS158">
        <f>step3_validation[[#This Row],[AI_TRU3]]</f>
        <v>8</v>
      </c>
      <c r="AT158">
        <f t="shared" si="70"/>
        <v>0.77777777777777779</v>
      </c>
      <c r="AU158">
        <f>survey_responses[[#This Row],[Tôi tin tưởng số tiền thuế tôi đóng sẽ được Nhà nước sử dụng hiệu quả để cải thiện dịch vụ công (y tế, đường xá...). - HUMAN-TRU3]]</f>
        <v>1</v>
      </c>
      <c r="AV158">
        <f t="shared" si="71"/>
        <v>0</v>
      </c>
      <c r="AW158">
        <f>step3_validation[[#This Row],[AI_TRU4]]</f>
        <v>9</v>
      </c>
      <c r="AX158">
        <f t="shared" si="72"/>
        <v>0.88888888888888884</v>
      </c>
      <c r="AY158">
        <f>survey_responses[[#This Row],[Tôi thấy Nhà nước đã giải thích rõ ràng, minh bạch về lý do và mục tiêu của việc sửa đổi thuế lần này. - HUMAN-TRU4]]</f>
        <v>1</v>
      </c>
      <c r="AZ158">
        <f t="shared" si="73"/>
        <v>0</v>
      </c>
      <c r="BA158" s="32">
        <f t="shared" si="74"/>
        <v>0.83333333333333326</v>
      </c>
      <c r="BB158" s="32">
        <f t="shared" si="75"/>
        <v>0</v>
      </c>
      <c r="BC158" s="7">
        <f t="shared" si="76"/>
        <v>0.77777777777777768</v>
      </c>
      <c r="BD158" s="7">
        <f t="shared" si="77"/>
        <v>0.5</v>
      </c>
      <c r="BE158">
        <f>step3_validation[[#This Row],[AI_OUT1]]</f>
        <v>8</v>
      </c>
      <c r="BF158">
        <f t="shared" si="78"/>
        <v>0.77777777777777779</v>
      </c>
      <c r="BG158">
        <f>survey_responses[[#This Row],[Sau khi xem xét các quyền lợi và nghĩa vụ, bạn có ủng hộ và tuân thủ chính sách mới hiện nay? - HUMAN-OUT1]]</f>
        <v>6</v>
      </c>
      <c r="BH158">
        <f t="shared" si="79"/>
        <v>0.55555555555555558</v>
      </c>
      <c r="BI158" s="32">
        <f t="shared" si="80"/>
        <v>2</v>
      </c>
    </row>
    <row r="159" spans="1:61" x14ac:dyDescent="0.45">
      <c r="A159" s="30">
        <f>step3_validation[[#This Row],[Persona_ID]]</f>
        <v>158</v>
      </c>
      <c r="B159" s="31">
        <f>step3_validation[[#This Row],[Used_Seed]]</f>
        <v>199</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97.283298324113588</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7</v>
      </c>
      <c r="R159">
        <f t="shared" si="54"/>
        <v>0.66666666666666663</v>
      </c>
      <c r="S159">
        <f>survey_responses[[#This Row],[Tôi tin rằng với các quy định quản lý thuế hiện nay, hành vi gian lận hoặc trốn thuế sẽ dễ dàng bị phát hiện và xử lý nghiêm. - HUMAN-ENF1]]</f>
        <v>7</v>
      </c>
      <c r="T159">
        <f t="shared" si="55"/>
        <v>0.66666666666666663</v>
      </c>
      <c r="U159">
        <f>step3_validation[[#This Row],[AI_ENF2]]</f>
        <v>6</v>
      </c>
      <c r="V159">
        <f t="shared" si="56"/>
        <v>0.55555555555555558</v>
      </c>
      <c r="W159">
        <f>survey_responses[[#This Row],[Tôi tin rằng Nhà nước, cơ quan thuế có đủ khả năng và công nghệ để phát hiện, xử lý nghiêm các hành vi trốn thuế. - HUMAN-ENF2]]</f>
        <v>8</v>
      </c>
      <c r="X159">
        <f t="shared" si="57"/>
        <v>0.77777777777777779</v>
      </c>
      <c r="Y159" s="32">
        <f t="shared" si="58"/>
        <v>0.61111111111111116</v>
      </c>
      <c r="Z159" s="32">
        <f t="shared" si="59"/>
        <v>0.72222222222222221</v>
      </c>
      <c r="AA159">
        <f>step3_validation[[#This Row],[AI_FAC1]]</f>
        <v>8</v>
      </c>
      <c r="AB159">
        <f t="shared" si="60"/>
        <v>0.77777777777777779</v>
      </c>
      <c r="AC159">
        <f>survey_responses[[#This Row],[Các thủ tục khai báo thuế VÀ/HOẶC quy trình làm việc với cơ quan thuế đơn giản, tiện lợi, nhanh chóng hơn so với trước đây. - HUMAN-FAC1]]</f>
        <v>6</v>
      </c>
      <c r="AD159">
        <f t="shared" si="61"/>
        <v>0.55555555555555558</v>
      </c>
      <c r="AE159">
        <f>step3_validation[[#This Row],[AI_FAC2]]</f>
        <v>9</v>
      </c>
      <c r="AF159">
        <f t="shared" si="62"/>
        <v>0.88888888888888884</v>
      </c>
      <c r="AG159">
        <f>survey_responses[[#This Row],[So với trước đây, tôi thấy cách tính thuế và các bậc thuế trong phương án mới đơn giản, dễ hiểu và dễ thực hiện hơn. - HUMAN-FAC2]]</f>
        <v>6</v>
      </c>
      <c r="AH159">
        <f t="shared" si="63"/>
        <v>0.55555555555555558</v>
      </c>
      <c r="AI159" s="32">
        <f t="shared" si="64"/>
        <v>0.83333333333333326</v>
      </c>
      <c r="AJ159" s="32">
        <f t="shared" si="65"/>
        <v>0.55555555555555558</v>
      </c>
      <c r="AK159">
        <f>step3_validation[[#This Row],[AI_TRU1]]</f>
        <v>7</v>
      </c>
      <c r="AL159">
        <f t="shared" si="66"/>
        <v>0.66666666666666663</v>
      </c>
      <c r="AM159">
        <f>survey_responses[[#This Row],[Tôi tin rằng Nhà nước, cơ quan thuế sẽ thực thi chính sách mới một cách khách quan, công tâm và đối xử bình đẳng với mọi người nộp thuế.  - HUMAN-TRU1]]</f>
        <v>7</v>
      </c>
      <c r="AN159">
        <f t="shared" si="67"/>
        <v>0.66666666666666663</v>
      </c>
      <c r="AO159">
        <f>step3_validation[[#This Row],[AI_TRU2]]</f>
        <v>8</v>
      </c>
      <c r="AP159">
        <f t="shared" si="68"/>
        <v>0.77777777777777779</v>
      </c>
      <c r="AQ159">
        <f>survey_responses[[#This Row],[Tôi thấy mức thuế tôi phải đóng theo phương án mới là công bằng (người thu nhập như tôi đóng mức này là hợp lý). - HUMAN-TRU2]]</f>
        <v>5</v>
      </c>
      <c r="AR159">
        <f t="shared" si="69"/>
        <v>0.44444444444444442</v>
      </c>
      <c r="AS159">
        <f>step3_validation[[#This Row],[AI_TRU3]]</f>
        <v>7</v>
      </c>
      <c r="AT159">
        <f t="shared" si="70"/>
        <v>0.66666666666666663</v>
      </c>
      <c r="AU159">
        <f>survey_responses[[#This Row],[Tôi tin tưởng số tiền thuế tôi đóng sẽ được Nhà nước sử dụng hiệu quả để cải thiện dịch vụ công (y tế, đường xá...). - HUMAN-TRU3]]</f>
        <v>6</v>
      </c>
      <c r="AV159">
        <f t="shared" si="71"/>
        <v>0.55555555555555558</v>
      </c>
      <c r="AW159">
        <f>step3_validation[[#This Row],[AI_TRU4]]</f>
        <v>6</v>
      </c>
      <c r="AX159">
        <f t="shared" si="72"/>
        <v>0.55555555555555558</v>
      </c>
      <c r="AY159">
        <f>survey_responses[[#This Row],[Tôi thấy Nhà nước đã giải thích rõ ràng, minh bạch về lý do và mục tiêu của việc sửa đổi thuế lần này. - HUMAN-TRU4]]</f>
        <v>7</v>
      </c>
      <c r="AZ159">
        <f t="shared" si="73"/>
        <v>0.66666666666666663</v>
      </c>
      <c r="BA159" s="32">
        <f t="shared" si="74"/>
        <v>0.66666666666666674</v>
      </c>
      <c r="BB159" s="32">
        <f t="shared" si="75"/>
        <v>0.58333333333333337</v>
      </c>
      <c r="BC159" s="7">
        <f t="shared" si="76"/>
        <v>0.70370370370370372</v>
      </c>
      <c r="BD159" s="7">
        <f t="shared" si="77"/>
        <v>0.62037037037037035</v>
      </c>
      <c r="BE159">
        <f>step3_validation[[#This Row],[AI_OUT1]]</f>
        <v>9</v>
      </c>
      <c r="BF159">
        <f t="shared" si="78"/>
        <v>0.88888888888888884</v>
      </c>
      <c r="BG159">
        <f>survey_responses[[#This Row],[Sau khi xem xét các quyền lợi và nghĩa vụ, bạn có ủng hộ và tuân thủ chính sách mới hiện nay? - HUMAN-OUT1]]</f>
        <v>7</v>
      </c>
      <c r="BH159">
        <f t="shared" si="79"/>
        <v>0.66666666666666663</v>
      </c>
      <c r="BI159" s="32">
        <f t="shared" si="80"/>
        <v>2</v>
      </c>
    </row>
    <row r="160" spans="1:61" x14ac:dyDescent="0.45">
      <c r="A160" s="30">
        <f>step3_validation[[#This Row],[Persona_ID]]</f>
        <v>159</v>
      </c>
      <c r="B160" s="31">
        <f>step3_validation[[#This Row],[Used_Seed]]</f>
        <v>200</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38.827297441976498</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8</v>
      </c>
      <c r="R160">
        <f t="shared" si="54"/>
        <v>0.77777777777777779</v>
      </c>
      <c r="S160">
        <f>survey_responses[[#This Row],[Tôi tin rằng với các quy định quản lý thuế hiện nay, hành vi gian lận hoặc trốn thuế sẽ dễ dàng bị phát hiện và xử lý nghiêm. - HUMAN-ENF1]]</f>
        <v>2</v>
      </c>
      <c r="T160">
        <f t="shared" si="55"/>
        <v>0.1111111111111111</v>
      </c>
      <c r="U160">
        <f>step3_validation[[#This Row],[AI_ENF2]]</f>
        <v>8</v>
      </c>
      <c r="V160">
        <f t="shared" si="56"/>
        <v>0.77777777777777779</v>
      </c>
      <c r="W160">
        <f>survey_responses[[#This Row],[Tôi tin rằng Nhà nước, cơ quan thuế có đủ khả năng và công nghệ để phát hiện, xử lý nghiêm các hành vi trốn thuế. - HUMAN-ENF2]]</f>
        <v>7</v>
      </c>
      <c r="X160">
        <f t="shared" si="57"/>
        <v>0.66666666666666663</v>
      </c>
      <c r="Y160" s="32">
        <f t="shared" si="58"/>
        <v>0.77777777777777779</v>
      </c>
      <c r="Z160" s="32">
        <f t="shared" si="59"/>
        <v>0.38888888888888884</v>
      </c>
      <c r="AA160">
        <f>step3_validation[[#This Row],[AI_FAC1]]</f>
        <v>9</v>
      </c>
      <c r="AB160">
        <f t="shared" si="60"/>
        <v>0.88888888888888884</v>
      </c>
      <c r="AC160">
        <f>survey_responses[[#This Row],[Các thủ tục khai báo thuế VÀ/HOẶC quy trình làm việc với cơ quan thuế đơn giản, tiện lợi, nhanh chóng hơn so với trước đây. - HUMAN-FAC1]]</f>
        <v>10</v>
      </c>
      <c r="AD160">
        <f t="shared" si="61"/>
        <v>1</v>
      </c>
      <c r="AE160">
        <f>step3_validation[[#This Row],[AI_FAC2]]</f>
        <v>9</v>
      </c>
      <c r="AF160">
        <f t="shared" si="62"/>
        <v>0.88888888888888884</v>
      </c>
      <c r="AG160">
        <f>survey_responses[[#This Row],[So với trước đây, tôi thấy cách tính thuế và các bậc thuế trong phương án mới đơn giản, dễ hiểu và dễ thực hiện hơn. - HUMAN-FAC2]]</f>
        <v>2</v>
      </c>
      <c r="AH160">
        <f t="shared" si="63"/>
        <v>0.1111111111111111</v>
      </c>
      <c r="AI160" s="32">
        <f t="shared" si="64"/>
        <v>0.88888888888888884</v>
      </c>
      <c r="AJ160" s="32">
        <f t="shared" si="65"/>
        <v>0.55555555555555558</v>
      </c>
      <c r="AK160">
        <f>step3_validation[[#This Row],[AI_TRU1]]</f>
        <v>8</v>
      </c>
      <c r="AL160">
        <f t="shared" si="66"/>
        <v>0.77777777777777779</v>
      </c>
      <c r="AM160">
        <f>survey_responses[[#This Row],[Tôi tin rằng Nhà nước, cơ quan thuế sẽ thực thi chính sách mới một cách khách quan, công tâm và đối xử bình đẳng với mọi người nộp thuế.  - HUMAN-TRU1]]</f>
        <v>10</v>
      </c>
      <c r="AN160">
        <f t="shared" si="67"/>
        <v>1</v>
      </c>
      <c r="AO160">
        <f>step3_validation[[#This Row],[AI_TRU2]]</f>
        <v>9</v>
      </c>
      <c r="AP160">
        <f t="shared" si="68"/>
        <v>0.88888888888888884</v>
      </c>
      <c r="AQ160">
        <f>survey_responses[[#This Row],[Tôi thấy mức thuế tôi phải đóng theo phương án mới là công bằng (người thu nhập như tôi đóng mức này là hợp lý). - HUMAN-TRU2]]</f>
        <v>5</v>
      </c>
      <c r="AR160">
        <f t="shared" si="69"/>
        <v>0.44444444444444442</v>
      </c>
      <c r="AS160">
        <f>step3_validation[[#This Row],[AI_TRU3]]</f>
        <v>8</v>
      </c>
      <c r="AT160">
        <f t="shared" si="70"/>
        <v>0.77777777777777779</v>
      </c>
      <c r="AU160">
        <f>survey_responses[[#This Row],[Tôi tin tưởng số tiền thuế tôi đóng sẽ được Nhà nước sử dụng hiệu quả để cải thiện dịch vụ công (y tế, đường xá...). - HUMAN-TRU3]]</f>
        <v>10</v>
      </c>
      <c r="AV160">
        <f t="shared" si="71"/>
        <v>1</v>
      </c>
      <c r="AW160">
        <f>step3_validation[[#This Row],[AI_TRU4]]</f>
        <v>9</v>
      </c>
      <c r="AX160">
        <f t="shared" si="72"/>
        <v>0.88888888888888884</v>
      </c>
      <c r="AY160">
        <f>survey_responses[[#This Row],[Tôi thấy Nhà nước đã giải thích rõ ràng, minh bạch về lý do và mục tiêu của việc sửa đổi thuế lần này. - HUMAN-TRU4]]</f>
        <v>3</v>
      </c>
      <c r="AZ160">
        <f t="shared" si="73"/>
        <v>0.22222222222222221</v>
      </c>
      <c r="BA160" s="32">
        <f t="shared" si="74"/>
        <v>0.83333333333333326</v>
      </c>
      <c r="BB160" s="32">
        <f t="shared" si="75"/>
        <v>0.66666666666666674</v>
      </c>
      <c r="BC160" s="7">
        <f t="shared" si="76"/>
        <v>0.83333333333333337</v>
      </c>
      <c r="BD160" s="7">
        <f t="shared" si="77"/>
        <v>0.53703703703703709</v>
      </c>
      <c r="BE160">
        <f>step3_validation[[#This Row],[AI_OUT1]]</f>
        <v>8</v>
      </c>
      <c r="BF160">
        <f t="shared" si="78"/>
        <v>0.77777777777777779</v>
      </c>
      <c r="BG160">
        <f>survey_responses[[#This Row],[Sau khi xem xét các quyền lợi và nghĩa vụ, bạn có ủng hộ và tuân thủ chính sách mới hiện nay? - HUMAN-OUT1]]</f>
        <v>3</v>
      </c>
      <c r="BH160">
        <f t="shared" si="79"/>
        <v>0.22222222222222221</v>
      </c>
      <c r="BI160" s="32">
        <f t="shared" si="80"/>
        <v>5</v>
      </c>
    </row>
    <row r="161" spans="1:61" x14ac:dyDescent="0.45">
      <c r="A161" s="30">
        <f>step3_validation[[#This Row],[Persona_ID]]</f>
        <v>160</v>
      </c>
      <c r="B161" s="31">
        <f>step3_validation[[#This Row],[Used_Seed]]</f>
        <v>201</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40.738305352137964</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7</v>
      </c>
      <c r="R161">
        <f t="shared" si="54"/>
        <v>0.66666666666666663</v>
      </c>
      <c r="S161">
        <f>survey_responses[[#This Row],[Tôi tin rằng với các quy định quản lý thuế hiện nay, hành vi gian lận hoặc trốn thuế sẽ dễ dàng bị phát hiện và xử lý nghiêm. - HUMAN-ENF1]]</f>
        <v>9</v>
      </c>
      <c r="T161">
        <f t="shared" si="55"/>
        <v>0.88888888888888884</v>
      </c>
      <c r="U161">
        <f>step3_validation[[#This Row],[AI_ENF2]]</f>
        <v>6</v>
      </c>
      <c r="V161">
        <f t="shared" si="56"/>
        <v>0.55555555555555558</v>
      </c>
      <c r="W161">
        <f>survey_responses[[#This Row],[Tôi tin rằng Nhà nước, cơ quan thuế có đủ khả năng và công nghệ để phát hiện, xử lý nghiêm các hành vi trốn thuế. - HUMAN-ENF2]]</f>
        <v>9</v>
      </c>
      <c r="X161">
        <f t="shared" si="57"/>
        <v>0.88888888888888884</v>
      </c>
      <c r="Y161" s="32">
        <f t="shared" si="58"/>
        <v>0.61111111111111116</v>
      </c>
      <c r="Z161" s="32">
        <f t="shared" si="59"/>
        <v>0.88888888888888884</v>
      </c>
      <c r="AA161">
        <f>step3_validation[[#This Row],[AI_FAC1]]</f>
        <v>8</v>
      </c>
      <c r="AB161">
        <f t="shared" si="60"/>
        <v>0.77777777777777779</v>
      </c>
      <c r="AC161">
        <f>survey_responses[[#This Row],[Các thủ tục khai báo thuế VÀ/HOẶC quy trình làm việc với cơ quan thuế đơn giản, tiện lợi, nhanh chóng hơn so với trước đây. - HUMAN-FAC1]]</f>
        <v>10</v>
      </c>
      <c r="AD161">
        <f t="shared" si="61"/>
        <v>1</v>
      </c>
      <c r="AE161">
        <f>step3_validation[[#This Row],[AI_FAC2]]</f>
        <v>9</v>
      </c>
      <c r="AF161">
        <f t="shared" si="62"/>
        <v>0.88888888888888884</v>
      </c>
      <c r="AG161">
        <f>survey_responses[[#This Row],[So với trước đây, tôi thấy cách tính thuế và các bậc thuế trong phương án mới đơn giản, dễ hiểu và dễ thực hiện hơn. - HUMAN-FAC2]]</f>
        <v>2</v>
      </c>
      <c r="AH161">
        <f t="shared" si="63"/>
        <v>0.1111111111111111</v>
      </c>
      <c r="AI161" s="32">
        <f t="shared" si="64"/>
        <v>0.83333333333333326</v>
      </c>
      <c r="AJ161" s="32">
        <f t="shared" si="65"/>
        <v>0.55555555555555558</v>
      </c>
      <c r="AK161">
        <f>step3_validation[[#This Row],[AI_TRU1]]</f>
        <v>8</v>
      </c>
      <c r="AL161">
        <f t="shared" si="66"/>
        <v>0.77777777777777779</v>
      </c>
      <c r="AM161">
        <f>survey_responses[[#This Row],[Tôi tin rằng Nhà nước, cơ quan thuế sẽ thực thi chính sách mới một cách khách quan, công tâm và đối xử bình đẳng với mọi người nộp thuế.  - HUMAN-TRU1]]</f>
        <v>9</v>
      </c>
      <c r="AN161">
        <f t="shared" si="67"/>
        <v>0.88888888888888884</v>
      </c>
      <c r="AO161">
        <f>step3_validation[[#This Row],[AI_TRU2]]</f>
        <v>9</v>
      </c>
      <c r="AP161">
        <f t="shared" si="68"/>
        <v>0.88888888888888884</v>
      </c>
      <c r="AQ161">
        <f>survey_responses[[#This Row],[Tôi thấy mức thuế tôi phải đóng theo phương án mới là công bằng (người thu nhập như tôi đóng mức này là hợp lý). - HUMAN-TRU2]]</f>
        <v>9</v>
      </c>
      <c r="AR161">
        <f t="shared" si="69"/>
        <v>0.88888888888888884</v>
      </c>
      <c r="AS161">
        <f>step3_validation[[#This Row],[AI_TRU3]]</f>
        <v>8</v>
      </c>
      <c r="AT161">
        <f t="shared" si="70"/>
        <v>0.77777777777777779</v>
      </c>
      <c r="AU161">
        <f>survey_responses[[#This Row],[Tôi tin tưởng số tiền thuế tôi đóng sẽ được Nhà nước sử dụng hiệu quả để cải thiện dịch vụ công (y tế, đường xá...). - HUMAN-TRU3]]</f>
        <v>6</v>
      </c>
      <c r="AV161">
        <f t="shared" si="71"/>
        <v>0.55555555555555558</v>
      </c>
      <c r="AW161">
        <f>step3_validation[[#This Row],[AI_TRU4]]</f>
        <v>9</v>
      </c>
      <c r="AX161">
        <f t="shared" si="72"/>
        <v>0.88888888888888884</v>
      </c>
      <c r="AY161">
        <f>survey_responses[[#This Row],[Tôi thấy Nhà nước đã giải thích rõ ràng, minh bạch về lý do và mục tiêu của việc sửa đổi thuế lần này. - HUMAN-TRU4]]</f>
        <v>8</v>
      </c>
      <c r="AZ161">
        <f t="shared" si="73"/>
        <v>0.77777777777777779</v>
      </c>
      <c r="BA161" s="32">
        <f t="shared" si="74"/>
        <v>0.83333333333333326</v>
      </c>
      <c r="BB161" s="32">
        <f t="shared" si="75"/>
        <v>0.77777777777777768</v>
      </c>
      <c r="BC161" s="7">
        <f t="shared" si="76"/>
        <v>0.75925925925925919</v>
      </c>
      <c r="BD161" s="7">
        <f t="shared" si="77"/>
        <v>0.74074074074074081</v>
      </c>
      <c r="BE161">
        <f>step3_validation[[#This Row],[AI_OUT1]]</f>
        <v>9</v>
      </c>
      <c r="BF161">
        <f t="shared" si="78"/>
        <v>0.88888888888888884</v>
      </c>
      <c r="BG161">
        <f>survey_responses[[#This Row],[Sau khi xem xét các quyền lợi và nghĩa vụ, bạn có ủng hộ và tuân thủ chính sách mới hiện nay? - HUMAN-OUT1]]</f>
        <v>10</v>
      </c>
      <c r="BH161">
        <f t="shared" si="79"/>
        <v>1</v>
      </c>
      <c r="BI161" s="32">
        <f t="shared" si="80"/>
        <v>1</v>
      </c>
    </row>
    <row r="162" spans="1:61" x14ac:dyDescent="0.45">
      <c r="A162" s="30">
        <f>step3_validation[[#This Row],[Persona_ID]]</f>
        <v>161</v>
      </c>
      <c r="B162" s="31">
        <f>step3_validation[[#This Row],[Used_Seed]]</f>
        <v>202</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16.63015973239985</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f t="shared" si="54"/>
        <v>0.66666666666666663</v>
      </c>
      <c r="S162">
        <f>survey_responses[[#This Row],[Tôi tin rằng với các quy định quản lý thuế hiện nay, hành vi gian lận hoặc trốn thuế sẽ dễ dàng bị phát hiện và xử lý nghiêm. - HUMAN-ENF1]]</f>
        <v>7</v>
      </c>
      <c r="T162">
        <f t="shared" si="55"/>
        <v>0.66666666666666663</v>
      </c>
      <c r="U162">
        <f>step3_validation[[#This Row],[AI_ENF2]]</f>
        <v>8</v>
      </c>
      <c r="V162">
        <f t="shared" si="56"/>
        <v>0.77777777777777779</v>
      </c>
      <c r="W162">
        <f>survey_responses[[#This Row],[Tôi tin rằng Nhà nước, cơ quan thuế có đủ khả năng và công nghệ để phát hiện, xử lý nghiêm các hành vi trốn thuế. - HUMAN-ENF2]]</f>
        <v>5</v>
      </c>
      <c r="X162">
        <f t="shared" si="57"/>
        <v>0.44444444444444442</v>
      </c>
      <c r="Y162" s="32">
        <f t="shared" si="58"/>
        <v>0.72222222222222221</v>
      </c>
      <c r="Z162" s="32">
        <f t="shared" si="59"/>
        <v>0.55555555555555558</v>
      </c>
      <c r="AA162">
        <f>step3_validation[[#This Row],[AI_FAC1]]</f>
        <v>9</v>
      </c>
      <c r="AB162">
        <f t="shared" si="60"/>
        <v>0.88888888888888884</v>
      </c>
      <c r="AC162">
        <f>survey_responses[[#This Row],[Các thủ tục khai báo thuế VÀ/HOẶC quy trình làm việc với cơ quan thuế đơn giản, tiện lợi, nhanh chóng hơn so với trước đây. - HUMAN-FAC1]]</f>
        <v>7</v>
      </c>
      <c r="AD162">
        <f t="shared" si="61"/>
        <v>0.66666666666666663</v>
      </c>
      <c r="AE162">
        <f>step3_validation[[#This Row],[AI_FAC2]]</f>
        <v>8</v>
      </c>
      <c r="AF162">
        <f t="shared" si="62"/>
        <v>0.77777777777777779</v>
      </c>
      <c r="AG162">
        <f>survey_responses[[#This Row],[So với trước đây, tôi thấy cách tính thuế và các bậc thuế trong phương án mới đơn giản, dễ hiểu và dễ thực hiện hơn. - HUMAN-FAC2]]</f>
        <v>5</v>
      </c>
      <c r="AH162">
        <f t="shared" si="63"/>
        <v>0.44444444444444442</v>
      </c>
      <c r="AI162" s="32">
        <f t="shared" si="64"/>
        <v>0.83333333333333326</v>
      </c>
      <c r="AJ162" s="32">
        <f t="shared" si="65"/>
        <v>0.55555555555555558</v>
      </c>
      <c r="AK162">
        <f>step3_validation[[#This Row],[AI_TRU1]]</f>
        <v>9</v>
      </c>
      <c r="AL162">
        <f t="shared" si="66"/>
        <v>0.88888888888888884</v>
      </c>
      <c r="AM162">
        <f>survey_responses[[#This Row],[Tôi tin rằng Nhà nước, cơ quan thuế sẽ thực thi chính sách mới một cách khách quan, công tâm và đối xử bình đẳng với mọi người nộp thuế.  - HUMAN-TRU1]]</f>
        <v>3</v>
      </c>
      <c r="AN162">
        <f t="shared" si="67"/>
        <v>0.22222222222222221</v>
      </c>
      <c r="AO162">
        <f>step3_validation[[#This Row],[AI_TRU2]]</f>
        <v>9</v>
      </c>
      <c r="AP162">
        <f t="shared" si="68"/>
        <v>0.88888888888888884</v>
      </c>
      <c r="AQ162">
        <f>survey_responses[[#This Row],[Tôi thấy mức thuế tôi phải đóng theo phương án mới là công bằng (người thu nhập như tôi đóng mức này là hợp lý). - HUMAN-TRU2]]</f>
        <v>4</v>
      </c>
      <c r="AR162">
        <f t="shared" si="69"/>
        <v>0.33333333333333331</v>
      </c>
      <c r="AS162">
        <f>step3_validation[[#This Row],[AI_TRU3]]</f>
        <v>9</v>
      </c>
      <c r="AT162">
        <f t="shared" si="70"/>
        <v>0.88888888888888884</v>
      </c>
      <c r="AU162">
        <f>survey_responses[[#This Row],[Tôi tin tưởng số tiền thuế tôi đóng sẽ được Nhà nước sử dụng hiệu quả để cải thiện dịch vụ công (y tế, đường xá...). - HUMAN-TRU3]]</f>
        <v>1</v>
      </c>
      <c r="AV162">
        <f t="shared" si="71"/>
        <v>0</v>
      </c>
      <c r="AW162">
        <f>step3_validation[[#This Row],[AI_TRU4]]</f>
        <v>9</v>
      </c>
      <c r="AX162">
        <f t="shared" si="72"/>
        <v>0.88888888888888884</v>
      </c>
      <c r="AY162">
        <f>survey_responses[[#This Row],[Tôi thấy Nhà nước đã giải thích rõ ràng, minh bạch về lý do và mục tiêu của việc sửa đổi thuế lần này. - HUMAN-TRU4]]</f>
        <v>5</v>
      </c>
      <c r="AZ162">
        <f t="shared" si="73"/>
        <v>0.44444444444444442</v>
      </c>
      <c r="BA162" s="32">
        <f t="shared" si="74"/>
        <v>0.88888888888888884</v>
      </c>
      <c r="BB162" s="32">
        <f t="shared" si="75"/>
        <v>0.25</v>
      </c>
      <c r="BC162" s="7">
        <f t="shared" si="76"/>
        <v>0.81481481481481477</v>
      </c>
      <c r="BD162" s="7">
        <f t="shared" si="77"/>
        <v>0.45370370370370372</v>
      </c>
      <c r="BE162">
        <f>step3_validation[[#This Row],[AI_OUT1]]</f>
        <v>9</v>
      </c>
      <c r="BF162">
        <f t="shared" si="78"/>
        <v>0.88888888888888884</v>
      </c>
      <c r="BG162">
        <f>survey_responses[[#This Row],[Sau khi xem xét các quyền lợi và nghĩa vụ, bạn có ủng hộ và tuân thủ chính sách mới hiện nay? - HUMAN-OUT1]]</f>
        <v>5</v>
      </c>
      <c r="BH162">
        <f t="shared" si="79"/>
        <v>0.44444444444444442</v>
      </c>
      <c r="BI162" s="32">
        <f t="shared" si="80"/>
        <v>4</v>
      </c>
    </row>
    <row r="163" spans="1:61" x14ac:dyDescent="0.45">
      <c r="A163" s="30">
        <f>step3_validation[[#This Row],[Persona_ID]]</f>
        <v>162</v>
      </c>
      <c r="B163" s="31">
        <f>step3_validation[[#This Row],[Used_Seed]]</f>
        <v>203</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8</v>
      </c>
      <c r="R163">
        <f t="shared" si="54"/>
        <v>0.77777777777777779</v>
      </c>
      <c r="S163">
        <f>survey_responses[[#This Row],[Tôi tin rằng với các quy định quản lý thuế hiện nay, hành vi gian lận hoặc trốn thuế sẽ dễ dàng bị phát hiện và xử lý nghiêm. - HUMAN-ENF1]]</f>
        <v>3</v>
      </c>
      <c r="T163">
        <f t="shared" si="55"/>
        <v>0.22222222222222221</v>
      </c>
      <c r="U163">
        <f>step3_validation[[#This Row],[AI_ENF2]]</f>
        <v>8</v>
      </c>
      <c r="V163">
        <f t="shared" si="56"/>
        <v>0.77777777777777779</v>
      </c>
      <c r="W163">
        <f>survey_responses[[#This Row],[Tôi tin rằng Nhà nước, cơ quan thuế có đủ khả năng và công nghệ để phát hiện, xử lý nghiêm các hành vi trốn thuế. - HUMAN-ENF2]]</f>
        <v>8</v>
      </c>
      <c r="X163">
        <f t="shared" si="57"/>
        <v>0.77777777777777779</v>
      </c>
      <c r="Y163" s="32">
        <f t="shared" si="58"/>
        <v>0.77777777777777779</v>
      </c>
      <c r="Z163" s="32">
        <f t="shared" si="59"/>
        <v>0.5</v>
      </c>
      <c r="AA163">
        <f>step3_validation[[#This Row],[AI_FAC1]]</f>
        <v>9</v>
      </c>
      <c r="AB163">
        <f t="shared" si="60"/>
        <v>0.88888888888888884</v>
      </c>
      <c r="AC163">
        <f>survey_responses[[#This Row],[Các thủ tục khai báo thuế VÀ/HOẶC quy trình làm việc với cơ quan thuế đơn giản, tiện lợi, nhanh chóng hơn so với trước đây. - HUMAN-FAC1]]</f>
        <v>4</v>
      </c>
      <c r="AD163">
        <f t="shared" si="61"/>
        <v>0.33333333333333331</v>
      </c>
      <c r="AE163">
        <f>step3_validation[[#This Row],[AI_FAC2]]</f>
        <v>9</v>
      </c>
      <c r="AF163">
        <f t="shared" si="62"/>
        <v>0.88888888888888884</v>
      </c>
      <c r="AG163">
        <f>survey_responses[[#This Row],[So với trước đây, tôi thấy cách tính thuế và các bậc thuế trong phương án mới đơn giản, dễ hiểu và dễ thực hiện hơn. - HUMAN-FAC2]]</f>
        <v>5</v>
      </c>
      <c r="AH163">
        <f t="shared" si="63"/>
        <v>0.44444444444444442</v>
      </c>
      <c r="AI163" s="32">
        <f t="shared" si="64"/>
        <v>0.88888888888888884</v>
      </c>
      <c r="AJ163" s="32">
        <f t="shared" si="65"/>
        <v>0.38888888888888884</v>
      </c>
      <c r="AK163">
        <f>step3_validation[[#This Row],[AI_TRU1]]</f>
        <v>8</v>
      </c>
      <c r="AL163">
        <f t="shared" si="66"/>
        <v>0.77777777777777779</v>
      </c>
      <c r="AM163">
        <f>survey_responses[[#This Row],[Tôi tin rằng Nhà nước, cơ quan thuế sẽ thực thi chính sách mới một cách khách quan, công tâm và đối xử bình đẳng với mọi người nộp thuế.  - HUMAN-TRU1]]</f>
        <v>5</v>
      </c>
      <c r="AN163">
        <f t="shared" si="67"/>
        <v>0.44444444444444442</v>
      </c>
      <c r="AO163">
        <f>step3_validation[[#This Row],[AI_TRU2]]</f>
        <v>9</v>
      </c>
      <c r="AP163">
        <f t="shared" si="68"/>
        <v>0.88888888888888884</v>
      </c>
      <c r="AQ163">
        <f>survey_responses[[#This Row],[Tôi thấy mức thuế tôi phải đóng theo phương án mới là công bằng (người thu nhập như tôi đóng mức này là hợp lý). - HUMAN-TRU2]]</f>
        <v>5</v>
      </c>
      <c r="AR163">
        <f t="shared" si="69"/>
        <v>0.44444444444444442</v>
      </c>
      <c r="AS163">
        <f>step3_validation[[#This Row],[AI_TRU3]]</f>
        <v>8</v>
      </c>
      <c r="AT163">
        <f t="shared" si="70"/>
        <v>0.77777777777777779</v>
      </c>
      <c r="AU163">
        <f>survey_responses[[#This Row],[Tôi tin tưởng số tiền thuế tôi đóng sẽ được Nhà nước sử dụng hiệu quả để cải thiện dịch vụ công (y tế, đường xá...). - HUMAN-TRU3]]</f>
        <v>5</v>
      </c>
      <c r="AV163">
        <f t="shared" si="71"/>
        <v>0.44444444444444442</v>
      </c>
      <c r="AW163">
        <f>step3_validation[[#This Row],[AI_TRU4]]</f>
        <v>9</v>
      </c>
      <c r="AX163">
        <f t="shared" si="72"/>
        <v>0.88888888888888884</v>
      </c>
      <c r="AY163">
        <f>survey_responses[[#This Row],[Tôi thấy Nhà nước đã giải thích rõ ràng, minh bạch về lý do và mục tiêu của việc sửa đổi thuế lần này. - HUMAN-TRU4]]</f>
        <v>5</v>
      </c>
      <c r="AZ163">
        <f t="shared" si="73"/>
        <v>0.44444444444444442</v>
      </c>
      <c r="BA163" s="32">
        <f t="shared" si="74"/>
        <v>0.83333333333333326</v>
      </c>
      <c r="BB163" s="32">
        <f t="shared" si="75"/>
        <v>0.44444444444444442</v>
      </c>
      <c r="BC163" s="7">
        <f t="shared" si="76"/>
        <v>0.83333333333333337</v>
      </c>
      <c r="BD163" s="7">
        <f t="shared" si="77"/>
        <v>0.44444444444444442</v>
      </c>
      <c r="BE163">
        <f>step3_validation[[#This Row],[AI_OUT1]]</f>
        <v>8</v>
      </c>
      <c r="BF163">
        <f t="shared" si="78"/>
        <v>0.77777777777777779</v>
      </c>
      <c r="BG163">
        <f>survey_responses[[#This Row],[Sau khi xem xét các quyền lợi và nghĩa vụ, bạn có ủng hộ và tuân thủ chính sách mới hiện nay? - HUMAN-OUT1]]</f>
        <v>5</v>
      </c>
      <c r="BH163">
        <f t="shared" si="79"/>
        <v>0.44444444444444442</v>
      </c>
      <c r="BI163" s="32">
        <f t="shared" si="80"/>
        <v>3</v>
      </c>
    </row>
    <row r="164" spans="1:61" x14ac:dyDescent="0.45">
      <c r="A164" s="30">
        <f>step3_validation[[#This Row],[Persona_ID]]</f>
        <v>163</v>
      </c>
      <c r="B164" s="31">
        <f>step3_validation[[#This Row],[Used_Seed]]</f>
        <v>204</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15.86806195917138</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8</v>
      </c>
      <c r="R164">
        <f t="shared" si="54"/>
        <v>0.77777777777777779</v>
      </c>
      <c r="S164">
        <f>survey_responses[[#This Row],[Tôi tin rằng với các quy định quản lý thuế hiện nay, hành vi gian lận hoặc trốn thuế sẽ dễ dàng bị phát hiện và xử lý nghiêm. - HUMAN-ENF1]]</f>
        <v>10</v>
      </c>
      <c r="T164">
        <f t="shared" si="55"/>
        <v>1</v>
      </c>
      <c r="U164">
        <f>step3_validation[[#This Row],[AI_ENF2]]</f>
        <v>7</v>
      </c>
      <c r="V164">
        <f t="shared" si="56"/>
        <v>0.66666666666666663</v>
      </c>
      <c r="W164">
        <f>survey_responses[[#This Row],[Tôi tin rằng Nhà nước, cơ quan thuế có đủ khả năng và công nghệ để phát hiện, xử lý nghiêm các hành vi trốn thuế. - HUMAN-ENF2]]</f>
        <v>10</v>
      </c>
      <c r="X164">
        <f t="shared" si="57"/>
        <v>1</v>
      </c>
      <c r="Y164" s="32">
        <f t="shared" si="58"/>
        <v>0.72222222222222221</v>
      </c>
      <c r="Z164" s="32">
        <f t="shared" si="59"/>
        <v>1</v>
      </c>
      <c r="AA164">
        <f>step3_validation[[#This Row],[AI_FAC1]]</f>
        <v>9</v>
      </c>
      <c r="AB164">
        <f t="shared" si="60"/>
        <v>0.88888888888888884</v>
      </c>
      <c r="AC164">
        <f>survey_responses[[#This Row],[Các thủ tục khai báo thuế VÀ/HOẶC quy trình làm việc với cơ quan thuế đơn giản, tiện lợi, nhanh chóng hơn so với trước đây. - HUMAN-FAC1]]</f>
        <v>10</v>
      </c>
      <c r="AD164">
        <f t="shared" si="61"/>
        <v>1</v>
      </c>
      <c r="AE164">
        <f>step3_validation[[#This Row],[AI_FAC2]]</f>
        <v>9</v>
      </c>
      <c r="AF164">
        <f t="shared" si="62"/>
        <v>0.88888888888888884</v>
      </c>
      <c r="AG164">
        <f>survey_responses[[#This Row],[So với trước đây, tôi thấy cách tính thuế và các bậc thuế trong phương án mới đơn giản, dễ hiểu và dễ thực hiện hơn. - HUMAN-FAC2]]</f>
        <v>10</v>
      </c>
      <c r="AH164">
        <f t="shared" si="63"/>
        <v>1</v>
      </c>
      <c r="AI164" s="32">
        <f t="shared" si="64"/>
        <v>0.88888888888888884</v>
      </c>
      <c r="AJ164" s="32">
        <f t="shared" si="65"/>
        <v>1</v>
      </c>
      <c r="AK164">
        <f>step3_validation[[#This Row],[AI_TRU1]]</f>
        <v>8</v>
      </c>
      <c r="AL164">
        <f t="shared" si="66"/>
        <v>0.77777777777777779</v>
      </c>
      <c r="AM164">
        <f>survey_responses[[#This Row],[Tôi tin rằng Nhà nước, cơ quan thuế sẽ thực thi chính sách mới một cách khách quan, công tâm và đối xử bình đẳng với mọi người nộp thuế.  - HUMAN-TRU1]]</f>
        <v>10</v>
      </c>
      <c r="AN164">
        <f t="shared" si="67"/>
        <v>1</v>
      </c>
      <c r="AO164">
        <f>step3_validation[[#This Row],[AI_TRU2]]</f>
        <v>9</v>
      </c>
      <c r="AP164">
        <f t="shared" si="68"/>
        <v>0.88888888888888884</v>
      </c>
      <c r="AQ164">
        <f>survey_responses[[#This Row],[Tôi thấy mức thuế tôi phải đóng theo phương án mới là công bằng (người thu nhập như tôi đóng mức này là hợp lý). - HUMAN-TRU2]]</f>
        <v>10</v>
      </c>
      <c r="AR164">
        <f t="shared" si="69"/>
        <v>1</v>
      </c>
      <c r="AS164">
        <f>step3_validation[[#This Row],[AI_TRU3]]</f>
        <v>8</v>
      </c>
      <c r="AT164">
        <f t="shared" si="70"/>
        <v>0.77777777777777779</v>
      </c>
      <c r="AU164">
        <f>survey_responses[[#This Row],[Tôi tin tưởng số tiền thuế tôi đóng sẽ được Nhà nước sử dụng hiệu quả để cải thiện dịch vụ công (y tế, đường xá...). - HUMAN-TRU3]]</f>
        <v>10</v>
      </c>
      <c r="AV164">
        <f t="shared" si="71"/>
        <v>1</v>
      </c>
      <c r="AW164">
        <f>step3_validation[[#This Row],[AI_TRU4]]</f>
        <v>9</v>
      </c>
      <c r="AX164">
        <f t="shared" si="72"/>
        <v>0.88888888888888884</v>
      </c>
      <c r="AY164">
        <f>survey_responses[[#This Row],[Tôi thấy Nhà nước đã giải thích rõ ràng, minh bạch về lý do và mục tiêu của việc sửa đổi thuế lần này. - HUMAN-TRU4]]</f>
        <v>10</v>
      </c>
      <c r="AZ164">
        <f t="shared" si="73"/>
        <v>1</v>
      </c>
      <c r="BA164" s="32">
        <f t="shared" si="74"/>
        <v>0.83333333333333326</v>
      </c>
      <c r="BB164" s="32">
        <f t="shared" si="75"/>
        <v>1</v>
      </c>
      <c r="BC164" s="7">
        <f t="shared" si="76"/>
        <v>0.81481481481481488</v>
      </c>
      <c r="BD164" s="7">
        <f t="shared" si="77"/>
        <v>1</v>
      </c>
      <c r="BE164">
        <f>step3_validation[[#This Row],[AI_OUT1]]</f>
        <v>8</v>
      </c>
      <c r="BF164">
        <f t="shared" si="78"/>
        <v>0.77777777777777779</v>
      </c>
      <c r="BG164">
        <f>survey_responses[[#This Row],[Sau khi xem xét các quyền lợi và nghĩa vụ, bạn có ủng hộ và tuân thủ chính sách mới hiện nay? - HUMAN-OUT1]]</f>
        <v>10</v>
      </c>
      <c r="BH164">
        <f t="shared" si="79"/>
        <v>1</v>
      </c>
      <c r="BI164" s="32">
        <f t="shared" si="80"/>
        <v>2</v>
      </c>
    </row>
    <row r="165" spans="1:61" x14ac:dyDescent="0.45">
      <c r="A165" s="30">
        <f>step3_validation[[#This Row],[Persona_ID]]</f>
        <v>164</v>
      </c>
      <c r="B165" s="31">
        <f>step3_validation[[#This Row],[Used_Seed]]</f>
        <v>205</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41.885458473778684</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7</v>
      </c>
      <c r="R165">
        <f t="shared" si="54"/>
        <v>0.66666666666666663</v>
      </c>
      <c r="S165">
        <f>survey_responses[[#This Row],[Tôi tin rằng với các quy định quản lý thuế hiện nay, hành vi gian lận hoặc trốn thuế sẽ dễ dàng bị phát hiện và xử lý nghiêm. - HUMAN-ENF1]]</f>
        <v>8</v>
      </c>
      <c r="T165">
        <f t="shared" si="55"/>
        <v>0.77777777777777779</v>
      </c>
      <c r="U165">
        <f>step3_validation[[#This Row],[AI_ENF2]]</f>
        <v>6</v>
      </c>
      <c r="V165">
        <f t="shared" si="56"/>
        <v>0.55555555555555558</v>
      </c>
      <c r="W165">
        <f>survey_responses[[#This Row],[Tôi tin rằng Nhà nước, cơ quan thuế có đủ khả năng và công nghệ để phát hiện, xử lý nghiêm các hành vi trốn thuế. - HUMAN-ENF2]]</f>
        <v>9</v>
      </c>
      <c r="X165">
        <f t="shared" si="57"/>
        <v>0.88888888888888884</v>
      </c>
      <c r="Y165" s="32">
        <f t="shared" si="58"/>
        <v>0.61111111111111116</v>
      </c>
      <c r="Z165" s="32">
        <f t="shared" si="59"/>
        <v>0.83333333333333326</v>
      </c>
      <c r="AA165">
        <f>step3_validation[[#This Row],[AI_FAC1]]</f>
        <v>8</v>
      </c>
      <c r="AB165">
        <f t="shared" si="60"/>
        <v>0.77777777777777779</v>
      </c>
      <c r="AC165">
        <f>survey_responses[[#This Row],[Các thủ tục khai báo thuế VÀ/HOẶC quy trình làm việc với cơ quan thuế đơn giản, tiện lợi, nhanh chóng hơn so với trước đây. - HUMAN-FAC1]]</f>
        <v>9</v>
      </c>
      <c r="AD165">
        <f t="shared" si="61"/>
        <v>0.88888888888888884</v>
      </c>
      <c r="AE165">
        <f>step3_validation[[#This Row],[AI_FAC2]]</f>
        <v>9</v>
      </c>
      <c r="AF165">
        <f t="shared" si="62"/>
        <v>0.88888888888888884</v>
      </c>
      <c r="AG165">
        <f>survey_responses[[#This Row],[So với trước đây, tôi thấy cách tính thuế và các bậc thuế trong phương án mới đơn giản, dễ hiểu và dễ thực hiện hơn. - HUMAN-FAC2]]</f>
        <v>9</v>
      </c>
      <c r="AH165">
        <f t="shared" si="63"/>
        <v>0.88888888888888884</v>
      </c>
      <c r="AI165" s="32">
        <f t="shared" si="64"/>
        <v>0.83333333333333326</v>
      </c>
      <c r="AJ165" s="32">
        <f t="shared" si="65"/>
        <v>0.88888888888888884</v>
      </c>
      <c r="AK165">
        <f>step3_validation[[#This Row],[AI_TRU1]]</f>
        <v>8</v>
      </c>
      <c r="AL165">
        <f t="shared" si="66"/>
        <v>0.77777777777777779</v>
      </c>
      <c r="AM165">
        <f>survey_responses[[#This Row],[Tôi tin rằng Nhà nước, cơ quan thuế sẽ thực thi chính sách mới một cách khách quan, công tâm và đối xử bình đẳng với mọi người nộp thuế.  - HUMAN-TRU1]]</f>
        <v>5</v>
      </c>
      <c r="AN165">
        <f t="shared" si="67"/>
        <v>0.44444444444444442</v>
      </c>
      <c r="AO165">
        <f>step3_validation[[#This Row],[AI_TRU2]]</f>
        <v>9</v>
      </c>
      <c r="AP165">
        <f t="shared" si="68"/>
        <v>0.88888888888888884</v>
      </c>
      <c r="AQ165">
        <f>survey_responses[[#This Row],[Tôi thấy mức thuế tôi phải đóng theo phương án mới là công bằng (người thu nhập như tôi đóng mức này là hợp lý). - HUMAN-TRU2]]</f>
        <v>7</v>
      </c>
      <c r="AR165">
        <f t="shared" si="69"/>
        <v>0.66666666666666663</v>
      </c>
      <c r="AS165">
        <f>step3_validation[[#This Row],[AI_TRU3]]</f>
        <v>8</v>
      </c>
      <c r="AT165">
        <f t="shared" si="70"/>
        <v>0.77777777777777779</v>
      </c>
      <c r="AU165">
        <f>survey_responses[[#This Row],[Tôi tin tưởng số tiền thuế tôi đóng sẽ được Nhà nước sử dụng hiệu quả để cải thiện dịch vụ công (y tế, đường xá...). - HUMAN-TRU3]]</f>
        <v>5</v>
      </c>
      <c r="AV165">
        <f t="shared" si="71"/>
        <v>0.44444444444444442</v>
      </c>
      <c r="AW165">
        <f>step3_validation[[#This Row],[AI_TRU4]]</f>
        <v>7</v>
      </c>
      <c r="AX165">
        <f t="shared" si="72"/>
        <v>0.66666666666666663</v>
      </c>
      <c r="AY165">
        <f>survey_responses[[#This Row],[Tôi thấy Nhà nước đã giải thích rõ ràng, minh bạch về lý do và mục tiêu của việc sửa đổi thuế lần này. - HUMAN-TRU4]]</f>
        <v>7</v>
      </c>
      <c r="AZ165">
        <f t="shared" si="73"/>
        <v>0.66666666666666663</v>
      </c>
      <c r="BA165" s="32">
        <f t="shared" si="74"/>
        <v>0.77777777777777768</v>
      </c>
      <c r="BB165" s="32">
        <f t="shared" si="75"/>
        <v>0.55555555555555558</v>
      </c>
      <c r="BC165" s="7">
        <f t="shared" si="76"/>
        <v>0.74074074074074081</v>
      </c>
      <c r="BD165" s="7">
        <f t="shared" si="77"/>
        <v>0.75925925925925919</v>
      </c>
      <c r="BE165">
        <f>step3_validation[[#This Row],[AI_OUT1]]</f>
        <v>8</v>
      </c>
      <c r="BF165">
        <f t="shared" si="78"/>
        <v>0.77777777777777779</v>
      </c>
      <c r="BG165">
        <f>survey_responses[[#This Row],[Sau khi xem xét các quyền lợi và nghĩa vụ, bạn có ủng hộ và tuân thủ chính sách mới hiện nay? - HUMAN-OUT1]]</f>
        <v>7</v>
      </c>
      <c r="BH165">
        <f t="shared" si="79"/>
        <v>0.66666666666666663</v>
      </c>
      <c r="BI165" s="32">
        <f t="shared" si="80"/>
        <v>1</v>
      </c>
    </row>
    <row r="166" spans="1:61" x14ac:dyDescent="0.45">
      <c r="A166" s="30">
        <f>step3_validation[[#This Row],[Persona_ID]]</f>
        <v>165</v>
      </c>
      <c r="B166" s="31">
        <f>step3_validation[[#This Row],[Used_Seed]]</f>
        <v>206</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38.429560461167455</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2</v>
      </c>
      <c r="R166">
        <f t="shared" si="54"/>
        <v>0.1111111111111111</v>
      </c>
      <c r="S166">
        <f>survey_responses[[#This Row],[Tôi tin rằng với các quy định quản lý thuế hiện nay, hành vi gian lận hoặc trốn thuế sẽ dễ dàng bị phát hiện và xử lý nghiêm. - HUMAN-ENF1]]</f>
        <v>5</v>
      </c>
      <c r="T166">
        <f t="shared" si="55"/>
        <v>0.44444444444444442</v>
      </c>
      <c r="U166">
        <f>step3_validation[[#This Row],[AI_ENF2]]</f>
        <v>3</v>
      </c>
      <c r="V166">
        <f t="shared" si="56"/>
        <v>0.22222222222222221</v>
      </c>
      <c r="W166">
        <f>survey_responses[[#This Row],[Tôi tin rằng Nhà nước, cơ quan thuế có đủ khả năng và công nghệ để phát hiện, xử lý nghiêm các hành vi trốn thuế. - HUMAN-ENF2]]</f>
        <v>5</v>
      </c>
      <c r="X166">
        <f t="shared" si="57"/>
        <v>0.44444444444444442</v>
      </c>
      <c r="Y166" s="32">
        <f t="shared" si="58"/>
        <v>0.16666666666666666</v>
      </c>
      <c r="Z166" s="32">
        <f t="shared" si="59"/>
        <v>0.44444444444444442</v>
      </c>
      <c r="AA166">
        <f>step3_validation[[#This Row],[AI_FAC1]]</f>
        <v>7</v>
      </c>
      <c r="AB166">
        <f t="shared" si="60"/>
        <v>0.66666666666666663</v>
      </c>
      <c r="AC166">
        <f>survey_responses[[#This Row],[Các thủ tục khai báo thuế VÀ/HOẶC quy trình làm việc với cơ quan thuế đơn giản, tiện lợi, nhanh chóng hơn so với trước đây. - HUMAN-FAC1]]</f>
        <v>6</v>
      </c>
      <c r="AD166">
        <f t="shared" si="61"/>
        <v>0.55555555555555558</v>
      </c>
      <c r="AE166">
        <f>step3_validation[[#This Row],[AI_FAC2]]</f>
        <v>9</v>
      </c>
      <c r="AF166">
        <f t="shared" si="62"/>
        <v>0.88888888888888884</v>
      </c>
      <c r="AG166">
        <f>survey_responses[[#This Row],[So với trước đây, tôi thấy cách tính thuế và các bậc thuế trong phương án mới đơn giản, dễ hiểu và dễ thực hiện hơn. - HUMAN-FAC2]]</f>
        <v>6</v>
      </c>
      <c r="AH166">
        <f t="shared" si="63"/>
        <v>0.55555555555555558</v>
      </c>
      <c r="AI166" s="32">
        <f t="shared" si="64"/>
        <v>0.77777777777777768</v>
      </c>
      <c r="AJ166" s="32">
        <f t="shared" si="65"/>
        <v>0.55555555555555558</v>
      </c>
      <c r="AK166">
        <f>step3_validation[[#This Row],[AI_TRU1]]</f>
        <v>6</v>
      </c>
      <c r="AL166">
        <f t="shared" si="66"/>
        <v>0.55555555555555558</v>
      </c>
      <c r="AM166">
        <f>survey_responses[[#This Row],[Tôi tin rằng Nhà nước, cơ quan thuế sẽ thực thi chính sách mới một cách khách quan, công tâm và đối xử bình đẳng với mọi người nộp thuế.  - HUMAN-TRU1]]</f>
        <v>6</v>
      </c>
      <c r="AN166">
        <f t="shared" si="67"/>
        <v>0.55555555555555558</v>
      </c>
      <c r="AO166">
        <f>step3_validation[[#This Row],[AI_TRU2]]</f>
        <v>9</v>
      </c>
      <c r="AP166">
        <f t="shared" si="68"/>
        <v>0.88888888888888884</v>
      </c>
      <c r="AQ166">
        <f>survey_responses[[#This Row],[Tôi thấy mức thuế tôi phải đóng theo phương án mới là công bằng (người thu nhập như tôi đóng mức này là hợp lý). - HUMAN-TRU2]]</f>
        <v>6</v>
      </c>
      <c r="AR166">
        <f t="shared" si="69"/>
        <v>0.55555555555555558</v>
      </c>
      <c r="AS166">
        <f>step3_validation[[#This Row],[AI_TRU3]]</f>
        <v>7</v>
      </c>
      <c r="AT166">
        <f t="shared" si="70"/>
        <v>0.66666666666666663</v>
      </c>
      <c r="AU166">
        <f>survey_responses[[#This Row],[Tôi tin tưởng số tiền thuế tôi đóng sẽ được Nhà nước sử dụng hiệu quả để cải thiện dịch vụ công (y tế, đường xá...). - HUMAN-TRU3]]</f>
        <v>5</v>
      </c>
      <c r="AV166">
        <f t="shared" si="71"/>
        <v>0.44444444444444442</v>
      </c>
      <c r="AW166">
        <f>step3_validation[[#This Row],[AI_TRU4]]</f>
        <v>8</v>
      </c>
      <c r="AX166">
        <f t="shared" si="72"/>
        <v>0.77777777777777779</v>
      </c>
      <c r="AY166">
        <f>survey_responses[[#This Row],[Tôi thấy Nhà nước đã giải thích rõ ràng, minh bạch về lý do và mục tiêu của việc sửa đổi thuế lần này. - HUMAN-TRU4]]</f>
        <v>7</v>
      </c>
      <c r="AZ166">
        <f t="shared" si="73"/>
        <v>0.66666666666666663</v>
      </c>
      <c r="BA166" s="32">
        <f t="shared" si="74"/>
        <v>0.72222222222222221</v>
      </c>
      <c r="BB166" s="32">
        <f t="shared" si="75"/>
        <v>0.55555555555555558</v>
      </c>
      <c r="BC166" s="7">
        <f t="shared" si="76"/>
        <v>0.55555555555555547</v>
      </c>
      <c r="BD166" s="7">
        <f t="shared" si="77"/>
        <v>0.51851851851851849</v>
      </c>
      <c r="BE166">
        <f>step3_validation[[#This Row],[AI_OUT1]]</f>
        <v>9</v>
      </c>
      <c r="BF166">
        <f t="shared" si="78"/>
        <v>0.88888888888888884</v>
      </c>
      <c r="BG166">
        <f>survey_responses[[#This Row],[Sau khi xem xét các quyền lợi và nghĩa vụ, bạn có ủng hộ và tuân thủ chính sách mới hiện nay? - HUMAN-OUT1]]</f>
        <v>8</v>
      </c>
      <c r="BH166">
        <f t="shared" si="79"/>
        <v>0.77777777777777779</v>
      </c>
      <c r="BI166" s="32">
        <f t="shared" si="80"/>
        <v>1</v>
      </c>
    </row>
    <row r="167" spans="1:61" x14ac:dyDescent="0.45">
      <c r="A167" s="30">
        <f>step3_validation[[#This Row],[Persona_ID]]</f>
        <v>166</v>
      </c>
      <c r="B167" s="31">
        <f>step3_validation[[#This Row],[Used_Seed]]</f>
        <v>207</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33.145320198862713</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8</v>
      </c>
      <c r="R167">
        <f t="shared" si="54"/>
        <v>0.77777777777777779</v>
      </c>
      <c r="S167">
        <f>survey_responses[[#This Row],[Tôi tin rằng với các quy định quản lý thuế hiện nay, hành vi gian lận hoặc trốn thuế sẽ dễ dàng bị phát hiện và xử lý nghiêm. - HUMAN-ENF1]]</f>
        <v>10</v>
      </c>
      <c r="T167">
        <f t="shared" si="55"/>
        <v>1</v>
      </c>
      <c r="U167">
        <f>step3_validation[[#This Row],[AI_ENF2]]</f>
        <v>9</v>
      </c>
      <c r="V167">
        <f t="shared" si="56"/>
        <v>0.88888888888888884</v>
      </c>
      <c r="W167">
        <f>survey_responses[[#This Row],[Tôi tin rằng Nhà nước, cơ quan thuế có đủ khả năng và công nghệ để phát hiện, xử lý nghiêm các hành vi trốn thuế. - HUMAN-ENF2]]</f>
        <v>8</v>
      </c>
      <c r="X167">
        <f t="shared" si="57"/>
        <v>0.77777777777777779</v>
      </c>
      <c r="Y167" s="32">
        <f t="shared" si="58"/>
        <v>0.83333333333333326</v>
      </c>
      <c r="Z167" s="32">
        <f t="shared" si="59"/>
        <v>0.88888888888888884</v>
      </c>
      <c r="AA167">
        <f>step3_validation[[#This Row],[AI_FAC1]]</f>
        <v>9</v>
      </c>
      <c r="AB167">
        <f t="shared" si="60"/>
        <v>0.88888888888888884</v>
      </c>
      <c r="AC167">
        <f>survey_responses[[#This Row],[Các thủ tục khai báo thuế VÀ/HOẶC quy trình làm việc với cơ quan thuế đơn giản, tiện lợi, nhanh chóng hơn so với trước đây. - HUMAN-FAC1]]</f>
        <v>10</v>
      </c>
      <c r="AD167">
        <f t="shared" si="61"/>
        <v>1</v>
      </c>
      <c r="AE167">
        <f>step3_validation[[#This Row],[AI_FAC2]]</f>
        <v>8</v>
      </c>
      <c r="AF167">
        <f t="shared" si="62"/>
        <v>0.77777777777777779</v>
      </c>
      <c r="AG167">
        <f>survey_responses[[#This Row],[So với trước đây, tôi thấy cách tính thuế và các bậc thuế trong phương án mới đơn giản, dễ hiểu và dễ thực hiện hơn. - HUMAN-FAC2]]</f>
        <v>10</v>
      </c>
      <c r="AH167">
        <f t="shared" si="63"/>
        <v>1</v>
      </c>
      <c r="AI167" s="32">
        <f t="shared" si="64"/>
        <v>0.83333333333333326</v>
      </c>
      <c r="AJ167" s="32">
        <f t="shared" si="65"/>
        <v>1</v>
      </c>
      <c r="AK167">
        <f>step3_validation[[#This Row],[AI_TRU1]]</f>
        <v>9</v>
      </c>
      <c r="AL167">
        <f t="shared" si="66"/>
        <v>0.88888888888888884</v>
      </c>
      <c r="AM167">
        <f>survey_responses[[#This Row],[Tôi tin rằng Nhà nước, cơ quan thuế sẽ thực thi chính sách mới một cách khách quan, công tâm và đối xử bình đẳng với mọi người nộp thuế.  - HUMAN-TRU1]]</f>
        <v>10</v>
      </c>
      <c r="AN167">
        <f t="shared" si="67"/>
        <v>1</v>
      </c>
      <c r="AO167">
        <f>step3_validation[[#This Row],[AI_TRU2]]</f>
        <v>8</v>
      </c>
      <c r="AP167">
        <f t="shared" si="68"/>
        <v>0.77777777777777779</v>
      </c>
      <c r="AQ167">
        <f>survey_responses[[#This Row],[Tôi thấy mức thuế tôi phải đóng theo phương án mới là công bằng (người thu nhập như tôi đóng mức này là hợp lý). - HUMAN-TRU2]]</f>
        <v>10</v>
      </c>
      <c r="AR167">
        <f t="shared" si="69"/>
        <v>1</v>
      </c>
      <c r="AS167">
        <f>step3_validation[[#This Row],[AI_TRU3]]</f>
        <v>9</v>
      </c>
      <c r="AT167">
        <f t="shared" si="70"/>
        <v>0.88888888888888884</v>
      </c>
      <c r="AU167">
        <f>survey_responses[[#This Row],[Tôi tin tưởng số tiền thuế tôi đóng sẽ được Nhà nước sử dụng hiệu quả để cải thiện dịch vụ công (y tế, đường xá...). - HUMAN-TRU3]]</f>
        <v>10</v>
      </c>
      <c r="AV167">
        <f t="shared" si="71"/>
        <v>1</v>
      </c>
      <c r="AW167">
        <f>step3_validation[[#This Row],[AI_TRU4]]</f>
        <v>8</v>
      </c>
      <c r="AX167">
        <f t="shared" si="72"/>
        <v>0.77777777777777779</v>
      </c>
      <c r="AY167">
        <f>survey_responses[[#This Row],[Tôi thấy Nhà nước đã giải thích rõ ràng, minh bạch về lý do và mục tiêu của việc sửa đổi thuế lần này. - HUMAN-TRU4]]</f>
        <v>10</v>
      </c>
      <c r="AZ167">
        <f t="shared" si="73"/>
        <v>1</v>
      </c>
      <c r="BA167" s="32">
        <f t="shared" si="74"/>
        <v>0.83333333333333326</v>
      </c>
      <c r="BB167" s="32">
        <f t="shared" si="75"/>
        <v>1</v>
      </c>
      <c r="BC167" s="7">
        <f t="shared" si="76"/>
        <v>0.83333333333333337</v>
      </c>
      <c r="BD167" s="7">
        <f t="shared" si="77"/>
        <v>0.96296296296296291</v>
      </c>
      <c r="BE167">
        <f>step3_validation[[#This Row],[AI_OUT1]]</f>
        <v>8</v>
      </c>
      <c r="BF167">
        <f t="shared" si="78"/>
        <v>0.77777777777777779</v>
      </c>
      <c r="BG167">
        <f>survey_responses[[#This Row],[Sau khi xem xét các quyền lợi và nghĩa vụ, bạn có ủng hộ và tuân thủ chính sách mới hiện nay? - HUMAN-OUT1]]</f>
        <v>8</v>
      </c>
      <c r="BH167">
        <f t="shared" si="79"/>
        <v>0.77777777777777779</v>
      </c>
      <c r="BI167" s="32">
        <f t="shared" si="80"/>
        <v>0</v>
      </c>
    </row>
    <row r="168" spans="1:61" x14ac:dyDescent="0.45">
      <c r="A168" s="30">
        <f>step3_validation[[#This Row],[Persona_ID]]</f>
        <v>167</v>
      </c>
      <c r="B168" s="31">
        <f>step3_validation[[#This Row],[Used_Seed]]</f>
        <v>208</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73.373727280298127</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f t="shared" si="54"/>
        <v>0.66666666666666663</v>
      </c>
      <c r="S168">
        <f>survey_responses[[#This Row],[Tôi tin rằng với các quy định quản lý thuế hiện nay, hành vi gian lận hoặc trốn thuế sẽ dễ dàng bị phát hiện và xử lý nghiêm. - HUMAN-ENF1]]</f>
        <v>5</v>
      </c>
      <c r="T168">
        <f t="shared" si="55"/>
        <v>0.44444444444444442</v>
      </c>
      <c r="U168">
        <f>step3_validation[[#This Row],[AI_ENF2]]</f>
        <v>6</v>
      </c>
      <c r="V168">
        <f t="shared" si="56"/>
        <v>0.55555555555555558</v>
      </c>
      <c r="W168">
        <f>survey_responses[[#This Row],[Tôi tin rằng Nhà nước, cơ quan thuế có đủ khả năng và công nghệ để phát hiện, xử lý nghiêm các hành vi trốn thuế. - HUMAN-ENF2]]</f>
        <v>8</v>
      </c>
      <c r="X168">
        <f t="shared" si="57"/>
        <v>0.77777777777777779</v>
      </c>
      <c r="Y168" s="32">
        <f t="shared" si="58"/>
        <v>0.61111111111111116</v>
      </c>
      <c r="Z168" s="32">
        <f t="shared" si="59"/>
        <v>0.61111111111111116</v>
      </c>
      <c r="AA168">
        <f>step3_validation[[#This Row],[AI_FAC1]]</f>
        <v>8</v>
      </c>
      <c r="AB168">
        <f t="shared" si="60"/>
        <v>0.77777777777777779</v>
      </c>
      <c r="AC168">
        <f>survey_responses[[#This Row],[Các thủ tục khai báo thuế VÀ/HOẶC quy trình làm việc với cơ quan thuế đơn giản, tiện lợi, nhanh chóng hơn so với trước đây. - HUMAN-FAC1]]</f>
        <v>5</v>
      </c>
      <c r="AD168">
        <f t="shared" si="61"/>
        <v>0.44444444444444442</v>
      </c>
      <c r="AE168">
        <f>step3_validation[[#This Row],[AI_FAC2]]</f>
        <v>9</v>
      </c>
      <c r="AF168">
        <f t="shared" si="62"/>
        <v>0.88888888888888884</v>
      </c>
      <c r="AG168">
        <f>survey_responses[[#This Row],[So với trước đây, tôi thấy cách tính thuế và các bậc thuế trong phương án mới đơn giản, dễ hiểu và dễ thực hiện hơn. - HUMAN-FAC2]]</f>
        <v>8</v>
      </c>
      <c r="AH168">
        <f t="shared" si="63"/>
        <v>0.77777777777777779</v>
      </c>
      <c r="AI168" s="32">
        <f t="shared" si="64"/>
        <v>0.83333333333333326</v>
      </c>
      <c r="AJ168" s="32">
        <f t="shared" si="65"/>
        <v>0.61111111111111116</v>
      </c>
      <c r="AK168">
        <f>step3_validation[[#This Row],[AI_TRU1]]</f>
        <v>7</v>
      </c>
      <c r="AL168">
        <f t="shared" si="66"/>
        <v>0.66666666666666663</v>
      </c>
      <c r="AM168">
        <f>survey_responses[[#This Row],[Tôi tin rằng Nhà nước, cơ quan thuế sẽ thực thi chính sách mới một cách khách quan, công tâm và đối xử bình đẳng với mọi người nộp thuế.  - HUMAN-TRU1]]</f>
        <v>4</v>
      </c>
      <c r="AN168">
        <f t="shared" si="67"/>
        <v>0.33333333333333331</v>
      </c>
      <c r="AO168">
        <f>step3_validation[[#This Row],[AI_TRU2]]</f>
        <v>9</v>
      </c>
      <c r="AP168">
        <f t="shared" si="68"/>
        <v>0.88888888888888884</v>
      </c>
      <c r="AQ168">
        <f>survey_responses[[#This Row],[Tôi thấy mức thuế tôi phải đóng theo phương án mới là công bằng (người thu nhập như tôi đóng mức này là hợp lý). - HUMAN-TRU2]]</f>
        <v>5</v>
      </c>
      <c r="AR168">
        <f t="shared" si="69"/>
        <v>0.44444444444444442</v>
      </c>
      <c r="AS168">
        <f>step3_validation[[#This Row],[AI_TRU3]]</f>
        <v>7</v>
      </c>
      <c r="AT168">
        <f t="shared" si="70"/>
        <v>0.66666666666666663</v>
      </c>
      <c r="AU168">
        <f>survey_responses[[#This Row],[Tôi tin tưởng số tiền thuế tôi đóng sẽ được Nhà nước sử dụng hiệu quả để cải thiện dịch vụ công (y tế, đường xá...). - HUMAN-TRU3]]</f>
        <v>1</v>
      </c>
      <c r="AV168">
        <f t="shared" si="71"/>
        <v>0</v>
      </c>
      <c r="AW168">
        <f>step3_validation[[#This Row],[AI_TRU4]]</f>
        <v>8</v>
      </c>
      <c r="AX168">
        <f t="shared" si="72"/>
        <v>0.77777777777777779</v>
      </c>
      <c r="AY168">
        <f>survey_responses[[#This Row],[Tôi thấy Nhà nước đã giải thích rõ ràng, minh bạch về lý do và mục tiêu của việc sửa đổi thuế lần này. - HUMAN-TRU4]]</f>
        <v>5</v>
      </c>
      <c r="AZ168">
        <f t="shared" si="73"/>
        <v>0.44444444444444442</v>
      </c>
      <c r="BA168" s="32">
        <f t="shared" si="74"/>
        <v>0.74999999999999989</v>
      </c>
      <c r="BB168" s="32">
        <f t="shared" si="75"/>
        <v>0.30555555555555552</v>
      </c>
      <c r="BC168" s="7">
        <f t="shared" si="76"/>
        <v>0.7314814814814814</v>
      </c>
      <c r="BD168" s="7">
        <f t="shared" si="77"/>
        <v>0.5092592592592593</v>
      </c>
      <c r="BE168">
        <f>step3_validation[[#This Row],[AI_OUT1]]</f>
        <v>9</v>
      </c>
      <c r="BF168">
        <f t="shared" si="78"/>
        <v>0.88888888888888884</v>
      </c>
      <c r="BG168">
        <f>survey_responses[[#This Row],[Sau khi xem xét các quyền lợi và nghĩa vụ, bạn có ủng hộ và tuân thủ chính sách mới hiện nay? - HUMAN-OUT1]]</f>
        <v>5</v>
      </c>
      <c r="BH168">
        <f t="shared" si="79"/>
        <v>0.44444444444444442</v>
      </c>
      <c r="BI168" s="32">
        <f t="shared" si="80"/>
        <v>4</v>
      </c>
    </row>
    <row r="169" spans="1:61" x14ac:dyDescent="0.45">
      <c r="A169" s="30">
        <f>step3_validation[[#This Row],[Persona_ID]]</f>
        <v>168</v>
      </c>
      <c r="B169" s="31">
        <f>step3_validation[[#This Row],[Used_Seed]]</f>
        <v>209</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20.655452261962822</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5</v>
      </c>
      <c r="R169">
        <f t="shared" si="54"/>
        <v>0.44444444444444442</v>
      </c>
      <c r="S169">
        <f>survey_responses[[#This Row],[Tôi tin rằng với các quy định quản lý thuế hiện nay, hành vi gian lận hoặc trốn thuế sẽ dễ dàng bị phát hiện và xử lý nghiêm. - HUMAN-ENF1]]</f>
        <v>7</v>
      </c>
      <c r="T169">
        <f t="shared" si="55"/>
        <v>0.66666666666666663</v>
      </c>
      <c r="U169">
        <f>step3_validation[[#This Row],[AI_ENF2]]</f>
        <v>6</v>
      </c>
      <c r="V169">
        <f t="shared" si="56"/>
        <v>0.55555555555555558</v>
      </c>
      <c r="W169">
        <f>survey_responses[[#This Row],[Tôi tin rằng Nhà nước, cơ quan thuế có đủ khả năng và công nghệ để phát hiện, xử lý nghiêm các hành vi trốn thuế. - HUMAN-ENF2]]</f>
        <v>7</v>
      </c>
      <c r="X169">
        <f t="shared" si="57"/>
        <v>0.66666666666666663</v>
      </c>
      <c r="Y169" s="32">
        <f t="shared" si="58"/>
        <v>0.5</v>
      </c>
      <c r="Z169" s="32">
        <f t="shared" si="59"/>
        <v>0.66666666666666663</v>
      </c>
      <c r="AA169">
        <f>step3_validation[[#This Row],[AI_FAC1]]</f>
        <v>8</v>
      </c>
      <c r="AB169">
        <f t="shared" si="60"/>
        <v>0.77777777777777779</v>
      </c>
      <c r="AC169">
        <f>survey_responses[[#This Row],[Các thủ tục khai báo thuế VÀ/HOẶC quy trình làm việc với cơ quan thuế đơn giản, tiện lợi, nhanh chóng hơn so với trước đây. - HUMAN-FAC1]]</f>
        <v>8</v>
      </c>
      <c r="AD169">
        <f t="shared" si="61"/>
        <v>0.77777777777777779</v>
      </c>
      <c r="AE169">
        <f>step3_validation[[#This Row],[AI_FAC2]]</f>
        <v>9</v>
      </c>
      <c r="AF169">
        <f t="shared" si="62"/>
        <v>0.88888888888888884</v>
      </c>
      <c r="AG169">
        <f>survey_responses[[#This Row],[So với trước đây, tôi thấy cách tính thuế và các bậc thuế trong phương án mới đơn giản, dễ hiểu và dễ thực hiện hơn. - HUMAN-FAC2]]</f>
        <v>8</v>
      </c>
      <c r="AH169">
        <f t="shared" si="63"/>
        <v>0.77777777777777779</v>
      </c>
      <c r="AI169" s="32">
        <f t="shared" si="64"/>
        <v>0.83333333333333326</v>
      </c>
      <c r="AJ169" s="32">
        <f t="shared" si="65"/>
        <v>0.77777777777777779</v>
      </c>
      <c r="AK169">
        <f>step3_validation[[#This Row],[AI_TRU1]]</f>
        <v>8</v>
      </c>
      <c r="AL169">
        <f t="shared" si="66"/>
        <v>0.77777777777777779</v>
      </c>
      <c r="AM169">
        <f>survey_responses[[#This Row],[Tôi tin rằng Nhà nước, cơ quan thuế sẽ thực thi chính sách mới một cách khách quan, công tâm và đối xử bình đẳng với mọi người nộp thuế.  - HUMAN-TRU1]]</f>
        <v>7</v>
      </c>
      <c r="AN169">
        <f t="shared" si="67"/>
        <v>0.66666666666666663</v>
      </c>
      <c r="AO169">
        <f>step3_validation[[#This Row],[AI_TRU2]]</f>
        <v>9</v>
      </c>
      <c r="AP169">
        <f t="shared" si="68"/>
        <v>0.88888888888888884</v>
      </c>
      <c r="AQ169">
        <f>survey_responses[[#This Row],[Tôi thấy mức thuế tôi phải đóng theo phương án mới là công bằng (người thu nhập như tôi đóng mức này là hợp lý). - HUMAN-TRU2]]</f>
        <v>8</v>
      </c>
      <c r="AR169">
        <f t="shared" si="69"/>
        <v>0.77777777777777779</v>
      </c>
      <c r="AS169">
        <f>step3_validation[[#This Row],[AI_TRU3]]</f>
        <v>8</v>
      </c>
      <c r="AT169">
        <f t="shared" si="70"/>
        <v>0.77777777777777779</v>
      </c>
      <c r="AU169">
        <f>survey_responses[[#This Row],[Tôi tin tưởng số tiền thuế tôi đóng sẽ được Nhà nước sử dụng hiệu quả để cải thiện dịch vụ công (y tế, đường xá...). - HUMAN-TRU3]]</f>
        <v>8</v>
      </c>
      <c r="AV169">
        <f t="shared" si="71"/>
        <v>0.77777777777777779</v>
      </c>
      <c r="AW169">
        <f>step3_validation[[#This Row],[AI_TRU4]]</f>
        <v>7</v>
      </c>
      <c r="AX169">
        <f t="shared" si="72"/>
        <v>0.66666666666666663</v>
      </c>
      <c r="AY169">
        <f>survey_responses[[#This Row],[Tôi thấy Nhà nước đã giải thích rõ ràng, minh bạch về lý do và mục tiêu của việc sửa đổi thuế lần này. - HUMAN-TRU4]]</f>
        <v>8</v>
      </c>
      <c r="AZ169">
        <f t="shared" si="73"/>
        <v>0.77777777777777779</v>
      </c>
      <c r="BA169" s="32">
        <f t="shared" si="74"/>
        <v>0.77777777777777768</v>
      </c>
      <c r="BB169" s="32">
        <f t="shared" si="75"/>
        <v>0.75</v>
      </c>
      <c r="BC169" s="7">
        <f t="shared" si="76"/>
        <v>0.70370370370370361</v>
      </c>
      <c r="BD169" s="7">
        <f t="shared" si="77"/>
        <v>0.73148148148148151</v>
      </c>
      <c r="BE169">
        <f>step3_validation[[#This Row],[AI_OUT1]]</f>
        <v>9</v>
      </c>
      <c r="BF169">
        <f t="shared" si="78"/>
        <v>0.88888888888888884</v>
      </c>
      <c r="BG169">
        <f>survey_responses[[#This Row],[Sau khi xem xét các quyền lợi và nghĩa vụ, bạn có ủng hộ và tuân thủ chính sách mới hiện nay? - HUMAN-OUT1]]</f>
        <v>9</v>
      </c>
      <c r="BH169">
        <f t="shared" si="79"/>
        <v>0.88888888888888884</v>
      </c>
      <c r="BI169" s="32">
        <f t="shared" si="80"/>
        <v>0</v>
      </c>
    </row>
    <row r="170" spans="1:61" x14ac:dyDescent="0.45">
      <c r="A170" s="30">
        <f>step3_validation[[#This Row],[Persona_ID]]</f>
        <v>169</v>
      </c>
      <c r="B170" s="31">
        <f>step3_validation[[#This Row],[Used_Seed]]</f>
        <v>210</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36.237678039537457</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f t="shared" si="54"/>
        <v>0.77777777777777779</v>
      </c>
      <c r="S170">
        <f>survey_responses[[#This Row],[Tôi tin rằng với các quy định quản lý thuế hiện nay, hành vi gian lận hoặc trốn thuế sẽ dễ dàng bị phát hiện và xử lý nghiêm. - HUMAN-ENF1]]</f>
        <v>8</v>
      </c>
      <c r="T170">
        <f t="shared" si="55"/>
        <v>0.77777777777777779</v>
      </c>
      <c r="U170">
        <f>step3_validation[[#This Row],[AI_ENF2]]</f>
        <v>8</v>
      </c>
      <c r="V170">
        <f t="shared" si="56"/>
        <v>0.77777777777777779</v>
      </c>
      <c r="W170">
        <f>survey_responses[[#This Row],[Tôi tin rằng Nhà nước, cơ quan thuế có đủ khả năng và công nghệ để phát hiện, xử lý nghiêm các hành vi trốn thuế. - HUMAN-ENF2]]</f>
        <v>8</v>
      </c>
      <c r="X170">
        <f t="shared" si="57"/>
        <v>0.77777777777777779</v>
      </c>
      <c r="Y170" s="32">
        <f t="shared" si="58"/>
        <v>0.77777777777777779</v>
      </c>
      <c r="Z170" s="32">
        <f t="shared" si="59"/>
        <v>0.77777777777777779</v>
      </c>
      <c r="AA170">
        <f>step3_validation[[#This Row],[AI_FAC1]]</f>
        <v>9</v>
      </c>
      <c r="AB170">
        <f t="shared" si="60"/>
        <v>0.88888888888888884</v>
      </c>
      <c r="AC170">
        <f>survey_responses[[#This Row],[Các thủ tục khai báo thuế VÀ/HOẶC quy trình làm việc với cơ quan thuế đơn giản, tiện lợi, nhanh chóng hơn so với trước đây. - HUMAN-FAC1]]</f>
        <v>7</v>
      </c>
      <c r="AD170">
        <f t="shared" si="61"/>
        <v>0.66666666666666663</v>
      </c>
      <c r="AE170">
        <f>step3_validation[[#This Row],[AI_FAC2]]</f>
        <v>9</v>
      </c>
      <c r="AF170">
        <f t="shared" si="62"/>
        <v>0.88888888888888884</v>
      </c>
      <c r="AG170">
        <f>survey_responses[[#This Row],[So với trước đây, tôi thấy cách tính thuế và các bậc thuế trong phương án mới đơn giản, dễ hiểu và dễ thực hiện hơn. - HUMAN-FAC2]]</f>
        <v>8</v>
      </c>
      <c r="AH170">
        <f t="shared" si="63"/>
        <v>0.77777777777777779</v>
      </c>
      <c r="AI170" s="32">
        <f t="shared" si="64"/>
        <v>0.88888888888888884</v>
      </c>
      <c r="AJ170" s="32">
        <f t="shared" si="65"/>
        <v>0.72222222222222221</v>
      </c>
      <c r="AK170">
        <f>step3_validation[[#This Row],[AI_TRU1]]</f>
        <v>8</v>
      </c>
      <c r="AL170">
        <f t="shared" si="66"/>
        <v>0.77777777777777779</v>
      </c>
      <c r="AM170">
        <f>survey_responses[[#This Row],[Tôi tin rằng Nhà nước, cơ quan thuế sẽ thực thi chính sách mới một cách khách quan, công tâm và đối xử bình đẳng với mọi người nộp thuế.  - HUMAN-TRU1]]</f>
        <v>7</v>
      </c>
      <c r="AN170">
        <f t="shared" si="67"/>
        <v>0.66666666666666663</v>
      </c>
      <c r="AO170">
        <f>step3_validation[[#This Row],[AI_TRU2]]</f>
        <v>9</v>
      </c>
      <c r="AP170">
        <f t="shared" si="68"/>
        <v>0.88888888888888884</v>
      </c>
      <c r="AQ170">
        <f>survey_responses[[#This Row],[Tôi thấy mức thuế tôi phải đóng theo phương án mới là công bằng (người thu nhập như tôi đóng mức này là hợp lý). - HUMAN-TRU2]]</f>
        <v>7</v>
      </c>
      <c r="AR170">
        <f t="shared" si="69"/>
        <v>0.66666666666666663</v>
      </c>
      <c r="AS170">
        <f>step3_validation[[#This Row],[AI_TRU3]]</f>
        <v>8</v>
      </c>
      <c r="AT170">
        <f t="shared" si="70"/>
        <v>0.77777777777777779</v>
      </c>
      <c r="AU170">
        <f>survey_responses[[#This Row],[Tôi tin tưởng số tiền thuế tôi đóng sẽ được Nhà nước sử dụng hiệu quả để cải thiện dịch vụ công (y tế, đường xá...). - HUMAN-TRU3]]</f>
        <v>7</v>
      </c>
      <c r="AV170">
        <f t="shared" si="71"/>
        <v>0.66666666666666663</v>
      </c>
      <c r="AW170">
        <f>step3_validation[[#This Row],[AI_TRU4]]</f>
        <v>8</v>
      </c>
      <c r="AX170">
        <f t="shared" si="72"/>
        <v>0.77777777777777779</v>
      </c>
      <c r="AY170">
        <f>survey_responses[[#This Row],[Tôi thấy Nhà nước đã giải thích rõ ràng, minh bạch về lý do và mục tiêu của việc sửa đổi thuế lần này. - HUMAN-TRU4]]</f>
        <v>8</v>
      </c>
      <c r="AZ170">
        <f t="shared" si="73"/>
        <v>0.77777777777777779</v>
      </c>
      <c r="BA170" s="32">
        <f t="shared" si="74"/>
        <v>0.80555555555555547</v>
      </c>
      <c r="BB170" s="32">
        <f t="shared" si="75"/>
        <v>0.69444444444444442</v>
      </c>
      <c r="BC170" s="7">
        <f t="shared" si="76"/>
        <v>0.82407407407407396</v>
      </c>
      <c r="BD170" s="7">
        <f t="shared" si="77"/>
        <v>0.73148148148148151</v>
      </c>
      <c r="BE170">
        <f>step3_validation[[#This Row],[AI_OUT1]]</f>
        <v>9</v>
      </c>
      <c r="BF170">
        <f t="shared" si="78"/>
        <v>0.88888888888888884</v>
      </c>
      <c r="BG170">
        <f>survey_responses[[#This Row],[Sau khi xem xét các quyền lợi và nghĩa vụ, bạn có ủng hộ và tuân thủ chính sách mới hiện nay? - HUMAN-OUT1]]</f>
        <v>8</v>
      </c>
      <c r="BH170">
        <f t="shared" si="79"/>
        <v>0.77777777777777779</v>
      </c>
      <c r="BI170" s="32">
        <f t="shared" si="80"/>
        <v>1</v>
      </c>
    </row>
    <row r="171" spans="1:61" x14ac:dyDescent="0.45">
      <c r="A171" s="30">
        <f>step3_validation[[#This Row],[Persona_ID]]</f>
        <v>170</v>
      </c>
      <c r="B171" s="31">
        <f>step3_validation[[#This Row],[Used_Seed]]</f>
        <v>211</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16.832813501636757</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6</v>
      </c>
      <c r="R171">
        <f t="shared" si="54"/>
        <v>0.55555555555555558</v>
      </c>
      <c r="S171">
        <f>survey_responses[[#This Row],[Tôi tin rằng với các quy định quản lý thuế hiện nay, hành vi gian lận hoặc trốn thuế sẽ dễ dàng bị phát hiện và xử lý nghiêm. - HUMAN-ENF1]]</f>
        <v>5</v>
      </c>
      <c r="T171">
        <f t="shared" si="55"/>
        <v>0.44444444444444442</v>
      </c>
      <c r="U171">
        <f>step3_validation[[#This Row],[AI_ENF2]]</f>
        <v>8</v>
      </c>
      <c r="V171">
        <f t="shared" si="56"/>
        <v>0.77777777777777779</v>
      </c>
      <c r="W171">
        <f>survey_responses[[#This Row],[Tôi tin rằng Nhà nước, cơ quan thuế có đủ khả năng và công nghệ để phát hiện, xử lý nghiêm các hành vi trốn thuế. - HUMAN-ENF2]]</f>
        <v>8</v>
      </c>
      <c r="X171">
        <f t="shared" si="57"/>
        <v>0.77777777777777779</v>
      </c>
      <c r="Y171" s="32">
        <f t="shared" si="58"/>
        <v>0.66666666666666674</v>
      </c>
      <c r="Z171" s="32">
        <f t="shared" si="59"/>
        <v>0.61111111111111116</v>
      </c>
      <c r="AA171">
        <f>step3_validation[[#This Row],[AI_FAC1]]</f>
        <v>9</v>
      </c>
      <c r="AB171">
        <f t="shared" si="60"/>
        <v>0.88888888888888884</v>
      </c>
      <c r="AC171">
        <f>survey_responses[[#This Row],[Các thủ tục khai báo thuế VÀ/HOẶC quy trình làm việc với cơ quan thuế đơn giản, tiện lợi, nhanh chóng hơn so với trước đây. - HUMAN-FAC1]]</f>
        <v>7</v>
      </c>
      <c r="AD171">
        <f t="shared" si="61"/>
        <v>0.66666666666666663</v>
      </c>
      <c r="AE171">
        <f>step3_validation[[#This Row],[AI_FAC2]]</f>
        <v>8</v>
      </c>
      <c r="AF171">
        <f t="shared" si="62"/>
        <v>0.77777777777777779</v>
      </c>
      <c r="AG171">
        <f>survey_responses[[#This Row],[So với trước đây, tôi thấy cách tính thuế và các bậc thuế trong phương án mới đơn giản, dễ hiểu và dễ thực hiện hơn. - HUMAN-FAC2]]</f>
        <v>8</v>
      </c>
      <c r="AH171">
        <f t="shared" si="63"/>
        <v>0.77777777777777779</v>
      </c>
      <c r="AI171" s="32">
        <f t="shared" si="64"/>
        <v>0.83333333333333326</v>
      </c>
      <c r="AJ171" s="32">
        <f t="shared" si="65"/>
        <v>0.72222222222222221</v>
      </c>
      <c r="AK171">
        <f>step3_validation[[#This Row],[AI_TRU1]]</f>
        <v>7</v>
      </c>
      <c r="AL171">
        <f t="shared" si="66"/>
        <v>0.66666666666666663</v>
      </c>
      <c r="AM171">
        <f>survey_responses[[#This Row],[Tôi tin rằng Nhà nước, cơ quan thuế sẽ thực thi chính sách mới một cách khách quan, công tâm và đối xử bình đẳng với mọi người nộp thuế.  - HUMAN-TRU1]]</f>
        <v>1</v>
      </c>
      <c r="AN171">
        <f t="shared" si="67"/>
        <v>0</v>
      </c>
      <c r="AO171">
        <f>step3_validation[[#This Row],[AI_TRU2]]</f>
        <v>9</v>
      </c>
      <c r="AP171">
        <f t="shared" si="68"/>
        <v>0.88888888888888884</v>
      </c>
      <c r="AQ171">
        <f>survey_responses[[#This Row],[Tôi thấy mức thuế tôi phải đóng theo phương án mới là công bằng (người thu nhập như tôi đóng mức này là hợp lý). - HUMAN-TRU2]]</f>
        <v>2</v>
      </c>
      <c r="AR171">
        <f t="shared" si="69"/>
        <v>0.1111111111111111</v>
      </c>
      <c r="AS171">
        <f>step3_validation[[#This Row],[AI_TRU3]]</f>
        <v>7</v>
      </c>
      <c r="AT171">
        <f t="shared" si="70"/>
        <v>0.66666666666666663</v>
      </c>
      <c r="AU171">
        <f>survey_responses[[#This Row],[Tôi tin tưởng số tiền thuế tôi đóng sẽ được Nhà nước sử dụng hiệu quả để cải thiện dịch vụ công (y tế, đường xá...). - HUMAN-TRU3]]</f>
        <v>3</v>
      </c>
      <c r="AV171">
        <f t="shared" si="71"/>
        <v>0.22222222222222221</v>
      </c>
      <c r="AW171">
        <f>step3_validation[[#This Row],[AI_TRU4]]</f>
        <v>8</v>
      </c>
      <c r="AX171">
        <f t="shared" si="72"/>
        <v>0.77777777777777779</v>
      </c>
      <c r="AY171">
        <f>survey_responses[[#This Row],[Tôi thấy Nhà nước đã giải thích rõ ràng, minh bạch về lý do và mục tiêu của việc sửa đổi thuế lần này. - HUMAN-TRU4]]</f>
        <v>3</v>
      </c>
      <c r="AZ171">
        <f t="shared" si="73"/>
        <v>0.22222222222222221</v>
      </c>
      <c r="BA171" s="32">
        <f t="shared" si="74"/>
        <v>0.74999999999999989</v>
      </c>
      <c r="BB171" s="32">
        <f t="shared" si="75"/>
        <v>0.1388888888888889</v>
      </c>
      <c r="BC171" s="7">
        <f t="shared" si="76"/>
        <v>0.75</v>
      </c>
      <c r="BD171" s="7">
        <f t="shared" si="77"/>
        <v>0.49074074074074076</v>
      </c>
      <c r="BE171">
        <f>step3_validation[[#This Row],[AI_OUT1]]</f>
        <v>9</v>
      </c>
      <c r="BF171">
        <f t="shared" si="78"/>
        <v>0.88888888888888884</v>
      </c>
      <c r="BG171">
        <f>survey_responses[[#This Row],[Sau khi xem xét các quyền lợi và nghĩa vụ, bạn có ủng hộ và tuân thủ chính sách mới hiện nay? - HUMAN-OUT1]]</f>
        <v>7</v>
      </c>
      <c r="BH171">
        <f t="shared" si="79"/>
        <v>0.66666666666666663</v>
      </c>
      <c r="BI171" s="32">
        <f t="shared" si="80"/>
        <v>2</v>
      </c>
    </row>
    <row r="172" spans="1:61" x14ac:dyDescent="0.45">
      <c r="A172" s="30">
        <f>step3_validation[[#This Row],[Persona_ID]]</f>
        <v>171</v>
      </c>
      <c r="B172" s="31">
        <f>step3_validation[[#This Row],[Used_Seed]]</f>
        <v>212</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6</v>
      </c>
      <c r="R172">
        <f t="shared" si="54"/>
        <v>0.55555555555555558</v>
      </c>
      <c r="S172">
        <f>survey_responses[[#This Row],[Tôi tin rằng với các quy định quản lý thuế hiện nay, hành vi gian lận hoặc trốn thuế sẽ dễ dàng bị phát hiện và xử lý nghiêm. - HUMAN-ENF1]]</f>
        <v>6</v>
      </c>
      <c r="T172">
        <f t="shared" si="55"/>
        <v>0.55555555555555558</v>
      </c>
      <c r="U172">
        <f>step3_validation[[#This Row],[AI_ENF2]]</f>
        <v>8</v>
      </c>
      <c r="V172">
        <f t="shared" si="56"/>
        <v>0.77777777777777779</v>
      </c>
      <c r="W172">
        <f>survey_responses[[#This Row],[Tôi tin rằng Nhà nước, cơ quan thuế có đủ khả năng và công nghệ để phát hiện, xử lý nghiêm các hành vi trốn thuế. - HUMAN-ENF2]]</f>
        <v>7</v>
      </c>
      <c r="X172">
        <f t="shared" si="57"/>
        <v>0.66666666666666663</v>
      </c>
      <c r="Y172" s="32">
        <f t="shared" si="58"/>
        <v>0.66666666666666674</v>
      </c>
      <c r="Z172" s="32">
        <f t="shared" si="59"/>
        <v>0.61111111111111116</v>
      </c>
      <c r="AA172">
        <f>step3_validation[[#This Row],[AI_FAC1]]</f>
        <v>7</v>
      </c>
      <c r="AB172">
        <f t="shared" si="60"/>
        <v>0.66666666666666663</v>
      </c>
      <c r="AC172">
        <f>survey_responses[[#This Row],[Các thủ tục khai báo thuế VÀ/HOẶC quy trình làm việc với cơ quan thuế đơn giản, tiện lợi, nhanh chóng hơn so với trước đây. - HUMAN-FAC1]]</f>
        <v>5</v>
      </c>
      <c r="AD172">
        <f t="shared" si="61"/>
        <v>0.44444444444444442</v>
      </c>
      <c r="AE172">
        <f>step3_validation[[#This Row],[AI_FAC2]]</f>
        <v>9</v>
      </c>
      <c r="AF172">
        <f t="shared" si="62"/>
        <v>0.88888888888888884</v>
      </c>
      <c r="AG172">
        <f>survey_responses[[#This Row],[So với trước đây, tôi thấy cách tính thuế và các bậc thuế trong phương án mới đơn giản, dễ hiểu và dễ thực hiện hơn. - HUMAN-FAC2]]</f>
        <v>7</v>
      </c>
      <c r="AH172">
        <f t="shared" si="63"/>
        <v>0.66666666666666663</v>
      </c>
      <c r="AI172" s="32">
        <f t="shared" si="64"/>
        <v>0.77777777777777768</v>
      </c>
      <c r="AJ172" s="32">
        <f t="shared" si="65"/>
        <v>0.55555555555555558</v>
      </c>
      <c r="AK172">
        <f>step3_validation[[#This Row],[AI_TRU1]]</f>
        <v>8</v>
      </c>
      <c r="AL172">
        <f t="shared" si="66"/>
        <v>0.77777777777777779</v>
      </c>
      <c r="AM172">
        <f>survey_responses[[#This Row],[Tôi tin rằng Nhà nước, cơ quan thuế sẽ thực thi chính sách mới một cách khách quan, công tâm và đối xử bình đẳng với mọi người nộp thuế.  - HUMAN-TRU1]]</f>
        <v>7</v>
      </c>
      <c r="AN172">
        <f t="shared" si="67"/>
        <v>0.66666666666666663</v>
      </c>
      <c r="AO172">
        <f>step3_validation[[#This Row],[AI_TRU2]]</f>
        <v>7</v>
      </c>
      <c r="AP172">
        <f t="shared" si="68"/>
        <v>0.66666666666666663</v>
      </c>
      <c r="AQ172">
        <f>survey_responses[[#This Row],[Tôi thấy mức thuế tôi phải đóng theo phương án mới là công bằng (người thu nhập như tôi đóng mức này là hợp lý). - HUMAN-TRU2]]</f>
        <v>7</v>
      </c>
      <c r="AR172">
        <f t="shared" si="69"/>
        <v>0.66666666666666663</v>
      </c>
      <c r="AS172">
        <f>step3_validation[[#This Row],[AI_TRU3]]</f>
        <v>8</v>
      </c>
      <c r="AT172">
        <f t="shared" si="70"/>
        <v>0.77777777777777779</v>
      </c>
      <c r="AU172">
        <f>survey_responses[[#This Row],[Tôi tin tưởng số tiền thuế tôi đóng sẽ được Nhà nước sử dụng hiệu quả để cải thiện dịch vụ công (y tế, đường xá...). - HUMAN-TRU3]]</f>
        <v>5</v>
      </c>
      <c r="AV172">
        <f t="shared" si="71"/>
        <v>0.44444444444444442</v>
      </c>
      <c r="AW172">
        <f>step3_validation[[#This Row],[AI_TRU4]]</f>
        <v>7</v>
      </c>
      <c r="AX172">
        <f t="shared" si="72"/>
        <v>0.66666666666666663</v>
      </c>
      <c r="AY172">
        <f>survey_responses[[#This Row],[Tôi thấy Nhà nước đã giải thích rõ ràng, minh bạch về lý do và mục tiêu của việc sửa đổi thuế lần này. - HUMAN-TRU4]]</f>
        <v>7</v>
      </c>
      <c r="AZ172">
        <f t="shared" si="73"/>
        <v>0.66666666666666663</v>
      </c>
      <c r="BA172" s="32">
        <f t="shared" si="74"/>
        <v>0.72222222222222221</v>
      </c>
      <c r="BB172" s="32">
        <f t="shared" si="75"/>
        <v>0.61111111111111105</v>
      </c>
      <c r="BC172" s="7">
        <f t="shared" si="76"/>
        <v>0.72222222222222221</v>
      </c>
      <c r="BD172" s="7">
        <f t="shared" si="77"/>
        <v>0.59259259259259256</v>
      </c>
      <c r="BE172">
        <f>step3_validation[[#This Row],[AI_OUT1]]</f>
        <v>9</v>
      </c>
      <c r="BF172">
        <f t="shared" si="78"/>
        <v>0.88888888888888884</v>
      </c>
      <c r="BG172">
        <f>survey_responses[[#This Row],[Sau khi xem xét các quyền lợi và nghĩa vụ, bạn có ủng hộ và tuân thủ chính sách mới hiện nay? - HUMAN-OUT1]]</f>
        <v>7</v>
      </c>
      <c r="BH172">
        <f t="shared" si="79"/>
        <v>0.66666666666666663</v>
      </c>
      <c r="BI172" s="32">
        <f t="shared" si="80"/>
        <v>2</v>
      </c>
    </row>
    <row r="173" spans="1:61" x14ac:dyDescent="0.45">
      <c r="A173" s="30">
        <f>step3_validation[[#This Row],[Persona_ID]]</f>
        <v>172</v>
      </c>
      <c r="B173" s="31">
        <f>step3_validation[[#This Row],[Used_Seed]]</f>
        <v>213</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167.27835404196111</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7</v>
      </c>
      <c r="R173">
        <f t="shared" si="54"/>
        <v>0.66666666666666663</v>
      </c>
      <c r="S173">
        <f>survey_responses[[#This Row],[Tôi tin rằng với các quy định quản lý thuế hiện nay, hành vi gian lận hoặc trốn thuế sẽ dễ dàng bị phát hiện và xử lý nghiêm. - HUMAN-ENF1]]</f>
        <v>8</v>
      </c>
      <c r="T173">
        <f t="shared" si="55"/>
        <v>0.77777777777777779</v>
      </c>
      <c r="U173">
        <f>step3_validation[[#This Row],[AI_ENF2]]</f>
        <v>6</v>
      </c>
      <c r="V173">
        <f t="shared" si="56"/>
        <v>0.55555555555555558</v>
      </c>
      <c r="W173">
        <f>survey_responses[[#This Row],[Tôi tin rằng Nhà nước, cơ quan thuế có đủ khả năng và công nghệ để phát hiện, xử lý nghiêm các hành vi trốn thuế. - HUMAN-ENF2]]</f>
        <v>8</v>
      </c>
      <c r="X173">
        <f t="shared" si="57"/>
        <v>0.77777777777777779</v>
      </c>
      <c r="Y173" s="32">
        <f t="shared" si="58"/>
        <v>0.61111111111111116</v>
      </c>
      <c r="Z173" s="32">
        <f t="shared" si="59"/>
        <v>0.77777777777777779</v>
      </c>
      <c r="AA173">
        <f>step3_validation[[#This Row],[AI_FAC1]]</f>
        <v>7</v>
      </c>
      <c r="AB173">
        <f t="shared" si="60"/>
        <v>0.66666666666666663</v>
      </c>
      <c r="AC173">
        <f>survey_responses[[#This Row],[Các thủ tục khai báo thuế VÀ/HOẶC quy trình làm việc với cơ quan thuế đơn giản, tiện lợi, nhanh chóng hơn so với trước đây. - HUMAN-FAC1]]</f>
        <v>8</v>
      </c>
      <c r="AD173">
        <f t="shared" si="61"/>
        <v>0.77777777777777779</v>
      </c>
      <c r="AE173">
        <f>step3_validation[[#This Row],[AI_FAC2]]</f>
        <v>8</v>
      </c>
      <c r="AF173">
        <f t="shared" si="62"/>
        <v>0.77777777777777779</v>
      </c>
      <c r="AG173">
        <f>survey_responses[[#This Row],[So với trước đây, tôi thấy cách tính thuế và các bậc thuế trong phương án mới đơn giản, dễ hiểu và dễ thực hiện hơn. - HUMAN-FAC2]]</f>
        <v>9</v>
      </c>
      <c r="AH173">
        <f t="shared" si="63"/>
        <v>0.88888888888888884</v>
      </c>
      <c r="AI173" s="32">
        <f t="shared" si="64"/>
        <v>0.72222222222222221</v>
      </c>
      <c r="AJ173" s="32">
        <f t="shared" si="65"/>
        <v>0.83333333333333326</v>
      </c>
      <c r="AK173">
        <f>step3_validation[[#This Row],[AI_TRU1]]</f>
        <v>6</v>
      </c>
      <c r="AL173">
        <f t="shared" si="66"/>
        <v>0.55555555555555558</v>
      </c>
      <c r="AM173">
        <f>survey_responses[[#This Row],[Tôi tin rằng Nhà nước, cơ quan thuế sẽ thực thi chính sách mới một cách khách quan, công tâm và đối xử bình đẳng với mọi người nộp thuế.  - HUMAN-TRU1]]</f>
        <v>9</v>
      </c>
      <c r="AN173">
        <f t="shared" si="67"/>
        <v>0.88888888888888884</v>
      </c>
      <c r="AO173">
        <f>step3_validation[[#This Row],[AI_TRU2]]</f>
        <v>9</v>
      </c>
      <c r="AP173">
        <f t="shared" si="68"/>
        <v>0.88888888888888884</v>
      </c>
      <c r="AQ173">
        <f>survey_responses[[#This Row],[Tôi thấy mức thuế tôi phải đóng theo phương án mới là công bằng (người thu nhập như tôi đóng mức này là hợp lý). - HUMAN-TRU2]]</f>
        <v>5</v>
      </c>
      <c r="AR173">
        <f t="shared" si="69"/>
        <v>0.44444444444444442</v>
      </c>
      <c r="AS173">
        <f>step3_validation[[#This Row],[AI_TRU3]]</f>
        <v>8</v>
      </c>
      <c r="AT173">
        <f t="shared" si="70"/>
        <v>0.77777777777777779</v>
      </c>
      <c r="AU173">
        <f>survey_responses[[#This Row],[Tôi tin tưởng số tiền thuế tôi đóng sẽ được Nhà nước sử dụng hiệu quả để cải thiện dịch vụ công (y tế, đường xá...). - HUMAN-TRU3]]</f>
        <v>5</v>
      </c>
      <c r="AV173">
        <f t="shared" si="71"/>
        <v>0.44444444444444442</v>
      </c>
      <c r="AW173">
        <f>step3_validation[[#This Row],[AI_TRU4]]</f>
        <v>7</v>
      </c>
      <c r="AX173">
        <f t="shared" si="72"/>
        <v>0.66666666666666663</v>
      </c>
      <c r="AY173">
        <f>survey_responses[[#This Row],[Tôi thấy Nhà nước đã giải thích rõ ràng, minh bạch về lý do và mục tiêu của việc sửa đổi thuế lần này. - HUMAN-TRU4]]</f>
        <v>8</v>
      </c>
      <c r="AZ173">
        <f t="shared" si="73"/>
        <v>0.77777777777777779</v>
      </c>
      <c r="BA173" s="32">
        <f t="shared" si="74"/>
        <v>0.72222222222222221</v>
      </c>
      <c r="BB173" s="32">
        <f t="shared" si="75"/>
        <v>0.63888888888888884</v>
      </c>
      <c r="BC173" s="7">
        <f t="shared" si="76"/>
        <v>0.68518518518518523</v>
      </c>
      <c r="BD173" s="7">
        <f t="shared" si="77"/>
        <v>0.75</v>
      </c>
      <c r="BE173">
        <f>step3_validation[[#This Row],[AI_OUT1]]</f>
        <v>9</v>
      </c>
      <c r="BF173">
        <f t="shared" si="78"/>
        <v>0.88888888888888884</v>
      </c>
      <c r="BG173">
        <f>survey_responses[[#This Row],[Sau khi xem xét các quyền lợi và nghĩa vụ, bạn có ủng hộ và tuân thủ chính sách mới hiện nay? - HUMAN-OUT1]]</f>
        <v>6</v>
      </c>
      <c r="BH173">
        <f t="shared" si="79"/>
        <v>0.55555555555555558</v>
      </c>
      <c r="BI173" s="32">
        <f t="shared" si="80"/>
        <v>3</v>
      </c>
    </row>
    <row r="174" spans="1:61" x14ac:dyDescent="0.45">
      <c r="A174" s="30">
        <f>step3_validation[[#This Row],[Persona_ID]]</f>
        <v>173</v>
      </c>
      <c r="B174" s="31">
        <f>step3_validation[[#This Row],[Used_Seed]]</f>
        <v>214</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88.032191317746083</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9</v>
      </c>
      <c r="R174">
        <f t="shared" si="54"/>
        <v>0.88888888888888884</v>
      </c>
      <c r="S174">
        <f>survey_responses[[#This Row],[Tôi tin rằng với các quy định quản lý thuế hiện nay, hành vi gian lận hoặc trốn thuế sẽ dễ dàng bị phát hiện và xử lý nghiêm. - HUMAN-ENF1]]</f>
        <v>5</v>
      </c>
      <c r="T174">
        <f t="shared" si="55"/>
        <v>0.44444444444444442</v>
      </c>
      <c r="U174">
        <f>step3_validation[[#This Row],[AI_ENF2]]</f>
        <v>8</v>
      </c>
      <c r="V174">
        <f t="shared" si="56"/>
        <v>0.77777777777777779</v>
      </c>
      <c r="W174">
        <f>survey_responses[[#This Row],[Tôi tin rằng Nhà nước, cơ quan thuế có đủ khả năng và công nghệ để phát hiện, xử lý nghiêm các hành vi trốn thuế. - HUMAN-ENF2]]</f>
        <v>5</v>
      </c>
      <c r="X174">
        <f t="shared" si="57"/>
        <v>0.44444444444444442</v>
      </c>
      <c r="Y174" s="32">
        <f t="shared" si="58"/>
        <v>0.83333333333333326</v>
      </c>
      <c r="Z174" s="32">
        <f t="shared" si="59"/>
        <v>0.44444444444444442</v>
      </c>
      <c r="AA174">
        <f>step3_validation[[#This Row],[AI_FAC1]]</f>
        <v>9</v>
      </c>
      <c r="AB174">
        <f t="shared" si="60"/>
        <v>0.88888888888888884</v>
      </c>
      <c r="AC174">
        <f>survey_responses[[#This Row],[Các thủ tục khai báo thuế VÀ/HOẶC quy trình làm việc với cơ quan thuế đơn giản, tiện lợi, nhanh chóng hơn so với trước đây. - HUMAN-FAC1]]</f>
        <v>4</v>
      </c>
      <c r="AD174">
        <f t="shared" si="61"/>
        <v>0.33333333333333331</v>
      </c>
      <c r="AE174">
        <f>step3_validation[[#This Row],[AI_FAC2]]</f>
        <v>8</v>
      </c>
      <c r="AF174">
        <f t="shared" si="62"/>
        <v>0.77777777777777779</v>
      </c>
      <c r="AG174">
        <f>survey_responses[[#This Row],[So với trước đây, tôi thấy cách tính thuế và các bậc thuế trong phương án mới đơn giản, dễ hiểu và dễ thực hiện hơn. - HUMAN-FAC2]]</f>
        <v>6</v>
      </c>
      <c r="AH174">
        <f t="shared" si="63"/>
        <v>0.55555555555555558</v>
      </c>
      <c r="AI174" s="32">
        <f t="shared" si="64"/>
        <v>0.83333333333333326</v>
      </c>
      <c r="AJ174" s="32">
        <f t="shared" si="65"/>
        <v>0.44444444444444442</v>
      </c>
      <c r="AK174">
        <f>step3_validation[[#This Row],[AI_TRU1]]</f>
        <v>9</v>
      </c>
      <c r="AL174">
        <f t="shared" si="66"/>
        <v>0.88888888888888884</v>
      </c>
      <c r="AM174">
        <f>survey_responses[[#This Row],[Tôi tin rằng Nhà nước, cơ quan thuế sẽ thực thi chính sách mới một cách khách quan, công tâm và đối xử bình đẳng với mọi người nộp thuế.  - HUMAN-TRU1]]</f>
        <v>5</v>
      </c>
      <c r="AN174">
        <f t="shared" si="67"/>
        <v>0.44444444444444442</v>
      </c>
      <c r="AO174">
        <f>step3_validation[[#This Row],[AI_TRU2]]</f>
        <v>8</v>
      </c>
      <c r="AP174">
        <f t="shared" si="68"/>
        <v>0.77777777777777779</v>
      </c>
      <c r="AQ174">
        <f>survey_responses[[#This Row],[Tôi thấy mức thuế tôi phải đóng theo phương án mới là công bằng (người thu nhập như tôi đóng mức này là hợp lý). - HUMAN-TRU2]]</f>
        <v>4</v>
      </c>
      <c r="AR174">
        <f t="shared" si="69"/>
        <v>0.33333333333333331</v>
      </c>
      <c r="AS174">
        <f>step3_validation[[#This Row],[AI_TRU3]]</f>
        <v>9</v>
      </c>
      <c r="AT174">
        <f t="shared" si="70"/>
        <v>0.88888888888888884</v>
      </c>
      <c r="AU174">
        <f>survey_responses[[#This Row],[Tôi tin tưởng số tiền thuế tôi đóng sẽ được Nhà nước sử dụng hiệu quả để cải thiện dịch vụ công (y tế, đường xá...). - HUMAN-TRU3]]</f>
        <v>4</v>
      </c>
      <c r="AV174">
        <f t="shared" si="71"/>
        <v>0.33333333333333331</v>
      </c>
      <c r="AW174">
        <f>step3_validation[[#This Row],[AI_TRU4]]</f>
        <v>8</v>
      </c>
      <c r="AX174">
        <f t="shared" si="72"/>
        <v>0.77777777777777779</v>
      </c>
      <c r="AY174">
        <f>survey_responses[[#This Row],[Tôi thấy Nhà nước đã giải thích rõ ràng, minh bạch về lý do và mục tiêu của việc sửa đổi thuế lần này. - HUMAN-TRU4]]</f>
        <v>5</v>
      </c>
      <c r="AZ174">
        <f t="shared" si="73"/>
        <v>0.44444444444444442</v>
      </c>
      <c r="BA174" s="32">
        <f t="shared" si="74"/>
        <v>0.83333333333333326</v>
      </c>
      <c r="BB174" s="32">
        <f t="shared" si="75"/>
        <v>0.38888888888888884</v>
      </c>
      <c r="BC174" s="7">
        <f t="shared" si="76"/>
        <v>0.83333333333333337</v>
      </c>
      <c r="BD174" s="7">
        <f t="shared" si="77"/>
        <v>0.42592592592592587</v>
      </c>
      <c r="BE174">
        <f>step3_validation[[#This Row],[AI_OUT1]]</f>
        <v>9</v>
      </c>
      <c r="BF174">
        <f t="shared" si="78"/>
        <v>0.88888888888888884</v>
      </c>
      <c r="BG174">
        <f>survey_responses[[#This Row],[Sau khi xem xét các quyền lợi và nghĩa vụ, bạn có ủng hộ và tuân thủ chính sách mới hiện nay? - HUMAN-OUT1]]</f>
        <v>5</v>
      </c>
      <c r="BH174">
        <f t="shared" si="79"/>
        <v>0.44444444444444442</v>
      </c>
      <c r="BI174" s="32">
        <f t="shared" si="80"/>
        <v>4</v>
      </c>
    </row>
    <row r="175" spans="1:61" x14ac:dyDescent="0.45">
      <c r="A175" s="30">
        <f>step3_validation[[#This Row],[Persona_ID]]</f>
        <v>174</v>
      </c>
      <c r="B175" s="31">
        <f>step3_validation[[#This Row],[Used_Seed]]</f>
        <v>215</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36.664878031042349</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6</v>
      </c>
      <c r="R175">
        <f t="shared" si="54"/>
        <v>0.55555555555555558</v>
      </c>
      <c r="S175">
        <f>survey_responses[[#This Row],[Tôi tin rằng với các quy định quản lý thuế hiện nay, hành vi gian lận hoặc trốn thuế sẽ dễ dàng bị phát hiện và xử lý nghiêm. - HUMAN-ENF1]]</f>
        <v>6</v>
      </c>
      <c r="T175">
        <f t="shared" si="55"/>
        <v>0.55555555555555558</v>
      </c>
      <c r="U175">
        <f>step3_validation[[#This Row],[AI_ENF2]]</f>
        <v>7</v>
      </c>
      <c r="V175">
        <f t="shared" si="56"/>
        <v>0.66666666666666663</v>
      </c>
      <c r="W175">
        <f>survey_responses[[#This Row],[Tôi tin rằng Nhà nước, cơ quan thuế có đủ khả năng và công nghệ để phát hiện, xử lý nghiêm các hành vi trốn thuế. - HUMAN-ENF2]]</f>
        <v>6</v>
      </c>
      <c r="X175">
        <f t="shared" si="57"/>
        <v>0.55555555555555558</v>
      </c>
      <c r="Y175" s="32">
        <f t="shared" si="58"/>
        <v>0.61111111111111116</v>
      </c>
      <c r="Z175" s="32">
        <f t="shared" si="59"/>
        <v>0.55555555555555558</v>
      </c>
      <c r="AA175">
        <f>step3_validation[[#This Row],[AI_FAC1]]</f>
        <v>8</v>
      </c>
      <c r="AB175">
        <f t="shared" si="60"/>
        <v>0.77777777777777779</v>
      </c>
      <c r="AC175">
        <f>survey_responses[[#This Row],[Các thủ tục khai báo thuế VÀ/HOẶC quy trình làm việc với cơ quan thuế đơn giản, tiện lợi, nhanh chóng hơn so với trước đây. - HUMAN-FAC1]]</f>
        <v>6</v>
      </c>
      <c r="AD175">
        <f t="shared" si="61"/>
        <v>0.55555555555555558</v>
      </c>
      <c r="AE175">
        <f>step3_validation[[#This Row],[AI_FAC2]]</f>
        <v>9</v>
      </c>
      <c r="AF175">
        <f t="shared" si="62"/>
        <v>0.88888888888888884</v>
      </c>
      <c r="AG175">
        <f>survey_responses[[#This Row],[So với trước đây, tôi thấy cách tính thuế và các bậc thuế trong phương án mới đơn giản, dễ hiểu và dễ thực hiện hơn. - HUMAN-FAC2]]</f>
        <v>6</v>
      </c>
      <c r="AH175">
        <f t="shared" si="63"/>
        <v>0.55555555555555558</v>
      </c>
      <c r="AI175" s="32">
        <f t="shared" si="64"/>
        <v>0.83333333333333326</v>
      </c>
      <c r="AJ175" s="32">
        <f t="shared" si="65"/>
        <v>0.55555555555555558</v>
      </c>
      <c r="AK175">
        <f>step3_validation[[#This Row],[AI_TRU1]]</f>
        <v>7</v>
      </c>
      <c r="AL175">
        <f t="shared" si="66"/>
        <v>0.66666666666666663</v>
      </c>
      <c r="AM175">
        <f>survey_responses[[#This Row],[Tôi tin rằng Nhà nước, cơ quan thuế sẽ thực thi chính sách mới một cách khách quan, công tâm và đối xử bình đẳng với mọi người nộp thuế.  - HUMAN-TRU1]]</f>
        <v>7</v>
      </c>
      <c r="AN175">
        <f t="shared" si="67"/>
        <v>0.66666666666666663</v>
      </c>
      <c r="AO175">
        <f>step3_validation[[#This Row],[AI_TRU2]]</f>
        <v>9</v>
      </c>
      <c r="AP175">
        <f t="shared" si="68"/>
        <v>0.88888888888888884</v>
      </c>
      <c r="AQ175">
        <f>survey_responses[[#This Row],[Tôi thấy mức thuế tôi phải đóng theo phương án mới là công bằng (người thu nhập như tôi đóng mức này là hợp lý). - HUMAN-TRU2]]</f>
        <v>7</v>
      </c>
      <c r="AR175">
        <f t="shared" si="69"/>
        <v>0.66666666666666663</v>
      </c>
      <c r="AS175">
        <f>step3_validation[[#This Row],[AI_TRU3]]</f>
        <v>8</v>
      </c>
      <c r="AT175">
        <f t="shared" si="70"/>
        <v>0.77777777777777779</v>
      </c>
      <c r="AU175">
        <f>survey_responses[[#This Row],[Tôi tin tưởng số tiền thuế tôi đóng sẽ được Nhà nước sử dụng hiệu quả để cải thiện dịch vụ công (y tế, đường xá...). - HUMAN-TRU3]]</f>
        <v>5</v>
      </c>
      <c r="AV175">
        <f t="shared" si="71"/>
        <v>0.44444444444444442</v>
      </c>
      <c r="AW175">
        <f>step3_validation[[#This Row],[AI_TRU4]]</f>
        <v>9</v>
      </c>
      <c r="AX175">
        <f t="shared" si="72"/>
        <v>0.88888888888888884</v>
      </c>
      <c r="AY175">
        <f>survey_responses[[#This Row],[Tôi thấy Nhà nước đã giải thích rõ ràng, minh bạch về lý do và mục tiêu của việc sửa đổi thuế lần này. - HUMAN-TRU4]]</f>
        <v>7</v>
      </c>
      <c r="AZ175">
        <f t="shared" si="73"/>
        <v>0.66666666666666663</v>
      </c>
      <c r="BA175" s="32">
        <f t="shared" si="74"/>
        <v>0.80555555555555547</v>
      </c>
      <c r="BB175" s="32">
        <f t="shared" si="75"/>
        <v>0.61111111111111105</v>
      </c>
      <c r="BC175" s="7">
        <f t="shared" si="76"/>
        <v>0.75</v>
      </c>
      <c r="BD175" s="7">
        <f t="shared" si="77"/>
        <v>0.57407407407407407</v>
      </c>
      <c r="BE175">
        <f>step3_validation[[#This Row],[AI_OUT1]]</f>
        <v>8</v>
      </c>
      <c r="BF175">
        <f t="shared" si="78"/>
        <v>0.77777777777777779</v>
      </c>
      <c r="BG175">
        <f>survey_responses[[#This Row],[Sau khi xem xét các quyền lợi và nghĩa vụ, bạn có ủng hộ và tuân thủ chính sách mới hiện nay? - HUMAN-OUT1]]</f>
        <v>6</v>
      </c>
      <c r="BH175">
        <f t="shared" si="79"/>
        <v>0.55555555555555558</v>
      </c>
      <c r="BI175" s="32">
        <f t="shared" si="80"/>
        <v>2</v>
      </c>
    </row>
    <row r="176" spans="1:61" x14ac:dyDescent="0.45">
      <c r="A176" s="30">
        <f>step3_validation[[#This Row],[Persona_ID]]</f>
        <v>175</v>
      </c>
      <c r="B176" s="31">
        <f>step3_validation[[#This Row],[Used_Seed]]</f>
        <v>216</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164.9346824019967</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6</v>
      </c>
      <c r="R176">
        <f t="shared" si="54"/>
        <v>0.55555555555555558</v>
      </c>
      <c r="S176">
        <f>survey_responses[[#This Row],[Tôi tin rằng với các quy định quản lý thuế hiện nay, hành vi gian lận hoặc trốn thuế sẽ dễ dàng bị phát hiện và xử lý nghiêm. - HUMAN-ENF1]]</f>
        <v>4</v>
      </c>
      <c r="T176">
        <f t="shared" si="55"/>
        <v>0.33333333333333331</v>
      </c>
      <c r="U176">
        <f>step3_validation[[#This Row],[AI_ENF2]]</f>
        <v>7</v>
      </c>
      <c r="V176">
        <f t="shared" si="56"/>
        <v>0.66666666666666663</v>
      </c>
      <c r="W176">
        <f>survey_responses[[#This Row],[Tôi tin rằng Nhà nước, cơ quan thuế có đủ khả năng và công nghệ để phát hiện, xử lý nghiêm các hành vi trốn thuế. - HUMAN-ENF2]]</f>
        <v>5</v>
      </c>
      <c r="X176">
        <f t="shared" si="57"/>
        <v>0.44444444444444442</v>
      </c>
      <c r="Y176" s="32">
        <f t="shared" si="58"/>
        <v>0.61111111111111116</v>
      </c>
      <c r="Z176" s="32">
        <f t="shared" si="59"/>
        <v>0.38888888888888884</v>
      </c>
      <c r="AA176">
        <f>step3_validation[[#This Row],[AI_FAC1]]</f>
        <v>8</v>
      </c>
      <c r="AB176">
        <f t="shared" si="60"/>
        <v>0.77777777777777779</v>
      </c>
      <c r="AC176">
        <f>survey_responses[[#This Row],[Các thủ tục khai báo thuế VÀ/HOẶC quy trình làm việc với cơ quan thuế đơn giản, tiện lợi, nhanh chóng hơn so với trước đây. - HUMAN-FAC1]]</f>
        <v>4</v>
      </c>
      <c r="AD176">
        <f t="shared" si="61"/>
        <v>0.33333333333333331</v>
      </c>
      <c r="AE176">
        <f>step3_validation[[#This Row],[AI_FAC2]]</f>
        <v>9</v>
      </c>
      <c r="AF176">
        <f t="shared" si="62"/>
        <v>0.88888888888888884</v>
      </c>
      <c r="AG176">
        <f>survey_responses[[#This Row],[So với trước đây, tôi thấy cách tính thuế và các bậc thuế trong phương án mới đơn giản, dễ hiểu và dễ thực hiện hơn. - HUMAN-FAC2]]</f>
        <v>6</v>
      </c>
      <c r="AH176">
        <f t="shared" si="63"/>
        <v>0.55555555555555558</v>
      </c>
      <c r="AI176" s="32">
        <f t="shared" si="64"/>
        <v>0.83333333333333326</v>
      </c>
      <c r="AJ176" s="32">
        <f t="shared" si="65"/>
        <v>0.44444444444444442</v>
      </c>
      <c r="AK176">
        <f>step3_validation[[#This Row],[AI_TRU1]]</f>
        <v>7</v>
      </c>
      <c r="AL176">
        <f t="shared" si="66"/>
        <v>0.66666666666666663</v>
      </c>
      <c r="AM176">
        <f>survey_responses[[#This Row],[Tôi tin rằng Nhà nước, cơ quan thuế sẽ thực thi chính sách mới một cách khách quan, công tâm và đối xử bình đẳng với mọi người nộp thuế.  - HUMAN-TRU1]]</f>
        <v>4</v>
      </c>
      <c r="AN176">
        <f t="shared" si="67"/>
        <v>0.33333333333333331</v>
      </c>
      <c r="AO176">
        <f>step3_validation[[#This Row],[AI_TRU2]]</f>
        <v>9</v>
      </c>
      <c r="AP176">
        <f t="shared" si="68"/>
        <v>0.88888888888888884</v>
      </c>
      <c r="AQ176">
        <f>survey_responses[[#This Row],[Tôi thấy mức thuế tôi phải đóng theo phương án mới là công bằng (người thu nhập như tôi đóng mức này là hợp lý). - HUMAN-TRU2]]</f>
        <v>4</v>
      </c>
      <c r="AR176">
        <f t="shared" si="69"/>
        <v>0.33333333333333331</v>
      </c>
      <c r="AS176">
        <f>step3_validation[[#This Row],[AI_TRU3]]</f>
        <v>8</v>
      </c>
      <c r="AT176">
        <f t="shared" si="70"/>
        <v>0.77777777777777779</v>
      </c>
      <c r="AU176">
        <f>survey_responses[[#This Row],[Tôi tin tưởng số tiền thuế tôi đóng sẽ được Nhà nước sử dụng hiệu quả để cải thiện dịch vụ công (y tế, đường xá...). - HUMAN-TRU3]]</f>
        <v>4</v>
      </c>
      <c r="AV176">
        <f t="shared" si="71"/>
        <v>0.33333333333333331</v>
      </c>
      <c r="AW176">
        <f>step3_validation[[#This Row],[AI_TRU4]]</f>
        <v>9</v>
      </c>
      <c r="AX176">
        <f t="shared" si="72"/>
        <v>0.88888888888888884</v>
      </c>
      <c r="AY176">
        <f>survey_responses[[#This Row],[Tôi thấy Nhà nước đã giải thích rõ ràng, minh bạch về lý do và mục tiêu của việc sửa đổi thuế lần này. - HUMAN-TRU4]]</f>
        <v>5</v>
      </c>
      <c r="AZ176">
        <f t="shared" si="73"/>
        <v>0.44444444444444442</v>
      </c>
      <c r="BA176" s="32">
        <f t="shared" si="74"/>
        <v>0.80555555555555547</v>
      </c>
      <c r="BB176" s="32">
        <f t="shared" si="75"/>
        <v>0.3611111111111111</v>
      </c>
      <c r="BC176" s="7">
        <f t="shared" si="76"/>
        <v>0.75</v>
      </c>
      <c r="BD176" s="7">
        <f t="shared" si="77"/>
        <v>0.39814814814814814</v>
      </c>
      <c r="BE176">
        <f>step3_validation[[#This Row],[AI_OUT1]]</f>
        <v>9</v>
      </c>
      <c r="BF176">
        <f t="shared" si="78"/>
        <v>0.88888888888888884</v>
      </c>
      <c r="BG176">
        <f>survey_responses[[#This Row],[Sau khi xem xét các quyền lợi và nghĩa vụ, bạn có ủng hộ và tuân thủ chính sách mới hiện nay? - HUMAN-OUT1]]</f>
        <v>4</v>
      </c>
      <c r="BH176">
        <f t="shared" si="79"/>
        <v>0.33333333333333331</v>
      </c>
      <c r="BI176" s="32">
        <f t="shared" si="80"/>
        <v>5</v>
      </c>
    </row>
    <row r="177" spans="1:61" x14ac:dyDescent="0.45">
      <c r="A177" s="30">
        <f>step3_validation[[#This Row],[Persona_ID]]</f>
        <v>176</v>
      </c>
      <c r="B177" s="31">
        <f>step3_validation[[#This Row],[Used_Seed]]</f>
        <v>217</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200.91230723985751</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7</v>
      </c>
      <c r="R177">
        <f t="shared" si="54"/>
        <v>0.66666666666666663</v>
      </c>
      <c r="S177">
        <f>survey_responses[[#This Row],[Tôi tin rằng với các quy định quản lý thuế hiện nay, hành vi gian lận hoặc trốn thuế sẽ dễ dàng bị phát hiện và xử lý nghiêm. - HUMAN-ENF1]]</f>
        <v>2</v>
      </c>
      <c r="T177">
        <f t="shared" si="55"/>
        <v>0.1111111111111111</v>
      </c>
      <c r="U177">
        <f>step3_validation[[#This Row],[AI_ENF2]]</f>
        <v>8</v>
      </c>
      <c r="V177">
        <f t="shared" si="56"/>
        <v>0.77777777777777779</v>
      </c>
      <c r="W177">
        <f>survey_responses[[#This Row],[Tôi tin rằng Nhà nước, cơ quan thuế có đủ khả năng và công nghệ để phát hiện, xử lý nghiêm các hành vi trốn thuế. - HUMAN-ENF2]]</f>
        <v>4</v>
      </c>
      <c r="X177">
        <f t="shared" si="57"/>
        <v>0.33333333333333331</v>
      </c>
      <c r="Y177" s="32">
        <f t="shared" si="58"/>
        <v>0.72222222222222221</v>
      </c>
      <c r="Z177" s="32">
        <f t="shared" si="59"/>
        <v>0.22222222222222221</v>
      </c>
      <c r="AA177">
        <f>step3_validation[[#This Row],[AI_FAC1]]</f>
        <v>9</v>
      </c>
      <c r="AB177">
        <f t="shared" si="60"/>
        <v>0.88888888888888884</v>
      </c>
      <c r="AC177">
        <f>survey_responses[[#This Row],[Các thủ tục khai báo thuế VÀ/HOẶC quy trình làm việc với cơ quan thuế đơn giản, tiện lợi, nhanh chóng hơn so với trước đây. - HUMAN-FAC1]]</f>
        <v>3</v>
      </c>
      <c r="AD177">
        <f t="shared" si="61"/>
        <v>0.22222222222222221</v>
      </c>
      <c r="AE177">
        <f>step3_validation[[#This Row],[AI_FAC2]]</f>
        <v>8</v>
      </c>
      <c r="AF177">
        <f t="shared" si="62"/>
        <v>0.77777777777777779</v>
      </c>
      <c r="AG177">
        <f>survey_responses[[#This Row],[So với trước đây, tôi thấy cách tính thuế và các bậc thuế trong phương án mới đơn giản, dễ hiểu và dễ thực hiện hơn. - HUMAN-FAC2]]</f>
        <v>5</v>
      </c>
      <c r="AH177">
        <f t="shared" si="63"/>
        <v>0.44444444444444442</v>
      </c>
      <c r="AI177" s="32">
        <f t="shared" si="64"/>
        <v>0.83333333333333326</v>
      </c>
      <c r="AJ177" s="32">
        <f t="shared" si="65"/>
        <v>0.33333333333333331</v>
      </c>
      <c r="AK177">
        <f>step3_validation[[#This Row],[AI_TRU1]]</f>
        <v>9</v>
      </c>
      <c r="AL177">
        <f t="shared" si="66"/>
        <v>0.88888888888888884</v>
      </c>
      <c r="AM177">
        <f>survey_responses[[#This Row],[Tôi tin rằng Nhà nước, cơ quan thuế sẽ thực thi chính sách mới một cách khách quan, công tâm và đối xử bình đẳng với mọi người nộp thuế.  - HUMAN-TRU1]]</f>
        <v>4</v>
      </c>
      <c r="AN177">
        <f t="shared" si="67"/>
        <v>0.33333333333333331</v>
      </c>
      <c r="AO177">
        <f>step3_validation[[#This Row],[AI_TRU2]]</f>
        <v>8</v>
      </c>
      <c r="AP177">
        <f t="shared" si="68"/>
        <v>0.77777777777777779</v>
      </c>
      <c r="AQ177">
        <f>survey_responses[[#This Row],[Tôi thấy mức thuế tôi phải đóng theo phương án mới là công bằng (người thu nhập như tôi đóng mức này là hợp lý). - HUMAN-TRU2]]</f>
        <v>1</v>
      </c>
      <c r="AR177">
        <f t="shared" si="69"/>
        <v>0</v>
      </c>
      <c r="AS177">
        <f>step3_validation[[#This Row],[AI_TRU3]]</f>
        <v>9</v>
      </c>
      <c r="AT177">
        <f t="shared" si="70"/>
        <v>0.88888888888888884</v>
      </c>
      <c r="AU177">
        <f>survey_responses[[#This Row],[Tôi tin tưởng số tiền thuế tôi đóng sẽ được Nhà nước sử dụng hiệu quả để cải thiện dịch vụ công (y tế, đường xá...). - HUMAN-TRU3]]</f>
        <v>1</v>
      </c>
      <c r="AV177">
        <f t="shared" si="71"/>
        <v>0</v>
      </c>
      <c r="AW177">
        <f>step3_validation[[#This Row],[AI_TRU4]]</f>
        <v>7</v>
      </c>
      <c r="AX177">
        <f t="shared" si="72"/>
        <v>0.66666666666666663</v>
      </c>
      <c r="AY177">
        <f>survey_responses[[#This Row],[Tôi thấy Nhà nước đã giải thích rõ ràng, minh bạch về lý do và mục tiêu của việc sửa đổi thuế lần này. - HUMAN-TRU4]]</f>
        <v>4</v>
      </c>
      <c r="AZ177">
        <f t="shared" si="73"/>
        <v>0.33333333333333331</v>
      </c>
      <c r="BA177" s="32">
        <f t="shared" si="74"/>
        <v>0.80555555555555547</v>
      </c>
      <c r="BB177" s="32">
        <f t="shared" si="75"/>
        <v>0.16666666666666666</v>
      </c>
      <c r="BC177" s="7">
        <f t="shared" si="76"/>
        <v>0.78703703703703687</v>
      </c>
      <c r="BD177" s="7">
        <f t="shared" si="77"/>
        <v>0.24074074074074073</v>
      </c>
      <c r="BE177">
        <f>step3_validation[[#This Row],[AI_OUT1]]</f>
        <v>9</v>
      </c>
      <c r="BF177">
        <f t="shared" si="78"/>
        <v>0.88888888888888884</v>
      </c>
      <c r="BG177">
        <f>survey_responses[[#This Row],[Sau khi xem xét các quyền lợi và nghĩa vụ, bạn có ủng hộ và tuân thủ chính sách mới hiện nay? - HUMAN-OUT1]]</f>
        <v>4</v>
      </c>
      <c r="BH177">
        <f t="shared" si="79"/>
        <v>0.33333333333333331</v>
      </c>
      <c r="BI177" s="32">
        <f t="shared" si="80"/>
        <v>5</v>
      </c>
    </row>
    <row r="178" spans="1:61" x14ac:dyDescent="0.45">
      <c r="A178" s="30">
        <f>step3_validation[[#This Row],[Persona_ID]]</f>
        <v>177</v>
      </c>
      <c r="B178" s="31">
        <f>step3_validation[[#This Row],[Used_Seed]]</f>
        <v>218</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87.086821540864065</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6</v>
      </c>
      <c r="R178">
        <f t="shared" si="54"/>
        <v>0.55555555555555558</v>
      </c>
      <c r="S178">
        <f>survey_responses[[#This Row],[Tôi tin rằng với các quy định quản lý thuế hiện nay, hành vi gian lận hoặc trốn thuế sẽ dễ dàng bị phát hiện và xử lý nghiêm. - HUMAN-ENF1]]</f>
        <v>4</v>
      </c>
      <c r="T178">
        <f t="shared" si="55"/>
        <v>0.33333333333333331</v>
      </c>
      <c r="U178">
        <f>step3_validation[[#This Row],[AI_ENF2]]</f>
        <v>7</v>
      </c>
      <c r="V178">
        <f t="shared" si="56"/>
        <v>0.66666666666666663</v>
      </c>
      <c r="W178">
        <f>survey_responses[[#This Row],[Tôi tin rằng Nhà nước, cơ quan thuế có đủ khả năng và công nghệ để phát hiện, xử lý nghiêm các hành vi trốn thuế. - HUMAN-ENF2]]</f>
        <v>4</v>
      </c>
      <c r="X178">
        <f t="shared" si="57"/>
        <v>0.33333333333333331</v>
      </c>
      <c r="Y178" s="32">
        <f t="shared" si="58"/>
        <v>0.61111111111111116</v>
      </c>
      <c r="Z178" s="32">
        <f t="shared" si="59"/>
        <v>0.33333333333333331</v>
      </c>
      <c r="AA178">
        <f>step3_validation[[#This Row],[AI_FAC1]]</f>
        <v>8</v>
      </c>
      <c r="AB178">
        <f t="shared" si="60"/>
        <v>0.77777777777777779</v>
      </c>
      <c r="AC178">
        <f>survey_responses[[#This Row],[Các thủ tục khai báo thuế VÀ/HOẶC quy trình làm việc với cơ quan thuế đơn giản, tiện lợi, nhanh chóng hơn so với trước đây. - HUMAN-FAC1]]</f>
        <v>3</v>
      </c>
      <c r="AD178">
        <f t="shared" si="61"/>
        <v>0.22222222222222221</v>
      </c>
      <c r="AE178">
        <f>step3_validation[[#This Row],[AI_FAC2]]</f>
        <v>9</v>
      </c>
      <c r="AF178">
        <f t="shared" si="62"/>
        <v>0.88888888888888884</v>
      </c>
      <c r="AG178">
        <f>survey_responses[[#This Row],[So với trước đây, tôi thấy cách tính thuế và các bậc thuế trong phương án mới đơn giản, dễ hiểu và dễ thực hiện hơn. - HUMAN-FAC2]]</f>
        <v>5</v>
      </c>
      <c r="AH178">
        <f t="shared" si="63"/>
        <v>0.44444444444444442</v>
      </c>
      <c r="AI178" s="32">
        <f t="shared" si="64"/>
        <v>0.83333333333333326</v>
      </c>
      <c r="AJ178" s="32">
        <f t="shared" si="65"/>
        <v>0.33333333333333331</v>
      </c>
      <c r="AK178">
        <f>step3_validation[[#This Row],[AI_TRU1]]</f>
        <v>6</v>
      </c>
      <c r="AL178">
        <f t="shared" si="66"/>
        <v>0.55555555555555558</v>
      </c>
      <c r="AM178">
        <f>survey_responses[[#This Row],[Tôi tin rằng Nhà nước, cơ quan thuế sẽ thực thi chính sách mới một cách khách quan, công tâm và đối xử bình đẳng với mọi người nộp thuế.  - HUMAN-TRU1]]</f>
        <v>3</v>
      </c>
      <c r="AN178">
        <f t="shared" si="67"/>
        <v>0.22222222222222221</v>
      </c>
      <c r="AO178">
        <f>step3_validation[[#This Row],[AI_TRU2]]</f>
        <v>9</v>
      </c>
      <c r="AP178">
        <f t="shared" si="68"/>
        <v>0.88888888888888884</v>
      </c>
      <c r="AQ178">
        <f>survey_responses[[#This Row],[Tôi thấy mức thuế tôi phải đóng theo phương án mới là công bằng (người thu nhập như tôi đóng mức này là hợp lý). - HUMAN-TRU2]]</f>
        <v>2</v>
      </c>
      <c r="AR178">
        <f t="shared" si="69"/>
        <v>0.1111111111111111</v>
      </c>
      <c r="AS178">
        <f>step3_validation[[#This Row],[AI_TRU3]]</f>
        <v>7</v>
      </c>
      <c r="AT178">
        <f t="shared" si="70"/>
        <v>0.66666666666666663</v>
      </c>
      <c r="AU178">
        <f>survey_responses[[#This Row],[Tôi tin tưởng số tiền thuế tôi đóng sẽ được Nhà nước sử dụng hiệu quả để cải thiện dịch vụ công (y tế, đường xá...). - HUMAN-TRU3]]</f>
        <v>1</v>
      </c>
      <c r="AV178">
        <f t="shared" si="71"/>
        <v>0</v>
      </c>
      <c r="AW178">
        <f>step3_validation[[#This Row],[AI_TRU4]]</f>
        <v>6</v>
      </c>
      <c r="AX178">
        <f t="shared" si="72"/>
        <v>0.55555555555555558</v>
      </c>
      <c r="AY178">
        <f>survey_responses[[#This Row],[Tôi thấy Nhà nước đã giải thích rõ ràng, minh bạch về lý do và mục tiêu của việc sửa đổi thuế lần này. - HUMAN-TRU4]]</f>
        <v>1</v>
      </c>
      <c r="AZ178">
        <f t="shared" si="73"/>
        <v>0</v>
      </c>
      <c r="BA178" s="32">
        <f t="shared" si="74"/>
        <v>0.66666666666666674</v>
      </c>
      <c r="BB178" s="32">
        <f t="shared" si="75"/>
        <v>8.3333333333333329E-2</v>
      </c>
      <c r="BC178" s="7">
        <f t="shared" si="76"/>
        <v>0.70370370370370372</v>
      </c>
      <c r="BD178" s="7">
        <f t="shared" si="77"/>
        <v>0.25</v>
      </c>
      <c r="BE178">
        <f>step3_validation[[#This Row],[AI_OUT1]]</f>
        <v>9</v>
      </c>
      <c r="BF178">
        <f t="shared" si="78"/>
        <v>0.88888888888888884</v>
      </c>
      <c r="BG178">
        <f>survey_responses[[#This Row],[Sau khi xem xét các quyền lợi và nghĩa vụ, bạn có ủng hộ và tuân thủ chính sách mới hiện nay? - HUMAN-OUT1]]</f>
        <v>1</v>
      </c>
      <c r="BH178">
        <f t="shared" si="79"/>
        <v>0</v>
      </c>
      <c r="BI178" s="32">
        <f t="shared" si="80"/>
        <v>8</v>
      </c>
    </row>
    <row r="179" spans="1:61" x14ac:dyDescent="0.45">
      <c r="A179" s="30">
        <f>step3_validation[[#This Row],[Persona_ID]]</f>
        <v>178</v>
      </c>
      <c r="B179" s="31">
        <f>step3_validation[[#This Row],[Used_Seed]]</f>
        <v>219</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44.822563117470658</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6</v>
      </c>
      <c r="R179">
        <f t="shared" si="54"/>
        <v>0.55555555555555558</v>
      </c>
      <c r="S179">
        <f>survey_responses[[#This Row],[Tôi tin rằng với các quy định quản lý thuế hiện nay, hành vi gian lận hoặc trốn thuế sẽ dễ dàng bị phát hiện và xử lý nghiêm. - HUMAN-ENF1]]</f>
        <v>6</v>
      </c>
      <c r="T179">
        <f t="shared" si="55"/>
        <v>0.55555555555555558</v>
      </c>
      <c r="U179">
        <f>step3_validation[[#This Row],[AI_ENF2]]</f>
        <v>6</v>
      </c>
      <c r="V179">
        <f t="shared" si="56"/>
        <v>0.55555555555555558</v>
      </c>
      <c r="W179">
        <f>survey_responses[[#This Row],[Tôi tin rằng Nhà nước, cơ quan thuế có đủ khả năng và công nghệ để phát hiện, xử lý nghiêm các hành vi trốn thuế. - HUMAN-ENF2]]</f>
        <v>7</v>
      </c>
      <c r="X179">
        <f t="shared" si="57"/>
        <v>0.66666666666666663</v>
      </c>
      <c r="Y179" s="32">
        <f t="shared" si="58"/>
        <v>0.55555555555555558</v>
      </c>
      <c r="Z179" s="32">
        <f t="shared" si="59"/>
        <v>0.61111111111111116</v>
      </c>
      <c r="AA179">
        <f>step3_validation[[#This Row],[AI_FAC1]]</f>
        <v>7</v>
      </c>
      <c r="AB179">
        <f t="shared" si="60"/>
        <v>0.66666666666666663</v>
      </c>
      <c r="AC179">
        <f>survey_responses[[#This Row],[Các thủ tục khai báo thuế VÀ/HOẶC quy trình làm việc với cơ quan thuế đơn giản, tiện lợi, nhanh chóng hơn so với trước đây. - HUMAN-FAC1]]</f>
        <v>6</v>
      </c>
      <c r="AD179">
        <f t="shared" si="61"/>
        <v>0.55555555555555558</v>
      </c>
      <c r="AE179">
        <f>step3_validation[[#This Row],[AI_FAC2]]</f>
        <v>8</v>
      </c>
      <c r="AF179">
        <f t="shared" si="62"/>
        <v>0.77777777777777779</v>
      </c>
      <c r="AG179">
        <f>survey_responses[[#This Row],[So với trước đây, tôi thấy cách tính thuế và các bậc thuế trong phương án mới đơn giản, dễ hiểu và dễ thực hiện hơn. - HUMAN-FAC2]]</f>
        <v>6</v>
      </c>
      <c r="AH179">
        <f t="shared" si="63"/>
        <v>0.55555555555555558</v>
      </c>
      <c r="AI179" s="32">
        <f t="shared" si="64"/>
        <v>0.72222222222222221</v>
      </c>
      <c r="AJ179" s="32">
        <f t="shared" si="65"/>
        <v>0.55555555555555558</v>
      </c>
      <c r="AK179">
        <f>step3_validation[[#This Row],[AI_TRU1]]</f>
        <v>9</v>
      </c>
      <c r="AL179">
        <f t="shared" si="66"/>
        <v>0.88888888888888884</v>
      </c>
      <c r="AM179">
        <f>survey_responses[[#This Row],[Tôi tin rằng Nhà nước, cơ quan thuế sẽ thực thi chính sách mới một cách khách quan, công tâm và đối xử bình đẳng với mọi người nộp thuế.  - HUMAN-TRU1]]</f>
        <v>6</v>
      </c>
      <c r="AN179">
        <f t="shared" si="67"/>
        <v>0.55555555555555558</v>
      </c>
      <c r="AO179">
        <f>step3_validation[[#This Row],[AI_TRU2]]</f>
        <v>9</v>
      </c>
      <c r="AP179">
        <f t="shared" si="68"/>
        <v>0.88888888888888884</v>
      </c>
      <c r="AQ179">
        <f>survey_responses[[#This Row],[Tôi thấy mức thuế tôi phải đóng theo phương án mới là công bằng (người thu nhập như tôi đóng mức này là hợp lý). - HUMAN-TRU2]]</f>
        <v>7</v>
      </c>
      <c r="AR179">
        <f t="shared" si="69"/>
        <v>0.66666666666666663</v>
      </c>
      <c r="AS179">
        <f>step3_validation[[#This Row],[AI_TRU3]]</f>
        <v>9</v>
      </c>
      <c r="AT179">
        <f t="shared" si="70"/>
        <v>0.88888888888888884</v>
      </c>
      <c r="AU179">
        <f>survey_responses[[#This Row],[Tôi tin tưởng số tiền thuế tôi đóng sẽ được Nhà nước sử dụng hiệu quả để cải thiện dịch vụ công (y tế, đường xá...). - HUMAN-TRU3]]</f>
        <v>5</v>
      </c>
      <c r="AV179">
        <f t="shared" si="71"/>
        <v>0.44444444444444442</v>
      </c>
      <c r="AW179">
        <f>step3_validation[[#This Row],[AI_TRU4]]</f>
        <v>8</v>
      </c>
      <c r="AX179">
        <f t="shared" si="72"/>
        <v>0.77777777777777779</v>
      </c>
      <c r="AY179">
        <f>survey_responses[[#This Row],[Tôi thấy Nhà nước đã giải thích rõ ràng, minh bạch về lý do và mục tiêu của việc sửa đổi thuế lần này. - HUMAN-TRU4]]</f>
        <v>6</v>
      </c>
      <c r="AZ179">
        <f t="shared" si="73"/>
        <v>0.55555555555555558</v>
      </c>
      <c r="BA179" s="32">
        <f t="shared" si="74"/>
        <v>0.86111111111111105</v>
      </c>
      <c r="BB179" s="32">
        <f t="shared" si="75"/>
        <v>0.55555555555555558</v>
      </c>
      <c r="BC179" s="7">
        <f t="shared" si="76"/>
        <v>0.71296296296296291</v>
      </c>
      <c r="BD179" s="7">
        <f t="shared" si="77"/>
        <v>0.57407407407407407</v>
      </c>
      <c r="BE179">
        <f>step3_validation[[#This Row],[AI_OUT1]]</f>
        <v>9</v>
      </c>
      <c r="BF179">
        <f t="shared" si="78"/>
        <v>0.88888888888888884</v>
      </c>
      <c r="BG179">
        <f>survey_responses[[#This Row],[Sau khi xem xét các quyền lợi và nghĩa vụ, bạn có ủng hộ và tuân thủ chính sách mới hiện nay? - HUMAN-OUT1]]</f>
        <v>7</v>
      </c>
      <c r="BH179">
        <f t="shared" si="79"/>
        <v>0.66666666666666663</v>
      </c>
      <c r="BI179" s="32">
        <f t="shared" si="80"/>
        <v>2</v>
      </c>
    </row>
    <row r="180" spans="1:61" x14ac:dyDescent="0.45">
      <c r="A180" s="30">
        <f>step3_validation[[#This Row],[Persona_ID]]</f>
        <v>179</v>
      </c>
      <c r="B180" s="31">
        <f>step3_validation[[#This Row],[Used_Seed]]</f>
        <v>220</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26.706149250357065</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f t="shared" si="54"/>
        <v>0.66666666666666663</v>
      </c>
      <c r="S180">
        <f>survey_responses[[#This Row],[Tôi tin rằng với các quy định quản lý thuế hiện nay, hành vi gian lận hoặc trốn thuế sẽ dễ dàng bị phát hiện và xử lý nghiêm. - HUMAN-ENF1]]</f>
        <v>7</v>
      </c>
      <c r="T180">
        <f t="shared" si="55"/>
        <v>0.66666666666666663</v>
      </c>
      <c r="U180">
        <f>step3_validation[[#This Row],[AI_ENF2]]</f>
        <v>8</v>
      </c>
      <c r="V180">
        <f t="shared" si="56"/>
        <v>0.77777777777777779</v>
      </c>
      <c r="W180">
        <f>survey_responses[[#This Row],[Tôi tin rằng Nhà nước, cơ quan thuế có đủ khả năng và công nghệ để phát hiện, xử lý nghiêm các hành vi trốn thuế. - HUMAN-ENF2]]</f>
        <v>7</v>
      </c>
      <c r="X180">
        <f t="shared" si="57"/>
        <v>0.66666666666666663</v>
      </c>
      <c r="Y180" s="32">
        <f t="shared" si="58"/>
        <v>0.72222222222222221</v>
      </c>
      <c r="Z180" s="32">
        <f t="shared" si="59"/>
        <v>0.66666666666666663</v>
      </c>
      <c r="AA180">
        <f>step3_validation[[#This Row],[AI_FAC1]]</f>
        <v>6</v>
      </c>
      <c r="AB180">
        <f t="shared" si="60"/>
        <v>0.55555555555555558</v>
      </c>
      <c r="AC180">
        <f>survey_responses[[#This Row],[Các thủ tục khai báo thuế VÀ/HOẶC quy trình làm việc với cơ quan thuế đơn giản, tiện lợi, nhanh chóng hơn so với trước đây. - HUMAN-FAC1]]</f>
        <v>7</v>
      </c>
      <c r="AD180">
        <f t="shared" si="61"/>
        <v>0.66666666666666663</v>
      </c>
      <c r="AE180">
        <f>step3_validation[[#This Row],[AI_FAC2]]</f>
        <v>9</v>
      </c>
      <c r="AF180">
        <f t="shared" si="62"/>
        <v>0.88888888888888884</v>
      </c>
      <c r="AG180">
        <f>survey_responses[[#This Row],[So với trước đây, tôi thấy cách tính thuế và các bậc thuế trong phương án mới đơn giản, dễ hiểu và dễ thực hiện hơn. - HUMAN-FAC2]]</f>
        <v>8</v>
      </c>
      <c r="AH180">
        <f t="shared" si="63"/>
        <v>0.77777777777777779</v>
      </c>
      <c r="AI180" s="32">
        <f t="shared" si="64"/>
        <v>0.72222222222222221</v>
      </c>
      <c r="AJ180" s="32">
        <f t="shared" si="65"/>
        <v>0.72222222222222221</v>
      </c>
      <c r="AK180">
        <f>step3_validation[[#This Row],[AI_TRU1]]</f>
        <v>7</v>
      </c>
      <c r="AL180">
        <f t="shared" si="66"/>
        <v>0.66666666666666663</v>
      </c>
      <c r="AM180">
        <f>survey_responses[[#This Row],[Tôi tin rằng Nhà nước, cơ quan thuế sẽ thực thi chính sách mới một cách khách quan, công tâm và đối xử bình đẳng với mọi người nộp thuế.  - HUMAN-TRU1]]</f>
        <v>7</v>
      </c>
      <c r="AN180">
        <f t="shared" si="67"/>
        <v>0.66666666666666663</v>
      </c>
      <c r="AO180">
        <f>step3_validation[[#This Row],[AI_TRU2]]</f>
        <v>8</v>
      </c>
      <c r="AP180">
        <f t="shared" si="68"/>
        <v>0.77777777777777779</v>
      </c>
      <c r="AQ180">
        <f>survey_responses[[#This Row],[Tôi thấy mức thuế tôi phải đóng theo phương án mới là công bằng (người thu nhập như tôi đóng mức này là hợp lý). - HUMAN-TRU2]]</f>
        <v>8</v>
      </c>
      <c r="AR180">
        <f t="shared" si="69"/>
        <v>0.77777777777777779</v>
      </c>
      <c r="AS180">
        <f>step3_validation[[#This Row],[AI_TRU3]]</f>
        <v>8</v>
      </c>
      <c r="AT180">
        <f t="shared" si="70"/>
        <v>0.77777777777777779</v>
      </c>
      <c r="AU180">
        <f>survey_responses[[#This Row],[Tôi tin tưởng số tiền thuế tôi đóng sẽ được Nhà nước sử dụng hiệu quả để cải thiện dịch vụ công (y tế, đường xá...). - HUMAN-TRU3]]</f>
        <v>7</v>
      </c>
      <c r="AV180">
        <f t="shared" si="71"/>
        <v>0.66666666666666663</v>
      </c>
      <c r="AW180">
        <f>step3_validation[[#This Row],[AI_TRU4]]</f>
        <v>7</v>
      </c>
      <c r="AX180">
        <f t="shared" si="72"/>
        <v>0.66666666666666663</v>
      </c>
      <c r="AY180">
        <f>survey_responses[[#This Row],[Tôi thấy Nhà nước đã giải thích rõ ràng, minh bạch về lý do và mục tiêu của việc sửa đổi thuế lần này. - HUMAN-TRU4]]</f>
        <v>7</v>
      </c>
      <c r="AZ180">
        <f t="shared" si="73"/>
        <v>0.66666666666666663</v>
      </c>
      <c r="BA180" s="32">
        <f t="shared" si="74"/>
        <v>0.72222222222222221</v>
      </c>
      <c r="BB180" s="32">
        <f t="shared" si="75"/>
        <v>0.69444444444444442</v>
      </c>
      <c r="BC180" s="7">
        <f t="shared" si="76"/>
        <v>0.72222222222222221</v>
      </c>
      <c r="BD180" s="7">
        <f t="shared" si="77"/>
        <v>0.69444444444444431</v>
      </c>
      <c r="BE180">
        <f>step3_validation[[#This Row],[AI_OUT1]]</f>
        <v>8</v>
      </c>
      <c r="BF180">
        <f t="shared" si="78"/>
        <v>0.77777777777777779</v>
      </c>
      <c r="BG180">
        <f>survey_responses[[#This Row],[Sau khi xem xét các quyền lợi và nghĩa vụ, bạn có ủng hộ và tuân thủ chính sách mới hiện nay? - HUMAN-OUT1]]</f>
        <v>8</v>
      </c>
      <c r="BH180">
        <f t="shared" si="79"/>
        <v>0.77777777777777779</v>
      </c>
      <c r="BI180" s="32">
        <f t="shared" si="80"/>
        <v>0</v>
      </c>
    </row>
    <row r="181" spans="1:61" x14ac:dyDescent="0.45">
      <c r="A181" s="30">
        <f>step3_validation[[#This Row],[Persona_ID]]</f>
        <v>180</v>
      </c>
      <c r="B181" s="31">
        <f>step3_validation[[#This Row],[Used_Seed]]</f>
        <v>221</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62.297021569555554</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6</v>
      </c>
      <c r="R181">
        <f t="shared" si="54"/>
        <v>0.55555555555555558</v>
      </c>
      <c r="S181">
        <f>survey_responses[[#This Row],[Tôi tin rằng với các quy định quản lý thuế hiện nay, hành vi gian lận hoặc trốn thuế sẽ dễ dàng bị phát hiện và xử lý nghiêm. - HUMAN-ENF1]]</f>
        <v>5</v>
      </c>
      <c r="T181">
        <f t="shared" si="55"/>
        <v>0.44444444444444442</v>
      </c>
      <c r="U181">
        <f>step3_validation[[#This Row],[AI_ENF2]]</f>
        <v>7</v>
      </c>
      <c r="V181">
        <f t="shared" si="56"/>
        <v>0.66666666666666663</v>
      </c>
      <c r="W181">
        <f>survey_responses[[#This Row],[Tôi tin rằng Nhà nước, cơ quan thuế có đủ khả năng và công nghệ để phát hiện, xử lý nghiêm các hành vi trốn thuế. - HUMAN-ENF2]]</f>
        <v>5</v>
      </c>
      <c r="X181">
        <f t="shared" si="57"/>
        <v>0.44444444444444442</v>
      </c>
      <c r="Y181" s="32">
        <f t="shared" si="58"/>
        <v>0.61111111111111116</v>
      </c>
      <c r="Z181" s="32">
        <f t="shared" si="59"/>
        <v>0.44444444444444442</v>
      </c>
      <c r="AA181">
        <f>step3_validation[[#This Row],[AI_FAC1]]</f>
        <v>9</v>
      </c>
      <c r="AB181">
        <f t="shared" si="60"/>
        <v>0.88888888888888884</v>
      </c>
      <c r="AC181">
        <f>survey_responses[[#This Row],[Các thủ tục khai báo thuế VÀ/HOẶC quy trình làm việc với cơ quan thuế đơn giản, tiện lợi, nhanh chóng hơn so với trước đây. - HUMAN-FAC1]]</f>
        <v>5</v>
      </c>
      <c r="AD181">
        <f t="shared" si="61"/>
        <v>0.44444444444444442</v>
      </c>
      <c r="AE181">
        <f>step3_validation[[#This Row],[AI_FAC2]]</f>
        <v>8</v>
      </c>
      <c r="AF181">
        <f t="shared" si="62"/>
        <v>0.77777777777777779</v>
      </c>
      <c r="AG181">
        <f>survey_responses[[#This Row],[So với trước đây, tôi thấy cách tính thuế và các bậc thuế trong phương án mới đơn giản, dễ hiểu và dễ thực hiện hơn. - HUMAN-FAC2]]</f>
        <v>7</v>
      </c>
      <c r="AH181">
        <f t="shared" si="63"/>
        <v>0.66666666666666663</v>
      </c>
      <c r="AI181" s="32">
        <f t="shared" si="64"/>
        <v>0.83333333333333326</v>
      </c>
      <c r="AJ181" s="32">
        <f t="shared" si="65"/>
        <v>0.55555555555555558</v>
      </c>
      <c r="AK181">
        <f>step3_validation[[#This Row],[AI_TRU1]]</f>
        <v>7</v>
      </c>
      <c r="AL181">
        <f t="shared" si="66"/>
        <v>0.66666666666666663</v>
      </c>
      <c r="AM181">
        <f>survey_responses[[#This Row],[Tôi tin rằng Nhà nước, cơ quan thuế sẽ thực thi chính sách mới một cách khách quan, công tâm và đối xử bình đẳng với mọi người nộp thuế.  - HUMAN-TRU1]]</f>
        <v>5</v>
      </c>
      <c r="AN181">
        <f t="shared" si="67"/>
        <v>0.44444444444444442</v>
      </c>
      <c r="AO181">
        <f>step3_validation[[#This Row],[AI_TRU2]]</f>
        <v>9</v>
      </c>
      <c r="AP181">
        <f t="shared" si="68"/>
        <v>0.88888888888888884</v>
      </c>
      <c r="AQ181">
        <f>survey_responses[[#This Row],[Tôi thấy mức thuế tôi phải đóng theo phương án mới là công bằng (người thu nhập như tôi đóng mức này là hợp lý). - HUMAN-TRU2]]</f>
        <v>6</v>
      </c>
      <c r="AR181">
        <f t="shared" si="69"/>
        <v>0.55555555555555558</v>
      </c>
      <c r="AS181">
        <f>step3_validation[[#This Row],[AI_TRU3]]</f>
        <v>8</v>
      </c>
      <c r="AT181">
        <f t="shared" si="70"/>
        <v>0.77777777777777779</v>
      </c>
      <c r="AU181">
        <f>survey_responses[[#This Row],[Tôi tin tưởng số tiền thuế tôi đóng sẽ được Nhà nước sử dụng hiệu quả để cải thiện dịch vụ công (y tế, đường xá...). - HUMAN-TRU3]]</f>
        <v>5</v>
      </c>
      <c r="AV181">
        <f t="shared" si="71"/>
        <v>0.44444444444444442</v>
      </c>
      <c r="AW181">
        <f>step3_validation[[#This Row],[AI_TRU4]]</f>
        <v>7</v>
      </c>
      <c r="AX181">
        <f t="shared" si="72"/>
        <v>0.66666666666666663</v>
      </c>
      <c r="AY181">
        <f>survey_responses[[#This Row],[Tôi thấy Nhà nước đã giải thích rõ ràng, minh bạch về lý do và mục tiêu của việc sửa đổi thuế lần này. - HUMAN-TRU4]]</f>
        <v>7</v>
      </c>
      <c r="AZ181">
        <f t="shared" si="73"/>
        <v>0.66666666666666663</v>
      </c>
      <c r="BA181" s="32">
        <f t="shared" si="74"/>
        <v>0.74999999999999989</v>
      </c>
      <c r="BB181" s="32">
        <f t="shared" si="75"/>
        <v>0.52777777777777779</v>
      </c>
      <c r="BC181" s="7">
        <f t="shared" si="76"/>
        <v>0.7314814814814814</v>
      </c>
      <c r="BD181" s="7">
        <f t="shared" si="77"/>
        <v>0.50925925925925919</v>
      </c>
      <c r="BE181">
        <f>step3_validation[[#This Row],[AI_OUT1]]</f>
        <v>8</v>
      </c>
      <c r="BF181">
        <f t="shared" si="78"/>
        <v>0.77777777777777779</v>
      </c>
      <c r="BG181">
        <f>survey_responses[[#This Row],[Sau khi xem xét các quyền lợi và nghĩa vụ, bạn có ủng hộ và tuân thủ chính sách mới hiện nay? - HUMAN-OUT1]]</f>
        <v>7</v>
      </c>
      <c r="BH181">
        <f t="shared" si="79"/>
        <v>0.66666666666666663</v>
      </c>
      <c r="BI181" s="32">
        <f t="shared" si="80"/>
        <v>1</v>
      </c>
    </row>
    <row r="182" spans="1:61" x14ac:dyDescent="0.45">
      <c r="A182" s="30">
        <f>step3_validation[[#This Row],[Persona_ID]]</f>
        <v>181</v>
      </c>
      <c r="B182" s="31">
        <f>step3_validation[[#This Row],[Used_Seed]]</f>
        <v>222</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66.381772253002708</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8</v>
      </c>
      <c r="R182">
        <f t="shared" si="54"/>
        <v>0.77777777777777779</v>
      </c>
      <c r="S182">
        <f>survey_responses[[#This Row],[Tôi tin rằng với các quy định quản lý thuế hiện nay, hành vi gian lận hoặc trốn thuế sẽ dễ dàng bị phát hiện và xử lý nghiêm. - HUMAN-ENF1]]</f>
        <v>6</v>
      </c>
      <c r="T182">
        <f t="shared" si="55"/>
        <v>0.55555555555555558</v>
      </c>
      <c r="U182">
        <f>step3_validation[[#This Row],[AI_ENF2]]</f>
        <v>8</v>
      </c>
      <c r="V182">
        <f t="shared" si="56"/>
        <v>0.77777777777777779</v>
      </c>
      <c r="W182">
        <f>survey_responses[[#This Row],[Tôi tin rằng Nhà nước, cơ quan thuế có đủ khả năng và công nghệ để phát hiện, xử lý nghiêm các hành vi trốn thuế. - HUMAN-ENF2]]</f>
        <v>7</v>
      </c>
      <c r="X182">
        <f t="shared" si="57"/>
        <v>0.66666666666666663</v>
      </c>
      <c r="Y182" s="32">
        <f t="shared" si="58"/>
        <v>0.77777777777777779</v>
      </c>
      <c r="Z182" s="32">
        <f t="shared" si="59"/>
        <v>0.61111111111111116</v>
      </c>
      <c r="AA182">
        <f>step3_validation[[#This Row],[AI_FAC1]]</f>
        <v>7</v>
      </c>
      <c r="AB182">
        <f t="shared" si="60"/>
        <v>0.66666666666666663</v>
      </c>
      <c r="AC182">
        <f>survey_responses[[#This Row],[Các thủ tục khai báo thuế VÀ/HOẶC quy trình làm việc với cơ quan thuế đơn giản, tiện lợi, nhanh chóng hơn so với trước đây. - HUMAN-FAC1]]</f>
        <v>7</v>
      </c>
      <c r="AD182">
        <f t="shared" si="61"/>
        <v>0.66666666666666663</v>
      </c>
      <c r="AE182">
        <f>step3_validation[[#This Row],[AI_FAC2]]</f>
        <v>9</v>
      </c>
      <c r="AF182">
        <f t="shared" si="62"/>
        <v>0.88888888888888884</v>
      </c>
      <c r="AG182">
        <f>survey_responses[[#This Row],[So với trước đây, tôi thấy cách tính thuế và các bậc thuế trong phương án mới đơn giản, dễ hiểu và dễ thực hiện hơn. - HUMAN-FAC2]]</f>
        <v>8</v>
      </c>
      <c r="AH182">
        <f t="shared" si="63"/>
        <v>0.77777777777777779</v>
      </c>
      <c r="AI182" s="32">
        <f t="shared" si="64"/>
        <v>0.77777777777777768</v>
      </c>
      <c r="AJ182" s="32">
        <f t="shared" si="65"/>
        <v>0.72222222222222221</v>
      </c>
      <c r="AK182">
        <f>step3_validation[[#This Row],[AI_TRU1]]</f>
        <v>8</v>
      </c>
      <c r="AL182">
        <f t="shared" si="66"/>
        <v>0.77777777777777779</v>
      </c>
      <c r="AM182">
        <f>survey_responses[[#This Row],[Tôi tin rằng Nhà nước, cơ quan thuế sẽ thực thi chính sách mới một cách khách quan, công tâm và đối xử bình đẳng với mọi người nộp thuế.  - HUMAN-TRU1]]</f>
        <v>8</v>
      </c>
      <c r="AN182">
        <f t="shared" si="67"/>
        <v>0.77777777777777779</v>
      </c>
      <c r="AO182">
        <f>step3_validation[[#This Row],[AI_TRU2]]</f>
        <v>9</v>
      </c>
      <c r="AP182">
        <f t="shared" si="68"/>
        <v>0.88888888888888884</v>
      </c>
      <c r="AQ182">
        <f>survey_responses[[#This Row],[Tôi thấy mức thuế tôi phải đóng theo phương án mới là công bằng (người thu nhập như tôi đóng mức này là hợp lý). - HUMAN-TRU2]]</f>
        <v>7</v>
      </c>
      <c r="AR182">
        <f t="shared" si="69"/>
        <v>0.66666666666666663</v>
      </c>
      <c r="AS182">
        <f>step3_validation[[#This Row],[AI_TRU3]]</f>
        <v>8</v>
      </c>
      <c r="AT182">
        <f t="shared" si="70"/>
        <v>0.77777777777777779</v>
      </c>
      <c r="AU182">
        <f>survey_responses[[#This Row],[Tôi tin tưởng số tiền thuế tôi đóng sẽ được Nhà nước sử dụng hiệu quả để cải thiện dịch vụ công (y tế, đường xá...). - HUMAN-TRU3]]</f>
        <v>5</v>
      </c>
      <c r="AV182">
        <f t="shared" si="71"/>
        <v>0.44444444444444442</v>
      </c>
      <c r="AW182">
        <f>step3_validation[[#This Row],[AI_TRU4]]</f>
        <v>7</v>
      </c>
      <c r="AX182">
        <f t="shared" si="72"/>
        <v>0.66666666666666663</v>
      </c>
      <c r="AY182">
        <f>survey_responses[[#This Row],[Tôi thấy Nhà nước đã giải thích rõ ràng, minh bạch về lý do và mục tiêu của việc sửa đổi thuế lần này. - HUMAN-TRU4]]</f>
        <v>7</v>
      </c>
      <c r="AZ182">
        <f t="shared" si="73"/>
        <v>0.66666666666666663</v>
      </c>
      <c r="BA182" s="32">
        <f t="shared" si="74"/>
        <v>0.77777777777777768</v>
      </c>
      <c r="BB182" s="32">
        <f t="shared" si="75"/>
        <v>0.63888888888888884</v>
      </c>
      <c r="BC182" s="7">
        <f t="shared" si="76"/>
        <v>0.77777777777777768</v>
      </c>
      <c r="BD182" s="7">
        <f t="shared" si="77"/>
        <v>0.65740740740740744</v>
      </c>
      <c r="BE182">
        <f>step3_validation[[#This Row],[AI_OUT1]]</f>
        <v>9</v>
      </c>
      <c r="BF182">
        <f t="shared" si="78"/>
        <v>0.88888888888888884</v>
      </c>
      <c r="BG182">
        <f>survey_responses[[#This Row],[Sau khi xem xét các quyền lợi và nghĩa vụ, bạn có ủng hộ và tuân thủ chính sách mới hiện nay? - HUMAN-OUT1]]</f>
        <v>7</v>
      </c>
      <c r="BH182">
        <f t="shared" si="79"/>
        <v>0.66666666666666663</v>
      </c>
      <c r="BI182" s="32">
        <f t="shared" si="80"/>
        <v>2</v>
      </c>
    </row>
    <row r="183" spans="1:61" x14ac:dyDescent="0.45">
      <c r="A183" s="30">
        <f>step3_validation[[#This Row],[Persona_ID]]</f>
        <v>182</v>
      </c>
      <c r="B183" s="31">
        <f>step3_validation[[#This Row],[Used_Seed]]</f>
        <v>223</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29.04912485721059</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f t="shared" si="54"/>
        <v>0.66666666666666663</v>
      </c>
      <c r="S183">
        <f>survey_responses[[#This Row],[Tôi tin rằng với các quy định quản lý thuế hiện nay, hành vi gian lận hoặc trốn thuế sẽ dễ dàng bị phát hiện và xử lý nghiêm. - HUMAN-ENF1]]</f>
        <v>8</v>
      </c>
      <c r="T183">
        <f t="shared" si="55"/>
        <v>0.77777777777777779</v>
      </c>
      <c r="U183">
        <f>step3_validation[[#This Row],[AI_ENF2]]</f>
        <v>6</v>
      </c>
      <c r="V183">
        <f t="shared" si="56"/>
        <v>0.55555555555555558</v>
      </c>
      <c r="W183">
        <f>survey_responses[[#This Row],[Tôi tin rằng Nhà nước, cơ quan thuế có đủ khả năng và công nghệ để phát hiện, xử lý nghiêm các hành vi trốn thuế. - HUMAN-ENF2]]</f>
        <v>8</v>
      </c>
      <c r="X183">
        <f t="shared" si="57"/>
        <v>0.77777777777777779</v>
      </c>
      <c r="Y183" s="32">
        <f t="shared" si="58"/>
        <v>0.61111111111111116</v>
      </c>
      <c r="Z183" s="32">
        <f t="shared" si="59"/>
        <v>0.77777777777777779</v>
      </c>
      <c r="AA183">
        <f>step3_validation[[#This Row],[AI_FAC1]]</f>
        <v>8</v>
      </c>
      <c r="AB183">
        <f t="shared" si="60"/>
        <v>0.77777777777777779</v>
      </c>
      <c r="AC183">
        <f>survey_responses[[#This Row],[Các thủ tục khai báo thuế VÀ/HOẶC quy trình làm việc với cơ quan thuế đơn giản, tiện lợi, nhanh chóng hơn so với trước đây. - HUMAN-FAC1]]</f>
        <v>5</v>
      </c>
      <c r="AD183">
        <f t="shared" si="61"/>
        <v>0.44444444444444442</v>
      </c>
      <c r="AE183">
        <f>step3_validation[[#This Row],[AI_FAC2]]</f>
        <v>9</v>
      </c>
      <c r="AF183">
        <f t="shared" si="62"/>
        <v>0.88888888888888884</v>
      </c>
      <c r="AG183">
        <f>survey_responses[[#This Row],[So với trước đây, tôi thấy cách tính thuế và các bậc thuế trong phương án mới đơn giản, dễ hiểu và dễ thực hiện hơn. - HUMAN-FAC2]]</f>
        <v>8</v>
      </c>
      <c r="AH183">
        <f t="shared" si="63"/>
        <v>0.77777777777777779</v>
      </c>
      <c r="AI183" s="32">
        <f t="shared" si="64"/>
        <v>0.83333333333333326</v>
      </c>
      <c r="AJ183" s="32">
        <f t="shared" si="65"/>
        <v>0.61111111111111116</v>
      </c>
      <c r="AK183">
        <f>step3_validation[[#This Row],[AI_TRU1]]</f>
        <v>8</v>
      </c>
      <c r="AL183">
        <f t="shared" si="66"/>
        <v>0.77777777777777779</v>
      </c>
      <c r="AM183">
        <f>survey_responses[[#This Row],[Tôi tin rằng Nhà nước, cơ quan thuế sẽ thực thi chính sách mới một cách khách quan, công tâm và đối xử bình đẳng với mọi người nộp thuế.  - HUMAN-TRU1]]</f>
        <v>6</v>
      </c>
      <c r="AN183">
        <f t="shared" si="67"/>
        <v>0.55555555555555558</v>
      </c>
      <c r="AO183">
        <f>step3_validation[[#This Row],[AI_TRU2]]</f>
        <v>9</v>
      </c>
      <c r="AP183">
        <f t="shared" si="68"/>
        <v>0.88888888888888884</v>
      </c>
      <c r="AQ183">
        <f>survey_responses[[#This Row],[Tôi thấy mức thuế tôi phải đóng theo phương án mới là công bằng (người thu nhập như tôi đóng mức này là hợp lý). - HUMAN-TRU2]]</f>
        <v>8</v>
      </c>
      <c r="AR183">
        <f t="shared" si="69"/>
        <v>0.77777777777777779</v>
      </c>
      <c r="AS183">
        <f>step3_validation[[#This Row],[AI_TRU3]]</f>
        <v>8</v>
      </c>
      <c r="AT183">
        <f t="shared" si="70"/>
        <v>0.77777777777777779</v>
      </c>
      <c r="AU183">
        <f>survey_responses[[#This Row],[Tôi tin tưởng số tiền thuế tôi đóng sẽ được Nhà nước sử dụng hiệu quả để cải thiện dịch vụ công (y tế, đường xá...). - HUMAN-TRU3]]</f>
        <v>6</v>
      </c>
      <c r="AV183">
        <f t="shared" si="71"/>
        <v>0.55555555555555558</v>
      </c>
      <c r="AW183">
        <f>step3_validation[[#This Row],[AI_TRU4]]</f>
        <v>6</v>
      </c>
      <c r="AX183">
        <f t="shared" si="72"/>
        <v>0.55555555555555558</v>
      </c>
      <c r="AY183">
        <f>survey_responses[[#This Row],[Tôi thấy Nhà nước đã giải thích rõ ràng, minh bạch về lý do và mục tiêu của việc sửa đổi thuế lần này. - HUMAN-TRU4]]</f>
        <v>7</v>
      </c>
      <c r="AZ183">
        <f t="shared" si="73"/>
        <v>0.66666666666666663</v>
      </c>
      <c r="BA183" s="32">
        <f t="shared" si="74"/>
        <v>0.75</v>
      </c>
      <c r="BB183" s="32">
        <f t="shared" si="75"/>
        <v>0.63888888888888895</v>
      </c>
      <c r="BC183" s="7">
        <f t="shared" si="76"/>
        <v>0.73148148148148151</v>
      </c>
      <c r="BD183" s="7">
        <f t="shared" si="77"/>
        <v>0.67592592592592593</v>
      </c>
      <c r="BE183">
        <f>step3_validation[[#This Row],[AI_OUT1]]</f>
        <v>9</v>
      </c>
      <c r="BF183">
        <f t="shared" si="78"/>
        <v>0.88888888888888884</v>
      </c>
      <c r="BG183">
        <f>survey_responses[[#This Row],[Sau khi xem xét các quyền lợi và nghĩa vụ, bạn có ủng hộ và tuân thủ chính sách mới hiện nay? - HUMAN-OUT1]]</f>
        <v>7</v>
      </c>
      <c r="BH183">
        <f t="shared" si="79"/>
        <v>0.66666666666666663</v>
      </c>
      <c r="BI183" s="32">
        <f t="shared" si="80"/>
        <v>2</v>
      </c>
    </row>
    <row r="184" spans="1:61" x14ac:dyDescent="0.45">
      <c r="A184" s="30">
        <f>step3_validation[[#This Row],[Persona_ID]]</f>
        <v>183</v>
      </c>
      <c r="B184" s="31">
        <f>step3_validation[[#This Row],[Used_Seed]]</f>
        <v>224</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103.07788778142726</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9</v>
      </c>
      <c r="R184">
        <f t="shared" si="54"/>
        <v>0.88888888888888884</v>
      </c>
      <c r="S184">
        <f>survey_responses[[#This Row],[Tôi tin rằng với các quy định quản lý thuế hiện nay, hành vi gian lận hoặc trốn thuế sẽ dễ dàng bị phát hiện và xử lý nghiêm. - HUMAN-ENF1]]</f>
        <v>2</v>
      </c>
      <c r="T184">
        <f t="shared" si="55"/>
        <v>0.1111111111111111</v>
      </c>
      <c r="U184">
        <f>step3_validation[[#This Row],[AI_ENF2]]</f>
        <v>8</v>
      </c>
      <c r="V184">
        <f t="shared" si="56"/>
        <v>0.77777777777777779</v>
      </c>
      <c r="W184">
        <f>survey_responses[[#This Row],[Tôi tin rằng Nhà nước, cơ quan thuế có đủ khả năng và công nghệ để phát hiện, xử lý nghiêm các hành vi trốn thuế. - HUMAN-ENF2]]</f>
        <v>5</v>
      </c>
      <c r="X184">
        <f t="shared" si="57"/>
        <v>0.44444444444444442</v>
      </c>
      <c r="Y184" s="32">
        <f t="shared" si="58"/>
        <v>0.83333333333333326</v>
      </c>
      <c r="Z184" s="32">
        <f t="shared" si="59"/>
        <v>0.27777777777777779</v>
      </c>
      <c r="AA184">
        <f>step3_validation[[#This Row],[AI_FAC1]]</f>
        <v>9</v>
      </c>
      <c r="AB184">
        <f t="shared" si="60"/>
        <v>0.88888888888888884</v>
      </c>
      <c r="AC184">
        <f>survey_responses[[#This Row],[Các thủ tục khai báo thuế VÀ/HOẶC quy trình làm việc với cơ quan thuế đơn giản, tiện lợi, nhanh chóng hơn so với trước đây. - HUMAN-FAC1]]</f>
        <v>3</v>
      </c>
      <c r="AD184">
        <f t="shared" si="61"/>
        <v>0.22222222222222221</v>
      </c>
      <c r="AE184">
        <f>step3_validation[[#This Row],[AI_FAC2]]</f>
        <v>8</v>
      </c>
      <c r="AF184">
        <f t="shared" si="62"/>
        <v>0.77777777777777779</v>
      </c>
      <c r="AG184">
        <f>survey_responses[[#This Row],[So với trước đây, tôi thấy cách tính thuế và các bậc thuế trong phương án mới đơn giản, dễ hiểu và dễ thực hiện hơn. - HUMAN-FAC2]]</f>
        <v>5</v>
      </c>
      <c r="AH184">
        <f t="shared" si="63"/>
        <v>0.44444444444444442</v>
      </c>
      <c r="AI184" s="32">
        <f t="shared" si="64"/>
        <v>0.83333333333333326</v>
      </c>
      <c r="AJ184" s="32">
        <f t="shared" si="65"/>
        <v>0.33333333333333331</v>
      </c>
      <c r="AK184">
        <f>step3_validation[[#This Row],[AI_TRU1]]</f>
        <v>9</v>
      </c>
      <c r="AL184">
        <f t="shared" si="66"/>
        <v>0.88888888888888884</v>
      </c>
      <c r="AM184">
        <f>survey_responses[[#This Row],[Tôi tin rằng Nhà nước, cơ quan thuế sẽ thực thi chính sách mới một cách khách quan, công tâm và đối xử bình đẳng với mọi người nộp thuế.  - HUMAN-TRU1]]</f>
        <v>3</v>
      </c>
      <c r="AN184">
        <f t="shared" si="67"/>
        <v>0.22222222222222221</v>
      </c>
      <c r="AO184">
        <f>step3_validation[[#This Row],[AI_TRU2]]</f>
        <v>8</v>
      </c>
      <c r="AP184">
        <f t="shared" si="68"/>
        <v>0.77777777777777779</v>
      </c>
      <c r="AQ184">
        <f>survey_responses[[#This Row],[Tôi thấy mức thuế tôi phải đóng theo phương án mới là công bằng (người thu nhập như tôi đóng mức này là hợp lý). - HUMAN-TRU2]]</f>
        <v>2</v>
      </c>
      <c r="AR184">
        <f t="shared" si="69"/>
        <v>0.1111111111111111</v>
      </c>
      <c r="AS184">
        <f>step3_validation[[#This Row],[AI_TRU3]]</f>
        <v>9</v>
      </c>
      <c r="AT184">
        <f t="shared" si="70"/>
        <v>0.88888888888888884</v>
      </c>
      <c r="AU184">
        <f>survey_responses[[#This Row],[Tôi tin tưởng số tiền thuế tôi đóng sẽ được Nhà nước sử dụng hiệu quả để cải thiện dịch vụ công (y tế, đường xá...). - HUMAN-TRU3]]</f>
        <v>1</v>
      </c>
      <c r="AV184">
        <f t="shared" si="71"/>
        <v>0</v>
      </c>
      <c r="AW184">
        <f>step3_validation[[#This Row],[AI_TRU4]]</f>
        <v>8</v>
      </c>
      <c r="AX184">
        <f t="shared" si="72"/>
        <v>0.77777777777777779</v>
      </c>
      <c r="AY184">
        <f>survey_responses[[#This Row],[Tôi thấy Nhà nước đã giải thích rõ ràng, minh bạch về lý do và mục tiêu của việc sửa đổi thuế lần này. - HUMAN-TRU4]]</f>
        <v>5</v>
      </c>
      <c r="AZ184">
        <f t="shared" si="73"/>
        <v>0.44444444444444442</v>
      </c>
      <c r="BA184" s="32">
        <f t="shared" si="74"/>
        <v>0.83333333333333326</v>
      </c>
      <c r="BB184" s="32">
        <f t="shared" si="75"/>
        <v>0.19444444444444442</v>
      </c>
      <c r="BC184" s="7">
        <f t="shared" si="76"/>
        <v>0.83333333333333337</v>
      </c>
      <c r="BD184" s="7">
        <f t="shared" si="77"/>
        <v>0.26851851851851855</v>
      </c>
      <c r="BE184">
        <f>step3_validation[[#This Row],[AI_OUT1]]</f>
        <v>9</v>
      </c>
      <c r="BF184">
        <f t="shared" si="78"/>
        <v>0.88888888888888884</v>
      </c>
      <c r="BG184">
        <f>survey_responses[[#This Row],[Sau khi xem xét các quyền lợi và nghĩa vụ, bạn có ủng hộ và tuân thủ chính sách mới hiện nay? - HUMAN-OUT1]]</f>
        <v>5</v>
      </c>
      <c r="BH184">
        <f t="shared" si="79"/>
        <v>0.44444444444444442</v>
      </c>
      <c r="BI184" s="32">
        <f t="shared" si="80"/>
        <v>4</v>
      </c>
    </row>
    <row r="185" spans="1:61" x14ac:dyDescent="0.45">
      <c r="A185" s="30">
        <f>step3_validation[[#This Row],[Persona_ID]]</f>
        <v>184</v>
      </c>
      <c r="B185" s="31">
        <f>step3_validation[[#This Row],[Used_Seed]]</f>
        <v>225</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13.118534696209883</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7</v>
      </c>
      <c r="R185">
        <f t="shared" si="54"/>
        <v>0.66666666666666663</v>
      </c>
      <c r="S185">
        <f>survey_responses[[#This Row],[Tôi tin rằng với các quy định quản lý thuế hiện nay, hành vi gian lận hoặc trốn thuế sẽ dễ dàng bị phát hiện và xử lý nghiêm. - HUMAN-ENF1]]</f>
        <v>6</v>
      </c>
      <c r="T185">
        <f t="shared" si="55"/>
        <v>0.55555555555555558</v>
      </c>
      <c r="U185">
        <f>step3_validation[[#This Row],[AI_ENF2]]</f>
        <v>6</v>
      </c>
      <c r="V185">
        <f t="shared" si="56"/>
        <v>0.55555555555555558</v>
      </c>
      <c r="W185">
        <f>survey_responses[[#This Row],[Tôi tin rằng Nhà nước, cơ quan thuế có đủ khả năng và công nghệ để phát hiện, xử lý nghiêm các hành vi trốn thuế. - HUMAN-ENF2]]</f>
        <v>6</v>
      </c>
      <c r="X185">
        <f t="shared" si="57"/>
        <v>0.55555555555555558</v>
      </c>
      <c r="Y185" s="32">
        <f t="shared" si="58"/>
        <v>0.61111111111111116</v>
      </c>
      <c r="Z185" s="32">
        <f t="shared" si="59"/>
        <v>0.55555555555555558</v>
      </c>
      <c r="AA185">
        <f>step3_validation[[#This Row],[AI_FAC1]]</f>
        <v>8</v>
      </c>
      <c r="AB185">
        <f t="shared" si="60"/>
        <v>0.77777777777777779</v>
      </c>
      <c r="AC185">
        <f>survey_responses[[#This Row],[Các thủ tục khai báo thuế VÀ/HOẶC quy trình làm việc với cơ quan thuế đơn giản, tiện lợi, nhanh chóng hơn so với trước đây. - HUMAN-FAC1]]</f>
        <v>5</v>
      </c>
      <c r="AD185">
        <f t="shared" si="61"/>
        <v>0.44444444444444442</v>
      </c>
      <c r="AE185">
        <f>step3_validation[[#This Row],[AI_FAC2]]</f>
        <v>8</v>
      </c>
      <c r="AF185">
        <f t="shared" si="62"/>
        <v>0.77777777777777779</v>
      </c>
      <c r="AG185">
        <f>survey_responses[[#This Row],[So với trước đây, tôi thấy cách tính thuế và các bậc thuế trong phương án mới đơn giản, dễ hiểu và dễ thực hiện hơn. - HUMAN-FAC2]]</f>
        <v>9</v>
      </c>
      <c r="AH185">
        <f t="shared" si="63"/>
        <v>0.88888888888888884</v>
      </c>
      <c r="AI185" s="32">
        <f t="shared" si="64"/>
        <v>0.77777777777777779</v>
      </c>
      <c r="AJ185" s="32">
        <f t="shared" si="65"/>
        <v>0.66666666666666663</v>
      </c>
      <c r="AK185">
        <f>step3_validation[[#This Row],[AI_TRU1]]</f>
        <v>9</v>
      </c>
      <c r="AL185">
        <f t="shared" si="66"/>
        <v>0.88888888888888884</v>
      </c>
      <c r="AM185">
        <f>survey_responses[[#This Row],[Tôi tin rằng Nhà nước, cơ quan thuế sẽ thực thi chính sách mới một cách khách quan, công tâm và đối xử bình đẳng với mọi người nộp thuế.  - HUMAN-TRU1]]</f>
        <v>7</v>
      </c>
      <c r="AN185">
        <f t="shared" si="67"/>
        <v>0.66666666666666663</v>
      </c>
      <c r="AO185">
        <f>step3_validation[[#This Row],[AI_TRU2]]</f>
        <v>8</v>
      </c>
      <c r="AP185">
        <f t="shared" si="68"/>
        <v>0.77777777777777779</v>
      </c>
      <c r="AQ185">
        <f>survey_responses[[#This Row],[Tôi thấy mức thuế tôi phải đóng theo phương án mới là công bằng (người thu nhập như tôi đóng mức này là hợp lý). - HUMAN-TRU2]]</f>
        <v>8</v>
      </c>
      <c r="AR185">
        <f t="shared" si="69"/>
        <v>0.77777777777777779</v>
      </c>
      <c r="AS185">
        <f>step3_validation[[#This Row],[AI_TRU3]]</f>
        <v>9</v>
      </c>
      <c r="AT185">
        <f t="shared" si="70"/>
        <v>0.88888888888888884</v>
      </c>
      <c r="AU185">
        <f>survey_responses[[#This Row],[Tôi tin tưởng số tiền thuế tôi đóng sẽ được Nhà nước sử dụng hiệu quả để cải thiện dịch vụ công (y tế, đường xá...). - HUMAN-TRU3]]</f>
        <v>5</v>
      </c>
      <c r="AV185">
        <f t="shared" si="71"/>
        <v>0.44444444444444442</v>
      </c>
      <c r="AW185">
        <f>step3_validation[[#This Row],[AI_TRU4]]</f>
        <v>8</v>
      </c>
      <c r="AX185">
        <f t="shared" si="72"/>
        <v>0.77777777777777779</v>
      </c>
      <c r="AY185">
        <f>survey_responses[[#This Row],[Tôi thấy Nhà nước đã giải thích rõ ràng, minh bạch về lý do và mục tiêu của việc sửa đổi thuế lần này. - HUMAN-TRU4]]</f>
        <v>7</v>
      </c>
      <c r="AZ185">
        <f t="shared" si="73"/>
        <v>0.66666666666666663</v>
      </c>
      <c r="BA185" s="32">
        <f t="shared" si="74"/>
        <v>0.83333333333333326</v>
      </c>
      <c r="BB185" s="32">
        <f t="shared" si="75"/>
        <v>0.63888888888888884</v>
      </c>
      <c r="BC185" s="7">
        <f t="shared" si="76"/>
        <v>0.74074074074074081</v>
      </c>
      <c r="BD185" s="7">
        <f t="shared" si="77"/>
        <v>0.62037037037037035</v>
      </c>
      <c r="BE185">
        <f>step3_validation[[#This Row],[AI_OUT1]]</f>
        <v>9</v>
      </c>
      <c r="BF185">
        <f t="shared" si="78"/>
        <v>0.88888888888888884</v>
      </c>
      <c r="BG185">
        <f>survey_responses[[#This Row],[Sau khi xem xét các quyền lợi và nghĩa vụ, bạn có ủng hộ và tuân thủ chính sách mới hiện nay? - HUMAN-OUT1]]</f>
        <v>7</v>
      </c>
      <c r="BH185">
        <f t="shared" si="79"/>
        <v>0.66666666666666663</v>
      </c>
      <c r="BI185" s="32">
        <f t="shared" si="80"/>
        <v>2</v>
      </c>
    </row>
    <row r="186" spans="1:61" x14ac:dyDescent="0.45">
      <c r="A186" s="30">
        <f>step3_validation[[#This Row],[Persona_ID]]</f>
        <v>185</v>
      </c>
      <c r="B186" s="31">
        <f>step3_validation[[#This Row],[Used_Seed]]</f>
        <v>226</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39.81870042598301</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6</v>
      </c>
      <c r="R186">
        <f t="shared" si="54"/>
        <v>0.55555555555555558</v>
      </c>
      <c r="S186">
        <f>survey_responses[[#This Row],[Tôi tin rằng với các quy định quản lý thuế hiện nay, hành vi gian lận hoặc trốn thuế sẽ dễ dàng bị phát hiện và xử lý nghiêm. - HUMAN-ENF1]]</f>
        <v>7</v>
      </c>
      <c r="T186">
        <f t="shared" si="55"/>
        <v>0.66666666666666663</v>
      </c>
      <c r="U186">
        <f>step3_validation[[#This Row],[AI_ENF2]]</f>
        <v>8</v>
      </c>
      <c r="V186">
        <f t="shared" si="56"/>
        <v>0.77777777777777779</v>
      </c>
      <c r="W186">
        <f>survey_responses[[#This Row],[Tôi tin rằng Nhà nước, cơ quan thuế có đủ khả năng và công nghệ để phát hiện, xử lý nghiêm các hành vi trốn thuế. - HUMAN-ENF2]]</f>
        <v>7</v>
      </c>
      <c r="X186">
        <f t="shared" si="57"/>
        <v>0.66666666666666663</v>
      </c>
      <c r="Y186" s="32">
        <f t="shared" si="58"/>
        <v>0.66666666666666674</v>
      </c>
      <c r="Z186" s="32">
        <f t="shared" si="59"/>
        <v>0.66666666666666663</v>
      </c>
      <c r="AA186">
        <f>step3_validation[[#This Row],[AI_FAC1]]</f>
        <v>9</v>
      </c>
      <c r="AB186">
        <f t="shared" si="60"/>
        <v>0.88888888888888884</v>
      </c>
      <c r="AC186">
        <f>survey_responses[[#This Row],[Các thủ tục khai báo thuế VÀ/HOẶC quy trình làm việc với cơ quan thuế đơn giản, tiện lợi, nhanh chóng hơn so với trước đây. - HUMAN-FAC1]]</f>
        <v>6</v>
      </c>
      <c r="AD186">
        <f t="shared" si="61"/>
        <v>0.55555555555555558</v>
      </c>
      <c r="AE186">
        <f>step3_validation[[#This Row],[AI_FAC2]]</f>
        <v>8</v>
      </c>
      <c r="AF186">
        <f t="shared" si="62"/>
        <v>0.77777777777777779</v>
      </c>
      <c r="AG186">
        <f>survey_responses[[#This Row],[So với trước đây, tôi thấy cách tính thuế và các bậc thuế trong phương án mới đơn giản, dễ hiểu và dễ thực hiện hơn. - HUMAN-FAC2]]</f>
        <v>8</v>
      </c>
      <c r="AH186">
        <f t="shared" si="63"/>
        <v>0.77777777777777779</v>
      </c>
      <c r="AI186" s="32">
        <f t="shared" si="64"/>
        <v>0.83333333333333326</v>
      </c>
      <c r="AJ186" s="32">
        <f t="shared" si="65"/>
        <v>0.66666666666666674</v>
      </c>
      <c r="AK186">
        <f>step3_validation[[#This Row],[AI_TRU1]]</f>
        <v>7</v>
      </c>
      <c r="AL186">
        <f t="shared" si="66"/>
        <v>0.66666666666666663</v>
      </c>
      <c r="AM186">
        <f>survey_responses[[#This Row],[Tôi tin rằng Nhà nước, cơ quan thuế sẽ thực thi chính sách mới một cách khách quan, công tâm và đối xử bình đẳng với mọi người nộp thuế.  - HUMAN-TRU1]]</f>
        <v>5</v>
      </c>
      <c r="AN186">
        <f t="shared" si="67"/>
        <v>0.44444444444444442</v>
      </c>
      <c r="AO186">
        <f>step3_validation[[#This Row],[AI_TRU2]]</f>
        <v>8</v>
      </c>
      <c r="AP186">
        <f t="shared" si="68"/>
        <v>0.77777777777777779</v>
      </c>
      <c r="AQ186">
        <f>survey_responses[[#This Row],[Tôi thấy mức thuế tôi phải đóng theo phương án mới là công bằng (người thu nhập như tôi đóng mức này là hợp lý). - HUMAN-TRU2]]</f>
        <v>5</v>
      </c>
      <c r="AR186">
        <f t="shared" si="69"/>
        <v>0.44444444444444442</v>
      </c>
      <c r="AS186">
        <f>step3_validation[[#This Row],[AI_TRU3]]</f>
        <v>7</v>
      </c>
      <c r="AT186">
        <f t="shared" si="70"/>
        <v>0.66666666666666663</v>
      </c>
      <c r="AU186">
        <f>survey_responses[[#This Row],[Tôi tin tưởng số tiền thuế tôi đóng sẽ được Nhà nước sử dụng hiệu quả để cải thiện dịch vụ công (y tế, đường xá...). - HUMAN-TRU3]]</f>
        <v>5</v>
      </c>
      <c r="AV186">
        <f t="shared" si="71"/>
        <v>0.44444444444444442</v>
      </c>
      <c r="AW186">
        <f>step3_validation[[#This Row],[AI_TRU4]]</f>
        <v>8</v>
      </c>
      <c r="AX186">
        <f t="shared" si="72"/>
        <v>0.77777777777777779</v>
      </c>
      <c r="AY186">
        <f>survey_responses[[#This Row],[Tôi thấy Nhà nước đã giải thích rõ ràng, minh bạch về lý do và mục tiêu của việc sửa đổi thuế lần này. - HUMAN-TRU4]]</f>
        <v>6</v>
      </c>
      <c r="AZ186">
        <f t="shared" si="73"/>
        <v>0.55555555555555558</v>
      </c>
      <c r="BA186" s="32">
        <f t="shared" si="74"/>
        <v>0.72222222222222221</v>
      </c>
      <c r="BB186" s="32">
        <f t="shared" si="75"/>
        <v>0.47222222222222221</v>
      </c>
      <c r="BC186" s="7">
        <f t="shared" si="76"/>
        <v>0.74074074074074081</v>
      </c>
      <c r="BD186" s="7">
        <f t="shared" si="77"/>
        <v>0.60185185185185197</v>
      </c>
      <c r="BE186">
        <f>step3_validation[[#This Row],[AI_OUT1]]</f>
        <v>7</v>
      </c>
      <c r="BF186">
        <f t="shared" si="78"/>
        <v>0.66666666666666663</v>
      </c>
      <c r="BG186">
        <f>survey_responses[[#This Row],[Sau khi xem xét các quyền lợi và nghĩa vụ, bạn có ủng hộ và tuân thủ chính sách mới hiện nay? - HUMAN-OUT1]]</f>
        <v>5</v>
      </c>
      <c r="BH186">
        <f t="shared" si="79"/>
        <v>0.44444444444444442</v>
      </c>
      <c r="BI186" s="32">
        <f t="shared" si="80"/>
        <v>2</v>
      </c>
    </row>
    <row r="187" spans="1:61" x14ac:dyDescent="0.45">
      <c r="A187" s="30">
        <f>step3_validation[[#This Row],[Persona_ID]]</f>
        <v>186</v>
      </c>
      <c r="B187" s="31">
        <f>step3_validation[[#This Row],[Used_Seed]]</f>
        <v>227</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15.283385198639611</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5</v>
      </c>
      <c r="R187">
        <f t="shared" si="54"/>
        <v>0.44444444444444442</v>
      </c>
      <c r="S187">
        <f>survey_responses[[#This Row],[Tôi tin rằng với các quy định quản lý thuế hiện nay, hành vi gian lận hoặc trốn thuế sẽ dễ dàng bị phát hiện và xử lý nghiêm. - HUMAN-ENF1]]</f>
        <v>7</v>
      </c>
      <c r="T187">
        <f t="shared" si="55"/>
        <v>0.66666666666666663</v>
      </c>
      <c r="U187">
        <f>step3_validation[[#This Row],[AI_ENF2]]</f>
        <v>6</v>
      </c>
      <c r="V187">
        <f t="shared" si="56"/>
        <v>0.55555555555555558</v>
      </c>
      <c r="W187">
        <f>survey_responses[[#This Row],[Tôi tin rằng Nhà nước, cơ quan thuế có đủ khả năng và công nghệ để phát hiện, xử lý nghiêm các hành vi trốn thuế. - HUMAN-ENF2]]</f>
        <v>7</v>
      </c>
      <c r="X187">
        <f t="shared" si="57"/>
        <v>0.66666666666666663</v>
      </c>
      <c r="Y187" s="32">
        <f t="shared" si="58"/>
        <v>0.5</v>
      </c>
      <c r="Z187" s="32">
        <f t="shared" si="59"/>
        <v>0.66666666666666663</v>
      </c>
      <c r="AA187">
        <f>step3_validation[[#This Row],[AI_FAC1]]</f>
        <v>8</v>
      </c>
      <c r="AB187">
        <f t="shared" si="60"/>
        <v>0.77777777777777779</v>
      </c>
      <c r="AC187">
        <f>survey_responses[[#This Row],[Các thủ tục khai báo thuế VÀ/HOẶC quy trình làm việc với cơ quan thuế đơn giản, tiện lợi, nhanh chóng hơn so với trước đây. - HUMAN-FAC1]]</f>
        <v>5</v>
      </c>
      <c r="AD187">
        <f t="shared" si="61"/>
        <v>0.44444444444444442</v>
      </c>
      <c r="AE187">
        <f>step3_validation[[#This Row],[AI_FAC2]]</f>
        <v>9</v>
      </c>
      <c r="AF187">
        <f t="shared" si="62"/>
        <v>0.88888888888888884</v>
      </c>
      <c r="AG187">
        <f>survey_responses[[#This Row],[So với trước đây, tôi thấy cách tính thuế và các bậc thuế trong phương án mới đơn giản, dễ hiểu và dễ thực hiện hơn. - HUMAN-FAC2]]</f>
        <v>7</v>
      </c>
      <c r="AH187">
        <f t="shared" si="63"/>
        <v>0.66666666666666663</v>
      </c>
      <c r="AI187" s="32">
        <f t="shared" si="64"/>
        <v>0.83333333333333326</v>
      </c>
      <c r="AJ187" s="32">
        <f t="shared" si="65"/>
        <v>0.55555555555555558</v>
      </c>
      <c r="AK187">
        <f>step3_validation[[#This Row],[AI_TRU1]]</f>
        <v>7</v>
      </c>
      <c r="AL187">
        <f t="shared" si="66"/>
        <v>0.66666666666666663</v>
      </c>
      <c r="AM187">
        <f>survey_responses[[#This Row],[Tôi tin rằng Nhà nước, cơ quan thuế sẽ thực thi chính sách mới một cách khách quan, công tâm và đối xử bình đẳng với mọi người nộp thuế.  - HUMAN-TRU1]]</f>
        <v>5</v>
      </c>
      <c r="AN187">
        <f t="shared" si="67"/>
        <v>0.44444444444444442</v>
      </c>
      <c r="AO187">
        <f>step3_validation[[#This Row],[AI_TRU2]]</f>
        <v>9</v>
      </c>
      <c r="AP187">
        <f t="shared" si="68"/>
        <v>0.88888888888888884</v>
      </c>
      <c r="AQ187">
        <f>survey_responses[[#This Row],[Tôi thấy mức thuế tôi phải đóng theo phương án mới là công bằng (người thu nhập như tôi đóng mức này là hợp lý). - HUMAN-TRU2]]</f>
        <v>5</v>
      </c>
      <c r="AR187">
        <f t="shared" si="69"/>
        <v>0.44444444444444442</v>
      </c>
      <c r="AS187">
        <f>step3_validation[[#This Row],[AI_TRU3]]</f>
        <v>8</v>
      </c>
      <c r="AT187">
        <f t="shared" si="70"/>
        <v>0.77777777777777779</v>
      </c>
      <c r="AU187">
        <f>survey_responses[[#This Row],[Tôi tin tưởng số tiền thuế tôi đóng sẽ được Nhà nước sử dụng hiệu quả để cải thiện dịch vụ công (y tế, đường xá...). - HUMAN-TRU3]]</f>
        <v>5</v>
      </c>
      <c r="AV187">
        <f t="shared" si="71"/>
        <v>0.44444444444444442</v>
      </c>
      <c r="AW187">
        <f>step3_validation[[#This Row],[AI_TRU4]]</f>
        <v>7</v>
      </c>
      <c r="AX187">
        <f t="shared" si="72"/>
        <v>0.66666666666666663</v>
      </c>
      <c r="AY187">
        <f>survey_responses[[#This Row],[Tôi thấy Nhà nước đã giải thích rõ ràng, minh bạch về lý do và mục tiêu của việc sửa đổi thuế lần này. - HUMAN-TRU4]]</f>
        <v>5</v>
      </c>
      <c r="AZ187">
        <f t="shared" si="73"/>
        <v>0.44444444444444442</v>
      </c>
      <c r="BA187" s="32">
        <f t="shared" si="74"/>
        <v>0.74999999999999989</v>
      </c>
      <c r="BB187" s="32">
        <f t="shared" si="75"/>
        <v>0.44444444444444442</v>
      </c>
      <c r="BC187" s="7">
        <f t="shared" si="76"/>
        <v>0.69444444444444431</v>
      </c>
      <c r="BD187" s="7">
        <f t="shared" si="77"/>
        <v>0.55555555555555558</v>
      </c>
      <c r="BE187">
        <f>step3_validation[[#This Row],[AI_OUT1]]</f>
        <v>9</v>
      </c>
      <c r="BF187">
        <f t="shared" si="78"/>
        <v>0.88888888888888884</v>
      </c>
      <c r="BG187">
        <f>survey_responses[[#This Row],[Sau khi xem xét các quyền lợi và nghĩa vụ, bạn có ủng hộ và tuân thủ chính sách mới hiện nay? - HUMAN-OUT1]]</f>
        <v>6</v>
      </c>
      <c r="BH187">
        <f t="shared" si="79"/>
        <v>0.55555555555555558</v>
      </c>
      <c r="BI187" s="32">
        <f t="shared" si="80"/>
        <v>3</v>
      </c>
    </row>
    <row r="188" spans="1:61" x14ac:dyDescent="0.45">
      <c r="A188" s="30">
        <f>step3_validation[[#This Row],[Persona_ID]]</f>
        <v>187</v>
      </c>
      <c r="B188" s="31">
        <f>step3_validation[[#This Row],[Used_Seed]]</f>
        <v>228</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46.93172428703781</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f t="shared" si="54"/>
        <v>0.66666666666666663</v>
      </c>
      <c r="S188">
        <f>survey_responses[[#This Row],[Tôi tin rằng với các quy định quản lý thuế hiện nay, hành vi gian lận hoặc trốn thuế sẽ dễ dàng bị phát hiện và xử lý nghiêm. - HUMAN-ENF1]]</f>
        <v>6</v>
      </c>
      <c r="T188">
        <f t="shared" si="55"/>
        <v>0.55555555555555558</v>
      </c>
      <c r="U188">
        <f>step3_validation[[#This Row],[AI_ENF2]]</f>
        <v>6</v>
      </c>
      <c r="V188">
        <f t="shared" si="56"/>
        <v>0.55555555555555558</v>
      </c>
      <c r="W188">
        <f>survey_responses[[#This Row],[Tôi tin rằng Nhà nước, cơ quan thuế có đủ khả năng và công nghệ để phát hiện, xử lý nghiêm các hành vi trốn thuế. - HUMAN-ENF2]]</f>
        <v>7</v>
      </c>
      <c r="X188">
        <f t="shared" si="57"/>
        <v>0.66666666666666663</v>
      </c>
      <c r="Y188" s="32">
        <f t="shared" si="58"/>
        <v>0.61111111111111116</v>
      </c>
      <c r="Z188" s="32">
        <f t="shared" si="59"/>
        <v>0.61111111111111116</v>
      </c>
      <c r="AA188">
        <f>step3_validation[[#This Row],[AI_FAC1]]</f>
        <v>8</v>
      </c>
      <c r="AB188">
        <f t="shared" si="60"/>
        <v>0.77777777777777779</v>
      </c>
      <c r="AC188">
        <f>survey_responses[[#This Row],[Các thủ tục khai báo thuế VÀ/HOẶC quy trình làm việc với cơ quan thuế đơn giản, tiện lợi, nhanh chóng hơn so với trước đây. - HUMAN-FAC1]]</f>
        <v>6</v>
      </c>
      <c r="AD188">
        <f t="shared" si="61"/>
        <v>0.55555555555555558</v>
      </c>
      <c r="AE188">
        <f>step3_validation[[#This Row],[AI_FAC2]]</f>
        <v>9</v>
      </c>
      <c r="AF188">
        <f t="shared" si="62"/>
        <v>0.88888888888888884</v>
      </c>
      <c r="AG188">
        <f>survey_responses[[#This Row],[So với trước đây, tôi thấy cách tính thuế và các bậc thuế trong phương án mới đơn giản, dễ hiểu và dễ thực hiện hơn. - HUMAN-FAC2]]</f>
        <v>7</v>
      </c>
      <c r="AH188">
        <f t="shared" si="63"/>
        <v>0.66666666666666663</v>
      </c>
      <c r="AI188" s="32">
        <f t="shared" si="64"/>
        <v>0.83333333333333326</v>
      </c>
      <c r="AJ188" s="32">
        <f t="shared" si="65"/>
        <v>0.61111111111111116</v>
      </c>
      <c r="AK188">
        <f>step3_validation[[#This Row],[AI_TRU1]]</f>
        <v>8</v>
      </c>
      <c r="AL188">
        <f t="shared" si="66"/>
        <v>0.77777777777777779</v>
      </c>
      <c r="AM188">
        <f>survey_responses[[#This Row],[Tôi tin rằng Nhà nước, cơ quan thuế sẽ thực thi chính sách mới một cách khách quan, công tâm và đối xử bình đẳng với mọi người nộp thuế.  - HUMAN-TRU1]]</f>
        <v>6</v>
      </c>
      <c r="AN188">
        <f t="shared" si="67"/>
        <v>0.55555555555555558</v>
      </c>
      <c r="AO188">
        <f>step3_validation[[#This Row],[AI_TRU2]]</f>
        <v>9</v>
      </c>
      <c r="AP188">
        <f t="shared" si="68"/>
        <v>0.88888888888888884</v>
      </c>
      <c r="AQ188">
        <f>survey_responses[[#This Row],[Tôi thấy mức thuế tôi phải đóng theo phương án mới là công bằng (người thu nhập như tôi đóng mức này là hợp lý). - HUMAN-TRU2]]</f>
        <v>6</v>
      </c>
      <c r="AR188">
        <f t="shared" si="69"/>
        <v>0.55555555555555558</v>
      </c>
      <c r="AS188">
        <f>step3_validation[[#This Row],[AI_TRU3]]</f>
        <v>8</v>
      </c>
      <c r="AT188">
        <f t="shared" si="70"/>
        <v>0.77777777777777779</v>
      </c>
      <c r="AU188">
        <f>survey_responses[[#This Row],[Tôi tin tưởng số tiền thuế tôi đóng sẽ được Nhà nước sử dụng hiệu quả để cải thiện dịch vụ công (y tế, đường xá...). - HUMAN-TRU3]]</f>
        <v>5</v>
      </c>
      <c r="AV188">
        <f t="shared" si="71"/>
        <v>0.44444444444444442</v>
      </c>
      <c r="AW188">
        <f>step3_validation[[#This Row],[AI_TRU4]]</f>
        <v>7</v>
      </c>
      <c r="AX188">
        <f t="shared" si="72"/>
        <v>0.66666666666666663</v>
      </c>
      <c r="AY188">
        <f>survey_responses[[#This Row],[Tôi thấy Nhà nước đã giải thích rõ ràng, minh bạch về lý do và mục tiêu của việc sửa đổi thuế lần này. - HUMAN-TRU4]]</f>
        <v>5</v>
      </c>
      <c r="AZ188">
        <f t="shared" si="73"/>
        <v>0.44444444444444442</v>
      </c>
      <c r="BA188" s="32">
        <f t="shared" si="74"/>
        <v>0.77777777777777768</v>
      </c>
      <c r="BB188" s="32">
        <f t="shared" si="75"/>
        <v>0.5</v>
      </c>
      <c r="BC188" s="7">
        <f t="shared" si="76"/>
        <v>0.74074074074074081</v>
      </c>
      <c r="BD188" s="7">
        <f t="shared" si="77"/>
        <v>0.57407407407407407</v>
      </c>
      <c r="BE188">
        <f>step3_validation[[#This Row],[AI_OUT1]]</f>
        <v>9</v>
      </c>
      <c r="BF188">
        <f t="shared" si="78"/>
        <v>0.88888888888888884</v>
      </c>
      <c r="BG188">
        <f>survey_responses[[#This Row],[Sau khi xem xét các quyền lợi và nghĩa vụ, bạn có ủng hộ và tuân thủ chính sách mới hiện nay? - HUMAN-OUT1]]</f>
        <v>6</v>
      </c>
      <c r="BH188">
        <f t="shared" si="79"/>
        <v>0.55555555555555558</v>
      </c>
      <c r="BI188" s="32">
        <f t="shared" si="80"/>
        <v>3</v>
      </c>
    </row>
    <row r="189" spans="1:61" x14ac:dyDescent="0.45">
      <c r="A189" s="30">
        <f>step3_validation[[#This Row],[Persona_ID]]</f>
        <v>188</v>
      </c>
      <c r="B189" s="31">
        <f>step3_validation[[#This Row],[Used_Seed]]</f>
        <v>229</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23.279394241536629</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8</v>
      </c>
      <c r="R189">
        <f t="shared" si="54"/>
        <v>0.77777777777777779</v>
      </c>
      <c r="S189">
        <f>survey_responses[[#This Row],[Tôi tin rằng với các quy định quản lý thuế hiện nay, hành vi gian lận hoặc trốn thuế sẽ dễ dàng bị phát hiện và xử lý nghiêm. - HUMAN-ENF1]]</f>
        <v>5</v>
      </c>
      <c r="T189">
        <f t="shared" si="55"/>
        <v>0.44444444444444442</v>
      </c>
      <c r="U189">
        <f>step3_validation[[#This Row],[AI_ENF2]]</f>
        <v>9</v>
      </c>
      <c r="V189">
        <f t="shared" si="56"/>
        <v>0.88888888888888884</v>
      </c>
      <c r="W189">
        <f>survey_responses[[#This Row],[Tôi tin rằng Nhà nước, cơ quan thuế có đủ khả năng và công nghệ để phát hiện, xử lý nghiêm các hành vi trốn thuế. - HUMAN-ENF2]]</f>
        <v>5</v>
      </c>
      <c r="X189">
        <f t="shared" si="57"/>
        <v>0.44444444444444442</v>
      </c>
      <c r="Y189" s="32">
        <f t="shared" si="58"/>
        <v>0.83333333333333326</v>
      </c>
      <c r="Z189" s="32">
        <f t="shared" si="59"/>
        <v>0.44444444444444442</v>
      </c>
      <c r="AA189">
        <f>step3_validation[[#This Row],[AI_FAC1]]</f>
        <v>8</v>
      </c>
      <c r="AB189">
        <f t="shared" si="60"/>
        <v>0.77777777777777779</v>
      </c>
      <c r="AC189">
        <f>survey_responses[[#This Row],[Các thủ tục khai báo thuế VÀ/HOẶC quy trình làm việc với cơ quan thuế đơn giản, tiện lợi, nhanh chóng hơn so với trước đây. - HUMAN-FAC1]]</f>
        <v>4</v>
      </c>
      <c r="AD189">
        <f t="shared" si="61"/>
        <v>0.33333333333333331</v>
      </c>
      <c r="AE189">
        <f>step3_validation[[#This Row],[AI_FAC2]]</f>
        <v>9</v>
      </c>
      <c r="AF189">
        <f t="shared" si="62"/>
        <v>0.88888888888888884</v>
      </c>
      <c r="AG189">
        <f>survey_responses[[#This Row],[So với trước đây, tôi thấy cách tính thuế và các bậc thuế trong phương án mới đơn giản, dễ hiểu và dễ thực hiện hơn. - HUMAN-FAC2]]</f>
        <v>6</v>
      </c>
      <c r="AH189">
        <f t="shared" si="63"/>
        <v>0.55555555555555558</v>
      </c>
      <c r="AI189" s="32">
        <f t="shared" si="64"/>
        <v>0.83333333333333326</v>
      </c>
      <c r="AJ189" s="32">
        <f t="shared" si="65"/>
        <v>0.44444444444444442</v>
      </c>
      <c r="AK189">
        <f>step3_validation[[#This Row],[AI_TRU1]]</f>
        <v>8</v>
      </c>
      <c r="AL189">
        <f t="shared" si="66"/>
        <v>0.77777777777777779</v>
      </c>
      <c r="AM189">
        <f>survey_responses[[#This Row],[Tôi tin rằng Nhà nước, cơ quan thuế sẽ thực thi chính sách mới một cách khách quan, công tâm và đối xử bình đẳng với mọi người nộp thuế.  - HUMAN-TRU1]]</f>
        <v>5</v>
      </c>
      <c r="AN189">
        <f t="shared" si="67"/>
        <v>0.44444444444444442</v>
      </c>
      <c r="AO189">
        <f>step3_validation[[#This Row],[AI_TRU2]]</f>
        <v>9</v>
      </c>
      <c r="AP189">
        <f t="shared" si="68"/>
        <v>0.88888888888888884</v>
      </c>
      <c r="AQ189">
        <f>survey_responses[[#This Row],[Tôi thấy mức thuế tôi phải đóng theo phương án mới là công bằng (người thu nhập như tôi đóng mức này là hợp lý). - HUMAN-TRU2]]</f>
        <v>5</v>
      </c>
      <c r="AR189">
        <f t="shared" si="69"/>
        <v>0.44444444444444442</v>
      </c>
      <c r="AS189">
        <f>step3_validation[[#This Row],[AI_TRU3]]</f>
        <v>8</v>
      </c>
      <c r="AT189">
        <f t="shared" si="70"/>
        <v>0.77777777777777779</v>
      </c>
      <c r="AU189">
        <f>survey_responses[[#This Row],[Tôi tin tưởng số tiền thuế tôi đóng sẽ được Nhà nước sử dụng hiệu quả để cải thiện dịch vụ công (y tế, đường xá...). - HUMAN-TRU3]]</f>
        <v>5</v>
      </c>
      <c r="AV189">
        <f t="shared" si="71"/>
        <v>0.44444444444444442</v>
      </c>
      <c r="AW189">
        <f>step3_validation[[#This Row],[AI_TRU4]]</f>
        <v>9</v>
      </c>
      <c r="AX189">
        <f t="shared" si="72"/>
        <v>0.88888888888888884</v>
      </c>
      <c r="AY189">
        <f>survey_responses[[#This Row],[Tôi thấy Nhà nước đã giải thích rõ ràng, minh bạch về lý do và mục tiêu của việc sửa đổi thuế lần này. - HUMAN-TRU4]]</f>
        <v>5</v>
      </c>
      <c r="AZ189">
        <f t="shared" si="73"/>
        <v>0.44444444444444442</v>
      </c>
      <c r="BA189" s="32">
        <f t="shared" si="74"/>
        <v>0.83333333333333326</v>
      </c>
      <c r="BB189" s="32">
        <f t="shared" si="75"/>
        <v>0.44444444444444442</v>
      </c>
      <c r="BC189" s="7">
        <f t="shared" si="76"/>
        <v>0.83333333333333337</v>
      </c>
      <c r="BD189" s="7">
        <f t="shared" si="77"/>
        <v>0.44444444444444442</v>
      </c>
      <c r="BE189">
        <f>step3_validation[[#This Row],[AI_OUT1]]</f>
        <v>9</v>
      </c>
      <c r="BF189">
        <f t="shared" si="78"/>
        <v>0.88888888888888884</v>
      </c>
      <c r="BG189">
        <f>survey_responses[[#This Row],[Sau khi xem xét các quyền lợi và nghĩa vụ, bạn có ủng hộ và tuân thủ chính sách mới hiện nay? - HUMAN-OUT1]]</f>
        <v>5</v>
      </c>
      <c r="BH189">
        <f t="shared" si="79"/>
        <v>0.44444444444444442</v>
      </c>
      <c r="BI189" s="32">
        <f t="shared" si="80"/>
        <v>4</v>
      </c>
    </row>
    <row r="190" spans="1:61" x14ac:dyDescent="0.45">
      <c r="A190" s="30">
        <f>step3_validation[[#This Row],[Persona_ID]]</f>
        <v>189</v>
      </c>
      <c r="B190" s="31">
        <f>step3_validation[[#This Row],[Used_Seed]]</f>
        <v>230</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48.639861751403579</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6</v>
      </c>
      <c r="R190">
        <f t="shared" si="54"/>
        <v>0.55555555555555558</v>
      </c>
      <c r="S190">
        <f>survey_responses[[#This Row],[Tôi tin rằng với các quy định quản lý thuế hiện nay, hành vi gian lận hoặc trốn thuế sẽ dễ dàng bị phát hiện và xử lý nghiêm. - HUMAN-ENF1]]</f>
        <v>8</v>
      </c>
      <c r="T190">
        <f t="shared" si="55"/>
        <v>0.77777777777777779</v>
      </c>
      <c r="U190">
        <f>step3_validation[[#This Row],[AI_ENF2]]</f>
        <v>7</v>
      </c>
      <c r="V190">
        <f t="shared" si="56"/>
        <v>0.66666666666666663</v>
      </c>
      <c r="W190">
        <f>survey_responses[[#This Row],[Tôi tin rằng Nhà nước, cơ quan thuế có đủ khả năng và công nghệ để phát hiện, xử lý nghiêm các hành vi trốn thuế. - HUMAN-ENF2]]</f>
        <v>8</v>
      </c>
      <c r="X190">
        <f t="shared" si="57"/>
        <v>0.77777777777777779</v>
      </c>
      <c r="Y190" s="32">
        <f t="shared" si="58"/>
        <v>0.61111111111111116</v>
      </c>
      <c r="Z190" s="32">
        <f t="shared" si="59"/>
        <v>0.77777777777777779</v>
      </c>
      <c r="AA190">
        <f>step3_validation[[#This Row],[AI_FAC1]]</f>
        <v>8</v>
      </c>
      <c r="AB190">
        <f t="shared" si="60"/>
        <v>0.77777777777777779</v>
      </c>
      <c r="AC190">
        <f>survey_responses[[#This Row],[Các thủ tục khai báo thuế VÀ/HOẶC quy trình làm việc với cơ quan thuế đơn giản, tiện lợi, nhanh chóng hơn so với trước đây. - HUMAN-FAC1]]</f>
        <v>5</v>
      </c>
      <c r="AD190">
        <f t="shared" si="61"/>
        <v>0.44444444444444442</v>
      </c>
      <c r="AE190">
        <f>step3_validation[[#This Row],[AI_FAC2]]</f>
        <v>9</v>
      </c>
      <c r="AF190">
        <f t="shared" si="62"/>
        <v>0.88888888888888884</v>
      </c>
      <c r="AG190">
        <f>survey_responses[[#This Row],[So với trước đây, tôi thấy cách tính thuế và các bậc thuế trong phương án mới đơn giản, dễ hiểu và dễ thực hiện hơn. - HUMAN-FAC2]]</f>
        <v>7</v>
      </c>
      <c r="AH190">
        <f t="shared" si="63"/>
        <v>0.66666666666666663</v>
      </c>
      <c r="AI190" s="32">
        <f t="shared" si="64"/>
        <v>0.83333333333333326</v>
      </c>
      <c r="AJ190" s="32">
        <f t="shared" si="65"/>
        <v>0.55555555555555558</v>
      </c>
      <c r="AK190">
        <f>step3_validation[[#This Row],[AI_TRU1]]</f>
        <v>8</v>
      </c>
      <c r="AL190">
        <f t="shared" si="66"/>
        <v>0.77777777777777779</v>
      </c>
      <c r="AM190">
        <f>survey_responses[[#This Row],[Tôi tin rằng Nhà nước, cơ quan thuế sẽ thực thi chính sách mới một cách khách quan, công tâm và đối xử bình đẳng với mọi người nộp thuế.  - HUMAN-TRU1]]</f>
        <v>6</v>
      </c>
      <c r="AN190">
        <f t="shared" si="67"/>
        <v>0.55555555555555558</v>
      </c>
      <c r="AO190">
        <f>step3_validation[[#This Row],[AI_TRU2]]</f>
        <v>9</v>
      </c>
      <c r="AP190">
        <f t="shared" si="68"/>
        <v>0.88888888888888884</v>
      </c>
      <c r="AQ190">
        <f>survey_responses[[#This Row],[Tôi thấy mức thuế tôi phải đóng theo phương án mới là công bằng (người thu nhập như tôi đóng mức này là hợp lý). - HUMAN-TRU2]]</f>
        <v>8</v>
      </c>
      <c r="AR190">
        <f t="shared" si="69"/>
        <v>0.77777777777777779</v>
      </c>
      <c r="AS190">
        <f>step3_validation[[#This Row],[AI_TRU3]]</f>
        <v>7</v>
      </c>
      <c r="AT190">
        <f t="shared" si="70"/>
        <v>0.66666666666666663</v>
      </c>
      <c r="AU190">
        <f>survey_responses[[#This Row],[Tôi tin tưởng số tiền thuế tôi đóng sẽ được Nhà nước sử dụng hiệu quả để cải thiện dịch vụ công (y tế, đường xá...). - HUMAN-TRU3]]</f>
        <v>5</v>
      </c>
      <c r="AV190">
        <f t="shared" si="71"/>
        <v>0.44444444444444442</v>
      </c>
      <c r="AW190">
        <f>step3_validation[[#This Row],[AI_TRU4]]</f>
        <v>8</v>
      </c>
      <c r="AX190">
        <f t="shared" si="72"/>
        <v>0.77777777777777779</v>
      </c>
      <c r="AY190">
        <f>survey_responses[[#This Row],[Tôi thấy Nhà nước đã giải thích rõ ràng, minh bạch về lý do và mục tiêu của việc sửa đổi thuế lần này. - HUMAN-TRU4]]</f>
        <v>7</v>
      </c>
      <c r="AZ190">
        <f t="shared" si="73"/>
        <v>0.66666666666666663</v>
      </c>
      <c r="BA190" s="32">
        <f t="shared" si="74"/>
        <v>0.77777777777777768</v>
      </c>
      <c r="BB190" s="32">
        <f t="shared" si="75"/>
        <v>0.61111111111111116</v>
      </c>
      <c r="BC190" s="7">
        <f t="shared" si="76"/>
        <v>0.74074074074074081</v>
      </c>
      <c r="BD190" s="7">
        <f t="shared" si="77"/>
        <v>0.64814814814814825</v>
      </c>
      <c r="BE190">
        <f>step3_validation[[#This Row],[AI_OUT1]]</f>
        <v>9</v>
      </c>
      <c r="BF190">
        <f t="shared" si="78"/>
        <v>0.88888888888888884</v>
      </c>
      <c r="BG190">
        <f>survey_responses[[#This Row],[Sau khi xem xét các quyền lợi và nghĩa vụ, bạn có ủng hộ và tuân thủ chính sách mới hiện nay? - HUMAN-OUT1]]</f>
        <v>8</v>
      </c>
      <c r="BH190">
        <f t="shared" si="79"/>
        <v>0.77777777777777779</v>
      </c>
      <c r="BI190" s="32">
        <f t="shared" si="80"/>
        <v>1</v>
      </c>
    </row>
    <row r="191" spans="1:61" x14ac:dyDescent="0.45">
      <c r="A191" s="30">
        <f>step3_validation[[#This Row],[Persona_ID]]</f>
        <v>190</v>
      </c>
      <c r="B191" s="31">
        <f>step3_validation[[#This Row],[Used_Seed]]</f>
        <v>231</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30.116307536128566</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7</v>
      </c>
      <c r="R191">
        <f t="shared" si="54"/>
        <v>0.66666666666666663</v>
      </c>
      <c r="S191">
        <f>survey_responses[[#This Row],[Tôi tin rằng với các quy định quản lý thuế hiện nay, hành vi gian lận hoặc trốn thuế sẽ dễ dàng bị phát hiện và xử lý nghiêm. - HUMAN-ENF1]]</f>
        <v>7</v>
      </c>
      <c r="T191">
        <f t="shared" si="55"/>
        <v>0.66666666666666663</v>
      </c>
      <c r="U191">
        <f>step3_validation[[#This Row],[AI_ENF2]]</f>
        <v>6</v>
      </c>
      <c r="V191">
        <f t="shared" si="56"/>
        <v>0.55555555555555558</v>
      </c>
      <c r="W191">
        <f>survey_responses[[#This Row],[Tôi tin rằng Nhà nước, cơ quan thuế có đủ khả năng và công nghệ để phát hiện, xử lý nghiêm các hành vi trốn thuế. - HUMAN-ENF2]]</f>
        <v>7</v>
      </c>
      <c r="X191">
        <f t="shared" si="57"/>
        <v>0.66666666666666663</v>
      </c>
      <c r="Y191" s="32">
        <f t="shared" si="58"/>
        <v>0.61111111111111116</v>
      </c>
      <c r="Z191" s="32">
        <f t="shared" si="59"/>
        <v>0.66666666666666663</v>
      </c>
      <c r="AA191">
        <f>step3_validation[[#This Row],[AI_FAC1]]</f>
        <v>8</v>
      </c>
      <c r="AB191">
        <f t="shared" si="60"/>
        <v>0.77777777777777779</v>
      </c>
      <c r="AC191">
        <f>survey_responses[[#This Row],[Các thủ tục khai báo thuế VÀ/HOẶC quy trình làm việc với cơ quan thuế đơn giản, tiện lợi, nhanh chóng hơn so với trước đây. - HUMAN-FAC1]]</f>
        <v>7</v>
      </c>
      <c r="AD191">
        <f t="shared" si="61"/>
        <v>0.66666666666666663</v>
      </c>
      <c r="AE191">
        <f>step3_validation[[#This Row],[AI_FAC2]]</f>
        <v>7</v>
      </c>
      <c r="AF191">
        <f t="shared" si="62"/>
        <v>0.66666666666666663</v>
      </c>
      <c r="AG191">
        <f>survey_responses[[#This Row],[So với trước đây, tôi thấy cách tính thuế và các bậc thuế trong phương án mới đơn giản, dễ hiểu và dễ thực hiện hơn. - HUMAN-FAC2]]</f>
        <v>8</v>
      </c>
      <c r="AH191">
        <f t="shared" si="63"/>
        <v>0.77777777777777779</v>
      </c>
      <c r="AI191" s="32">
        <f t="shared" si="64"/>
        <v>0.72222222222222221</v>
      </c>
      <c r="AJ191" s="32">
        <f t="shared" si="65"/>
        <v>0.72222222222222221</v>
      </c>
      <c r="AK191">
        <f>step3_validation[[#This Row],[AI_TRU1]]</f>
        <v>9</v>
      </c>
      <c r="AL191">
        <f t="shared" si="66"/>
        <v>0.88888888888888884</v>
      </c>
      <c r="AM191">
        <f>survey_responses[[#This Row],[Tôi tin rằng Nhà nước, cơ quan thuế sẽ thực thi chính sách mới một cách khách quan, công tâm và đối xử bình đẳng với mọi người nộp thuế.  - HUMAN-TRU1]]</f>
        <v>3</v>
      </c>
      <c r="AN191">
        <f t="shared" si="67"/>
        <v>0.22222222222222221</v>
      </c>
      <c r="AO191">
        <f>step3_validation[[#This Row],[AI_TRU2]]</f>
        <v>8</v>
      </c>
      <c r="AP191">
        <f t="shared" si="68"/>
        <v>0.77777777777777779</v>
      </c>
      <c r="AQ191">
        <f>survey_responses[[#This Row],[Tôi thấy mức thuế tôi phải đóng theo phương án mới là công bằng (người thu nhập như tôi đóng mức này là hợp lý). - HUMAN-TRU2]]</f>
        <v>3</v>
      </c>
      <c r="AR191">
        <f t="shared" si="69"/>
        <v>0.22222222222222221</v>
      </c>
      <c r="AS191">
        <f>step3_validation[[#This Row],[AI_TRU3]]</f>
        <v>9</v>
      </c>
      <c r="AT191">
        <f t="shared" si="70"/>
        <v>0.88888888888888884</v>
      </c>
      <c r="AU191">
        <f>survey_responses[[#This Row],[Tôi tin tưởng số tiền thuế tôi đóng sẽ được Nhà nước sử dụng hiệu quả để cải thiện dịch vụ công (y tế, đường xá...). - HUMAN-TRU3]]</f>
        <v>2</v>
      </c>
      <c r="AV191">
        <f t="shared" si="71"/>
        <v>0.1111111111111111</v>
      </c>
      <c r="AW191">
        <f>step3_validation[[#This Row],[AI_TRU4]]</f>
        <v>7</v>
      </c>
      <c r="AX191">
        <f t="shared" si="72"/>
        <v>0.66666666666666663</v>
      </c>
      <c r="AY191">
        <f>survey_responses[[#This Row],[Tôi thấy Nhà nước đã giải thích rõ ràng, minh bạch về lý do và mục tiêu của việc sửa đổi thuế lần này. - HUMAN-TRU4]]</f>
        <v>3</v>
      </c>
      <c r="AZ191">
        <f t="shared" si="73"/>
        <v>0.22222222222222221</v>
      </c>
      <c r="BA191" s="32">
        <f t="shared" si="74"/>
        <v>0.80555555555555547</v>
      </c>
      <c r="BB191" s="32">
        <f t="shared" si="75"/>
        <v>0.19444444444444445</v>
      </c>
      <c r="BC191" s="7">
        <f t="shared" si="76"/>
        <v>0.71296296296296291</v>
      </c>
      <c r="BD191" s="7">
        <f t="shared" si="77"/>
        <v>0.52777777777777779</v>
      </c>
      <c r="BE191">
        <f>step3_validation[[#This Row],[AI_OUT1]]</f>
        <v>9</v>
      </c>
      <c r="BF191">
        <f t="shared" si="78"/>
        <v>0.88888888888888884</v>
      </c>
      <c r="BG191">
        <f>survey_responses[[#This Row],[Sau khi xem xét các quyền lợi và nghĩa vụ, bạn có ủng hộ và tuân thủ chính sách mới hiện nay? - HUMAN-OUT1]]</f>
        <v>8</v>
      </c>
      <c r="BH191">
        <f t="shared" si="79"/>
        <v>0.77777777777777779</v>
      </c>
      <c r="BI191" s="32">
        <f t="shared" si="80"/>
        <v>1</v>
      </c>
    </row>
    <row r="192" spans="1:61" x14ac:dyDescent="0.45">
      <c r="A192" s="30">
        <f>step3_validation[[#This Row],[Persona_ID]]</f>
        <v>191</v>
      </c>
      <c r="B192" s="31">
        <f>step3_validation[[#This Row],[Used_Seed]]</f>
        <v>232</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68.771751337108086</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8</v>
      </c>
      <c r="R192">
        <f t="shared" si="54"/>
        <v>0.77777777777777779</v>
      </c>
      <c r="S192">
        <f>survey_responses[[#This Row],[Tôi tin rằng với các quy định quản lý thuế hiện nay, hành vi gian lận hoặc trốn thuế sẽ dễ dàng bị phát hiện và xử lý nghiêm. - HUMAN-ENF1]]</f>
        <v>7</v>
      </c>
      <c r="T192">
        <f t="shared" si="55"/>
        <v>0.66666666666666663</v>
      </c>
      <c r="U192">
        <f>step3_validation[[#This Row],[AI_ENF2]]</f>
        <v>7</v>
      </c>
      <c r="V192">
        <f t="shared" si="56"/>
        <v>0.66666666666666663</v>
      </c>
      <c r="W192">
        <f>survey_responses[[#This Row],[Tôi tin rằng Nhà nước, cơ quan thuế có đủ khả năng và công nghệ để phát hiện, xử lý nghiêm các hành vi trốn thuế. - HUMAN-ENF2]]</f>
        <v>7</v>
      </c>
      <c r="X192">
        <f t="shared" si="57"/>
        <v>0.66666666666666663</v>
      </c>
      <c r="Y192" s="32">
        <f t="shared" si="58"/>
        <v>0.72222222222222221</v>
      </c>
      <c r="Z192" s="32">
        <f t="shared" si="59"/>
        <v>0.66666666666666663</v>
      </c>
      <c r="AA192">
        <f>step3_validation[[#This Row],[AI_FAC1]]</f>
        <v>9</v>
      </c>
      <c r="AB192">
        <f t="shared" si="60"/>
        <v>0.88888888888888884</v>
      </c>
      <c r="AC192">
        <f>survey_responses[[#This Row],[Các thủ tục khai báo thuế VÀ/HOẶC quy trình làm việc với cơ quan thuế đơn giản, tiện lợi, nhanh chóng hơn so với trước đây. - HUMAN-FAC1]]</f>
        <v>6</v>
      </c>
      <c r="AD192">
        <f t="shared" si="61"/>
        <v>0.55555555555555558</v>
      </c>
      <c r="AE192">
        <f>step3_validation[[#This Row],[AI_FAC2]]</f>
        <v>8</v>
      </c>
      <c r="AF192">
        <f t="shared" si="62"/>
        <v>0.77777777777777779</v>
      </c>
      <c r="AG192">
        <f>survey_responses[[#This Row],[So với trước đây, tôi thấy cách tính thuế và các bậc thuế trong phương án mới đơn giản, dễ hiểu và dễ thực hiện hơn. - HUMAN-FAC2]]</f>
        <v>8</v>
      </c>
      <c r="AH192">
        <f t="shared" si="63"/>
        <v>0.77777777777777779</v>
      </c>
      <c r="AI192" s="32">
        <f t="shared" si="64"/>
        <v>0.83333333333333326</v>
      </c>
      <c r="AJ192" s="32">
        <f t="shared" si="65"/>
        <v>0.66666666666666674</v>
      </c>
      <c r="AK192">
        <f>step3_validation[[#This Row],[AI_TRU1]]</f>
        <v>9</v>
      </c>
      <c r="AL192">
        <f t="shared" si="66"/>
        <v>0.88888888888888884</v>
      </c>
      <c r="AM192">
        <f>survey_responses[[#This Row],[Tôi tin rằng Nhà nước, cơ quan thuế sẽ thực thi chính sách mới một cách khách quan, công tâm và đối xử bình đẳng với mọi người nộp thuế.  - HUMAN-TRU1]]</f>
        <v>7</v>
      </c>
      <c r="AN192">
        <f t="shared" si="67"/>
        <v>0.66666666666666663</v>
      </c>
      <c r="AO192">
        <f>step3_validation[[#This Row],[AI_TRU2]]</f>
        <v>8</v>
      </c>
      <c r="AP192">
        <f t="shared" si="68"/>
        <v>0.77777777777777779</v>
      </c>
      <c r="AQ192">
        <f>survey_responses[[#This Row],[Tôi thấy mức thuế tôi phải đóng theo phương án mới là công bằng (người thu nhập như tôi đóng mức này là hợp lý). - HUMAN-TRU2]]</f>
        <v>8</v>
      </c>
      <c r="AR192">
        <f t="shared" si="69"/>
        <v>0.77777777777777779</v>
      </c>
      <c r="AS192">
        <f>step3_validation[[#This Row],[AI_TRU3]]</f>
        <v>9</v>
      </c>
      <c r="AT192">
        <f t="shared" si="70"/>
        <v>0.88888888888888884</v>
      </c>
      <c r="AU192">
        <f>survey_responses[[#This Row],[Tôi tin tưởng số tiền thuế tôi đóng sẽ được Nhà nước sử dụng hiệu quả để cải thiện dịch vụ công (y tế, đường xá...). - HUMAN-TRU3]]</f>
        <v>7</v>
      </c>
      <c r="AV192">
        <f t="shared" si="71"/>
        <v>0.66666666666666663</v>
      </c>
      <c r="AW192">
        <f>step3_validation[[#This Row],[AI_TRU4]]</f>
        <v>7</v>
      </c>
      <c r="AX192">
        <f t="shared" si="72"/>
        <v>0.66666666666666663</v>
      </c>
      <c r="AY192">
        <f>survey_responses[[#This Row],[Tôi thấy Nhà nước đã giải thích rõ ràng, minh bạch về lý do và mục tiêu của việc sửa đổi thuế lần này. - HUMAN-TRU4]]</f>
        <v>7</v>
      </c>
      <c r="AZ192">
        <f t="shared" si="73"/>
        <v>0.66666666666666663</v>
      </c>
      <c r="BA192" s="32">
        <f t="shared" si="74"/>
        <v>0.80555555555555547</v>
      </c>
      <c r="BB192" s="32">
        <f t="shared" si="75"/>
        <v>0.69444444444444442</v>
      </c>
      <c r="BC192" s="7">
        <f t="shared" si="76"/>
        <v>0.78703703703703687</v>
      </c>
      <c r="BD192" s="7">
        <f t="shared" si="77"/>
        <v>0.67592592592592593</v>
      </c>
      <c r="BE192">
        <f>step3_validation[[#This Row],[AI_OUT1]]</f>
        <v>9</v>
      </c>
      <c r="BF192">
        <f t="shared" si="78"/>
        <v>0.88888888888888884</v>
      </c>
      <c r="BG192">
        <f>survey_responses[[#This Row],[Sau khi xem xét các quyền lợi và nghĩa vụ, bạn có ủng hộ và tuân thủ chính sách mới hiện nay? - HUMAN-OUT1]]</f>
        <v>7</v>
      </c>
      <c r="BH192">
        <f t="shared" si="79"/>
        <v>0.66666666666666663</v>
      </c>
      <c r="BI192" s="32">
        <f t="shared" si="80"/>
        <v>2</v>
      </c>
    </row>
    <row r="193" spans="1:61" x14ac:dyDescent="0.45">
      <c r="A193" s="30">
        <f>step3_validation[[#This Row],[Persona_ID]]</f>
        <v>192</v>
      </c>
      <c r="B193" s="31">
        <f>step3_validation[[#This Row],[Used_Seed]]</f>
        <v>233</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18.636331126654493</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7</v>
      </c>
      <c r="R193">
        <f t="shared" si="54"/>
        <v>0.66666666666666663</v>
      </c>
      <c r="S193">
        <f>survey_responses[[#This Row],[Tôi tin rằng với các quy định quản lý thuế hiện nay, hành vi gian lận hoặc trốn thuế sẽ dễ dàng bị phát hiện và xử lý nghiêm. - HUMAN-ENF1]]</f>
        <v>8</v>
      </c>
      <c r="T193">
        <f t="shared" si="55"/>
        <v>0.77777777777777779</v>
      </c>
      <c r="U193">
        <f>step3_validation[[#This Row],[AI_ENF2]]</f>
        <v>6</v>
      </c>
      <c r="V193">
        <f t="shared" si="56"/>
        <v>0.55555555555555558</v>
      </c>
      <c r="W193">
        <f>survey_responses[[#This Row],[Tôi tin rằng Nhà nước, cơ quan thuế có đủ khả năng và công nghệ để phát hiện, xử lý nghiêm các hành vi trốn thuế. - HUMAN-ENF2]]</f>
        <v>8</v>
      </c>
      <c r="X193">
        <f t="shared" si="57"/>
        <v>0.77777777777777779</v>
      </c>
      <c r="Y193" s="32">
        <f t="shared" si="58"/>
        <v>0.61111111111111116</v>
      </c>
      <c r="Z193" s="32">
        <f t="shared" si="59"/>
        <v>0.77777777777777779</v>
      </c>
      <c r="AA193">
        <f>step3_validation[[#This Row],[AI_FAC1]]</f>
        <v>9</v>
      </c>
      <c r="AB193">
        <f t="shared" si="60"/>
        <v>0.88888888888888884</v>
      </c>
      <c r="AC193">
        <f>survey_responses[[#This Row],[Các thủ tục khai báo thuế VÀ/HOẶC quy trình làm việc với cơ quan thuế đơn giản, tiện lợi, nhanh chóng hơn so với trước đây. - HUMAN-FAC1]]</f>
        <v>9</v>
      </c>
      <c r="AD193">
        <f t="shared" si="61"/>
        <v>0.88888888888888884</v>
      </c>
      <c r="AE193">
        <f>step3_validation[[#This Row],[AI_FAC2]]</f>
        <v>8</v>
      </c>
      <c r="AF193">
        <f t="shared" si="62"/>
        <v>0.77777777777777779</v>
      </c>
      <c r="AG193">
        <f>survey_responses[[#This Row],[So với trước đây, tôi thấy cách tính thuế và các bậc thuế trong phương án mới đơn giản, dễ hiểu và dễ thực hiện hơn. - HUMAN-FAC2]]</f>
        <v>9</v>
      </c>
      <c r="AH193">
        <f t="shared" si="63"/>
        <v>0.88888888888888884</v>
      </c>
      <c r="AI193" s="32">
        <f t="shared" si="64"/>
        <v>0.83333333333333326</v>
      </c>
      <c r="AJ193" s="32">
        <f t="shared" si="65"/>
        <v>0.88888888888888884</v>
      </c>
      <c r="AK193">
        <f>step3_validation[[#This Row],[AI_TRU1]]</f>
        <v>9</v>
      </c>
      <c r="AL193">
        <f t="shared" si="66"/>
        <v>0.88888888888888884</v>
      </c>
      <c r="AM193">
        <f>survey_responses[[#This Row],[Tôi tin rằng Nhà nước, cơ quan thuế sẽ thực thi chính sách mới một cách khách quan, công tâm và đối xử bình đẳng với mọi người nộp thuế.  - HUMAN-TRU1]]</f>
        <v>9</v>
      </c>
      <c r="AN193">
        <f t="shared" si="67"/>
        <v>0.88888888888888884</v>
      </c>
      <c r="AO193">
        <f>step3_validation[[#This Row],[AI_TRU2]]</f>
        <v>10</v>
      </c>
      <c r="AP193">
        <f t="shared" si="68"/>
        <v>1</v>
      </c>
      <c r="AQ193">
        <f>survey_responses[[#This Row],[Tôi thấy mức thuế tôi phải đóng theo phương án mới là công bằng (người thu nhập như tôi đóng mức này là hợp lý). - HUMAN-TRU2]]</f>
        <v>9</v>
      </c>
      <c r="AR193">
        <f t="shared" si="69"/>
        <v>0.88888888888888884</v>
      </c>
      <c r="AS193">
        <f>step3_validation[[#This Row],[AI_TRU3]]</f>
        <v>9</v>
      </c>
      <c r="AT193">
        <f t="shared" si="70"/>
        <v>0.88888888888888884</v>
      </c>
      <c r="AU193">
        <f>survey_responses[[#This Row],[Tôi tin tưởng số tiền thuế tôi đóng sẽ được Nhà nước sử dụng hiệu quả để cải thiện dịch vụ công (y tế, đường xá...). - HUMAN-TRU3]]</f>
        <v>8</v>
      </c>
      <c r="AV193">
        <f t="shared" si="71"/>
        <v>0.77777777777777779</v>
      </c>
      <c r="AW193">
        <f>step3_validation[[#This Row],[AI_TRU4]]</f>
        <v>8</v>
      </c>
      <c r="AX193">
        <f t="shared" si="72"/>
        <v>0.77777777777777779</v>
      </c>
      <c r="AY193">
        <f>survey_responses[[#This Row],[Tôi thấy Nhà nước đã giải thích rõ ràng, minh bạch về lý do và mục tiêu của việc sửa đổi thuế lần này. - HUMAN-TRU4]]</f>
        <v>8</v>
      </c>
      <c r="AZ193">
        <f t="shared" si="73"/>
        <v>0.77777777777777779</v>
      </c>
      <c r="BA193" s="32">
        <f t="shared" si="74"/>
        <v>0.88888888888888884</v>
      </c>
      <c r="BB193" s="32">
        <f t="shared" si="75"/>
        <v>0.83333333333333326</v>
      </c>
      <c r="BC193" s="7">
        <f t="shared" si="76"/>
        <v>0.77777777777777768</v>
      </c>
      <c r="BD193" s="7">
        <f t="shared" si="77"/>
        <v>0.83333333333333337</v>
      </c>
      <c r="BE193">
        <f>step3_validation[[#This Row],[AI_OUT1]]</f>
        <v>9</v>
      </c>
      <c r="BF193">
        <f t="shared" si="78"/>
        <v>0.88888888888888884</v>
      </c>
      <c r="BG193">
        <f>survey_responses[[#This Row],[Sau khi xem xét các quyền lợi và nghĩa vụ, bạn có ủng hộ và tuân thủ chính sách mới hiện nay? - HUMAN-OUT1]]</f>
        <v>9</v>
      </c>
      <c r="BH193">
        <f t="shared" si="79"/>
        <v>0.88888888888888884</v>
      </c>
      <c r="BI193" s="32">
        <f t="shared" si="80"/>
        <v>0</v>
      </c>
    </row>
    <row r="194" spans="1:61" x14ac:dyDescent="0.45">
      <c r="A194" s="30">
        <f>step3_validation[[#This Row],[Persona_ID]]</f>
        <v>193</v>
      </c>
      <c r="B194" s="31">
        <f>step3_validation[[#This Row],[Used_Seed]]</f>
        <v>234</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27.825111441310725</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f t="shared" si="54"/>
        <v>0.55555555555555558</v>
      </c>
      <c r="S194">
        <f>survey_responses[[#This Row],[Tôi tin rằng với các quy định quản lý thuế hiện nay, hành vi gian lận hoặc trốn thuế sẽ dễ dàng bị phát hiện và xử lý nghiêm. - HUMAN-ENF1]]</f>
        <v>1</v>
      </c>
      <c r="T194">
        <f t="shared" si="55"/>
        <v>0</v>
      </c>
      <c r="U194">
        <f>step3_validation[[#This Row],[AI_ENF2]]</f>
        <v>7</v>
      </c>
      <c r="V194">
        <f t="shared" si="56"/>
        <v>0.66666666666666663</v>
      </c>
      <c r="W194">
        <f>survey_responses[[#This Row],[Tôi tin rằng Nhà nước, cơ quan thuế có đủ khả năng và công nghệ để phát hiện, xử lý nghiêm các hành vi trốn thuế. - HUMAN-ENF2]]</f>
        <v>1</v>
      </c>
      <c r="X194">
        <f t="shared" si="57"/>
        <v>0</v>
      </c>
      <c r="Y194" s="32">
        <f t="shared" si="58"/>
        <v>0.61111111111111116</v>
      </c>
      <c r="Z194" s="32">
        <f t="shared" si="59"/>
        <v>0</v>
      </c>
      <c r="AA194">
        <f>step3_validation[[#This Row],[AI_FAC1]]</f>
        <v>9</v>
      </c>
      <c r="AB194">
        <f t="shared" si="60"/>
        <v>0.88888888888888884</v>
      </c>
      <c r="AC194">
        <f>survey_responses[[#This Row],[Các thủ tục khai báo thuế VÀ/HOẶC quy trình làm việc với cơ quan thuế đơn giản, tiện lợi, nhanh chóng hơn so với trước đây. - HUMAN-FAC1]]</f>
        <v>7</v>
      </c>
      <c r="AD194">
        <f t="shared" si="61"/>
        <v>0.66666666666666663</v>
      </c>
      <c r="AE194">
        <f>step3_validation[[#This Row],[AI_FAC2]]</f>
        <v>8</v>
      </c>
      <c r="AF194">
        <f t="shared" si="62"/>
        <v>0.77777777777777779</v>
      </c>
      <c r="AG194">
        <f>survey_responses[[#This Row],[So với trước đây, tôi thấy cách tính thuế và các bậc thuế trong phương án mới đơn giản, dễ hiểu và dễ thực hiện hơn. - HUMAN-FAC2]]</f>
        <v>5</v>
      </c>
      <c r="AH194">
        <f t="shared" si="63"/>
        <v>0.44444444444444442</v>
      </c>
      <c r="AI194" s="32">
        <f t="shared" si="64"/>
        <v>0.83333333333333326</v>
      </c>
      <c r="AJ194" s="32">
        <f t="shared" si="65"/>
        <v>0.55555555555555558</v>
      </c>
      <c r="AK194">
        <f>step3_validation[[#This Row],[AI_TRU1]]</f>
        <v>7</v>
      </c>
      <c r="AL194">
        <f t="shared" si="66"/>
        <v>0.66666666666666663</v>
      </c>
      <c r="AM194">
        <f>survey_responses[[#This Row],[Tôi tin rằng Nhà nước, cơ quan thuế sẽ thực thi chính sách mới một cách khách quan, công tâm và đối xử bình đẳng với mọi người nộp thuế.  - HUMAN-TRU1]]</f>
        <v>5</v>
      </c>
      <c r="AN194">
        <f t="shared" si="67"/>
        <v>0.44444444444444442</v>
      </c>
      <c r="AO194">
        <f>step3_validation[[#This Row],[AI_TRU2]]</f>
        <v>9</v>
      </c>
      <c r="AP194">
        <f t="shared" si="68"/>
        <v>0.88888888888888884</v>
      </c>
      <c r="AQ194">
        <f>survey_responses[[#This Row],[Tôi thấy mức thuế tôi phải đóng theo phương án mới là công bằng (người thu nhập như tôi đóng mức này là hợp lý). - HUMAN-TRU2]]</f>
        <v>7</v>
      </c>
      <c r="AR194">
        <f t="shared" si="69"/>
        <v>0.66666666666666663</v>
      </c>
      <c r="AS194">
        <f>step3_validation[[#This Row],[AI_TRU3]]</f>
        <v>6</v>
      </c>
      <c r="AT194">
        <f t="shared" si="70"/>
        <v>0.55555555555555558</v>
      </c>
      <c r="AU194">
        <f>survey_responses[[#This Row],[Tôi tin tưởng số tiền thuế tôi đóng sẽ được Nhà nước sử dụng hiệu quả để cải thiện dịch vụ công (y tế, đường xá...). - HUMAN-TRU3]]</f>
        <v>2</v>
      </c>
      <c r="AV194">
        <f t="shared" si="71"/>
        <v>0.1111111111111111</v>
      </c>
      <c r="AW194">
        <f>step3_validation[[#This Row],[AI_TRU4]]</f>
        <v>8</v>
      </c>
      <c r="AX194">
        <f t="shared" si="72"/>
        <v>0.77777777777777779</v>
      </c>
      <c r="AY194">
        <f>survey_responses[[#This Row],[Tôi thấy Nhà nước đã giải thích rõ ràng, minh bạch về lý do và mục tiêu của việc sửa đổi thuế lần này. - HUMAN-TRU4]]</f>
        <v>5</v>
      </c>
      <c r="AZ194">
        <f t="shared" si="73"/>
        <v>0.44444444444444442</v>
      </c>
      <c r="BA194" s="32">
        <f t="shared" si="74"/>
        <v>0.7222222222222221</v>
      </c>
      <c r="BB194" s="32">
        <f t="shared" si="75"/>
        <v>0.41666666666666669</v>
      </c>
      <c r="BC194" s="7">
        <f t="shared" si="76"/>
        <v>0.72222222222222221</v>
      </c>
      <c r="BD194" s="7">
        <f t="shared" si="77"/>
        <v>0.32407407407407413</v>
      </c>
      <c r="BE194">
        <f>step3_validation[[#This Row],[AI_OUT1]]</f>
        <v>9</v>
      </c>
      <c r="BF194">
        <f t="shared" si="78"/>
        <v>0.88888888888888884</v>
      </c>
      <c r="BG194">
        <f>survey_responses[[#This Row],[Sau khi xem xét các quyền lợi và nghĩa vụ, bạn có ủng hộ và tuân thủ chính sách mới hiện nay? - HUMAN-OUT1]]</f>
        <v>5</v>
      </c>
      <c r="BH194">
        <f t="shared" si="79"/>
        <v>0.44444444444444442</v>
      </c>
      <c r="BI194" s="32">
        <f t="shared" si="80"/>
        <v>4</v>
      </c>
    </row>
    <row r="195" spans="1:61" x14ac:dyDescent="0.45">
      <c r="A195" s="30">
        <f>step3_validation[[#This Row],[Persona_ID]]</f>
        <v>194</v>
      </c>
      <c r="B195" s="31">
        <f>step3_validation[[#This Row],[Used_Seed]]</f>
        <v>235</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18.082461690557448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5</v>
      </c>
      <c r="R195">
        <f t="shared" ref="R195:R258" si="81">(Q195-1)/9</f>
        <v>0.44444444444444442</v>
      </c>
      <c r="S195">
        <f>survey_responses[[#This Row],[Tôi tin rằng với các quy định quản lý thuế hiện nay, hành vi gian lận hoặc trốn thuế sẽ dễ dàng bị phát hiện và xử lý nghiêm. - HUMAN-ENF1]]</f>
        <v>10</v>
      </c>
      <c r="T195">
        <f t="shared" ref="T195:T258" si="82">(S195-1)/9</f>
        <v>1</v>
      </c>
      <c r="U195">
        <f>step3_validation[[#This Row],[AI_ENF2]]</f>
        <v>7</v>
      </c>
      <c r="V195">
        <f t="shared" ref="V195:V258" si="83">(U195-1)/9</f>
        <v>0.66666666666666663</v>
      </c>
      <c r="W195">
        <f>survey_responses[[#This Row],[Tôi tin rằng Nhà nước, cơ quan thuế có đủ khả năng và công nghệ để phát hiện, xử lý nghiêm các hành vi trốn thuế. - HUMAN-ENF2]]</f>
        <v>10</v>
      </c>
      <c r="X195">
        <f t="shared" ref="X195:X258" si="84">(W195-1)/9</f>
        <v>1</v>
      </c>
      <c r="Y195" s="32">
        <f t="shared" ref="Y195:Y258" si="85">AVERAGE(R195,V195)</f>
        <v>0.55555555555555558</v>
      </c>
      <c r="Z195" s="32">
        <f t="shared" ref="Z195:Z258" si="86">AVERAGE(T195,X195)</f>
        <v>1</v>
      </c>
      <c r="AA195">
        <f>step3_validation[[#This Row],[AI_FAC1]]</f>
        <v>9</v>
      </c>
      <c r="AB195">
        <f t="shared" ref="AB195:AB258" si="87">(AA195-1)/9</f>
        <v>0.88888888888888884</v>
      </c>
      <c r="AC195">
        <f>survey_responses[[#This Row],[Các thủ tục khai báo thuế VÀ/HOẶC quy trình làm việc với cơ quan thuế đơn giản, tiện lợi, nhanh chóng hơn so với trước đây. - HUMAN-FAC1]]</f>
        <v>6</v>
      </c>
      <c r="AD195">
        <f t="shared" ref="AD195:AD258" si="88">(AC195-1)/9</f>
        <v>0.55555555555555558</v>
      </c>
      <c r="AE195">
        <f>step3_validation[[#This Row],[AI_FAC2]]</f>
        <v>9</v>
      </c>
      <c r="AF195">
        <f t="shared" ref="AF195:AF258" si="89">(AE195-1)/9</f>
        <v>0.88888888888888884</v>
      </c>
      <c r="AG195">
        <f>survey_responses[[#This Row],[So với trước đây, tôi thấy cách tính thuế và các bậc thuế trong phương án mới đơn giản, dễ hiểu và dễ thực hiện hơn. - HUMAN-FAC2]]</f>
        <v>4</v>
      </c>
      <c r="AH195">
        <f t="shared" ref="AH195:AH258" si="90">(AG195-1)/9</f>
        <v>0.33333333333333331</v>
      </c>
      <c r="AI195" s="32">
        <f t="shared" ref="AI195:AI258" si="91">AVERAGE(AB195,AF195)</f>
        <v>0.88888888888888884</v>
      </c>
      <c r="AJ195" s="32">
        <f t="shared" ref="AJ195:AJ258" si="92">AVERAGE(AD195,AH195)</f>
        <v>0.44444444444444442</v>
      </c>
      <c r="AK195">
        <f>step3_validation[[#This Row],[AI_TRU1]]</f>
        <v>8</v>
      </c>
      <c r="AL195">
        <f t="shared" ref="AL195:AL258" si="93">(AK195-1)/9</f>
        <v>0.77777777777777779</v>
      </c>
      <c r="AM195">
        <f>survey_responses[[#This Row],[Tôi tin rằng Nhà nước, cơ quan thuế sẽ thực thi chính sách mới một cách khách quan, công tâm và đối xử bình đẳng với mọi người nộp thuế.  - HUMAN-TRU1]]</f>
        <v>8</v>
      </c>
      <c r="AN195">
        <f t="shared" ref="AN195:AN258" si="94">(AM195-1)/9</f>
        <v>0.77777777777777779</v>
      </c>
      <c r="AO195">
        <f>step3_validation[[#This Row],[AI_TRU2]]</f>
        <v>9</v>
      </c>
      <c r="AP195">
        <f t="shared" ref="AP195:AP258" si="95">(AO195-1)/9</f>
        <v>0.88888888888888884</v>
      </c>
      <c r="AQ195">
        <f>survey_responses[[#This Row],[Tôi thấy mức thuế tôi phải đóng theo phương án mới là công bằng (người thu nhập như tôi đóng mức này là hợp lý). - HUMAN-TRU2]]</f>
        <v>3</v>
      </c>
      <c r="AR195">
        <f t="shared" ref="AR195:AR258" si="96">(AQ195-1)/9</f>
        <v>0.22222222222222221</v>
      </c>
      <c r="AS195">
        <f>step3_validation[[#This Row],[AI_TRU3]]</f>
        <v>8</v>
      </c>
      <c r="AT195">
        <f t="shared" ref="AT195:AT258" si="97">(AS195-1)/9</f>
        <v>0.77777777777777779</v>
      </c>
      <c r="AU195">
        <f>survey_responses[[#This Row],[Tôi tin tưởng số tiền thuế tôi đóng sẽ được Nhà nước sử dụng hiệu quả để cải thiện dịch vụ công (y tế, đường xá...). - HUMAN-TRU3]]</f>
        <v>10</v>
      </c>
      <c r="AV195">
        <f t="shared" ref="AV195:AV258" si="98">(AU195-1)/9</f>
        <v>1</v>
      </c>
      <c r="AW195">
        <f>step3_validation[[#This Row],[AI_TRU4]]</f>
        <v>9</v>
      </c>
      <c r="AX195">
        <f t="shared" ref="AX195:AX258" si="99">(AW195-1)/9</f>
        <v>0.88888888888888884</v>
      </c>
      <c r="AY195">
        <f>survey_responses[[#This Row],[Tôi thấy Nhà nước đã giải thích rõ ràng, minh bạch về lý do và mục tiêu của việc sửa đổi thuế lần này. - HUMAN-TRU4]]</f>
        <v>10</v>
      </c>
      <c r="AZ195">
        <f t="shared" ref="AZ195:AZ258" si="100">(AY195-1)/9</f>
        <v>1</v>
      </c>
      <c r="BA195" s="32">
        <f t="shared" ref="BA195:BA258" si="101">AVERAGE(AL195,AP195,AT195,AX195)</f>
        <v>0.83333333333333326</v>
      </c>
      <c r="BB195" s="32">
        <f t="shared" ref="BB195:BB258" si="102">AVERAGE(AN195,AR195,AV195,AZ195)</f>
        <v>0.75</v>
      </c>
      <c r="BC195" s="7">
        <f t="shared" ref="BC195:BC258" si="103">(Y195+AI195+BA195)/3</f>
        <v>0.75925925925925919</v>
      </c>
      <c r="BD195" s="7">
        <f t="shared" ref="BD195:BD258" si="104">(Z195+AJ195+BB195)/3</f>
        <v>0.73148148148148151</v>
      </c>
      <c r="BE195">
        <f>step3_validation[[#This Row],[AI_OUT1]]</f>
        <v>8</v>
      </c>
      <c r="BF195">
        <f t="shared" ref="BF195:BF258" si="105">(BE195-1)/9</f>
        <v>0.77777777777777779</v>
      </c>
      <c r="BG195">
        <f>survey_responses[[#This Row],[Sau khi xem xét các quyền lợi và nghĩa vụ, bạn có ủng hộ và tuân thủ chính sách mới hiện nay? - HUMAN-OUT1]]</f>
        <v>10</v>
      </c>
      <c r="BH195">
        <f t="shared" ref="BH195:BH258" si="106">(BG195-1)/9</f>
        <v>1</v>
      </c>
      <c r="BI195" s="32">
        <f t="shared" ref="BI195:BI258" si="107">ABS(BG195-BE195)</f>
        <v>2</v>
      </c>
    </row>
    <row r="196" spans="1:61" x14ac:dyDescent="0.45">
      <c r="A196" s="30">
        <f>step3_validation[[#This Row],[Persona_ID]]</f>
        <v>195</v>
      </c>
      <c r="B196" s="31">
        <f>step3_validation[[#This Row],[Used_Seed]]</f>
        <v>236</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14.025094621683548</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8</v>
      </c>
      <c r="R196">
        <f t="shared" si="81"/>
        <v>0.77777777777777779</v>
      </c>
      <c r="S196">
        <f>survey_responses[[#This Row],[Tôi tin rằng với các quy định quản lý thuế hiện nay, hành vi gian lận hoặc trốn thuế sẽ dễ dàng bị phát hiện và xử lý nghiêm. - HUMAN-ENF1]]</f>
        <v>9</v>
      </c>
      <c r="T196">
        <f t="shared" si="82"/>
        <v>0.88888888888888884</v>
      </c>
      <c r="U196">
        <f>step3_validation[[#This Row],[AI_ENF2]]</f>
        <v>9</v>
      </c>
      <c r="V196">
        <f t="shared" si="83"/>
        <v>0.88888888888888884</v>
      </c>
      <c r="W196">
        <f>survey_responses[[#This Row],[Tôi tin rằng Nhà nước, cơ quan thuế có đủ khả năng và công nghệ để phát hiện, xử lý nghiêm các hành vi trốn thuế. - HUMAN-ENF2]]</f>
        <v>9</v>
      </c>
      <c r="X196">
        <f t="shared" si="84"/>
        <v>0.88888888888888884</v>
      </c>
      <c r="Y196" s="32">
        <f t="shared" si="85"/>
        <v>0.83333333333333326</v>
      </c>
      <c r="Z196" s="32">
        <f t="shared" si="86"/>
        <v>0.88888888888888884</v>
      </c>
      <c r="AA196">
        <f>step3_validation[[#This Row],[AI_FAC1]]</f>
        <v>8</v>
      </c>
      <c r="AB196">
        <f t="shared" si="87"/>
        <v>0.77777777777777779</v>
      </c>
      <c r="AC196">
        <f>survey_responses[[#This Row],[Các thủ tục khai báo thuế VÀ/HOẶC quy trình làm việc với cơ quan thuế đơn giản, tiện lợi, nhanh chóng hơn so với trước đây. - HUMAN-FAC1]]</f>
        <v>5</v>
      </c>
      <c r="AD196">
        <f t="shared" si="88"/>
        <v>0.44444444444444442</v>
      </c>
      <c r="AE196">
        <f>step3_validation[[#This Row],[AI_FAC2]]</f>
        <v>9</v>
      </c>
      <c r="AF196">
        <f t="shared" si="89"/>
        <v>0.88888888888888884</v>
      </c>
      <c r="AG196">
        <f>survey_responses[[#This Row],[So với trước đây, tôi thấy cách tính thuế và các bậc thuế trong phương án mới đơn giản, dễ hiểu và dễ thực hiện hơn. - HUMAN-FAC2]]</f>
        <v>5</v>
      </c>
      <c r="AH196">
        <f t="shared" si="90"/>
        <v>0.44444444444444442</v>
      </c>
      <c r="AI196" s="32">
        <f t="shared" si="91"/>
        <v>0.83333333333333326</v>
      </c>
      <c r="AJ196" s="32">
        <f t="shared" si="92"/>
        <v>0.44444444444444442</v>
      </c>
      <c r="AK196">
        <f>step3_validation[[#This Row],[AI_TRU1]]</f>
        <v>8</v>
      </c>
      <c r="AL196">
        <f t="shared" si="93"/>
        <v>0.77777777777777779</v>
      </c>
      <c r="AM196">
        <f>survey_responses[[#This Row],[Tôi tin rằng Nhà nước, cơ quan thuế sẽ thực thi chính sách mới một cách khách quan, công tâm và đối xử bình đẳng với mọi người nộp thuế.  - HUMAN-TRU1]]</f>
        <v>7</v>
      </c>
      <c r="AN196">
        <f t="shared" si="94"/>
        <v>0.66666666666666663</v>
      </c>
      <c r="AO196">
        <f>step3_validation[[#This Row],[AI_TRU2]]</f>
        <v>9</v>
      </c>
      <c r="AP196">
        <f t="shared" si="95"/>
        <v>0.88888888888888884</v>
      </c>
      <c r="AQ196">
        <f>survey_responses[[#This Row],[Tôi thấy mức thuế tôi phải đóng theo phương án mới là công bằng (người thu nhập như tôi đóng mức này là hợp lý). - HUMAN-TRU2]]</f>
        <v>7</v>
      </c>
      <c r="AR196">
        <f t="shared" si="96"/>
        <v>0.66666666666666663</v>
      </c>
      <c r="AS196">
        <f>step3_validation[[#This Row],[AI_TRU3]]</f>
        <v>8</v>
      </c>
      <c r="AT196">
        <f t="shared" si="97"/>
        <v>0.77777777777777779</v>
      </c>
      <c r="AU196">
        <f>survey_responses[[#This Row],[Tôi tin tưởng số tiền thuế tôi đóng sẽ được Nhà nước sử dụng hiệu quả để cải thiện dịch vụ công (y tế, đường xá...). - HUMAN-TRU3]]</f>
        <v>8</v>
      </c>
      <c r="AV196">
        <f t="shared" si="98"/>
        <v>0.77777777777777779</v>
      </c>
      <c r="AW196">
        <f>step3_validation[[#This Row],[AI_TRU4]]</f>
        <v>9</v>
      </c>
      <c r="AX196">
        <f t="shared" si="99"/>
        <v>0.88888888888888884</v>
      </c>
      <c r="AY196">
        <f>survey_responses[[#This Row],[Tôi thấy Nhà nước đã giải thích rõ ràng, minh bạch về lý do và mục tiêu của việc sửa đổi thuế lần này. - HUMAN-TRU4]]</f>
        <v>8</v>
      </c>
      <c r="AZ196">
        <f t="shared" si="100"/>
        <v>0.77777777777777779</v>
      </c>
      <c r="BA196" s="32">
        <f t="shared" si="101"/>
        <v>0.83333333333333326</v>
      </c>
      <c r="BB196" s="32">
        <f t="shared" si="102"/>
        <v>0.72222222222222221</v>
      </c>
      <c r="BC196" s="7">
        <f t="shared" si="103"/>
        <v>0.83333333333333337</v>
      </c>
      <c r="BD196" s="7">
        <f t="shared" si="104"/>
        <v>0.68518518518518512</v>
      </c>
      <c r="BE196">
        <f>step3_validation[[#This Row],[AI_OUT1]]</f>
        <v>9</v>
      </c>
      <c r="BF196">
        <f t="shared" si="105"/>
        <v>0.88888888888888884</v>
      </c>
      <c r="BG196">
        <f>survey_responses[[#This Row],[Sau khi xem xét các quyền lợi và nghĩa vụ, bạn có ủng hộ và tuân thủ chính sách mới hiện nay? - HUMAN-OUT1]]</f>
        <v>8</v>
      </c>
      <c r="BH196">
        <f t="shared" si="106"/>
        <v>0.77777777777777779</v>
      </c>
      <c r="BI196" s="32">
        <f t="shared" si="107"/>
        <v>1</v>
      </c>
    </row>
    <row r="197" spans="1:61" x14ac:dyDescent="0.45">
      <c r="A197" s="30">
        <f>step3_validation[[#This Row],[Persona_ID]]</f>
        <v>196</v>
      </c>
      <c r="B197" s="31">
        <f>step3_validation[[#This Row],[Used_Seed]]</f>
        <v>237</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16.550863679909991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6</v>
      </c>
      <c r="R197">
        <f t="shared" si="81"/>
        <v>0.55555555555555558</v>
      </c>
      <c r="S197">
        <f>survey_responses[[#This Row],[Tôi tin rằng với các quy định quản lý thuế hiện nay, hành vi gian lận hoặc trốn thuế sẽ dễ dàng bị phát hiện và xử lý nghiêm. - HUMAN-ENF1]]</f>
        <v>9</v>
      </c>
      <c r="T197">
        <f t="shared" si="82"/>
        <v>0.88888888888888884</v>
      </c>
      <c r="U197">
        <f>step3_validation[[#This Row],[AI_ENF2]]</f>
        <v>8</v>
      </c>
      <c r="V197">
        <f t="shared" si="83"/>
        <v>0.77777777777777779</v>
      </c>
      <c r="W197">
        <f>survey_responses[[#This Row],[Tôi tin rằng Nhà nước, cơ quan thuế có đủ khả năng và công nghệ để phát hiện, xử lý nghiêm các hành vi trốn thuế. - HUMAN-ENF2]]</f>
        <v>9</v>
      </c>
      <c r="X197">
        <f t="shared" si="84"/>
        <v>0.88888888888888884</v>
      </c>
      <c r="Y197" s="32">
        <f t="shared" si="85"/>
        <v>0.66666666666666674</v>
      </c>
      <c r="Z197" s="32">
        <f t="shared" si="86"/>
        <v>0.88888888888888884</v>
      </c>
      <c r="AA197">
        <f>step3_validation[[#This Row],[AI_FAC1]]</f>
        <v>7</v>
      </c>
      <c r="AB197">
        <f t="shared" si="87"/>
        <v>0.66666666666666663</v>
      </c>
      <c r="AC197">
        <f>survey_responses[[#This Row],[Các thủ tục khai báo thuế VÀ/HOẶC quy trình làm việc với cơ quan thuế đơn giản, tiện lợi, nhanh chóng hơn so với trước đây. - HUMAN-FAC1]]</f>
        <v>9</v>
      </c>
      <c r="AD197">
        <f t="shared" si="88"/>
        <v>0.88888888888888884</v>
      </c>
      <c r="AE197">
        <f>step3_validation[[#This Row],[AI_FAC2]]</f>
        <v>9</v>
      </c>
      <c r="AF197">
        <f t="shared" si="89"/>
        <v>0.88888888888888884</v>
      </c>
      <c r="AG197">
        <f>survey_responses[[#This Row],[So với trước đây, tôi thấy cách tính thuế và các bậc thuế trong phương án mới đơn giản, dễ hiểu và dễ thực hiện hơn. - HUMAN-FAC2]]</f>
        <v>9</v>
      </c>
      <c r="AH197">
        <f t="shared" si="90"/>
        <v>0.88888888888888884</v>
      </c>
      <c r="AI197" s="32">
        <f t="shared" si="91"/>
        <v>0.77777777777777768</v>
      </c>
      <c r="AJ197" s="32">
        <f t="shared" si="92"/>
        <v>0.88888888888888884</v>
      </c>
      <c r="AK197">
        <f>step3_validation[[#This Row],[AI_TRU1]]</f>
        <v>8</v>
      </c>
      <c r="AL197">
        <f t="shared" si="93"/>
        <v>0.77777777777777779</v>
      </c>
      <c r="AM197">
        <f>survey_responses[[#This Row],[Tôi tin rằng Nhà nước, cơ quan thuế sẽ thực thi chính sách mới một cách khách quan, công tâm và đối xử bình đẳng với mọi người nộp thuế.  - HUMAN-TRU1]]</f>
        <v>9</v>
      </c>
      <c r="AN197">
        <f t="shared" si="94"/>
        <v>0.88888888888888884</v>
      </c>
      <c r="AO197">
        <f>step3_validation[[#This Row],[AI_TRU2]]</f>
        <v>9</v>
      </c>
      <c r="AP197">
        <f t="shared" si="95"/>
        <v>0.88888888888888884</v>
      </c>
      <c r="AQ197">
        <f>survey_responses[[#This Row],[Tôi thấy mức thuế tôi phải đóng theo phương án mới là công bằng (người thu nhập như tôi đóng mức này là hợp lý). - HUMAN-TRU2]]</f>
        <v>9</v>
      </c>
      <c r="AR197">
        <f t="shared" si="96"/>
        <v>0.88888888888888884</v>
      </c>
      <c r="AS197">
        <f>step3_validation[[#This Row],[AI_TRU3]]</f>
        <v>8</v>
      </c>
      <c r="AT197">
        <f t="shared" si="97"/>
        <v>0.77777777777777779</v>
      </c>
      <c r="AU197">
        <f>survey_responses[[#This Row],[Tôi tin tưởng số tiền thuế tôi đóng sẽ được Nhà nước sử dụng hiệu quả để cải thiện dịch vụ công (y tế, đường xá...). - HUMAN-TRU3]]</f>
        <v>9</v>
      </c>
      <c r="AV197">
        <f t="shared" si="98"/>
        <v>0.88888888888888884</v>
      </c>
      <c r="AW197">
        <f>step3_validation[[#This Row],[AI_TRU4]]</f>
        <v>9</v>
      </c>
      <c r="AX197">
        <f t="shared" si="99"/>
        <v>0.88888888888888884</v>
      </c>
      <c r="AY197">
        <f>survey_responses[[#This Row],[Tôi thấy Nhà nước đã giải thích rõ ràng, minh bạch về lý do và mục tiêu của việc sửa đổi thuế lần này. - HUMAN-TRU4]]</f>
        <v>9</v>
      </c>
      <c r="AZ197">
        <f t="shared" si="100"/>
        <v>0.88888888888888884</v>
      </c>
      <c r="BA197" s="32">
        <f t="shared" si="101"/>
        <v>0.83333333333333326</v>
      </c>
      <c r="BB197" s="32">
        <f t="shared" si="102"/>
        <v>0.88888888888888884</v>
      </c>
      <c r="BC197" s="7">
        <f t="shared" si="103"/>
        <v>0.75925925925925919</v>
      </c>
      <c r="BD197" s="7">
        <f t="shared" si="104"/>
        <v>0.88888888888888884</v>
      </c>
      <c r="BE197">
        <f>step3_validation[[#This Row],[AI_OUT1]]</f>
        <v>8</v>
      </c>
      <c r="BF197">
        <f t="shared" si="105"/>
        <v>0.77777777777777779</v>
      </c>
      <c r="BG197">
        <f>survey_responses[[#This Row],[Sau khi xem xét các quyền lợi và nghĩa vụ, bạn có ủng hộ và tuân thủ chính sách mới hiện nay? - HUMAN-OUT1]]</f>
        <v>9</v>
      </c>
      <c r="BH197">
        <f t="shared" si="106"/>
        <v>0.88888888888888884</v>
      </c>
      <c r="BI197" s="32">
        <f t="shared" si="107"/>
        <v>1</v>
      </c>
    </row>
    <row r="198" spans="1:61" x14ac:dyDescent="0.45">
      <c r="A198" s="30">
        <f>step3_validation[[#This Row],[Persona_ID]]</f>
        <v>197</v>
      </c>
      <c r="B198" s="31">
        <f>step3_validation[[#This Row],[Used_Seed]]</f>
        <v>238</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13.432072342390809</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9</v>
      </c>
      <c r="R198">
        <f t="shared" si="81"/>
        <v>0.88888888888888884</v>
      </c>
      <c r="S198">
        <f>survey_responses[[#This Row],[Tôi tin rằng với các quy định quản lý thuế hiện nay, hành vi gian lận hoặc trốn thuế sẽ dễ dàng bị phát hiện và xử lý nghiêm. - HUMAN-ENF1]]</f>
        <v>9</v>
      </c>
      <c r="T198">
        <f t="shared" si="82"/>
        <v>0.88888888888888884</v>
      </c>
      <c r="U198">
        <f>step3_validation[[#This Row],[AI_ENF2]]</f>
        <v>8</v>
      </c>
      <c r="V198">
        <f t="shared" si="83"/>
        <v>0.77777777777777779</v>
      </c>
      <c r="W198">
        <f>survey_responses[[#This Row],[Tôi tin rằng Nhà nước, cơ quan thuế có đủ khả năng và công nghệ để phát hiện, xử lý nghiêm các hành vi trốn thuế. - HUMAN-ENF2]]</f>
        <v>10</v>
      </c>
      <c r="X198">
        <f t="shared" si="84"/>
        <v>1</v>
      </c>
      <c r="Y198" s="32">
        <f t="shared" si="85"/>
        <v>0.83333333333333326</v>
      </c>
      <c r="Z198" s="32">
        <f t="shared" si="86"/>
        <v>0.94444444444444442</v>
      </c>
      <c r="AA198">
        <f>step3_validation[[#This Row],[AI_FAC1]]</f>
        <v>9</v>
      </c>
      <c r="AB198">
        <f t="shared" si="87"/>
        <v>0.88888888888888884</v>
      </c>
      <c r="AC198">
        <f>survey_responses[[#This Row],[Các thủ tục khai báo thuế VÀ/HOẶC quy trình làm việc với cơ quan thuế đơn giản, tiện lợi, nhanh chóng hơn so với trước đây. - HUMAN-FAC1]]</f>
        <v>10</v>
      </c>
      <c r="AD198">
        <f t="shared" si="88"/>
        <v>1</v>
      </c>
      <c r="AE198">
        <f>step3_validation[[#This Row],[AI_FAC2]]</f>
        <v>9</v>
      </c>
      <c r="AF198">
        <f t="shared" si="89"/>
        <v>0.88888888888888884</v>
      </c>
      <c r="AG198">
        <f>survey_responses[[#This Row],[So với trước đây, tôi thấy cách tính thuế và các bậc thuế trong phương án mới đơn giản, dễ hiểu và dễ thực hiện hơn. - HUMAN-FAC2]]</f>
        <v>9</v>
      </c>
      <c r="AH198">
        <f t="shared" si="90"/>
        <v>0.88888888888888884</v>
      </c>
      <c r="AI198" s="32">
        <f t="shared" si="91"/>
        <v>0.88888888888888884</v>
      </c>
      <c r="AJ198" s="32">
        <f t="shared" si="92"/>
        <v>0.94444444444444442</v>
      </c>
      <c r="AK198">
        <f>step3_validation[[#This Row],[AI_TRU1]]</f>
        <v>8</v>
      </c>
      <c r="AL198">
        <f t="shared" si="93"/>
        <v>0.77777777777777779</v>
      </c>
      <c r="AM198">
        <f>survey_responses[[#This Row],[Tôi tin rằng Nhà nước, cơ quan thuế sẽ thực thi chính sách mới một cách khách quan, công tâm và đối xử bình đẳng với mọi người nộp thuế.  - HUMAN-TRU1]]</f>
        <v>10</v>
      </c>
      <c r="AN198">
        <f t="shared" si="94"/>
        <v>1</v>
      </c>
      <c r="AO198">
        <f>step3_validation[[#This Row],[AI_TRU2]]</f>
        <v>9</v>
      </c>
      <c r="AP198">
        <f t="shared" si="95"/>
        <v>0.88888888888888884</v>
      </c>
      <c r="AQ198">
        <f>survey_responses[[#This Row],[Tôi thấy mức thuế tôi phải đóng theo phương án mới là công bằng (người thu nhập như tôi đóng mức này là hợp lý). - HUMAN-TRU2]]</f>
        <v>10</v>
      </c>
      <c r="AR198">
        <f t="shared" si="96"/>
        <v>1</v>
      </c>
      <c r="AS198">
        <f>step3_validation[[#This Row],[AI_TRU3]]</f>
        <v>8</v>
      </c>
      <c r="AT198">
        <f t="shared" si="97"/>
        <v>0.77777777777777779</v>
      </c>
      <c r="AU198">
        <f>survey_responses[[#This Row],[Tôi tin tưởng số tiền thuế tôi đóng sẽ được Nhà nước sử dụng hiệu quả để cải thiện dịch vụ công (y tế, đường xá...). - HUMAN-TRU3]]</f>
        <v>10</v>
      </c>
      <c r="AV198">
        <f t="shared" si="98"/>
        <v>1</v>
      </c>
      <c r="AW198">
        <f>step3_validation[[#This Row],[AI_TRU4]]</f>
        <v>9</v>
      </c>
      <c r="AX198">
        <f t="shared" si="99"/>
        <v>0.88888888888888884</v>
      </c>
      <c r="AY198">
        <f>survey_responses[[#This Row],[Tôi thấy Nhà nước đã giải thích rõ ràng, minh bạch về lý do và mục tiêu của việc sửa đổi thuế lần này. - HUMAN-TRU4]]</f>
        <v>9</v>
      </c>
      <c r="AZ198">
        <f t="shared" si="100"/>
        <v>0.88888888888888884</v>
      </c>
      <c r="BA198" s="32">
        <f t="shared" si="101"/>
        <v>0.83333333333333326</v>
      </c>
      <c r="BB198" s="32">
        <f t="shared" si="102"/>
        <v>0.97222222222222221</v>
      </c>
      <c r="BC198" s="7">
        <f t="shared" si="103"/>
        <v>0.85185185185185175</v>
      </c>
      <c r="BD198" s="7">
        <f t="shared" si="104"/>
        <v>0.95370370370370372</v>
      </c>
      <c r="BE198">
        <f>step3_validation[[#This Row],[AI_OUT1]]</f>
        <v>8</v>
      </c>
      <c r="BF198">
        <f t="shared" si="105"/>
        <v>0.77777777777777779</v>
      </c>
      <c r="BG198">
        <f>survey_responses[[#This Row],[Sau khi xem xét các quyền lợi và nghĩa vụ, bạn có ủng hộ và tuân thủ chính sách mới hiện nay? - HUMAN-OUT1]]</f>
        <v>10</v>
      </c>
      <c r="BH198">
        <f t="shared" si="106"/>
        <v>1</v>
      </c>
      <c r="BI198" s="32">
        <f t="shared" si="107"/>
        <v>2</v>
      </c>
    </row>
    <row r="199" spans="1:61" x14ac:dyDescent="0.45">
      <c r="A199" s="30">
        <f>step3_validation[[#This Row],[Persona_ID]]</f>
        <v>198</v>
      </c>
      <c r="B199" s="31">
        <f>step3_validation[[#This Row],[Used_Seed]]</f>
        <v>239</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15.39142868056393</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9</v>
      </c>
      <c r="R199">
        <f t="shared" si="81"/>
        <v>0.88888888888888884</v>
      </c>
      <c r="S199">
        <f>survey_responses[[#This Row],[Tôi tin rằng với các quy định quản lý thuế hiện nay, hành vi gian lận hoặc trốn thuế sẽ dễ dàng bị phát hiện và xử lý nghiêm. - HUMAN-ENF1]]</f>
        <v>5</v>
      </c>
      <c r="T199">
        <f t="shared" si="82"/>
        <v>0.44444444444444442</v>
      </c>
      <c r="U199">
        <f>step3_validation[[#This Row],[AI_ENF2]]</f>
        <v>8</v>
      </c>
      <c r="V199">
        <f t="shared" si="83"/>
        <v>0.77777777777777779</v>
      </c>
      <c r="W199">
        <f>survey_responses[[#This Row],[Tôi tin rằng Nhà nước, cơ quan thuế có đủ khả năng và công nghệ để phát hiện, xử lý nghiêm các hành vi trốn thuế. - HUMAN-ENF2]]</f>
        <v>5</v>
      </c>
      <c r="X199">
        <f t="shared" si="84"/>
        <v>0.44444444444444442</v>
      </c>
      <c r="Y199" s="32">
        <f t="shared" si="85"/>
        <v>0.83333333333333326</v>
      </c>
      <c r="Z199" s="32">
        <f t="shared" si="86"/>
        <v>0.44444444444444442</v>
      </c>
      <c r="AA199">
        <f>step3_validation[[#This Row],[AI_FAC1]]</f>
        <v>7</v>
      </c>
      <c r="AB199">
        <f t="shared" si="87"/>
        <v>0.66666666666666663</v>
      </c>
      <c r="AC199">
        <f>survey_responses[[#This Row],[Các thủ tục khai báo thuế VÀ/HOẶC quy trình làm việc với cơ quan thuế đơn giản, tiện lợi, nhanh chóng hơn so với trước đây. - HUMAN-FAC1]]</f>
        <v>5</v>
      </c>
      <c r="AD199">
        <f t="shared" si="88"/>
        <v>0.44444444444444442</v>
      </c>
      <c r="AE199">
        <f>step3_validation[[#This Row],[AI_FAC2]]</f>
        <v>8</v>
      </c>
      <c r="AF199">
        <f t="shared" si="89"/>
        <v>0.77777777777777779</v>
      </c>
      <c r="AG199">
        <f>survey_responses[[#This Row],[So với trước đây, tôi thấy cách tính thuế và các bậc thuế trong phương án mới đơn giản, dễ hiểu và dễ thực hiện hơn. - HUMAN-FAC2]]</f>
        <v>5</v>
      </c>
      <c r="AH199">
        <f t="shared" si="90"/>
        <v>0.44444444444444442</v>
      </c>
      <c r="AI199" s="32">
        <f t="shared" si="91"/>
        <v>0.72222222222222221</v>
      </c>
      <c r="AJ199" s="32">
        <f t="shared" si="92"/>
        <v>0.44444444444444442</v>
      </c>
      <c r="AK199">
        <f>step3_validation[[#This Row],[AI_TRU1]]</f>
        <v>9</v>
      </c>
      <c r="AL199">
        <f t="shared" si="93"/>
        <v>0.88888888888888884</v>
      </c>
      <c r="AM199">
        <f>survey_responses[[#This Row],[Tôi tin rằng Nhà nước, cơ quan thuế sẽ thực thi chính sách mới một cách khách quan, công tâm và đối xử bình đẳng với mọi người nộp thuế.  - HUMAN-TRU1]]</f>
        <v>5</v>
      </c>
      <c r="AN199">
        <f t="shared" si="94"/>
        <v>0.44444444444444442</v>
      </c>
      <c r="AO199">
        <f>step3_validation[[#This Row],[AI_TRU2]]</f>
        <v>8</v>
      </c>
      <c r="AP199">
        <f t="shared" si="95"/>
        <v>0.77777777777777779</v>
      </c>
      <c r="AQ199">
        <f>survey_responses[[#This Row],[Tôi thấy mức thuế tôi phải đóng theo phương án mới là công bằng (người thu nhập như tôi đóng mức này là hợp lý). - HUMAN-TRU2]]</f>
        <v>5</v>
      </c>
      <c r="AR199">
        <f t="shared" si="96"/>
        <v>0.44444444444444442</v>
      </c>
      <c r="AS199">
        <f>step3_validation[[#This Row],[AI_TRU3]]</f>
        <v>9</v>
      </c>
      <c r="AT199">
        <f t="shared" si="97"/>
        <v>0.88888888888888884</v>
      </c>
      <c r="AU199">
        <f>survey_responses[[#This Row],[Tôi tin tưởng số tiền thuế tôi đóng sẽ được Nhà nước sử dụng hiệu quả để cải thiện dịch vụ công (y tế, đường xá...). - HUMAN-TRU3]]</f>
        <v>5</v>
      </c>
      <c r="AV199">
        <f t="shared" si="98"/>
        <v>0.44444444444444442</v>
      </c>
      <c r="AW199">
        <f>step3_validation[[#This Row],[AI_TRU4]]</f>
        <v>8</v>
      </c>
      <c r="AX199">
        <f t="shared" si="99"/>
        <v>0.77777777777777779</v>
      </c>
      <c r="AY199">
        <f>survey_responses[[#This Row],[Tôi thấy Nhà nước đã giải thích rõ ràng, minh bạch về lý do và mục tiêu của việc sửa đổi thuế lần này. - HUMAN-TRU4]]</f>
        <v>4</v>
      </c>
      <c r="AZ199">
        <f t="shared" si="100"/>
        <v>0.33333333333333331</v>
      </c>
      <c r="BA199" s="32">
        <f t="shared" si="101"/>
        <v>0.83333333333333326</v>
      </c>
      <c r="BB199" s="32">
        <f t="shared" si="102"/>
        <v>0.41666666666666663</v>
      </c>
      <c r="BC199" s="7">
        <f t="shared" si="103"/>
        <v>0.79629629629629617</v>
      </c>
      <c r="BD199" s="7">
        <f t="shared" si="104"/>
        <v>0.43518518518518512</v>
      </c>
      <c r="BE199">
        <f>step3_validation[[#This Row],[AI_OUT1]]</f>
        <v>9</v>
      </c>
      <c r="BF199">
        <f t="shared" si="105"/>
        <v>0.88888888888888884</v>
      </c>
      <c r="BG199">
        <f>survey_responses[[#This Row],[Sau khi xem xét các quyền lợi và nghĩa vụ, bạn có ủng hộ và tuân thủ chính sách mới hiện nay? - HUMAN-OUT1]]</f>
        <v>5</v>
      </c>
      <c r="BH199">
        <f t="shared" si="106"/>
        <v>0.44444444444444442</v>
      </c>
      <c r="BI199" s="32">
        <f t="shared" si="107"/>
        <v>4</v>
      </c>
    </row>
    <row r="200" spans="1:61" x14ac:dyDescent="0.45">
      <c r="A200" s="30">
        <f>step3_validation[[#This Row],[Persona_ID]]</f>
        <v>199</v>
      </c>
      <c r="B200" s="31">
        <f>step3_validation[[#This Row],[Used_Seed]]</f>
        <v>240</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8</v>
      </c>
      <c r="R200">
        <f t="shared" si="81"/>
        <v>0.77777777777777779</v>
      </c>
      <c r="S200">
        <f>survey_responses[[#This Row],[Tôi tin rằng với các quy định quản lý thuế hiện nay, hành vi gian lận hoặc trốn thuế sẽ dễ dàng bị phát hiện và xử lý nghiêm. - HUMAN-ENF1]]</f>
        <v>9</v>
      </c>
      <c r="T200">
        <f t="shared" si="82"/>
        <v>0.88888888888888884</v>
      </c>
      <c r="U200">
        <f>step3_validation[[#This Row],[AI_ENF2]]</f>
        <v>7</v>
      </c>
      <c r="V200">
        <f t="shared" si="83"/>
        <v>0.66666666666666663</v>
      </c>
      <c r="W200">
        <f>survey_responses[[#This Row],[Tôi tin rằng Nhà nước, cơ quan thuế có đủ khả năng và công nghệ để phát hiện, xử lý nghiêm các hành vi trốn thuế. - HUMAN-ENF2]]</f>
        <v>8</v>
      </c>
      <c r="X200">
        <f t="shared" si="84"/>
        <v>0.77777777777777779</v>
      </c>
      <c r="Y200" s="32">
        <f t="shared" si="85"/>
        <v>0.72222222222222221</v>
      </c>
      <c r="Z200" s="32">
        <f t="shared" si="86"/>
        <v>0.83333333333333326</v>
      </c>
      <c r="AA200">
        <f>step3_validation[[#This Row],[AI_FAC1]]</f>
        <v>9</v>
      </c>
      <c r="AB200">
        <f t="shared" si="87"/>
        <v>0.88888888888888884</v>
      </c>
      <c r="AC200">
        <f>survey_responses[[#This Row],[Các thủ tục khai báo thuế VÀ/HOẶC quy trình làm việc với cơ quan thuế đơn giản, tiện lợi, nhanh chóng hơn so với trước đây. - HUMAN-FAC1]]</f>
        <v>9</v>
      </c>
      <c r="AD200">
        <f t="shared" si="88"/>
        <v>0.88888888888888884</v>
      </c>
      <c r="AE200">
        <f>step3_validation[[#This Row],[AI_FAC2]]</f>
        <v>8</v>
      </c>
      <c r="AF200">
        <f t="shared" si="89"/>
        <v>0.77777777777777779</v>
      </c>
      <c r="AG200">
        <f>survey_responses[[#This Row],[So với trước đây, tôi thấy cách tính thuế và các bậc thuế trong phương án mới đơn giản, dễ hiểu và dễ thực hiện hơn. - HUMAN-FAC2]]</f>
        <v>9</v>
      </c>
      <c r="AH200">
        <f t="shared" si="90"/>
        <v>0.88888888888888884</v>
      </c>
      <c r="AI200" s="32">
        <f t="shared" si="91"/>
        <v>0.83333333333333326</v>
      </c>
      <c r="AJ200" s="32">
        <f t="shared" si="92"/>
        <v>0.88888888888888884</v>
      </c>
      <c r="AK200">
        <f>step3_validation[[#This Row],[AI_TRU1]]</f>
        <v>9</v>
      </c>
      <c r="AL200">
        <f t="shared" si="93"/>
        <v>0.88888888888888884</v>
      </c>
      <c r="AM200">
        <f>survey_responses[[#This Row],[Tôi tin rằng Nhà nước, cơ quan thuế sẽ thực thi chính sách mới một cách khách quan, công tâm và đối xử bình đẳng với mọi người nộp thuế.  - HUMAN-TRU1]]</f>
        <v>8</v>
      </c>
      <c r="AN200">
        <f t="shared" si="94"/>
        <v>0.77777777777777779</v>
      </c>
      <c r="AO200">
        <f>step3_validation[[#This Row],[AI_TRU2]]</f>
        <v>8</v>
      </c>
      <c r="AP200">
        <f t="shared" si="95"/>
        <v>0.77777777777777779</v>
      </c>
      <c r="AQ200">
        <f>survey_responses[[#This Row],[Tôi thấy mức thuế tôi phải đóng theo phương án mới là công bằng (người thu nhập như tôi đóng mức này là hợp lý). - HUMAN-TRU2]]</f>
        <v>9</v>
      </c>
      <c r="AR200">
        <f t="shared" si="96"/>
        <v>0.88888888888888884</v>
      </c>
      <c r="AS200">
        <f>step3_validation[[#This Row],[AI_TRU3]]</f>
        <v>7</v>
      </c>
      <c r="AT200">
        <f t="shared" si="97"/>
        <v>0.66666666666666663</v>
      </c>
      <c r="AU200">
        <f>survey_responses[[#This Row],[Tôi tin tưởng số tiền thuế tôi đóng sẽ được Nhà nước sử dụng hiệu quả để cải thiện dịch vụ công (y tế, đường xá...). - HUMAN-TRU3]]</f>
        <v>10</v>
      </c>
      <c r="AV200">
        <f t="shared" si="98"/>
        <v>1</v>
      </c>
      <c r="AW200">
        <f>step3_validation[[#This Row],[AI_TRU4]]</f>
        <v>6</v>
      </c>
      <c r="AX200">
        <f t="shared" si="99"/>
        <v>0.55555555555555558</v>
      </c>
      <c r="AY200">
        <f>survey_responses[[#This Row],[Tôi thấy Nhà nước đã giải thích rõ ràng, minh bạch về lý do và mục tiêu của việc sửa đổi thuế lần này. - HUMAN-TRU4]]</f>
        <v>9</v>
      </c>
      <c r="AZ200">
        <f t="shared" si="100"/>
        <v>0.88888888888888884</v>
      </c>
      <c r="BA200" s="32">
        <f t="shared" si="101"/>
        <v>0.7222222222222221</v>
      </c>
      <c r="BB200" s="32">
        <f t="shared" si="102"/>
        <v>0.88888888888888884</v>
      </c>
      <c r="BC200" s="7">
        <f t="shared" si="103"/>
        <v>0.75925925925925919</v>
      </c>
      <c r="BD200" s="7">
        <f t="shared" si="104"/>
        <v>0.87037037037037024</v>
      </c>
      <c r="BE200">
        <f>step3_validation[[#This Row],[AI_OUT1]]</f>
        <v>8</v>
      </c>
      <c r="BF200">
        <f t="shared" si="105"/>
        <v>0.77777777777777779</v>
      </c>
      <c r="BG200">
        <f>survey_responses[[#This Row],[Sau khi xem xét các quyền lợi và nghĩa vụ, bạn có ủng hộ và tuân thủ chính sách mới hiện nay? - HUMAN-OUT1]]</f>
        <v>10</v>
      </c>
      <c r="BH200">
        <f t="shared" si="106"/>
        <v>1</v>
      </c>
      <c r="BI200" s="32">
        <f t="shared" si="107"/>
        <v>2</v>
      </c>
    </row>
    <row r="201" spans="1:61" x14ac:dyDescent="0.45">
      <c r="A201" s="30">
        <f>step3_validation[[#This Row],[Persona_ID]]</f>
        <v>200</v>
      </c>
      <c r="B201" s="31">
        <f>step3_validation[[#This Row],[Used_Seed]]</f>
        <v>241</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96.639919317847458</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9</v>
      </c>
      <c r="R201">
        <f t="shared" si="81"/>
        <v>0.88888888888888884</v>
      </c>
      <c r="S201">
        <f>survey_responses[[#This Row],[Tôi tin rằng với các quy định quản lý thuế hiện nay, hành vi gian lận hoặc trốn thuế sẽ dễ dàng bị phát hiện và xử lý nghiêm. - HUMAN-ENF1]]</f>
        <v>4</v>
      </c>
      <c r="T201">
        <f t="shared" si="82"/>
        <v>0.33333333333333331</v>
      </c>
      <c r="U201">
        <f>step3_validation[[#This Row],[AI_ENF2]]</f>
        <v>8</v>
      </c>
      <c r="V201">
        <f t="shared" si="83"/>
        <v>0.77777777777777779</v>
      </c>
      <c r="W201">
        <f>survey_responses[[#This Row],[Tôi tin rằng Nhà nước, cơ quan thuế có đủ khả năng và công nghệ để phát hiện, xử lý nghiêm các hành vi trốn thuế. - HUMAN-ENF2]]</f>
        <v>4</v>
      </c>
      <c r="X201">
        <f t="shared" si="84"/>
        <v>0.33333333333333331</v>
      </c>
      <c r="Y201" s="32">
        <f t="shared" si="85"/>
        <v>0.83333333333333326</v>
      </c>
      <c r="Z201" s="32">
        <f t="shared" si="86"/>
        <v>0.33333333333333331</v>
      </c>
      <c r="AA201">
        <f>step3_validation[[#This Row],[AI_FAC1]]</f>
        <v>9</v>
      </c>
      <c r="AB201">
        <f t="shared" si="87"/>
        <v>0.88888888888888884</v>
      </c>
      <c r="AC201">
        <f>survey_responses[[#This Row],[Các thủ tục khai báo thuế VÀ/HOẶC quy trình làm việc với cơ quan thuế đơn giản, tiện lợi, nhanh chóng hơn so với trước đây. - HUMAN-FAC1]]</f>
        <v>3</v>
      </c>
      <c r="AD201">
        <f t="shared" si="88"/>
        <v>0.22222222222222221</v>
      </c>
      <c r="AE201">
        <f>step3_validation[[#This Row],[AI_FAC2]]</f>
        <v>8</v>
      </c>
      <c r="AF201">
        <f t="shared" si="89"/>
        <v>0.77777777777777779</v>
      </c>
      <c r="AG201">
        <f>survey_responses[[#This Row],[So với trước đây, tôi thấy cách tính thuế và các bậc thuế trong phương án mới đơn giản, dễ hiểu và dễ thực hiện hơn. - HUMAN-FAC2]]</f>
        <v>5</v>
      </c>
      <c r="AH201">
        <f t="shared" si="90"/>
        <v>0.44444444444444442</v>
      </c>
      <c r="AI201" s="32">
        <f t="shared" si="91"/>
        <v>0.83333333333333326</v>
      </c>
      <c r="AJ201" s="32">
        <f t="shared" si="92"/>
        <v>0.33333333333333331</v>
      </c>
      <c r="AK201">
        <f>step3_validation[[#This Row],[AI_TRU1]]</f>
        <v>9</v>
      </c>
      <c r="AL201">
        <f t="shared" si="93"/>
        <v>0.88888888888888884</v>
      </c>
      <c r="AM201">
        <f>survey_responses[[#This Row],[Tôi tin rằng Nhà nước, cơ quan thuế sẽ thực thi chính sách mới một cách khách quan, công tâm và đối xử bình đẳng với mọi người nộp thuế.  - HUMAN-TRU1]]</f>
        <v>4</v>
      </c>
      <c r="AN201">
        <f t="shared" si="94"/>
        <v>0.33333333333333331</v>
      </c>
      <c r="AO201">
        <f>step3_validation[[#This Row],[AI_TRU2]]</f>
        <v>8</v>
      </c>
      <c r="AP201">
        <f t="shared" si="95"/>
        <v>0.77777777777777779</v>
      </c>
      <c r="AQ201">
        <f>survey_responses[[#This Row],[Tôi thấy mức thuế tôi phải đóng theo phương án mới là công bằng (người thu nhập như tôi đóng mức này là hợp lý). - HUMAN-TRU2]]</f>
        <v>5</v>
      </c>
      <c r="AR201">
        <f t="shared" si="96"/>
        <v>0.44444444444444442</v>
      </c>
      <c r="AS201">
        <f>step3_validation[[#This Row],[AI_TRU3]]</f>
        <v>9</v>
      </c>
      <c r="AT201">
        <f t="shared" si="97"/>
        <v>0.88888888888888884</v>
      </c>
      <c r="AU201">
        <f>survey_responses[[#This Row],[Tôi tin tưởng số tiền thuế tôi đóng sẽ được Nhà nước sử dụng hiệu quả để cải thiện dịch vụ công (y tế, đường xá...). - HUMAN-TRU3]]</f>
        <v>1</v>
      </c>
      <c r="AV201">
        <f t="shared" si="98"/>
        <v>0</v>
      </c>
      <c r="AW201">
        <f>step3_validation[[#This Row],[AI_TRU4]]</f>
        <v>8</v>
      </c>
      <c r="AX201">
        <f t="shared" si="99"/>
        <v>0.77777777777777779</v>
      </c>
      <c r="AY201">
        <f>survey_responses[[#This Row],[Tôi thấy Nhà nước đã giải thích rõ ràng, minh bạch về lý do và mục tiêu của việc sửa đổi thuế lần này. - HUMAN-TRU4]]</f>
        <v>5</v>
      </c>
      <c r="AZ201">
        <f t="shared" si="100"/>
        <v>0.44444444444444442</v>
      </c>
      <c r="BA201" s="32">
        <f t="shared" si="101"/>
        <v>0.83333333333333326</v>
      </c>
      <c r="BB201" s="32">
        <f t="shared" si="102"/>
        <v>0.30555555555555552</v>
      </c>
      <c r="BC201" s="7">
        <f t="shared" si="103"/>
        <v>0.83333333333333337</v>
      </c>
      <c r="BD201" s="7">
        <f t="shared" si="104"/>
        <v>0.32407407407407401</v>
      </c>
      <c r="BE201">
        <f>step3_validation[[#This Row],[AI_OUT1]]</f>
        <v>9</v>
      </c>
      <c r="BF201">
        <f t="shared" si="105"/>
        <v>0.88888888888888884</v>
      </c>
      <c r="BG201">
        <f>survey_responses[[#This Row],[Sau khi xem xét các quyền lợi và nghĩa vụ, bạn có ủng hộ và tuân thủ chính sách mới hiện nay? - HUMAN-OUT1]]</f>
        <v>5</v>
      </c>
      <c r="BH201">
        <f t="shared" si="106"/>
        <v>0.44444444444444442</v>
      </c>
      <c r="BI201" s="32">
        <f t="shared" si="107"/>
        <v>4</v>
      </c>
    </row>
    <row r="202" spans="1:61" x14ac:dyDescent="0.45">
      <c r="A202" s="30">
        <f>step3_validation[[#This Row],[Persona_ID]]</f>
        <v>201</v>
      </c>
      <c r="B202" s="31">
        <f>step3_validation[[#This Row],[Used_Seed]]</f>
        <v>242</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53.180528659307889</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6</v>
      </c>
      <c r="R202">
        <f t="shared" si="81"/>
        <v>0.55555555555555558</v>
      </c>
      <c r="S202">
        <f>survey_responses[[#This Row],[Tôi tin rằng với các quy định quản lý thuế hiện nay, hành vi gian lận hoặc trốn thuế sẽ dễ dàng bị phát hiện và xử lý nghiêm. - HUMAN-ENF1]]</f>
        <v>5</v>
      </c>
      <c r="T202">
        <f t="shared" si="82"/>
        <v>0.44444444444444442</v>
      </c>
      <c r="U202">
        <f>step3_validation[[#This Row],[AI_ENF2]]</f>
        <v>5</v>
      </c>
      <c r="V202">
        <f t="shared" si="83"/>
        <v>0.44444444444444442</v>
      </c>
      <c r="W202">
        <f>survey_responses[[#This Row],[Tôi tin rằng Nhà nước, cơ quan thuế có đủ khả năng và công nghệ để phát hiện, xử lý nghiêm các hành vi trốn thuế. - HUMAN-ENF2]]</f>
        <v>5</v>
      </c>
      <c r="X202">
        <f t="shared" si="84"/>
        <v>0.44444444444444442</v>
      </c>
      <c r="Y202" s="32">
        <f t="shared" si="85"/>
        <v>0.5</v>
      </c>
      <c r="Z202" s="32">
        <f t="shared" si="86"/>
        <v>0.44444444444444442</v>
      </c>
      <c r="AA202">
        <f>step3_validation[[#This Row],[AI_FAC1]]</f>
        <v>9</v>
      </c>
      <c r="AB202">
        <f t="shared" si="87"/>
        <v>0.88888888888888884</v>
      </c>
      <c r="AC202">
        <f>survey_responses[[#This Row],[Các thủ tục khai báo thuế VÀ/HOẶC quy trình làm việc với cơ quan thuế đơn giản, tiện lợi, nhanh chóng hơn so với trước đây. - HUMAN-FAC1]]</f>
        <v>1</v>
      </c>
      <c r="AD202">
        <f t="shared" si="88"/>
        <v>0</v>
      </c>
      <c r="AE202">
        <f>step3_validation[[#This Row],[AI_FAC2]]</f>
        <v>9</v>
      </c>
      <c r="AF202">
        <f t="shared" si="89"/>
        <v>0.88888888888888884</v>
      </c>
      <c r="AG202">
        <f>survey_responses[[#This Row],[So với trước đây, tôi thấy cách tính thuế và các bậc thuế trong phương án mới đơn giản, dễ hiểu và dễ thực hiện hơn. - HUMAN-FAC2]]</f>
        <v>5</v>
      </c>
      <c r="AH202">
        <f t="shared" si="90"/>
        <v>0.44444444444444442</v>
      </c>
      <c r="AI202" s="32">
        <f t="shared" si="91"/>
        <v>0.88888888888888884</v>
      </c>
      <c r="AJ202" s="32">
        <f t="shared" si="92"/>
        <v>0.22222222222222221</v>
      </c>
      <c r="AK202">
        <f>step3_validation[[#This Row],[AI_TRU1]]</f>
        <v>7</v>
      </c>
      <c r="AL202">
        <f t="shared" si="93"/>
        <v>0.66666666666666663</v>
      </c>
      <c r="AM202">
        <f>survey_responses[[#This Row],[Tôi tin rằng Nhà nước, cơ quan thuế sẽ thực thi chính sách mới một cách khách quan, công tâm và đối xử bình đẳng với mọi người nộp thuế.  - HUMAN-TRU1]]</f>
        <v>4</v>
      </c>
      <c r="AN202">
        <f t="shared" si="94"/>
        <v>0.33333333333333331</v>
      </c>
      <c r="AO202">
        <f>step3_validation[[#This Row],[AI_TRU2]]</f>
        <v>8</v>
      </c>
      <c r="AP202">
        <f t="shared" si="95"/>
        <v>0.77777777777777779</v>
      </c>
      <c r="AQ202">
        <f>survey_responses[[#This Row],[Tôi thấy mức thuế tôi phải đóng theo phương án mới là công bằng (người thu nhập như tôi đóng mức này là hợp lý). - HUMAN-TRU2]]</f>
        <v>2</v>
      </c>
      <c r="AR202">
        <f t="shared" si="96"/>
        <v>0.1111111111111111</v>
      </c>
      <c r="AS202">
        <f>step3_validation[[#This Row],[AI_TRU3]]</f>
        <v>7</v>
      </c>
      <c r="AT202">
        <f t="shared" si="97"/>
        <v>0.66666666666666663</v>
      </c>
      <c r="AU202">
        <f>survey_responses[[#This Row],[Tôi tin tưởng số tiền thuế tôi đóng sẽ được Nhà nước sử dụng hiệu quả để cải thiện dịch vụ công (y tế, đường xá...). - HUMAN-TRU3]]</f>
        <v>2</v>
      </c>
      <c r="AV202">
        <f t="shared" si="98"/>
        <v>0.1111111111111111</v>
      </c>
      <c r="AW202">
        <f>step3_validation[[#This Row],[AI_TRU4]]</f>
        <v>6</v>
      </c>
      <c r="AX202">
        <f t="shared" si="99"/>
        <v>0.55555555555555558</v>
      </c>
      <c r="AY202">
        <f>survey_responses[[#This Row],[Tôi thấy Nhà nước đã giải thích rõ ràng, minh bạch về lý do và mục tiêu của việc sửa đổi thuế lần này. - HUMAN-TRU4]]</f>
        <v>5</v>
      </c>
      <c r="AZ202">
        <f t="shared" si="100"/>
        <v>0.44444444444444442</v>
      </c>
      <c r="BA202" s="32">
        <f t="shared" si="101"/>
        <v>0.66666666666666674</v>
      </c>
      <c r="BB202" s="32">
        <f t="shared" si="102"/>
        <v>0.25</v>
      </c>
      <c r="BC202" s="7">
        <f t="shared" si="103"/>
        <v>0.68518518518518512</v>
      </c>
      <c r="BD202" s="7">
        <f t="shared" si="104"/>
        <v>0.30555555555555552</v>
      </c>
      <c r="BE202">
        <f>step3_validation[[#This Row],[AI_OUT1]]</f>
        <v>9</v>
      </c>
      <c r="BF202">
        <f t="shared" si="105"/>
        <v>0.88888888888888884</v>
      </c>
      <c r="BG202">
        <f>survey_responses[[#This Row],[Sau khi xem xét các quyền lợi và nghĩa vụ, bạn có ủng hộ và tuân thủ chính sách mới hiện nay? - HUMAN-OUT1]]</f>
        <v>4</v>
      </c>
      <c r="BH202">
        <f t="shared" si="106"/>
        <v>0.33333333333333331</v>
      </c>
      <c r="BI202" s="32">
        <f t="shared" si="107"/>
        <v>5</v>
      </c>
    </row>
    <row r="203" spans="1:61" x14ac:dyDescent="0.45">
      <c r="A203" s="30">
        <f>step3_validation[[#This Row],[Persona_ID]]</f>
        <v>202</v>
      </c>
      <c r="B203" s="31">
        <f>step3_validation[[#This Row],[Used_Seed]]</f>
        <v>243</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81.766804428251689</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7</v>
      </c>
      <c r="R203">
        <f t="shared" si="81"/>
        <v>0.66666666666666663</v>
      </c>
      <c r="S203">
        <f>survey_responses[[#This Row],[Tôi tin rằng với các quy định quản lý thuế hiện nay, hành vi gian lận hoặc trốn thuế sẽ dễ dàng bị phát hiện và xử lý nghiêm. - HUMAN-ENF1]]</f>
        <v>6</v>
      </c>
      <c r="T203">
        <f t="shared" si="82"/>
        <v>0.55555555555555558</v>
      </c>
      <c r="U203">
        <f>step3_validation[[#This Row],[AI_ENF2]]</f>
        <v>8</v>
      </c>
      <c r="V203">
        <f t="shared" si="83"/>
        <v>0.77777777777777779</v>
      </c>
      <c r="W203">
        <f>survey_responses[[#This Row],[Tôi tin rằng Nhà nước, cơ quan thuế có đủ khả năng và công nghệ để phát hiện, xử lý nghiêm các hành vi trốn thuế. - HUMAN-ENF2]]</f>
        <v>8</v>
      </c>
      <c r="X203">
        <f t="shared" si="84"/>
        <v>0.77777777777777779</v>
      </c>
      <c r="Y203" s="32">
        <f t="shared" si="85"/>
        <v>0.72222222222222221</v>
      </c>
      <c r="Z203" s="32">
        <f t="shared" si="86"/>
        <v>0.66666666666666674</v>
      </c>
      <c r="AA203">
        <f>step3_validation[[#This Row],[AI_FAC1]]</f>
        <v>9</v>
      </c>
      <c r="AB203">
        <f t="shared" si="87"/>
        <v>0.88888888888888884</v>
      </c>
      <c r="AC203">
        <f>survey_responses[[#This Row],[Các thủ tục khai báo thuế VÀ/HOẶC quy trình làm việc với cơ quan thuế đơn giản, tiện lợi, nhanh chóng hơn so với trước đây. - HUMAN-FAC1]]</f>
        <v>8</v>
      </c>
      <c r="AD203">
        <f t="shared" si="88"/>
        <v>0.77777777777777779</v>
      </c>
      <c r="AE203">
        <f>step3_validation[[#This Row],[AI_FAC2]]</f>
        <v>10</v>
      </c>
      <c r="AF203">
        <f t="shared" si="89"/>
        <v>1</v>
      </c>
      <c r="AG203">
        <f>survey_responses[[#This Row],[So với trước đây, tôi thấy cách tính thuế và các bậc thuế trong phương án mới đơn giản, dễ hiểu và dễ thực hiện hơn. - HUMAN-FAC2]]</f>
        <v>9</v>
      </c>
      <c r="AH203">
        <f t="shared" si="90"/>
        <v>0.88888888888888884</v>
      </c>
      <c r="AI203" s="32">
        <f t="shared" si="91"/>
        <v>0.94444444444444442</v>
      </c>
      <c r="AJ203" s="32">
        <f t="shared" si="92"/>
        <v>0.83333333333333326</v>
      </c>
      <c r="AK203">
        <f>step3_validation[[#This Row],[AI_TRU1]]</f>
        <v>9</v>
      </c>
      <c r="AL203">
        <f t="shared" si="93"/>
        <v>0.88888888888888884</v>
      </c>
      <c r="AM203">
        <f>survey_responses[[#This Row],[Tôi tin rằng Nhà nước, cơ quan thuế sẽ thực thi chính sách mới một cách khách quan, công tâm và đối xử bình đẳng với mọi người nộp thuế.  - HUMAN-TRU1]]</f>
        <v>7</v>
      </c>
      <c r="AN203">
        <f t="shared" si="94"/>
        <v>0.66666666666666663</v>
      </c>
      <c r="AO203">
        <f>step3_validation[[#This Row],[AI_TRU2]]</f>
        <v>8</v>
      </c>
      <c r="AP203">
        <f t="shared" si="95"/>
        <v>0.77777777777777779</v>
      </c>
      <c r="AQ203">
        <f>survey_responses[[#This Row],[Tôi thấy mức thuế tôi phải đóng theo phương án mới là công bằng (người thu nhập như tôi đóng mức này là hợp lý). - HUMAN-TRU2]]</f>
        <v>7</v>
      </c>
      <c r="AR203">
        <f t="shared" si="96"/>
        <v>0.66666666666666663</v>
      </c>
      <c r="AS203">
        <f>step3_validation[[#This Row],[AI_TRU3]]</f>
        <v>9</v>
      </c>
      <c r="AT203">
        <f t="shared" si="97"/>
        <v>0.88888888888888884</v>
      </c>
      <c r="AU203">
        <f>survey_responses[[#This Row],[Tôi tin tưởng số tiền thuế tôi đóng sẽ được Nhà nước sử dụng hiệu quả để cải thiện dịch vụ công (y tế, đường xá...). - HUMAN-TRU3]]</f>
        <v>7</v>
      </c>
      <c r="AV203">
        <f t="shared" si="98"/>
        <v>0.66666666666666663</v>
      </c>
      <c r="AW203">
        <f>step3_validation[[#This Row],[AI_TRU4]]</f>
        <v>8</v>
      </c>
      <c r="AX203">
        <f t="shared" si="99"/>
        <v>0.77777777777777779</v>
      </c>
      <c r="AY203">
        <f>survey_responses[[#This Row],[Tôi thấy Nhà nước đã giải thích rõ ràng, minh bạch về lý do và mục tiêu của việc sửa đổi thuế lần này. - HUMAN-TRU4]]</f>
        <v>8</v>
      </c>
      <c r="AZ203">
        <f t="shared" si="100"/>
        <v>0.77777777777777779</v>
      </c>
      <c r="BA203" s="32">
        <f t="shared" si="101"/>
        <v>0.83333333333333326</v>
      </c>
      <c r="BB203" s="32">
        <f t="shared" si="102"/>
        <v>0.69444444444444442</v>
      </c>
      <c r="BC203" s="7">
        <f t="shared" si="103"/>
        <v>0.83333333333333337</v>
      </c>
      <c r="BD203" s="7">
        <f t="shared" si="104"/>
        <v>0.73148148148148151</v>
      </c>
      <c r="BE203">
        <f>step3_validation[[#This Row],[AI_OUT1]]</f>
        <v>9</v>
      </c>
      <c r="BF203">
        <f t="shared" si="105"/>
        <v>0.88888888888888884</v>
      </c>
      <c r="BG203">
        <f>survey_responses[[#This Row],[Sau khi xem xét các quyền lợi và nghĩa vụ, bạn có ủng hộ và tuân thủ chính sách mới hiện nay? - HUMAN-OUT1]]</f>
        <v>8</v>
      </c>
      <c r="BH203">
        <f t="shared" si="106"/>
        <v>0.77777777777777779</v>
      </c>
      <c r="BI203" s="32">
        <f t="shared" si="107"/>
        <v>1</v>
      </c>
    </row>
    <row r="204" spans="1:61" x14ac:dyDescent="0.45">
      <c r="A204" s="30">
        <f>step3_validation[[#This Row],[Persona_ID]]</f>
        <v>203</v>
      </c>
      <c r="B204" s="31">
        <f>step3_validation[[#This Row],[Used_Seed]]</f>
        <v>244</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108.41927328505672</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8</v>
      </c>
      <c r="R204">
        <f t="shared" si="81"/>
        <v>0.77777777777777779</v>
      </c>
      <c r="S204">
        <f>survey_responses[[#This Row],[Tôi tin rằng với các quy định quản lý thuế hiện nay, hành vi gian lận hoặc trốn thuế sẽ dễ dàng bị phát hiện và xử lý nghiêm. - HUMAN-ENF1]]</f>
        <v>5</v>
      </c>
      <c r="T204">
        <f t="shared" si="82"/>
        <v>0.44444444444444442</v>
      </c>
      <c r="U204">
        <f>step3_validation[[#This Row],[AI_ENF2]]</f>
        <v>8</v>
      </c>
      <c r="V204">
        <f t="shared" si="83"/>
        <v>0.77777777777777779</v>
      </c>
      <c r="W204">
        <f>survey_responses[[#This Row],[Tôi tin rằng Nhà nước, cơ quan thuế có đủ khả năng và công nghệ để phát hiện, xử lý nghiêm các hành vi trốn thuế. - HUMAN-ENF2]]</f>
        <v>5</v>
      </c>
      <c r="X204">
        <f t="shared" si="84"/>
        <v>0.44444444444444442</v>
      </c>
      <c r="Y204" s="32">
        <f t="shared" si="85"/>
        <v>0.77777777777777779</v>
      </c>
      <c r="Z204" s="32">
        <f t="shared" si="86"/>
        <v>0.44444444444444442</v>
      </c>
      <c r="AA204">
        <f>step3_validation[[#This Row],[AI_FAC1]]</f>
        <v>9</v>
      </c>
      <c r="AB204">
        <f t="shared" si="87"/>
        <v>0.88888888888888884</v>
      </c>
      <c r="AC204">
        <f>survey_responses[[#This Row],[Các thủ tục khai báo thuế VÀ/HOẶC quy trình làm việc với cơ quan thuế đơn giản, tiện lợi, nhanh chóng hơn so với trước đây. - HUMAN-FAC1]]</f>
        <v>5</v>
      </c>
      <c r="AD204">
        <f t="shared" si="88"/>
        <v>0.44444444444444442</v>
      </c>
      <c r="AE204">
        <f>step3_validation[[#This Row],[AI_FAC2]]</f>
        <v>9</v>
      </c>
      <c r="AF204">
        <f t="shared" si="89"/>
        <v>0.88888888888888884</v>
      </c>
      <c r="AG204">
        <f>survey_responses[[#This Row],[So với trước đây, tôi thấy cách tính thuế và các bậc thuế trong phương án mới đơn giản, dễ hiểu và dễ thực hiện hơn. - HUMAN-FAC2]]</f>
        <v>5</v>
      </c>
      <c r="AH204">
        <f t="shared" si="90"/>
        <v>0.44444444444444442</v>
      </c>
      <c r="AI204" s="32">
        <f t="shared" si="91"/>
        <v>0.88888888888888884</v>
      </c>
      <c r="AJ204" s="32">
        <f t="shared" si="92"/>
        <v>0.44444444444444442</v>
      </c>
      <c r="AK204">
        <f>step3_validation[[#This Row],[AI_TRU1]]</f>
        <v>8</v>
      </c>
      <c r="AL204">
        <f t="shared" si="93"/>
        <v>0.77777777777777779</v>
      </c>
      <c r="AM204">
        <f>survey_responses[[#This Row],[Tôi tin rằng Nhà nước, cơ quan thuế sẽ thực thi chính sách mới một cách khách quan, công tâm và đối xử bình đẳng với mọi người nộp thuế.  - HUMAN-TRU1]]</f>
        <v>5</v>
      </c>
      <c r="AN204">
        <f t="shared" si="94"/>
        <v>0.44444444444444442</v>
      </c>
      <c r="AO204">
        <f>step3_validation[[#This Row],[AI_TRU2]]</f>
        <v>9</v>
      </c>
      <c r="AP204">
        <f t="shared" si="95"/>
        <v>0.88888888888888884</v>
      </c>
      <c r="AQ204">
        <f>survey_responses[[#This Row],[Tôi thấy mức thuế tôi phải đóng theo phương án mới là công bằng (người thu nhập như tôi đóng mức này là hợp lý). - HUMAN-TRU2]]</f>
        <v>5</v>
      </c>
      <c r="AR204">
        <f t="shared" si="96"/>
        <v>0.44444444444444442</v>
      </c>
      <c r="AS204">
        <f>step3_validation[[#This Row],[AI_TRU3]]</f>
        <v>8</v>
      </c>
      <c r="AT204">
        <f t="shared" si="97"/>
        <v>0.77777777777777779</v>
      </c>
      <c r="AU204">
        <f>survey_responses[[#This Row],[Tôi tin tưởng số tiền thuế tôi đóng sẽ được Nhà nước sử dụng hiệu quả để cải thiện dịch vụ công (y tế, đường xá...). - HUMAN-TRU3]]</f>
        <v>5</v>
      </c>
      <c r="AV204">
        <f t="shared" si="98"/>
        <v>0.44444444444444442</v>
      </c>
      <c r="AW204">
        <f>step3_validation[[#This Row],[AI_TRU4]]</f>
        <v>7</v>
      </c>
      <c r="AX204">
        <f t="shared" si="99"/>
        <v>0.66666666666666663</v>
      </c>
      <c r="AY204">
        <f>survey_responses[[#This Row],[Tôi thấy Nhà nước đã giải thích rõ ràng, minh bạch về lý do và mục tiêu của việc sửa đổi thuế lần này. - HUMAN-TRU4]]</f>
        <v>5</v>
      </c>
      <c r="AZ204">
        <f t="shared" si="100"/>
        <v>0.44444444444444442</v>
      </c>
      <c r="BA204" s="32">
        <f t="shared" si="101"/>
        <v>0.77777777777777768</v>
      </c>
      <c r="BB204" s="32">
        <f t="shared" si="102"/>
        <v>0.44444444444444442</v>
      </c>
      <c r="BC204" s="7">
        <f t="shared" si="103"/>
        <v>0.81481481481481477</v>
      </c>
      <c r="BD204" s="7">
        <f t="shared" si="104"/>
        <v>0.44444444444444442</v>
      </c>
      <c r="BE204">
        <f>step3_validation[[#This Row],[AI_OUT1]]</f>
        <v>9</v>
      </c>
      <c r="BF204">
        <f t="shared" si="105"/>
        <v>0.88888888888888884</v>
      </c>
      <c r="BG204">
        <f>survey_responses[[#This Row],[Sau khi xem xét các quyền lợi và nghĩa vụ, bạn có ủng hộ và tuân thủ chính sách mới hiện nay? - HUMAN-OUT1]]</f>
        <v>5</v>
      </c>
      <c r="BH204">
        <f t="shared" si="106"/>
        <v>0.44444444444444442</v>
      </c>
      <c r="BI204" s="32">
        <f t="shared" si="107"/>
        <v>4</v>
      </c>
    </row>
    <row r="205" spans="1:61" x14ac:dyDescent="0.45">
      <c r="A205" s="30">
        <f>step3_validation[[#This Row],[Persona_ID]]</f>
        <v>204</v>
      </c>
      <c r="B205" s="31">
        <f>step3_validation[[#This Row],[Used_Seed]]</f>
        <v>245</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38.764103884941036</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8</v>
      </c>
      <c r="R205">
        <f t="shared" si="81"/>
        <v>0.77777777777777779</v>
      </c>
      <c r="S205">
        <f>survey_responses[[#This Row],[Tôi tin rằng với các quy định quản lý thuế hiện nay, hành vi gian lận hoặc trốn thuế sẽ dễ dàng bị phát hiện và xử lý nghiêm. - HUMAN-ENF1]]</f>
        <v>7</v>
      </c>
      <c r="T205">
        <f t="shared" si="82"/>
        <v>0.66666666666666663</v>
      </c>
      <c r="U205">
        <f>step3_validation[[#This Row],[AI_ENF2]]</f>
        <v>9</v>
      </c>
      <c r="V205">
        <f t="shared" si="83"/>
        <v>0.88888888888888884</v>
      </c>
      <c r="W205">
        <f>survey_responses[[#This Row],[Tôi tin rằng Nhà nước, cơ quan thuế có đủ khả năng và công nghệ để phát hiện, xử lý nghiêm các hành vi trốn thuế. - HUMAN-ENF2]]</f>
        <v>7</v>
      </c>
      <c r="X205">
        <f t="shared" si="84"/>
        <v>0.66666666666666663</v>
      </c>
      <c r="Y205" s="32">
        <f t="shared" si="85"/>
        <v>0.83333333333333326</v>
      </c>
      <c r="Z205" s="32">
        <f t="shared" si="86"/>
        <v>0.66666666666666663</v>
      </c>
      <c r="AA205">
        <f>step3_validation[[#This Row],[AI_FAC1]]</f>
        <v>8</v>
      </c>
      <c r="AB205">
        <f t="shared" si="87"/>
        <v>0.77777777777777779</v>
      </c>
      <c r="AC205">
        <f>survey_responses[[#This Row],[Các thủ tục khai báo thuế VÀ/HOẶC quy trình làm việc với cơ quan thuế đơn giản, tiện lợi, nhanh chóng hơn so với trước đây. - HUMAN-FAC1]]</f>
        <v>7</v>
      </c>
      <c r="AD205">
        <f t="shared" si="88"/>
        <v>0.66666666666666663</v>
      </c>
      <c r="AE205">
        <f>step3_validation[[#This Row],[AI_FAC2]]</f>
        <v>9</v>
      </c>
      <c r="AF205">
        <f t="shared" si="89"/>
        <v>0.88888888888888884</v>
      </c>
      <c r="AG205">
        <f>survey_responses[[#This Row],[So với trước đây, tôi thấy cách tính thuế và các bậc thuế trong phương án mới đơn giản, dễ hiểu và dễ thực hiện hơn. - HUMAN-FAC2]]</f>
        <v>8</v>
      </c>
      <c r="AH205">
        <f t="shared" si="90"/>
        <v>0.77777777777777779</v>
      </c>
      <c r="AI205" s="32">
        <f t="shared" si="91"/>
        <v>0.83333333333333326</v>
      </c>
      <c r="AJ205" s="32">
        <f t="shared" si="92"/>
        <v>0.72222222222222221</v>
      </c>
      <c r="AK205">
        <f>step3_validation[[#This Row],[AI_TRU1]]</f>
        <v>8</v>
      </c>
      <c r="AL205">
        <f t="shared" si="93"/>
        <v>0.77777777777777779</v>
      </c>
      <c r="AM205">
        <f>survey_responses[[#This Row],[Tôi tin rằng Nhà nước, cơ quan thuế sẽ thực thi chính sách mới một cách khách quan, công tâm và đối xử bình đẳng với mọi người nộp thuế.  - HUMAN-TRU1]]</f>
        <v>7</v>
      </c>
      <c r="AN205">
        <f t="shared" si="94"/>
        <v>0.66666666666666663</v>
      </c>
      <c r="AO205">
        <f>step3_validation[[#This Row],[AI_TRU2]]</f>
        <v>9</v>
      </c>
      <c r="AP205">
        <f t="shared" si="95"/>
        <v>0.88888888888888884</v>
      </c>
      <c r="AQ205">
        <f>survey_responses[[#This Row],[Tôi thấy mức thuế tôi phải đóng theo phương án mới là công bằng (người thu nhập như tôi đóng mức này là hợp lý). - HUMAN-TRU2]]</f>
        <v>7</v>
      </c>
      <c r="AR205">
        <f t="shared" si="96"/>
        <v>0.66666666666666663</v>
      </c>
      <c r="AS205">
        <f>step3_validation[[#This Row],[AI_TRU3]]</f>
        <v>8</v>
      </c>
      <c r="AT205">
        <f t="shared" si="97"/>
        <v>0.77777777777777779</v>
      </c>
      <c r="AU205">
        <f>survey_responses[[#This Row],[Tôi tin tưởng số tiền thuế tôi đóng sẽ được Nhà nước sử dụng hiệu quả để cải thiện dịch vụ công (y tế, đường xá...). - HUMAN-TRU3]]</f>
        <v>7</v>
      </c>
      <c r="AV205">
        <f t="shared" si="98"/>
        <v>0.66666666666666663</v>
      </c>
      <c r="AW205">
        <f>step3_validation[[#This Row],[AI_TRU4]]</f>
        <v>9</v>
      </c>
      <c r="AX205">
        <f t="shared" si="99"/>
        <v>0.88888888888888884</v>
      </c>
      <c r="AY205">
        <f>survey_responses[[#This Row],[Tôi thấy Nhà nước đã giải thích rõ ràng, minh bạch về lý do và mục tiêu của việc sửa đổi thuế lần này. - HUMAN-TRU4]]</f>
        <v>7</v>
      </c>
      <c r="AZ205">
        <f t="shared" si="100"/>
        <v>0.66666666666666663</v>
      </c>
      <c r="BA205" s="32">
        <f t="shared" si="101"/>
        <v>0.83333333333333326</v>
      </c>
      <c r="BB205" s="32">
        <f t="shared" si="102"/>
        <v>0.66666666666666663</v>
      </c>
      <c r="BC205" s="7">
        <f t="shared" si="103"/>
        <v>0.83333333333333337</v>
      </c>
      <c r="BD205" s="7">
        <f t="shared" si="104"/>
        <v>0.68518518518518512</v>
      </c>
      <c r="BE205">
        <f>step3_validation[[#This Row],[AI_OUT1]]</f>
        <v>10</v>
      </c>
      <c r="BF205">
        <f t="shared" si="105"/>
        <v>1</v>
      </c>
      <c r="BG205">
        <f>survey_responses[[#This Row],[Sau khi xem xét các quyền lợi và nghĩa vụ, bạn có ủng hộ và tuân thủ chính sách mới hiện nay? - HUMAN-OUT1]]</f>
        <v>7</v>
      </c>
      <c r="BH205">
        <f t="shared" si="106"/>
        <v>0.66666666666666663</v>
      </c>
      <c r="BI205" s="32">
        <f t="shared" si="107"/>
        <v>3</v>
      </c>
    </row>
    <row r="206" spans="1:61" x14ac:dyDescent="0.45">
      <c r="A206" s="30">
        <f>step3_validation[[#This Row],[Persona_ID]]</f>
        <v>205</v>
      </c>
      <c r="B206" s="31">
        <f>step3_validation[[#This Row],[Used_Seed]]</f>
        <v>246</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25.324684121839315</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9</v>
      </c>
      <c r="R206">
        <f t="shared" si="81"/>
        <v>0.88888888888888884</v>
      </c>
      <c r="S206">
        <f>survey_responses[[#This Row],[Tôi tin rằng với các quy định quản lý thuế hiện nay, hành vi gian lận hoặc trốn thuế sẽ dễ dàng bị phát hiện và xử lý nghiêm. - HUMAN-ENF1]]</f>
        <v>3</v>
      </c>
      <c r="T206">
        <f t="shared" si="82"/>
        <v>0.22222222222222221</v>
      </c>
      <c r="U206">
        <f>step3_validation[[#This Row],[AI_ENF2]]</f>
        <v>8</v>
      </c>
      <c r="V206">
        <f t="shared" si="83"/>
        <v>0.77777777777777779</v>
      </c>
      <c r="W206">
        <f>survey_responses[[#This Row],[Tôi tin rằng Nhà nước, cơ quan thuế có đủ khả năng và công nghệ để phát hiện, xử lý nghiêm các hành vi trốn thuế. - HUMAN-ENF2]]</f>
        <v>1</v>
      </c>
      <c r="X206">
        <f t="shared" si="84"/>
        <v>0</v>
      </c>
      <c r="Y206" s="32">
        <f t="shared" si="85"/>
        <v>0.83333333333333326</v>
      </c>
      <c r="Z206" s="32">
        <f t="shared" si="86"/>
        <v>0.1111111111111111</v>
      </c>
      <c r="AA206">
        <f>step3_validation[[#This Row],[AI_FAC1]]</f>
        <v>9</v>
      </c>
      <c r="AB206">
        <f t="shared" si="87"/>
        <v>0.88888888888888884</v>
      </c>
      <c r="AC206">
        <f>survey_responses[[#This Row],[Các thủ tục khai báo thuế VÀ/HOẶC quy trình làm việc với cơ quan thuế đơn giản, tiện lợi, nhanh chóng hơn so với trước đây. - HUMAN-FAC1]]</f>
        <v>1</v>
      </c>
      <c r="AD206">
        <f t="shared" si="88"/>
        <v>0</v>
      </c>
      <c r="AE206">
        <f>step3_validation[[#This Row],[AI_FAC2]]</f>
        <v>8</v>
      </c>
      <c r="AF206">
        <f t="shared" si="89"/>
        <v>0.77777777777777779</v>
      </c>
      <c r="AG206">
        <f>survey_responses[[#This Row],[So với trước đây, tôi thấy cách tính thuế và các bậc thuế trong phương án mới đơn giản, dễ hiểu và dễ thực hiện hơn. - HUMAN-FAC2]]</f>
        <v>5</v>
      </c>
      <c r="AH206">
        <f t="shared" si="90"/>
        <v>0.44444444444444442</v>
      </c>
      <c r="AI206" s="32">
        <f t="shared" si="91"/>
        <v>0.83333333333333326</v>
      </c>
      <c r="AJ206" s="32">
        <f t="shared" si="92"/>
        <v>0.22222222222222221</v>
      </c>
      <c r="AK206">
        <f>step3_validation[[#This Row],[AI_TRU1]]</f>
        <v>9</v>
      </c>
      <c r="AL206">
        <f t="shared" si="93"/>
        <v>0.88888888888888884</v>
      </c>
      <c r="AM206">
        <f>survey_responses[[#This Row],[Tôi tin rằng Nhà nước, cơ quan thuế sẽ thực thi chính sách mới một cách khách quan, công tâm và đối xử bình đẳng với mọi người nộp thuế.  - HUMAN-TRU1]]</f>
        <v>1</v>
      </c>
      <c r="AN206">
        <f t="shared" si="94"/>
        <v>0</v>
      </c>
      <c r="AO206">
        <f>step3_validation[[#This Row],[AI_TRU2]]</f>
        <v>8</v>
      </c>
      <c r="AP206">
        <f t="shared" si="95"/>
        <v>0.77777777777777779</v>
      </c>
      <c r="AQ206">
        <f>survey_responses[[#This Row],[Tôi thấy mức thuế tôi phải đóng theo phương án mới là công bằng (người thu nhập như tôi đóng mức này là hợp lý). - HUMAN-TRU2]]</f>
        <v>1</v>
      </c>
      <c r="AR206">
        <f t="shared" si="96"/>
        <v>0</v>
      </c>
      <c r="AS206">
        <f>step3_validation[[#This Row],[AI_TRU3]]</f>
        <v>9</v>
      </c>
      <c r="AT206">
        <f t="shared" si="97"/>
        <v>0.88888888888888884</v>
      </c>
      <c r="AU206">
        <f>survey_responses[[#This Row],[Tôi tin tưởng số tiền thuế tôi đóng sẽ được Nhà nước sử dụng hiệu quả để cải thiện dịch vụ công (y tế, đường xá...). - HUMAN-TRU3]]</f>
        <v>1</v>
      </c>
      <c r="AV206">
        <f t="shared" si="98"/>
        <v>0</v>
      </c>
      <c r="AW206">
        <f>step3_validation[[#This Row],[AI_TRU4]]</f>
        <v>8</v>
      </c>
      <c r="AX206">
        <f t="shared" si="99"/>
        <v>0.77777777777777779</v>
      </c>
      <c r="AY206">
        <f>survey_responses[[#This Row],[Tôi thấy Nhà nước đã giải thích rõ ràng, minh bạch về lý do và mục tiêu của việc sửa đổi thuế lần này. - HUMAN-TRU4]]</f>
        <v>4</v>
      </c>
      <c r="AZ206">
        <f t="shared" si="100"/>
        <v>0.33333333333333331</v>
      </c>
      <c r="BA206" s="32">
        <f t="shared" si="101"/>
        <v>0.83333333333333326</v>
      </c>
      <c r="BB206" s="32">
        <f t="shared" si="102"/>
        <v>8.3333333333333329E-2</v>
      </c>
      <c r="BC206" s="7">
        <f t="shared" si="103"/>
        <v>0.83333333333333337</v>
      </c>
      <c r="BD206" s="7">
        <f t="shared" si="104"/>
        <v>0.13888888888888887</v>
      </c>
      <c r="BE206">
        <f>step3_validation[[#This Row],[AI_OUT1]]</f>
        <v>9</v>
      </c>
      <c r="BF206">
        <f t="shared" si="105"/>
        <v>0.88888888888888884</v>
      </c>
      <c r="BG206">
        <f>survey_responses[[#This Row],[Sau khi xem xét các quyền lợi và nghĩa vụ, bạn có ủng hộ và tuân thủ chính sách mới hiện nay? - HUMAN-OUT1]]</f>
        <v>5</v>
      </c>
      <c r="BH206">
        <f t="shared" si="106"/>
        <v>0.44444444444444442</v>
      </c>
      <c r="BI206" s="32">
        <f t="shared" si="107"/>
        <v>4</v>
      </c>
    </row>
    <row r="207" spans="1:61" x14ac:dyDescent="0.45">
      <c r="A207" s="30">
        <f>step3_validation[[#This Row],[Persona_ID]]</f>
        <v>206</v>
      </c>
      <c r="B207" s="31">
        <f>step3_validation[[#This Row],[Used_Seed]]</f>
        <v>247</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64.590091265394577</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f t="shared" si="81"/>
        <v>0.66666666666666663</v>
      </c>
      <c r="S207">
        <f>survey_responses[[#This Row],[Tôi tin rằng với các quy định quản lý thuế hiện nay, hành vi gian lận hoặc trốn thuế sẽ dễ dàng bị phát hiện và xử lý nghiêm. - HUMAN-ENF1]]</f>
        <v>8</v>
      </c>
      <c r="T207">
        <f t="shared" si="82"/>
        <v>0.77777777777777779</v>
      </c>
      <c r="U207">
        <f>step3_validation[[#This Row],[AI_ENF2]]</f>
        <v>7</v>
      </c>
      <c r="V207">
        <f t="shared" si="83"/>
        <v>0.66666666666666663</v>
      </c>
      <c r="W207">
        <f>survey_responses[[#This Row],[Tôi tin rằng Nhà nước, cơ quan thuế có đủ khả năng và công nghệ để phát hiện, xử lý nghiêm các hành vi trốn thuế. - HUMAN-ENF2]]</f>
        <v>8</v>
      </c>
      <c r="X207">
        <f t="shared" si="84"/>
        <v>0.77777777777777779</v>
      </c>
      <c r="Y207" s="32">
        <f t="shared" si="85"/>
        <v>0.66666666666666663</v>
      </c>
      <c r="Z207" s="32">
        <f t="shared" si="86"/>
        <v>0.77777777777777779</v>
      </c>
      <c r="AA207">
        <f>step3_validation[[#This Row],[AI_FAC1]]</f>
        <v>6</v>
      </c>
      <c r="AB207">
        <f t="shared" si="87"/>
        <v>0.55555555555555558</v>
      </c>
      <c r="AC207">
        <f>survey_responses[[#This Row],[Các thủ tục khai báo thuế VÀ/HOẶC quy trình làm việc với cơ quan thuế đơn giản, tiện lợi, nhanh chóng hơn so với trước đây. - HUMAN-FAC1]]</f>
        <v>5</v>
      </c>
      <c r="AD207">
        <f t="shared" si="88"/>
        <v>0.44444444444444442</v>
      </c>
      <c r="AE207">
        <f>step3_validation[[#This Row],[AI_FAC2]]</f>
        <v>8</v>
      </c>
      <c r="AF207">
        <f t="shared" si="89"/>
        <v>0.77777777777777779</v>
      </c>
      <c r="AG207">
        <f>survey_responses[[#This Row],[So với trước đây, tôi thấy cách tính thuế và các bậc thuế trong phương án mới đơn giản, dễ hiểu và dễ thực hiện hơn. - HUMAN-FAC2]]</f>
        <v>7</v>
      </c>
      <c r="AH207">
        <f t="shared" si="90"/>
        <v>0.66666666666666663</v>
      </c>
      <c r="AI207" s="32">
        <f t="shared" si="91"/>
        <v>0.66666666666666674</v>
      </c>
      <c r="AJ207" s="32">
        <f t="shared" si="92"/>
        <v>0.55555555555555558</v>
      </c>
      <c r="AK207">
        <f>step3_validation[[#This Row],[AI_TRU1]]</f>
        <v>6</v>
      </c>
      <c r="AL207">
        <f t="shared" si="93"/>
        <v>0.55555555555555558</v>
      </c>
      <c r="AM207">
        <f>survey_responses[[#This Row],[Tôi tin rằng Nhà nước, cơ quan thuế sẽ thực thi chính sách mới một cách khách quan, công tâm và đối xử bình đẳng với mọi người nộp thuế.  - HUMAN-TRU1]]</f>
        <v>7</v>
      </c>
      <c r="AN207">
        <f t="shared" si="94"/>
        <v>0.66666666666666663</v>
      </c>
      <c r="AO207">
        <f>step3_validation[[#This Row],[AI_TRU2]]</f>
        <v>8</v>
      </c>
      <c r="AP207">
        <f t="shared" si="95"/>
        <v>0.77777777777777779</v>
      </c>
      <c r="AQ207">
        <f>survey_responses[[#This Row],[Tôi thấy mức thuế tôi phải đóng theo phương án mới là công bằng (người thu nhập như tôi đóng mức này là hợp lý). - HUMAN-TRU2]]</f>
        <v>6</v>
      </c>
      <c r="AR207">
        <f t="shared" si="96"/>
        <v>0.55555555555555558</v>
      </c>
      <c r="AS207">
        <f>step3_validation[[#This Row],[AI_TRU3]]</f>
        <v>5</v>
      </c>
      <c r="AT207">
        <f t="shared" si="97"/>
        <v>0.44444444444444442</v>
      </c>
      <c r="AU207">
        <f>survey_responses[[#This Row],[Tôi tin tưởng số tiền thuế tôi đóng sẽ được Nhà nước sử dụng hiệu quả để cải thiện dịch vụ công (y tế, đường xá...). - HUMAN-TRU3]]</f>
        <v>6</v>
      </c>
      <c r="AV207">
        <f t="shared" si="98"/>
        <v>0.55555555555555558</v>
      </c>
      <c r="AW207">
        <f>step3_validation[[#This Row],[AI_TRU4]]</f>
        <v>7</v>
      </c>
      <c r="AX207">
        <f t="shared" si="99"/>
        <v>0.66666666666666663</v>
      </c>
      <c r="AY207">
        <f>survey_responses[[#This Row],[Tôi thấy Nhà nước đã giải thích rõ ràng, minh bạch về lý do và mục tiêu của việc sửa đổi thuế lần này. - HUMAN-TRU4]]</f>
        <v>7</v>
      </c>
      <c r="AZ207">
        <f t="shared" si="100"/>
        <v>0.66666666666666663</v>
      </c>
      <c r="BA207" s="32">
        <f t="shared" si="101"/>
        <v>0.61111111111111116</v>
      </c>
      <c r="BB207" s="32">
        <f t="shared" si="102"/>
        <v>0.61111111111111116</v>
      </c>
      <c r="BC207" s="7">
        <f t="shared" si="103"/>
        <v>0.64814814814814825</v>
      </c>
      <c r="BD207" s="7">
        <f t="shared" si="104"/>
        <v>0.64814814814814825</v>
      </c>
      <c r="BE207">
        <f>step3_validation[[#This Row],[AI_OUT1]]</f>
        <v>8</v>
      </c>
      <c r="BF207">
        <f t="shared" si="105"/>
        <v>0.77777777777777779</v>
      </c>
      <c r="BG207">
        <f>survey_responses[[#This Row],[Sau khi xem xét các quyền lợi và nghĩa vụ, bạn có ủng hộ và tuân thủ chính sách mới hiện nay? - HUMAN-OUT1]]</f>
        <v>7</v>
      </c>
      <c r="BH207">
        <f t="shared" si="106"/>
        <v>0.66666666666666663</v>
      </c>
      <c r="BI207" s="32">
        <f t="shared" si="107"/>
        <v>1</v>
      </c>
    </row>
    <row r="208" spans="1:61" x14ac:dyDescent="0.45">
      <c r="A208" s="30">
        <f>step3_validation[[#This Row],[Persona_ID]]</f>
        <v>207</v>
      </c>
      <c r="B208" s="31">
        <f>step3_validation[[#This Row],[Used_Seed]]</f>
        <v>248</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54.220899937770611</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6</v>
      </c>
      <c r="R208">
        <f t="shared" si="81"/>
        <v>0.55555555555555558</v>
      </c>
      <c r="S208">
        <f>survey_responses[[#This Row],[Tôi tin rằng với các quy định quản lý thuế hiện nay, hành vi gian lận hoặc trốn thuế sẽ dễ dàng bị phát hiện và xử lý nghiêm. - HUMAN-ENF1]]</f>
        <v>4</v>
      </c>
      <c r="T208">
        <f t="shared" si="82"/>
        <v>0.33333333333333331</v>
      </c>
      <c r="U208">
        <f>step3_validation[[#This Row],[AI_ENF2]]</f>
        <v>5</v>
      </c>
      <c r="V208">
        <f t="shared" si="83"/>
        <v>0.44444444444444442</v>
      </c>
      <c r="W208">
        <f>survey_responses[[#This Row],[Tôi tin rằng Nhà nước, cơ quan thuế có đủ khả năng và công nghệ để phát hiện, xử lý nghiêm các hành vi trốn thuế. - HUMAN-ENF2]]</f>
        <v>3</v>
      </c>
      <c r="X208">
        <f t="shared" si="84"/>
        <v>0.22222222222222221</v>
      </c>
      <c r="Y208" s="32">
        <f t="shared" si="85"/>
        <v>0.5</v>
      </c>
      <c r="Z208" s="32">
        <f t="shared" si="86"/>
        <v>0.27777777777777779</v>
      </c>
      <c r="AA208">
        <f>step3_validation[[#This Row],[AI_FAC1]]</f>
        <v>9</v>
      </c>
      <c r="AB208">
        <f t="shared" si="87"/>
        <v>0.88888888888888884</v>
      </c>
      <c r="AC208">
        <f>survey_responses[[#This Row],[Các thủ tục khai báo thuế VÀ/HOẶC quy trình làm việc với cơ quan thuế đơn giản, tiện lợi, nhanh chóng hơn so với trước đây. - HUMAN-FAC1]]</f>
        <v>1</v>
      </c>
      <c r="AD208">
        <f t="shared" si="88"/>
        <v>0</v>
      </c>
      <c r="AE208">
        <f>step3_validation[[#This Row],[AI_FAC2]]</f>
        <v>8</v>
      </c>
      <c r="AF208">
        <f t="shared" si="89"/>
        <v>0.77777777777777779</v>
      </c>
      <c r="AG208">
        <f>survey_responses[[#This Row],[So với trước đây, tôi thấy cách tính thuế và các bậc thuế trong phương án mới đơn giản, dễ hiểu và dễ thực hiện hơn. - HUMAN-FAC2]]</f>
        <v>2</v>
      </c>
      <c r="AH208">
        <f t="shared" si="90"/>
        <v>0.1111111111111111</v>
      </c>
      <c r="AI208" s="32">
        <f t="shared" si="91"/>
        <v>0.83333333333333326</v>
      </c>
      <c r="AJ208" s="32">
        <f t="shared" si="92"/>
        <v>5.5555555555555552E-2</v>
      </c>
      <c r="AK208">
        <f>step3_validation[[#This Row],[AI_TRU1]]</f>
        <v>7</v>
      </c>
      <c r="AL208">
        <f t="shared" si="93"/>
        <v>0.66666666666666663</v>
      </c>
      <c r="AM208">
        <f>survey_responses[[#This Row],[Tôi tin rằng Nhà nước, cơ quan thuế sẽ thực thi chính sách mới một cách khách quan, công tâm và đối xử bình đẳng với mọi người nộp thuế.  - HUMAN-TRU1]]</f>
        <v>1</v>
      </c>
      <c r="AN208">
        <f t="shared" si="94"/>
        <v>0</v>
      </c>
      <c r="AO208">
        <f>step3_validation[[#This Row],[AI_TRU2]]</f>
        <v>8</v>
      </c>
      <c r="AP208">
        <f t="shared" si="95"/>
        <v>0.77777777777777779</v>
      </c>
      <c r="AQ208">
        <f>survey_responses[[#This Row],[Tôi thấy mức thuế tôi phải đóng theo phương án mới là công bằng (người thu nhập như tôi đóng mức này là hợp lý). - HUMAN-TRU2]]</f>
        <v>1</v>
      </c>
      <c r="AR208">
        <f t="shared" si="96"/>
        <v>0</v>
      </c>
      <c r="AS208">
        <f>step3_validation[[#This Row],[AI_TRU3]]</f>
        <v>7</v>
      </c>
      <c r="AT208">
        <f t="shared" si="97"/>
        <v>0.66666666666666663</v>
      </c>
      <c r="AU208">
        <f>survey_responses[[#This Row],[Tôi tin tưởng số tiền thuế tôi đóng sẽ được Nhà nước sử dụng hiệu quả để cải thiện dịch vụ công (y tế, đường xá...). - HUMAN-TRU3]]</f>
        <v>1</v>
      </c>
      <c r="AV208">
        <f t="shared" si="98"/>
        <v>0</v>
      </c>
      <c r="AW208">
        <f>step3_validation[[#This Row],[AI_TRU4]]</f>
        <v>6</v>
      </c>
      <c r="AX208">
        <f t="shared" si="99"/>
        <v>0.55555555555555558</v>
      </c>
      <c r="AY208">
        <f>survey_responses[[#This Row],[Tôi thấy Nhà nước đã giải thích rõ ràng, minh bạch về lý do và mục tiêu của việc sửa đổi thuế lần này. - HUMAN-TRU4]]</f>
        <v>4</v>
      </c>
      <c r="AZ208">
        <f t="shared" si="100"/>
        <v>0.33333333333333331</v>
      </c>
      <c r="BA208" s="32">
        <f t="shared" si="101"/>
        <v>0.66666666666666674</v>
      </c>
      <c r="BB208" s="32">
        <f t="shared" si="102"/>
        <v>8.3333333333333329E-2</v>
      </c>
      <c r="BC208" s="7">
        <f t="shared" si="103"/>
        <v>0.66666666666666663</v>
      </c>
      <c r="BD208" s="7">
        <f t="shared" si="104"/>
        <v>0.1388888888888889</v>
      </c>
      <c r="BE208">
        <f>step3_validation[[#This Row],[AI_OUT1]]</f>
        <v>8</v>
      </c>
      <c r="BF208">
        <f t="shared" si="105"/>
        <v>0.77777777777777779</v>
      </c>
      <c r="BG208">
        <f>survey_responses[[#This Row],[Sau khi xem xét các quyền lợi và nghĩa vụ, bạn có ủng hộ và tuân thủ chính sách mới hiện nay? - HUMAN-OUT1]]</f>
        <v>2</v>
      </c>
      <c r="BH208">
        <f t="shared" si="106"/>
        <v>0.1111111111111111</v>
      </c>
      <c r="BI208" s="32">
        <f t="shared" si="107"/>
        <v>6</v>
      </c>
    </row>
    <row r="209" spans="1:61" x14ac:dyDescent="0.45">
      <c r="A209" s="30">
        <f>step3_validation[[#This Row],[Persona_ID]]</f>
        <v>208</v>
      </c>
      <c r="B209" s="31">
        <f>step3_validation[[#This Row],[Used_Seed]]</f>
        <v>249</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46.749827958630028</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6</v>
      </c>
      <c r="R209">
        <f t="shared" si="81"/>
        <v>0.55555555555555558</v>
      </c>
      <c r="S209">
        <f>survey_responses[[#This Row],[Tôi tin rằng với các quy định quản lý thuế hiện nay, hành vi gian lận hoặc trốn thuế sẽ dễ dàng bị phát hiện và xử lý nghiêm. - HUMAN-ENF1]]</f>
        <v>7</v>
      </c>
      <c r="T209">
        <f t="shared" si="82"/>
        <v>0.66666666666666663</v>
      </c>
      <c r="U209">
        <f>step3_validation[[#This Row],[AI_ENF2]]</f>
        <v>6</v>
      </c>
      <c r="V209">
        <f t="shared" si="83"/>
        <v>0.55555555555555558</v>
      </c>
      <c r="W209">
        <f>survey_responses[[#This Row],[Tôi tin rằng Nhà nước, cơ quan thuế có đủ khả năng và công nghệ để phát hiện, xử lý nghiêm các hành vi trốn thuế. - HUMAN-ENF2]]</f>
        <v>8</v>
      </c>
      <c r="X209">
        <f t="shared" si="84"/>
        <v>0.77777777777777779</v>
      </c>
      <c r="Y209" s="32">
        <f t="shared" si="85"/>
        <v>0.55555555555555558</v>
      </c>
      <c r="Z209" s="32">
        <f t="shared" si="86"/>
        <v>0.72222222222222221</v>
      </c>
      <c r="AA209">
        <f>step3_validation[[#This Row],[AI_FAC1]]</f>
        <v>8</v>
      </c>
      <c r="AB209">
        <f t="shared" si="87"/>
        <v>0.77777777777777779</v>
      </c>
      <c r="AC209">
        <f>survey_responses[[#This Row],[Các thủ tục khai báo thuế VÀ/HOẶC quy trình làm việc với cơ quan thuế đơn giản, tiện lợi, nhanh chóng hơn so với trước đây. - HUMAN-FAC1]]</f>
        <v>6</v>
      </c>
      <c r="AD209">
        <f t="shared" si="88"/>
        <v>0.55555555555555558</v>
      </c>
      <c r="AE209">
        <f>step3_validation[[#This Row],[AI_FAC2]]</f>
        <v>9</v>
      </c>
      <c r="AF209">
        <f t="shared" si="89"/>
        <v>0.88888888888888884</v>
      </c>
      <c r="AG209">
        <f>survey_responses[[#This Row],[So với trước đây, tôi thấy cách tính thuế và các bậc thuế trong phương án mới đơn giản, dễ hiểu và dễ thực hiện hơn. - HUMAN-FAC2]]</f>
        <v>7</v>
      </c>
      <c r="AH209">
        <f t="shared" si="90"/>
        <v>0.66666666666666663</v>
      </c>
      <c r="AI209" s="32">
        <f t="shared" si="91"/>
        <v>0.83333333333333326</v>
      </c>
      <c r="AJ209" s="32">
        <f t="shared" si="92"/>
        <v>0.61111111111111116</v>
      </c>
      <c r="AK209">
        <f>step3_validation[[#This Row],[AI_TRU1]]</f>
        <v>7</v>
      </c>
      <c r="AL209">
        <f t="shared" si="93"/>
        <v>0.66666666666666663</v>
      </c>
      <c r="AM209">
        <f>survey_responses[[#This Row],[Tôi tin rằng Nhà nước, cơ quan thuế sẽ thực thi chính sách mới một cách khách quan, công tâm và đối xử bình đẳng với mọi người nộp thuế.  - HUMAN-TRU1]]</f>
        <v>6</v>
      </c>
      <c r="AN209">
        <f t="shared" si="94"/>
        <v>0.55555555555555558</v>
      </c>
      <c r="AO209">
        <f>step3_validation[[#This Row],[AI_TRU2]]</f>
        <v>8</v>
      </c>
      <c r="AP209">
        <f t="shared" si="95"/>
        <v>0.77777777777777779</v>
      </c>
      <c r="AQ209">
        <f>survey_responses[[#This Row],[Tôi thấy mức thuế tôi phải đóng theo phương án mới là công bằng (người thu nhập như tôi đóng mức này là hợp lý). - HUMAN-TRU2]]</f>
        <v>7</v>
      </c>
      <c r="AR209">
        <f t="shared" si="96"/>
        <v>0.66666666666666663</v>
      </c>
      <c r="AS209">
        <f>step3_validation[[#This Row],[AI_TRU3]]</f>
        <v>7</v>
      </c>
      <c r="AT209">
        <f t="shared" si="97"/>
        <v>0.66666666666666663</v>
      </c>
      <c r="AU209">
        <f>survey_responses[[#This Row],[Tôi tin tưởng số tiền thuế tôi đóng sẽ được Nhà nước sử dụng hiệu quả để cải thiện dịch vụ công (y tế, đường xá...). - HUMAN-TRU3]]</f>
        <v>6</v>
      </c>
      <c r="AV209">
        <f t="shared" si="98"/>
        <v>0.55555555555555558</v>
      </c>
      <c r="AW209">
        <f>step3_validation[[#This Row],[AI_TRU4]]</f>
        <v>8</v>
      </c>
      <c r="AX209">
        <f t="shared" si="99"/>
        <v>0.77777777777777779</v>
      </c>
      <c r="AY209">
        <f>survey_responses[[#This Row],[Tôi thấy Nhà nước đã giải thích rõ ràng, minh bạch về lý do và mục tiêu của việc sửa đổi thuế lần này. - HUMAN-TRU4]]</f>
        <v>6</v>
      </c>
      <c r="AZ209">
        <f t="shared" si="100"/>
        <v>0.55555555555555558</v>
      </c>
      <c r="BA209" s="32">
        <f t="shared" si="101"/>
        <v>0.72222222222222221</v>
      </c>
      <c r="BB209" s="32">
        <f t="shared" si="102"/>
        <v>0.58333333333333337</v>
      </c>
      <c r="BC209" s="7">
        <f t="shared" si="103"/>
        <v>0.70370370370370372</v>
      </c>
      <c r="BD209" s="7">
        <f t="shared" si="104"/>
        <v>0.63888888888888895</v>
      </c>
      <c r="BE209">
        <f>step3_validation[[#This Row],[AI_OUT1]]</f>
        <v>7</v>
      </c>
      <c r="BF209">
        <f t="shared" si="105"/>
        <v>0.66666666666666663</v>
      </c>
      <c r="BG209">
        <f>survey_responses[[#This Row],[Sau khi xem xét các quyền lợi và nghĩa vụ, bạn có ủng hộ và tuân thủ chính sách mới hiện nay? - HUMAN-OUT1]]</f>
        <v>6</v>
      </c>
      <c r="BH209">
        <f t="shared" si="106"/>
        <v>0.55555555555555558</v>
      </c>
      <c r="BI209" s="32">
        <f t="shared" si="107"/>
        <v>1</v>
      </c>
    </row>
    <row r="210" spans="1:61" x14ac:dyDescent="0.45">
      <c r="A210" s="30">
        <f>step3_validation[[#This Row],[Persona_ID]]</f>
        <v>209</v>
      </c>
      <c r="B210" s="31">
        <f>step3_validation[[#This Row],[Used_Seed]]</f>
        <v>250</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36.637211591419891</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f t="shared" si="81"/>
        <v>0.66666666666666663</v>
      </c>
      <c r="S210">
        <f>survey_responses[[#This Row],[Tôi tin rằng với các quy định quản lý thuế hiện nay, hành vi gian lận hoặc trốn thuế sẽ dễ dàng bị phát hiện và xử lý nghiêm. - HUMAN-ENF1]]</f>
        <v>6</v>
      </c>
      <c r="T210">
        <f t="shared" si="82"/>
        <v>0.55555555555555558</v>
      </c>
      <c r="U210">
        <f>step3_validation[[#This Row],[AI_ENF2]]</f>
        <v>6</v>
      </c>
      <c r="V210">
        <f t="shared" si="83"/>
        <v>0.55555555555555558</v>
      </c>
      <c r="W210">
        <f>survey_responses[[#This Row],[Tôi tin rằng Nhà nước, cơ quan thuế có đủ khả năng và công nghệ để phát hiện, xử lý nghiêm các hành vi trốn thuế. - HUMAN-ENF2]]</f>
        <v>6</v>
      </c>
      <c r="X210">
        <f t="shared" si="84"/>
        <v>0.55555555555555558</v>
      </c>
      <c r="Y210" s="32">
        <f t="shared" si="85"/>
        <v>0.61111111111111116</v>
      </c>
      <c r="Z210" s="32">
        <f t="shared" si="86"/>
        <v>0.55555555555555558</v>
      </c>
      <c r="AA210">
        <f>step3_validation[[#This Row],[AI_FAC1]]</f>
        <v>9</v>
      </c>
      <c r="AB210">
        <f t="shared" si="87"/>
        <v>0.88888888888888884</v>
      </c>
      <c r="AC210">
        <f>survey_responses[[#This Row],[Các thủ tục khai báo thuế VÀ/HOẶC quy trình làm việc với cơ quan thuế đơn giản, tiện lợi, nhanh chóng hơn so với trước đây. - HUMAN-FAC1]]</f>
        <v>6</v>
      </c>
      <c r="AD210">
        <f t="shared" si="88"/>
        <v>0.55555555555555558</v>
      </c>
      <c r="AE210">
        <f>step3_validation[[#This Row],[AI_FAC2]]</f>
        <v>8</v>
      </c>
      <c r="AF210">
        <f t="shared" si="89"/>
        <v>0.77777777777777779</v>
      </c>
      <c r="AG210">
        <f>survey_responses[[#This Row],[So với trước đây, tôi thấy cách tính thuế và các bậc thuế trong phương án mới đơn giản, dễ hiểu và dễ thực hiện hơn. - HUMAN-FAC2]]</f>
        <v>6</v>
      </c>
      <c r="AH210">
        <f t="shared" si="90"/>
        <v>0.55555555555555558</v>
      </c>
      <c r="AI210" s="32">
        <f t="shared" si="91"/>
        <v>0.83333333333333326</v>
      </c>
      <c r="AJ210" s="32">
        <f t="shared" si="92"/>
        <v>0.55555555555555558</v>
      </c>
      <c r="AK210">
        <f>step3_validation[[#This Row],[AI_TRU1]]</f>
        <v>9</v>
      </c>
      <c r="AL210">
        <f t="shared" si="93"/>
        <v>0.88888888888888884</v>
      </c>
      <c r="AM210">
        <f>survey_responses[[#This Row],[Tôi tin rằng Nhà nước, cơ quan thuế sẽ thực thi chính sách mới một cách khách quan, công tâm và đối xử bình đẳng với mọi người nộp thuế.  - HUMAN-TRU1]]</f>
        <v>6</v>
      </c>
      <c r="AN210">
        <f t="shared" si="94"/>
        <v>0.55555555555555558</v>
      </c>
      <c r="AO210">
        <f>step3_validation[[#This Row],[AI_TRU2]]</f>
        <v>8</v>
      </c>
      <c r="AP210">
        <f t="shared" si="95"/>
        <v>0.77777777777777779</v>
      </c>
      <c r="AQ210">
        <f>survey_responses[[#This Row],[Tôi thấy mức thuế tôi phải đóng theo phương án mới là công bằng (người thu nhập như tôi đóng mức này là hợp lý). - HUMAN-TRU2]]</f>
        <v>5</v>
      </c>
      <c r="AR210">
        <f t="shared" si="96"/>
        <v>0.44444444444444442</v>
      </c>
      <c r="AS210">
        <f>step3_validation[[#This Row],[AI_TRU3]]</f>
        <v>7</v>
      </c>
      <c r="AT210">
        <f t="shared" si="97"/>
        <v>0.66666666666666663</v>
      </c>
      <c r="AU210">
        <f>survey_responses[[#This Row],[Tôi tin tưởng số tiền thuế tôi đóng sẽ được Nhà nước sử dụng hiệu quả để cải thiện dịch vụ công (y tế, đường xá...). - HUMAN-TRU3]]</f>
        <v>6</v>
      </c>
      <c r="AV210">
        <f t="shared" si="98"/>
        <v>0.55555555555555558</v>
      </c>
      <c r="AW210">
        <f>step3_validation[[#This Row],[AI_TRU4]]</f>
        <v>8</v>
      </c>
      <c r="AX210">
        <f t="shared" si="99"/>
        <v>0.77777777777777779</v>
      </c>
      <c r="AY210">
        <f>survey_responses[[#This Row],[Tôi thấy Nhà nước đã giải thích rõ ràng, minh bạch về lý do và mục tiêu của việc sửa đổi thuế lần này. - HUMAN-TRU4]]</f>
        <v>6</v>
      </c>
      <c r="AZ210">
        <f t="shared" si="100"/>
        <v>0.55555555555555558</v>
      </c>
      <c r="BA210" s="32">
        <f t="shared" si="101"/>
        <v>0.77777777777777768</v>
      </c>
      <c r="BB210" s="32">
        <f t="shared" si="102"/>
        <v>0.52777777777777779</v>
      </c>
      <c r="BC210" s="7">
        <f t="shared" si="103"/>
        <v>0.74074074074074081</v>
      </c>
      <c r="BD210" s="7">
        <f t="shared" si="104"/>
        <v>0.54629629629629628</v>
      </c>
      <c r="BE210">
        <f>step3_validation[[#This Row],[AI_OUT1]]</f>
        <v>9</v>
      </c>
      <c r="BF210">
        <f t="shared" si="105"/>
        <v>0.88888888888888884</v>
      </c>
      <c r="BG210">
        <f>survey_responses[[#This Row],[Sau khi xem xét các quyền lợi và nghĩa vụ, bạn có ủng hộ và tuân thủ chính sách mới hiện nay? - HUMAN-OUT1]]</f>
        <v>6</v>
      </c>
      <c r="BH210">
        <f t="shared" si="106"/>
        <v>0.55555555555555558</v>
      </c>
      <c r="BI210" s="32">
        <f t="shared" si="107"/>
        <v>3</v>
      </c>
    </row>
    <row r="211" spans="1:61" x14ac:dyDescent="0.45">
      <c r="A211" s="30">
        <f>step3_validation[[#This Row],[Persona_ID]]</f>
        <v>210</v>
      </c>
      <c r="B211" s="31">
        <f>step3_validation[[#This Row],[Used_Seed]]</f>
        <v>251</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30.077696527376691</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f t="shared" si="81"/>
        <v>0.66666666666666663</v>
      </c>
      <c r="S211">
        <f>survey_responses[[#This Row],[Tôi tin rằng với các quy định quản lý thuế hiện nay, hành vi gian lận hoặc trốn thuế sẽ dễ dàng bị phát hiện và xử lý nghiêm. - HUMAN-ENF1]]</f>
        <v>7</v>
      </c>
      <c r="T211">
        <f t="shared" si="82"/>
        <v>0.66666666666666663</v>
      </c>
      <c r="U211">
        <f>step3_validation[[#This Row],[AI_ENF2]]</f>
        <v>7</v>
      </c>
      <c r="V211">
        <f t="shared" si="83"/>
        <v>0.66666666666666663</v>
      </c>
      <c r="W211">
        <f>survey_responses[[#This Row],[Tôi tin rằng Nhà nước, cơ quan thuế có đủ khả năng và công nghệ để phát hiện, xử lý nghiêm các hành vi trốn thuế. - HUMAN-ENF2]]</f>
        <v>7</v>
      </c>
      <c r="X211">
        <f t="shared" si="84"/>
        <v>0.66666666666666663</v>
      </c>
      <c r="Y211" s="32">
        <f t="shared" si="85"/>
        <v>0.66666666666666663</v>
      </c>
      <c r="Z211" s="32">
        <f t="shared" si="86"/>
        <v>0.66666666666666663</v>
      </c>
      <c r="AA211">
        <f>step3_validation[[#This Row],[AI_FAC1]]</f>
        <v>9</v>
      </c>
      <c r="AB211">
        <f t="shared" si="87"/>
        <v>0.88888888888888884</v>
      </c>
      <c r="AC211">
        <f>survey_responses[[#This Row],[Các thủ tục khai báo thuế VÀ/HOẶC quy trình làm việc với cơ quan thuế đơn giản, tiện lợi, nhanh chóng hơn so với trước đây. - HUMAN-FAC1]]</f>
        <v>8</v>
      </c>
      <c r="AD211">
        <f t="shared" si="88"/>
        <v>0.77777777777777779</v>
      </c>
      <c r="AE211">
        <f>step3_validation[[#This Row],[AI_FAC2]]</f>
        <v>8</v>
      </c>
      <c r="AF211">
        <f t="shared" si="89"/>
        <v>0.77777777777777779</v>
      </c>
      <c r="AG211">
        <f>survey_responses[[#This Row],[So với trước đây, tôi thấy cách tính thuế và các bậc thuế trong phương án mới đơn giản, dễ hiểu và dễ thực hiện hơn. - HUMAN-FAC2]]</f>
        <v>8</v>
      </c>
      <c r="AH211">
        <f t="shared" si="90"/>
        <v>0.77777777777777779</v>
      </c>
      <c r="AI211" s="32">
        <f t="shared" si="91"/>
        <v>0.83333333333333326</v>
      </c>
      <c r="AJ211" s="32">
        <f t="shared" si="92"/>
        <v>0.77777777777777779</v>
      </c>
      <c r="AK211">
        <f>step3_validation[[#This Row],[AI_TRU1]]</f>
        <v>9</v>
      </c>
      <c r="AL211">
        <f t="shared" si="93"/>
        <v>0.88888888888888884</v>
      </c>
      <c r="AM211">
        <f>survey_responses[[#This Row],[Tôi tin rằng Nhà nước, cơ quan thuế sẽ thực thi chính sách mới một cách khách quan, công tâm và đối xử bình đẳng với mọi người nộp thuế.  - HUMAN-TRU1]]</f>
        <v>8</v>
      </c>
      <c r="AN211">
        <f t="shared" si="94"/>
        <v>0.77777777777777779</v>
      </c>
      <c r="AO211">
        <f>step3_validation[[#This Row],[AI_TRU2]]</f>
        <v>8</v>
      </c>
      <c r="AP211">
        <f t="shared" si="95"/>
        <v>0.77777777777777779</v>
      </c>
      <c r="AQ211">
        <f>survey_responses[[#This Row],[Tôi thấy mức thuế tôi phải đóng theo phương án mới là công bằng (người thu nhập như tôi đóng mức này là hợp lý). - HUMAN-TRU2]]</f>
        <v>9</v>
      </c>
      <c r="AR211">
        <f t="shared" si="96"/>
        <v>0.88888888888888884</v>
      </c>
      <c r="AS211">
        <f>step3_validation[[#This Row],[AI_TRU3]]</f>
        <v>9</v>
      </c>
      <c r="AT211">
        <f t="shared" si="97"/>
        <v>0.88888888888888884</v>
      </c>
      <c r="AU211">
        <f>survey_responses[[#This Row],[Tôi tin tưởng số tiền thuế tôi đóng sẽ được Nhà nước sử dụng hiệu quả để cải thiện dịch vụ công (y tế, đường xá...). - HUMAN-TRU3]]</f>
        <v>8</v>
      </c>
      <c r="AV211">
        <f t="shared" si="98"/>
        <v>0.77777777777777779</v>
      </c>
      <c r="AW211">
        <f>step3_validation[[#This Row],[AI_TRU4]]</f>
        <v>7</v>
      </c>
      <c r="AX211">
        <f t="shared" si="99"/>
        <v>0.66666666666666663</v>
      </c>
      <c r="AY211">
        <f>survey_responses[[#This Row],[Tôi thấy Nhà nước đã giải thích rõ ràng, minh bạch về lý do và mục tiêu của việc sửa đổi thuế lần này. - HUMAN-TRU4]]</f>
        <v>8</v>
      </c>
      <c r="AZ211">
        <f t="shared" si="100"/>
        <v>0.77777777777777779</v>
      </c>
      <c r="BA211" s="32">
        <f t="shared" si="101"/>
        <v>0.80555555555555547</v>
      </c>
      <c r="BB211" s="32">
        <f t="shared" si="102"/>
        <v>0.80555555555555547</v>
      </c>
      <c r="BC211" s="7">
        <f t="shared" si="103"/>
        <v>0.76851851851851849</v>
      </c>
      <c r="BD211" s="7">
        <f t="shared" si="104"/>
        <v>0.75</v>
      </c>
      <c r="BE211">
        <f>step3_validation[[#This Row],[AI_OUT1]]</f>
        <v>8</v>
      </c>
      <c r="BF211">
        <f t="shared" si="105"/>
        <v>0.77777777777777779</v>
      </c>
      <c r="BG211">
        <f>survey_responses[[#This Row],[Sau khi xem xét các quyền lợi và nghĩa vụ, bạn có ủng hộ và tuân thủ chính sách mới hiện nay? - HUMAN-OUT1]]</f>
        <v>8</v>
      </c>
      <c r="BH211">
        <f t="shared" si="106"/>
        <v>0.77777777777777779</v>
      </c>
      <c r="BI211" s="32">
        <f t="shared" si="107"/>
        <v>0</v>
      </c>
    </row>
    <row r="212" spans="1:61" x14ac:dyDescent="0.45">
      <c r="A212" s="30">
        <f>step3_validation[[#This Row],[Persona_ID]]</f>
        <v>211</v>
      </c>
      <c r="B212" s="31">
        <f>step3_validation[[#This Row],[Used_Seed]]</f>
        <v>252</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56.552895816583046</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8</v>
      </c>
      <c r="R212">
        <f t="shared" si="81"/>
        <v>0.77777777777777779</v>
      </c>
      <c r="S212">
        <f>survey_responses[[#This Row],[Tôi tin rằng với các quy định quản lý thuế hiện nay, hành vi gian lận hoặc trốn thuế sẽ dễ dàng bị phát hiện và xử lý nghiêm. - HUMAN-ENF1]]</f>
        <v>7</v>
      </c>
      <c r="T212">
        <f t="shared" si="82"/>
        <v>0.66666666666666663</v>
      </c>
      <c r="U212">
        <f>step3_validation[[#This Row],[AI_ENF2]]</f>
        <v>9</v>
      </c>
      <c r="V212">
        <f t="shared" si="83"/>
        <v>0.88888888888888884</v>
      </c>
      <c r="W212">
        <f>survey_responses[[#This Row],[Tôi tin rằng Nhà nước, cơ quan thuế có đủ khả năng và công nghệ để phát hiện, xử lý nghiêm các hành vi trốn thuế. - HUMAN-ENF2]]</f>
        <v>7</v>
      </c>
      <c r="X212">
        <f t="shared" si="84"/>
        <v>0.66666666666666663</v>
      </c>
      <c r="Y212" s="32">
        <f t="shared" si="85"/>
        <v>0.83333333333333326</v>
      </c>
      <c r="Z212" s="32">
        <f t="shared" si="86"/>
        <v>0.66666666666666663</v>
      </c>
      <c r="AA212">
        <f>step3_validation[[#This Row],[AI_FAC1]]</f>
        <v>8</v>
      </c>
      <c r="AB212">
        <f t="shared" si="87"/>
        <v>0.77777777777777779</v>
      </c>
      <c r="AC212">
        <f>survey_responses[[#This Row],[Các thủ tục khai báo thuế VÀ/HOẶC quy trình làm việc với cơ quan thuế đơn giản, tiện lợi, nhanh chóng hơn so với trước đây. - HUMAN-FAC1]]</f>
        <v>7</v>
      </c>
      <c r="AD212">
        <f t="shared" si="88"/>
        <v>0.66666666666666663</v>
      </c>
      <c r="AE212">
        <f>step3_validation[[#This Row],[AI_FAC2]]</f>
        <v>9</v>
      </c>
      <c r="AF212">
        <f t="shared" si="89"/>
        <v>0.88888888888888884</v>
      </c>
      <c r="AG212">
        <f>survey_responses[[#This Row],[So với trước đây, tôi thấy cách tính thuế và các bậc thuế trong phương án mới đơn giản, dễ hiểu và dễ thực hiện hơn. - HUMAN-FAC2]]</f>
        <v>7</v>
      </c>
      <c r="AH212">
        <f t="shared" si="90"/>
        <v>0.66666666666666663</v>
      </c>
      <c r="AI212" s="32">
        <f t="shared" si="91"/>
        <v>0.83333333333333326</v>
      </c>
      <c r="AJ212" s="32">
        <f t="shared" si="92"/>
        <v>0.66666666666666663</v>
      </c>
      <c r="AK212">
        <f>step3_validation[[#This Row],[AI_TRU1]]</f>
        <v>8</v>
      </c>
      <c r="AL212">
        <f t="shared" si="93"/>
        <v>0.77777777777777779</v>
      </c>
      <c r="AM212">
        <f>survey_responses[[#This Row],[Tôi tin rằng Nhà nước, cơ quan thuế sẽ thực thi chính sách mới một cách khách quan, công tâm và đối xử bình đẳng với mọi người nộp thuế.  - HUMAN-TRU1]]</f>
        <v>7</v>
      </c>
      <c r="AN212">
        <f t="shared" si="94"/>
        <v>0.66666666666666663</v>
      </c>
      <c r="AO212">
        <f>step3_validation[[#This Row],[AI_TRU2]]</f>
        <v>9</v>
      </c>
      <c r="AP212">
        <f t="shared" si="95"/>
        <v>0.88888888888888884</v>
      </c>
      <c r="AQ212">
        <f>survey_responses[[#This Row],[Tôi thấy mức thuế tôi phải đóng theo phương án mới là công bằng (người thu nhập như tôi đóng mức này là hợp lý). - HUMAN-TRU2]]</f>
        <v>7</v>
      </c>
      <c r="AR212">
        <f t="shared" si="96"/>
        <v>0.66666666666666663</v>
      </c>
      <c r="AS212">
        <f>step3_validation[[#This Row],[AI_TRU3]]</f>
        <v>8</v>
      </c>
      <c r="AT212">
        <f t="shared" si="97"/>
        <v>0.77777777777777779</v>
      </c>
      <c r="AU212">
        <f>survey_responses[[#This Row],[Tôi tin tưởng số tiền thuế tôi đóng sẽ được Nhà nước sử dụng hiệu quả để cải thiện dịch vụ công (y tế, đường xá...). - HUMAN-TRU3]]</f>
        <v>7</v>
      </c>
      <c r="AV212">
        <f t="shared" si="98"/>
        <v>0.66666666666666663</v>
      </c>
      <c r="AW212">
        <f>step3_validation[[#This Row],[AI_TRU4]]</f>
        <v>9</v>
      </c>
      <c r="AX212">
        <f t="shared" si="99"/>
        <v>0.88888888888888884</v>
      </c>
      <c r="AY212">
        <f>survey_responses[[#This Row],[Tôi thấy Nhà nước đã giải thích rõ ràng, minh bạch về lý do và mục tiêu của việc sửa đổi thuế lần này. - HUMAN-TRU4]]</f>
        <v>7</v>
      </c>
      <c r="AZ212">
        <f t="shared" si="100"/>
        <v>0.66666666666666663</v>
      </c>
      <c r="BA212" s="32">
        <f t="shared" si="101"/>
        <v>0.83333333333333326</v>
      </c>
      <c r="BB212" s="32">
        <f t="shared" si="102"/>
        <v>0.66666666666666663</v>
      </c>
      <c r="BC212" s="7">
        <f t="shared" si="103"/>
        <v>0.83333333333333337</v>
      </c>
      <c r="BD212" s="7">
        <f t="shared" si="104"/>
        <v>0.66666666666666663</v>
      </c>
      <c r="BE212">
        <f>step3_validation[[#This Row],[AI_OUT1]]</f>
        <v>8</v>
      </c>
      <c r="BF212">
        <f t="shared" si="105"/>
        <v>0.77777777777777779</v>
      </c>
      <c r="BG212">
        <f>survey_responses[[#This Row],[Sau khi xem xét các quyền lợi và nghĩa vụ, bạn có ủng hộ và tuân thủ chính sách mới hiện nay? - HUMAN-OUT1]]</f>
        <v>7</v>
      </c>
      <c r="BH212">
        <f t="shared" si="106"/>
        <v>0.66666666666666663</v>
      </c>
      <c r="BI212" s="32">
        <f t="shared" si="107"/>
        <v>1</v>
      </c>
    </row>
    <row r="213" spans="1:61" x14ac:dyDescent="0.45">
      <c r="A213" s="30">
        <f>step3_validation[[#This Row],[Persona_ID]]</f>
        <v>212</v>
      </c>
      <c r="B213" s="31">
        <f>step3_validation[[#This Row],[Used_Seed]]</f>
        <v>253</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48.306115542435258</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7</v>
      </c>
      <c r="R213">
        <f t="shared" si="81"/>
        <v>0.66666666666666663</v>
      </c>
      <c r="S213">
        <f>survey_responses[[#This Row],[Tôi tin rằng với các quy định quản lý thuế hiện nay, hành vi gian lận hoặc trốn thuế sẽ dễ dàng bị phát hiện và xử lý nghiêm. - HUMAN-ENF1]]</f>
        <v>5</v>
      </c>
      <c r="T213">
        <f t="shared" si="82"/>
        <v>0.44444444444444442</v>
      </c>
      <c r="U213">
        <f>step3_validation[[#This Row],[AI_ENF2]]</f>
        <v>8</v>
      </c>
      <c r="V213">
        <f t="shared" si="83"/>
        <v>0.77777777777777779</v>
      </c>
      <c r="W213">
        <f>survey_responses[[#This Row],[Tôi tin rằng Nhà nước, cơ quan thuế có đủ khả năng và công nghệ để phát hiện, xử lý nghiêm các hành vi trốn thuế. - HUMAN-ENF2]]</f>
        <v>5</v>
      </c>
      <c r="X213">
        <f t="shared" si="84"/>
        <v>0.44444444444444442</v>
      </c>
      <c r="Y213" s="32">
        <f t="shared" si="85"/>
        <v>0.72222222222222221</v>
      </c>
      <c r="Z213" s="32">
        <f t="shared" si="86"/>
        <v>0.44444444444444442</v>
      </c>
      <c r="AA213">
        <f>step3_validation[[#This Row],[AI_FAC1]]</f>
        <v>6</v>
      </c>
      <c r="AB213">
        <f t="shared" si="87"/>
        <v>0.55555555555555558</v>
      </c>
      <c r="AC213">
        <f>survey_responses[[#This Row],[Các thủ tục khai báo thuế VÀ/HOẶC quy trình làm việc với cơ quan thuế đơn giản, tiện lợi, nhanh chóng hơn so với trước đây. - HUMAN-FAC1]]</f>
        <v>1</v>
      </c>
      <c r="AD213">
        <f t="shared" si="88"/>
        <v>0</v>
      </c>
      <c r="AE213">
        <f>step3_validation[[#This Row],[AI_FAC2]]</f>
        <v>9</v>
      </c>
      <c r="AF213">
        <f t="shared" si="89"/>
        <v>0.88888888888888884</v>
      </c>
      <c r="AG213">
        <f>survey_responses[[#This Row],[So với trước đây, tôi thấy cách tính thuế và các bậc thuế trong phương án mới đơn giản, dễ hiểu và dễ thực hiện hơn. - HUMAN-FAC2]]</f>
        <v>5</v>
      </c>
      <c r="AH213">
        <f t="shared" si="90"/>
        <v>0.44444444444444442</v>
      </c>
      <c r="AI213" s="32">
        <f t="shared" si="91"/>
        <v>0.72222222222222221</v>
      </c>
      <c r="AJ213" s="32">
        <f t="shared" si="92"/>
        <v>0.22222222222222221</v>
      </c>
      <c r="AK213">
        <f>step3_validation[[#This Row],[AI_TRU1]]</f>
        <v>7</v>
      </c>
      <c r="AL213">
        <f t="shared" si="93"/>
        <v>0.66666666666666663</v>
      </c>
      <c r="AM213">
        <f>survey_responses[[#This Row],[Tôi tin rằng Nhà nước, cơ quan thuế sẽ thực thi chính sách mới một cách khách quan, công tâm và đối xử bình đẳng với mọi người nộp thuế.  - HUMAN-TRU1]]</f>
        <v>5</v>
      </c>
      <c r="AN213">
        <f t="shared" si="94"/>
        <v>0.44444444444444442</v>
      </c>
      <c r="AO213">
        <f>step3_validation[[#This Row],[AI_TRU2]]</f>
        <v>9</v>
      </c>
      <c r="AP213">
        <f t="shared" si="95"/>
        <v>0.88888888888888884</v>
      </c>
      <c r="AQ213">
        <f>survey_responses[[#This Row],[Tôi thấy mức thuế tôi phải đóng theo phương án mới là công bằng (người thu nhập như tôi đóng mức này là hợp lý). - HUMAN-TRU2]]</f>
        <v>5</v>
      </c>
      <c r="AR213">
        <f t="shared" si="96"/>
        <v>0.44444444444444442</v>
      </c>
      <c r="AS213">
        <f>step3_validation[[#This Row],[AI_TRU3]]</f>
        <v>8</v>
      </c>
      <c r="AT213">
        <f t="shared" si="97"/>
        <v>0.77777777777777779</v>
      </c>
      <c r="AU213">
        <f>survey_responses[[#This Row],[Tôi tin tưởng số tiền thuế tôi đóng sẽ được Nhà nước sử dụng hiệu quả để cải thiện dịch vụ công (y tế, đường xá...). - HUMAN-TRU3]]</f>
        <v>4</v>
      </c>
      <c r="AV213">
        <f t="shared" si="98"/>
        <v>0.33333333333333331</v>
      </c>
      <c r="AW213">
        <f>step3_validation[[#This Row],[AI_TRU4]]</f>
        <v>7</v>
      </c>
      <c r="AX213">
        <f t="shared" si="99"/>
        <v>0.66666666666666663</v>
      </c>
      <c r="AY213">
        <f>survey_responses[[#This Row],[Tôi thấy Nhà nước đã giải thích rõ ràng, minh bạch về lý do và mục tiêu của việc sửa đổi thuế lần này. - HUMAN-TRU4]]</f>
        <v>5</v>
      </c>
      <c r="AZ213">
        <f t="shared" si="100"/>
        <v>0.44444444444444442</v>
      </c>
      <c r="BA213" s="32">
        <f t="shared" si="101"/>
        <v>0.74999999999999989</v>
      </c>
      <c r="BB213" s="32">
        <f t="shared" si="102"/>
        <v>0.41666666666666663</v>
      </c>
      <c r="BC213" s="7">
        <f t="shared" si="103"/>
        <v>0.7314814814814814</v>
      </c>
      <c r="BD213" s="7">
        <f t="shared" si="104"/>
        <v>0.3611111111111111</v>
      </c>
      <c r="BE213">
        <f>step3_validation[[#This Row],[AI_OUT1]]</f>
        <v>6</v>
      </c>
      <c r="BF213">
        <f t="shared" si="105"/>
        <v>0.55555555555555558</v>
      </c>
      <c r="BG213">
        <f>survey_responses[[#This Row],[Sau khi xem xét các quyền lợi và nghĩa vụ, bạn có ủng hộ và tuân thủ chính sách mới hiện nay? - HUMAN-OUT1]]</f>
        <v>5</v>
      </c>
      <c r="BH213">
        <f t="shared" si="106"/>
        <v>0.44444444444444442</v>
      </c>
      <c r="BI213" s="32">
        <f t="shared" si="107"/>
        <v>1</v>
      </c>
    </row>
    <row r="214" spans="1:61" x14ac:dyDescent="0.45">
      <c r="A214" s="30">
        <f>step3_validation[[#This Row],[Persona_ID]]</f>
        <v>213</v>
      </c>
      <c r="B214" s="31">
        <f>step3_validation[[#This Row],[Used_Seed]]</f>
        <v>254</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54.024649723285115</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6</v>
      </c>
      <c r="R214">
        <f t="shared" si="81"/>
        <v>0.55555555555555558</v>
      </c>
      <c r="S214">
        <f>survey_responses[[#This Row],[Tôi tin rằng với các quy định quản lý thuế hiện nay, hành vi gian lận hoặc trốn thuế sẽ dễ dàng bị phát hiện và xử lý nghiêm. - HUMAN-ENF1]]</f>
        <v>7</v>
      </c>
      <c r="T214">
        <f t="shared" si="82"/>
        <v>0.66666666666666663</v>
      </c>
      <c r="U214">
        <f>step3_validation[[#This Row],[AI_ENF2]]</f>
        <v>7</v>
      </c>
      <c r="V214">
        <f t="shared" si="83"/>
        <v>0.66666666666666663</v>
      </c>
      <c r="W214">
        <f>survey_responses[[#This Row],[Tôi tin rằng Nhà nước, cơ quan thuế có đủ khả năng và công nghệ để phát hiện, xử lý nghiêm các hành vi trốn thuế. - HUMAN-ENF2]]</f>
        <v>8</v>
      </c>
      <c r="X214">
        <f t="shared" si="84"/>
        <v>0.77777777777777779</v>
      </c>
      <c r="Y214" s="32">
        <f t="shared" si="85"/>
        <v>0.61111111111111116</v>
      </c>
      <c r="Z214" s="32">
        <f t="shared" si="86"/>
        <v>0.72222222222222221</v>
      </c>
      <c r="AA214">
        <f>step3_validation[[#This Row],[AI_FAC1]]</f>
        <v>9</v>
      </c>
      <c r="AB214">
        <f t="shared" si="87"/>
        <v>0.88888888888888884</v>
      </c>
      <c r="AC214">
        <f>survey_responses[[#This Row],[Các thủ tục khai báo thuế VÀ/HOẶC quy trình làm việc với cơ quan thuế đơn giản, tiện lợi, nhanh chóng hơn so với trước đây. - HUMAN-FAC1]]</f>
        <v>8</v>
      </c>
      <c r="AD214">
        <f t="shared" si="88"/>
        <v>0.77777777777777779</v>
      </c>
      <c r="AE214">
        <f>step3_validation[[#This Row],[AI_FAC2]]</f>
        <v>8</v>
      </c>
      <c r="AF214">
        <f t="shared" si="89"/>
        <v>0.77777777777777779</v>
      </c>
      <c r="AG214">
        <f>survey_responses[[#This Row],[So với trước đây, tôi thấy cách tính thuế và các bậc thuế trong phương án mới đơn giản, dễ hiểu và dễ thực hiện hơn. - HUMAN-FAC2]]</f>
        <v>8</v>
      </c>
      <c r="AH214">
        <f t="shared" si="90"/>
        <v>0.77777777777777779</v>
      </c>
      <c r="AI214" s="32">
        <f t="shared" si="91"/>
        <v>0.83333333333333326</v>
      </c>
      <c r="AJ214" s="32">
        <f t="shared" si="92"/>
        <v>0.77777777777777779</v>
      </c>
      <c r="AK214">
        <f>step3_validation[[#This Row],[AI_TRU1]]</f>
        <v>7</v>
      </c>
      <c r="AL214">
        <f t="shared" si="93"/>
        <v>0.66666666666666663</v>
      </c>
      <c r="AM214">
        <f>survey_responses[[#This Row],[Tôi tin rằng Nhà nước, cơ quan thuế sẽ thực thi chính sách mới một cách khách quan, công tâm và đối xử bình đẳng với mọi người nộp thuế.  - HUMAN-TRU1]]</f>
        <v>8</v>
      </c>
      <c r="AN214">
        <f t="shared" si="94"/>
        <v>0.77777777777777779</v>
      </c>
      <c r="AO214">
        <f>step3_validation[[#This Row],[AI_TRU2]]</f>
        <v>9</v>
      </c>
      <c r="AP214">
        <f t="shared" si="95"/>
        <v>0.88888888888888884</v>
      </c>
      <c r="AQ214">
        <f>survey_responses[[#This Row],[Tôi thấy mức thuế tôi phải đóng theo phương án mới là công bằng (người thu nhập như tôi đóng mức này là hợp lý). - HUMAN-TRU2]]</f>
        <v>8</v>
      </c>
      <c r="AR214">
        <f t="shared" si="96"/>
        <v>0.77777777777777779</v>
      </c>
      <c r="AS214">
        <f>step3_validation[[#This Row],[AI_TRU3]]</f>
        <v>7</v>
      </c>
      <c r="AT214">
        <f t="shared" si="97"/>
        <v>0.66666666666666663</v>
      </c>
      <c r="AU214">
        <f>survey_responses[[#This Row],[Tôi tin tưởng số tiền thuế tôi đóng sẽ được Nhà nước sử dụng hiệu quả để cải thiện dịch vụ công (y tế, đường xá...). - HUMAN-TRU3]]</f>
        <v>8</v>
      </c>
      <c r="AV214">
        <f t="shared" si="98"/>
        <v>0.77777777777777779</v>
      </c>
      <c r="AW214">
        <f>step3_validation[[#This Row],[AI_TRU4]]</f>
        <v>8</v>
      </c>
      <c r="AX214">
        <f t="shared" si="99"/>
        <v>0.77777777777777779</v>
      </c>
      <c r="AY214">
        <f>survey_responses[[#This Row],[Tôi thấy Nhà nước đã giải thích rõ ràng, minh bạch về lý do và mục tiêu của việc sửa đổi thuế lần này. - HUMAN-TRU4]]</f>
        <v>8</v>
      </c>
      <c r="AZ214">
        <f t="shared" si="100"/>
        <v>0.77777777777777779</v>
      </c>
      <c r="BA214" s="32">
        <f t="shared" si="101"/>
        <v>0.74999999999999989</v>
      </c>
      <c r="BB214" s="32">
        <f t="shared" si="102"/>
        <v>0.77777777777777779</v>
      </c>
      <c r="BC214" s="7">
        <f t="shared" si="103"/>
        <v>0.7314814814814814</v>
      </c>
      <c r="BD214" s="7">
        <f t="shared" si="104"/>
        <v>0.75925925925925919</v>
      </c>
      <c r="BE214">
        <f>step3_validation[[#This Row],[AI_OUT1]]</f>
        <v>9</v>
      </c>
      <c r="BF214">
        <f t="shared" si="105"/>
        <v>0.88888888888888884</v>
      </c>
      <c r="BG214">
        <f>survey_responses[[#This Row],[Sau khi xem xét các quyền lợi và nghĩa vụ, bạn có ủng hộ và tuân thủ chính sách mới hiện nay? - HUMAN-OUT1]]</f>
        <v>8</v>
      </c>
      <c r="BH214">
        <f t="shared" si="106"/>
        <v>0.77777777777777779</v>
      </c>
      <c r="BI214" s="32">
        <f t="shared" si="107"/>
        <v>1</v>
      </c>
    </row>
    <row r="215" spans="1:61" x14ac:dyDescent="0.45">
      <c r="A215" s="30">
        <f>step3_validation[[#This Row],[Persona_ID]]</f>
        <v>214</v>
      </c>
      <c r="B215" s="31">
        <f>step3_validation[[#This Row],[Used_Seed]]</f>
        <v>255</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53.821389581260028</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f t="shared" si="81"/>
        <v>0.66666666666666663</v>
      </c>
      <c r="S215">
        <f>survey_responses[[#This Row],[Tôi tin rằng với các quy định quản lý thuế hiện nay, hành vi gian lận hoặc trốn thuế sẽ dễ dàng bị phát hiện và xử lý nghiêm. - HUMAN-ENF1]]</f>
        <v>9</v>
      </c>
      <c r="T215">
        <f t="shared" si="82"/>
        <v>0.88888888888888884</v>
      </c>
      <c r="U215">
        <f>step3_validation[[#This Row],[AI_ENF2]]</f>
        <v>6</v>
      </c>
      <c r="V215">
        <f t="shared" si="83"/>
        <v>0.55555555555555558</v>
      </c>
      <c r="W215">
        <f>survey_responses[[#This Row],[Tôi tin rằng Nhà nước, cơ quan thuế có đủ khả năng và công nghệ để phát hiện, xử lý nghiêm các hành vi trốn thuế. - HUMAN-ENF2]]</f>
        <v>9</v>
      </c>
      <c r="X215">
        <f t="shared" si="84"/>
        <v>0.88888888888888884</v>
      </c>
      <c r="Y215" s="32">
        <f t="shared" si="85"/>
        <v>0.61111111111111116</v>
      </c>
      <c r="Z215" s="32">
        <f t="shared" si="86"/>
        <v>0.88888888888888884</v>
      </c>
      <c r="AA215">
        <f>step3_validation[[#This Row],[AI_FAC1]]</f>
        <v>9</v>
      </c>
      <c r="AB215">
        <f t="shared" si="87"/>
        <v>0.88888888888888884</v>
      </c>
      <c r="AC215">
        <f>survey_responses[[#This Row],[Các thủ tục khai báo thuế VÀ/HOẶC quy trình làm việc với cơ quan thuế đơn giản, tiện lợi, nhanh chóng hơn so với trước đây. - HUMAN-FAC1]]</f>
        <v>9</v>
      </c>
      <c r="AD215">
        <f t="shared" si="88"/>
        <v>0.88888888888888884</v>
      </c>
      <c r="AE215">
        <f>step3_validation[[#This Row],[AI_FAC2]]</f>
        <v>8</v>
      </c>
      <c r="AF215">
        <f t="shared" si="89"/>
        <v>0.77777777777777779</v>
      </c>
      <c r="AG215">
        <f>survey_responses[[#This Row],[So với trước đây, tôi thấy cách tính thuế và các bậc thuế trong phương án mới đơn giản, dễ hiểu và dễ thực hiện hơn. - HUMAN-FAC2]]</f>
        <v>9</v>
      </c>
      <c r="AH215">
        <f t="shared" si="90"/>
        <v>0.88888888888888884</v>
      </c>
      <c r="AI215" s="32">
        <f t="shared" si="91"/>
        <v>0.83333333333333326</v>
      </c>
      <c r="AJ215" s="32">
        <f t="shared" si="92"/>
        <v>0.88888888888888884</v>
      </c>
      <c r="AK215">
        <f>step3_validation[[#This Row],[AI_TRU1]]</f>
        <v>7</v>
      </c>
      <c r="AL215">
        <f t="shared" si="93"/>
        <v>0.66666666666666663</v>
      </c>
      <c r="AM215">
        <f>survey_responses[[#This Row],[Tôi tin rằng Nhà nước, cơ quan thuế sẽ thực thi chính sách mới một cách khách quan, công tâm và đối xử bình đẳng với mọi người nộp thuế.  - HUMAN-TRU1]]</f>
        <v>9</v>
      </c>
      <c r="AN215">
        <f t="shared" si="94"/>
        <v>0.88888888888888884</v>
      </c>
      <c r="AO215">
        <f>step3_validation[[#This Row],[AI_TRU2]]</f>
        <v>8</v>
      </c>
      <c r="AP215">
        <f t="shared" si="95"/>
        <v>0.77777777777777779</v>
      </c>
      <c r="AQ215">
        <f>survey_responses[[#This Row],[Tôi thấy mức thuế tôi phải đóng theo phương án mới là công bằng (người thu nhập như tôi đóng mức này là hợp lý). - HUMAN-TRU2]]</f>
        <v>9</v>
      </c>
      <c r="AR215">
        <f t="shared" si="96"/>
        <v>0.88888888888888884</v>
      </c>
      <c r="AS215">
        <f>step3_validation[[#This Row],[AI_TRU3]]</f>
        <v>6</v>
      </c>
      <c r="AT215">
        <f t="shared" si="97"/>
        <v>0.55555555555555558</v>
      </c>
      <c r="AU215">
        <f>survey_responses[[#This Row],[Tôi tin tưởng số tiền thuế tôi đóng sẽ được Nhà nước sử dụng hiệu quả để cải thiện dịch vụ công (y tế, đường xá...). - HUMAN-TRU3]]</f>
        <v>9</v>
      </c>
      <c r="AV215">
        <f t="shared" si="98"/>
        <v>0.88888888888888884</v>
      </c>
      <c r="AW215">
        <f>step3_validation[[#This Row],[AI_TRU4]]</f>
        <v>8</v>
      </c>
      <c r="AX215">
        <f t="shared" si="99"/>
        <v>0.77777777777777779</v>
      </c>
      <c r="AY215">
        <f>survey_responses[[#This Row],[Tôi thấy Nhà nước đã giải thích rõ ràng, minh bạch về lý do và mục tiêu của việc sửa đổi thuế lần này. - HUMAN-TRU4]]</f>
        <v>9</v>
      </c>
      <c r="AZ215">
        <f t="shared" si="100"/>
        <v>0.88888888888888884</v>
      </c>
      <c r="BA215" s="32">
        <f t="shared" si="101"/>
        <v>0.69444444444444442</v>
      </c>
      <c r="BB215" s="32">
        <f t="shared" si="102"/>
        <v>0.88888888888888884</v>
      </c>
      <c r="BC215" s="7">
        <f t="shared" si="103"/>
        <v>0.71296296296296291</v>
      </c>
      <c r="BD215" s="7">
        <f t="shared" si="104"/>
        <v>0.88888888888888884</v>
      </c>
      <c r="BE215">
        <f>step3_validation[[#This Row],[AI_OUT1]]</f>
        <v>9</v>
      </c>
      <c r="BF215">
        <f t="shared" si="105"/>
        <v>0.88888888888888884</v>
      </c>
      <c r="BG215">
        <f>survey_responses[[#This Row],[Sau khi xem xét các quyền lợi và nghĩa vụ, bạn có ủng hộ và tuân thủ chính sách mới hiện nay? - HUMAN-OUT1]]</f>
        <v>9</v>
      </c>
      <c r="BH215">
        <f t="shared" si="106"/>
        <v>0.88888888888888884</v>
      </c>
      <c r="BI215" s="32">
        <f t="shared" si="107"/>
        <v>0</v>
      </c>
    </row>
    <row r="216" spans="1:61" x14ac:dyDescent="0.45">
      <c r="A216" s="30">
        <f>step3_validation[[#This Row],[Persona_ID]]</f>
        <v>215</v>
      </c>
      <c r="B216" s="31">
        <f>step3_validation[[#This Row],[Used_Seed]]</f>
        <v>256</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18.719199146531313</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7</v>
      </c>
      <c r="R216">
        <f t="shared" si="81"/>
        <v>0.66666666666666663</v>
      </c>
      <c r="S216">
        <f>survey_responses[[#This Row],[Tôi tin rằng với các quy định quản lý thuế hiện nay, hành vi gian lận hoặc trốn thuế sẽ dễ dàng bị phát hiện và xử lý nghiêm. - HUMAN-ENF1]]</f>
        <v>5</v>
      </c>
      <c r="T216">
        <f t="shared" si="82"/>
        <v>0.44444444444444442</v>
      </c>
      <c r="U216">
        <f>step3_validation[[#This Row],[AI_ENF2]]</f>
        <v>8</v>
      </c>
      <c r="V216">
        <f t="shared" si="83"/>
        <v>0.77777777777777779</v>
      </c>
      <c r="W216">
        <f>survey_responses[[#This Row],[Tôi tin rằng Nhà nước, cơ quan thuế có đủ khả năng và công nghệ để phát hiện, xử lý nghiêm các hành vi trốn thuế. - HUMAN-ENF2]]</f>
        <v>5</v>
      </c>
      <c r="X216">
        <f t="shared" si="84"/>
        <v>0.44444444444444442</v>
      </c>
      <c r="Y216" s="32">
        <f t="shared" si="85"/>
        <v>0.72222222222222221</v>
      </c>
      <c r="Z216" s="32">
        <f t="shared" si="86"/>
        <v>0.44444444444444442</v>
      </c>
      <c r="AA216">
        <f>step3_validation[[#This Row],[AI_FAC1]]</f>
        <v>9</v>
      </c>
      <c r="AB216">
        <f t="shared" si="87"/>
        <v>0.88888888888888884</v>
      </c>
      <c r="AC216">
        <f>survey_responses[[#This Row],[Các thủ tục khai báo thuế VÀ/HOẶC quy trình làm việc với cơ quan thuế đơn giản, tiện lợi, nhanh chóng hơn so với trước đây. - HUMAN-FAC1]]</f>
        <v>5</v>
      </c>
      <c r="AD216">
        <f t="shared" si="88"/>
        <v>0.44444444444444442</v>
      </c>
      <c r="AE216">
        <f>step3_validation[[#This Row],[AI_FAC2]]</f>
        <v>10</v>
      </c>
      <c r="AF216">
        <f t="shared" si="89"/>
        <v>1</v>
      </c>
      <c r="AG216">
        <f>survey_responses[[#This Row],[So với trước đây, tôi thấy cách tính thuế và các bậc thuế trong phương án mới đơn giản, dễ hiểu và dễ thực hiện hơn. - HUMAN-FAC2]]</f>
        <v>5</v>
      </c>
      <c r="AH216">
        <f t="shared" si="90"/>
        <v>0.44444444444444442</v>
      </c>
      <c r="AI216" s="32">
        <f t="shared" si="91"/>
        <v>0.94444444444444442</v>
      </c>
      <c r="AJ216" s="32">
        <f t="shared" si="92"/>
        <v>0.44444444444444442</v>
      </c>
      <c r="AK216">
        <f>step3_validation[[#This Row],[AI_TRU1]]</f>
        <v>9</v>
      </c>
      <c r="AL216">
        <f t="shared" si="93"/>
        <v>0.88888888888888884</v>
      </c>
      <c r="AM216">
        <f>survey_responses[[#This Row],[Tôi tin rằng Nhà nước, cơ quan thuế sẽ thực thi chính sách mới một cách khách quan, công tâm và đối xử bình đẳng với mọi người nộp thuế.  - HUMAN-TRU1]]</f>
        <v>5</v>
      </c>
      <c r="AN216">
        <f t="shared" si="94"/>
        <v>0.44444444444444442</v>
      </c>
      <c r="AO216">
        <f>step3_validation[[#This Row],[AI_TRU2]]</f>
        <v>9</v>
      </c>
      <c r="AP216">
        <f t="shared" si="95"/>
        <v>0.88888888888888884</v>
      </c>
      <c r="AQ216">
        <f>survey_responses[[#This Row],[Tôi thấy mức thuế tôi phải đóng theo phương án mới là công bằng (người thu nhập như tôi đóng mức này là hợp lý). - HUMAN-TRU2]]</f>
        <v>5</v>
      </c>
      <c r="AR216">
        <f t="shared" si="96"/>
        <v>0.44444444444444442</v>
      </c>
      <c r="AS216">
        <f>step3_validation[[#This Row],[AI_TRU3]]</f>
        <v>8</v>
      </c>
      <c r="AT216">
        <f t="shared" si="97"/>
        <v>0.77777777777777779</v>
      </c>
      <c r="AU216">
        <f>survey_responses[[#This Row],[Tôi tin tưởng số tiền thuế tôi đóng sẽ được Nhà nước sử dụng hiệu quả để cải thiện dịch vụ công (y tế, đường xá...). - HUMAN-TRU3]]</f>
        <v>5</v>
      </c>
      <c r="AV216">
        <f t="shared" si="98"/>
        <v>0.44444444444444442</v>
      </c>
      <c r="AW216">
        <f>step3_validation[[#This Row],[AI_TRU4]]</f>
        <v>7</v>
      </c>
      <c r="AX216">
        <f t="shared" si="99"/>
        <v>0.66666666666666663</v>
      </c>
      <c r="AY216">
        <f>survey_responses[[#This Row],[Tôi thấy Nhà nước đã giải thích rõ ràng, minh bạch về lý do và mục tiêu của việc sửa đổi thuế lần này. - HUMAN-TRU4]]</f>
        <v>5</v>
      </c>
      <c r="AZ216">
        <f t="shared" si="100"/>
        <v>0.44444444444444442</v>
      </c>
      <c r="BA216" s="32">
        <f t="shared" si="101"/>
        <v>0.80555555555555547</v>
      </c>
      <c r="BB216" s="32">
        <f t="shared" si="102"/>
        <v>0.44444444444444442</v>
      </c>
      <c r="BC216" s="7">
        <f t="shared" si="103"/>
        <v>0.82407407407407396</v>
      </c>
      <c r="BD216" s="7">
        <f t="shared" si="104"/>
        <v>0.44444444444444442</v>
      </c>
      <c r="BE216">
        <f>step3_validation[[#This Row],[AI_OUT1]]</f>
        <v>9</v>
      </c>
      <c r="BF216">
        <f t="shared" si="105"/>
        <v>0.88888888888888884</v>
      </c>
      <c r="BG216">
        <f>survey_responses[[#This Row],[Sau khi xem xét các quyền lợi và nghĩa vụ, bạn có ủng hộ và tuân thủ chính sách mới hiện nay? - HUMAN-OUT1]]</f>
        <v>5</v>
      </c>
      <c r="BH216">
        <f t="shared" si="106"/>
        <v>0.44444444444444442</v>
      </c>
      <c r="BI216" s="32">
        <f t="shared" si="107"/>
        <v>4</v>
      </c>
    </row>
    <row r="217" spans="1:61" x14ac:dyDescent="0.45">
      <c r="A217" s="30">
        <f>step3_validation[[#This Row],[Persona_ID]]</f>
        <v>216</v>
      </c>
      <c r="B217" s="31">
        <f>step3_validation[[#This Row],[Used_Seed]]</f>
        <v>257</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42.400212876494244</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6</v>
      </c>
      <c r="R217">
        <f t="shared" si="81"/>
        <v>0.55555555555555558</v>
      </c>
      <c r="S217">
        <f>survey_responses[[#This Row],[Tôi tin rằng với các quy định quản lý thuế hiện nay, hành vi gian lận hoặc trốn thuế sẽ dễ dàng bị phát hiện và xử lý nghiêm. - HUMAN-ENF1]]</f>
        <v>6</v>
      </c>
      <c r="T217">
        <f t="shared" si="82"/>
        <v>0.55555555555555558</v>
      </c>
      <c r="U217">
        <f>step3_validation[[#This Row],[AI_ENF2]]</f>
        <v>7</v>
      </c>
      <c r="V217">
        <f t="shared" si="83"/>
        <v>0.66666666666666663</v>
      </c>
      <c r="W217">
        <f>survey_responses[[#This Row],[Tôi tin rằng Nhà nước, cơ quan thuế có đủ khả năng và công nghệ để phát hiện, xử lý nghiêm các hành vi trốn thuế. - HUMAN-ENF2]]</f>
        <v>7</v>
      </c>
      <c r="X217">
        <f t="shared" si="84"/>
        <v>0.66666666666666663</v>
      </c>
      <c r="Y217" s="32">
        <f t="shared" si="85"/>
        <v>0.61111111111111116</v>
      </c>
      <c r="Z217" s="32">
        <f t="shared" si="86"/>
        <v>0.61111111111111116</v>
      </c>
      <c r="AA217">
        <f>step3_validation[[#This Row],[AI_FAC1]]</f>
        <v>9</v>
      </c>
      <c r="AB217">
        <f t="shared" si="87"/>
        <v>0.88888888888888884</v>
      </c>
      <c r="AC217">
        <f>survey_responses[[#This Row],[Các thủ tục khai báo thuế VÀ/HOẶC quy trình làm việc với cơ quan thuế đơn giản, tiện lợi, nhanh chóng hơn so với trước đây. - HUMAN-FAC1]]</f>
        <v>7</v>
      </c>
      <c r="AD217">
        <f t="shared" si="88"/>
        <v>0.66666666666666663</v>
      </c>
      <c r="AE217">
        <f>step3_validation[[#This Row],[AI_FAC2]]</f>
        <v>8</v>
      </c>
      <c r="AF217">
        <f t="shared" si="89"/>
        <v>0.77777777777777779</v>
      </c>
      <c r="AG217">
        <f>survey_responses[[#This Row],[So với trước đây, tôi thấy cách tính thuế và các bậc thuế trong phương án mới đơn giản, dễ hiểu và dễ thực hiện hơn. - HUMAN-FAC2]]</f>
        <v>7</v>
      </c>
      <c r="AH217">
        <f t="shared" si="90"/>
        <v>0.66666666666666663</v>
      </c>
      <c r="AI217" s="32">
        <f t="shared" si="91"/>
        <v>0.83333333333333326</v>
      </c>
      <c r="AJ217" s="32">
        <f t="shared" si="92"/>
        <v>0.66666666666666663</v>
      </c>
      <c r="AK217">
        <f>step3_validation[[#This Row],[AI_TRU1]]</f>
        <v>7</v>
      </c>
      <c r="AL217">
        <f t="shared" si="93"/>
        <v>0.66666666666666663</v>
      </c>
      <c r="AM217">
        <f>survey_responses[[#This Row],[Tôi tin rằng Nhà nước, cơ quan thuế sẽ thực thi chính sách mới một cách khách quan, công tâm và đối xử bình đẳng với mọi người nộp thuế.  - HUMAN-TRU1]]</f>
        <v>6</v>
      </c>
      <c r="AN217">
        <f t="shared" si="94"/>
        <v>0.55555555555555558</v>
      </c>
      <c r="AO217">
        <f>step3_validation[[#This Row],[AI_TRU2]]</f>
        <v>9</v>
      </c>
      <c r="AP217">
        <f t="shared" si="95"/>
        <v>0.88888888888888884</v>
      </c>
      <c r="AQ217">
        <f>survey_responses[[#This Row],[Tôi thấy mức thuế tôi phải đóng theo phương án mới là công bằng (người thu nhập như tôi đóng mức này là hợp lý). - HUMAN-TRU2]]</f>
        <v>7</v>
      </c>
      <c r="AR217">
        <f t="shared" si="96"/>
        <v>0.66666666666666663</v>
      </c>
      <c r="AS217">
        <f>step3_validation[[#This Row],[AI_TRU3]]</f>
        <v>7</v>
      </c>
      <c r="AT217">
        <f t="shared" si="97"/>
        <v>0.66666666666666663</v>
      </c>
      <c r="AU217">
        <f>survey_responses[[#This Row],[Tôi tin tưởng số tiền thuế tôi đóng sẽ được Nhà nước sử dụng hiệu quả để cải thiện dịch vụ công (y tế, đường xá...). - HUMAN-TRU3]]</f>
        <v>7</v>
      </c>
      <c r="AV217">
        <f t="shared" si="98"/>
        <v>0.66666666666666663</v>
      </c>
      <c r="AW217">
        <f>step3_validation[[#This Row],[AI_TRU4]]</f>
        <v>8</v>
      </c>
      <c r="AX217">
        <f t="shared" si="99"/>
        <v>0.77777777777777779</v>
      </c>
      <c r="AY217">
        <f>survey_responses[[#This Row],[Tôi thấy Nhà nước đã giải thích rõ ràng, minh bạch về lý do và mục tiêu của việc sửa đổi thuế lần này. - HUMAN-TRU4]]</f>
        <v>7</v>
      </c>
      <c r="AZ217">
        <f t="shared" si="100"/>
        <v>0.66666666666666663</v>
      </c>
      <c r="BA217" s="32">
        <f t="shared" si="101"/>
        <v>0.74999999999999989</v>
      </c>
      <c r="BB217" s="32">
        <f t="shared" si="102"/>
        <v>0.63888888888888884</v>
      </c>
      <c r="BC217" s="7">
        <f t="shared" si="103"/>
        <v>0.7314814814814814</v>
      </c>
      <c r="BD217" s="7">
        <f t="shared" si="104"/>
        <v>0.63888888888888884</v>
      </c>
      <c r="BE217">
        <f>step3_validation[[#This Row],[AI_OUT1]]</f>
        <v>9</v>
      </c>
      <c r="BF217">
        <f t="shared" si="105"/>
        <v>0.88888888888888884</v>
      </c>
      <c r="BG217">
        <f>survey_responses[[#This Row],[Sau khi xem xét các quyền lợi và nghĩa vụ, bạn có ủng hộ và tuân thủ chính sách mới hiện nay? - HUMAN-OUT1]]</f>
        <v>7</v>
      </c>
      <c r="BH217">
        <f t="shared" si="106"/>
        <v>0.66666666666666663</v>
      </c>
      <c r="BI217" s="32">
        <f t="shared" si="107"/>
        <v>2</v>
      </c>
    </row>
    <row r="218" spans="1:61" x14ac:dyDescent="0.45">
      <c r="A218" s="30">
        <f>step3_validation[[#This Row],[Persona_ID]]</f>
        <v>217</v>
      </c>
      <c r="B218" s="31">
        <f>step3_validation[[#This Row],[Used_Seed]]</f>
        <v>258</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38.912910617398488</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5</v>
      </c>
      <c r="R218">
        <f t="shared" si="81"/>
        <v>0.44444444444444442</v>
      </c>
      <c r="S218">
        <f>survey_responses[[#This Row],[Tôi tin rằng với các quy định quản lý thuế hiện nay, hành vi gian lận hoặc trốn thuế sẽ dễ dàng bị phát hiện và xử lý nghiêm. - HUMAN-ENF1]]</f>
        <v>5</v>
      </c>
      <c r="T218">
        <f t="shared" si="82"/>
        <v>0.44444444444444442</v>
      </c>
      <c r="U218">
        <f>step3_validation[[#This Row],[AI_ENF2]]</f>
        <v>5</v>
      </c>
      <c r="V218">
        <f t="shared" si="83"/>
        <v>0.44444444444444442</v>
      </c>
      <c r="W218">
        <f>survey_responses[[#This Row],[Tôi tin rằng Nhà nước, cơ quan thuế có đủ khả năng và công nghệ để phát hiện, xử lý nghiêm các hành vi trốn thuế. - HUMAN-ENF2]]</f>
        <v>5</v>
      </c>
      <c r="X218">
        <f t="shared" si="84"/>
        <v>0.44444444444444442</v>
      </c>
      <c r="Y218" s="32">
        <f t="shared" si="85"/>
        <v>0.44444444444444442</v>
      </c>
      <c r="Z218" s="32">
        <f t="shared" si="86"/>
        <v>0.44444444444444442</v>
      </c>
      <c r="AA218">
        <f>step3_validation[[#This Row],[AI_FAC1]]</f>
        <v>8</v>
      </c>
      <c r="AB218">
        <f t="shared" si="87"/>
        <v>0.77777777777777779</v>
      </c>
      <c r="AC218">
        <f>survey_responses[[#This Row],[Các thủ tục khai báo thuế VÀ/HOẶC quy trình làm việc với cơ quan thuế đơn giản, tiện lợi, nhanh chóng hơn so với trước đây. - HUMAN-FAC1]]</f>
        <v>5</v>
      </c>
      <c r="AD218">
        <f t="shared" si="88"/>
        <v>0.44444444444444442</v>
      </c>
      <c r="AE218">
        <f>step3_validation[[#This Row],[AI_FAC2]]</f>
        <v>9</v>
      </c>
      <c r="AF218">
        <f t="shared" si="89"/>
        <v>0.88888888888888884</v>
      </c>
      <c r="AG218">
        <f>survey_responses[[#This Row],[So với trước đây, tôi thấy cách tính thuế và các bậc thuế trong phương án mới đơn giản, dễ hiểu và dễ thực hiện hơn. - HUMAN-FAC2]]</f>
        <v>6</v>
      </c>
      <c r="AH218">
        <f t="shared" si="90"/>
        <v>0.55555555555555558</v>
      </c>
      <c r="AI218" s="32">
        <f t="shared" si="91"/>
        <v>0.83333333333333326</v>
      </c>
      <c r="AJ218" s="32">
        <f t="shared" si="92"/>
        <v>0.5</v>
      </c>
      <c r="AK218">
        <f>step3_validation[[#This Row],[AI_TRU1]]</f>
        <v>7</v>
      </c>
      <c r="AL218">
        <f t="shared" si="93"/>
        <v>0.66666666666666663</v>
      </c>
      <c r="AM218">
        <f>survey_responses[[#This Row],[Tôi tin rằng Nhà nước, cơ quan thuế sẽ thực thi chính sách mới một cách khách quan, công tâm và đối xử bình đẳng với mọi người nộp thuế.  - HUMAN-TRU1]]</f>
        <v>5</v>
      </c>
      <c r="AN218">
        <f t="shared" si="94"/>
        <v>0.44444444444444442</v>
      </c>
      <c r="AO218">
        <f>step3_validation[[#This Row],[AI_TRU2]]</f>
        <v>9</v>
      </c>
      <c r="AP218">
        <f t="shared" si="95"/>
        <v>0.88888888888888884</v>
      </c>
      <c r="AQ218">
        <f>survey_responses[[#This Row],[Tôi thấy mức thuế tôi phải đóng theo phương án mới là công bằng (người thu nhập như tôi đóng mức này là hợp lý). - HUMAN-TRU2]]</f>
        <v>5</v>
      </c>
      <c r="AR218">
        <f t="shared" si="96"/>
        <v>0.44444444444444442</v>
      </c>
      <c r="AS218">
        <f>step3_validation[[#This Row],[AI_TRU3]]</f>
        <v>6</v>
      </c>
      <c r="AT218">
        <f t="shared" si="97"/>
        <v>0.55555555555555558</v>
      </c>
      <c r="AU218">
        <f>survey_responses[[#This Row],[Tôi tin tưởng số tiền thuế tôi đóng sẽ được Nhà nước sử dụng hiệu quả để cải thiện dịch vụ công (y tế, đường xá...). - HUMAN-TRU3]]</f>
        <v>5</v>
      </c>
      <c r="AV218">
        <f t="shared" si="98"/>
        <v>0.44444444444444442</v>
      </c>
      <c r="AW218">
        <f>step3_validation[[#This Row],[AI_TRU4]]</f>
        <v>7</v>
      </c>
      <c r="AX218">
        <f t="shared" si="99"/>
        <v>0.66666666666666663</v>
      </c>
      <c r="AY218">
        <f>survey_responses[[#This Row],[Tôi thấy Nhà nước đã giải thích rõ ràng, minh bạch về lý do và mục tiêu của việc sửa đổi thuế lần này. - HUMAN-TRU4]]</f>
        <v>5</v>
      </c>
      <c r="AZ218">
        <f t="shared" si="100"/>
        <v>0.44444444444444442</v>
      </c>
      <c r="BA218" s="32">
        <f t="shared" si="101"/>
        <v>0.69444444444444431</v>
      </c>
      <c r="BB218" s="32">
        <f t="shared" si="102"/>
        <v>0.44444444444444442</v>
      </c>
      <c r="BC218" s="7">
        <f t="shared" si="103"/>
        <v>0.65740740740740733</v>
      </c>
      <c r="BD218" s="7">
        <f t="shared" si="104"/>
        <v>0.46296296296296297</v>
      </c>
      <c r="BE218">
        <f>step3_validation[[#This Row],[AI_OUT1]]</f>
        <v>9</v>
      </c>
      <c r="BF218">
        <f t="shared" si="105"/>
        <v>0.88888888888888884</v>
      </c>
      <c r="BG218">
        <f>survey_responses[[#This Row],[Sau khi xem xét các quyền lợi và nghĩa vụ, bạn có ủng hộ và tuân thủ chính sách mới hiện nay? - HUMAN-OUT1]]</f>
        <v>5</v>
      </c>
      <c r="BH218">
        <f t="shared" si="106"/>
        <v>0.44444444444444442</v>
      </c>
      <c r="BI218" s="32">
        <f t="shared" si="107"/>
        <v>4</v>
      </c>
    </row>
    <row r="219" spans="1:61" x14ac:dyDescent="0.45">
      <c r="A219" s="30">
        <f>step3_validation[[#This Row],[Persona_ID]]</f>
        <v>218</v>
      </c>
      <c r="B219" s="31">
        <f>step3_validation[[#This Row],[Used_Seed]]</f>
        <v>259</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67.90424664424836</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7</v>
      </c>
      <c r="R219">
        <f t="shared" si="81"/>
        <v>0.66666666666666663</v>
      </c>
      <c r="S219">
        <f>survey_responses[[#This Row],[Tôi tin rằng với các quy định quản lý thuế hiện nay, hành vi gian lận hoặc trốn thuế sẽ dễ dàng bị phát hiện và xử lý nghiêm. - HUMAN-ENF1]]</f>
        <v>6</v>
      </c>
      <c r="T219">
        <f t="shared" si="82"/>
        <v>0.55555555555555558</v>
      </c>
      <c r="U219">
        <f>step3_validation[[#This Row],[AI_ENF2]]</f>
        <v>8</v>
      </c>
      <c r="V219">
        <f t="shared" si="83"/>
        <v>0.77777777777777779</v>
      </c>
      <c r="W219">
        <f>survey_responses[[#This Row],[Tôi tin rằng Nhà nước, cơ quan thuế có đủ khả năng và công nghệ để phát hiện, xử lý nghiêm các hành vi trốn thuế. - HUMAN-ENF2]]</f>
        <v>7</v>
      </c>
      <c r="X219">
        <f t="shared" si="84"/>
        <v>0.66666666666666663</v>
      </c>
      <c r="Y219" s="32">
        <f t="shared" si="85"/>
        <v>0.72222222222222221</v>
      </c>
      <c r="Z219" s="32">
        <f t="shared" si="86"/>
        <v>0.61111111111111116</v>
      </c>
      <c r="AA219">
        <f>step3_validation[[#This Row],[AI_FAC1]]</f>
        <v>9</v>
      </c>
      <c r="AB219">
        <f t="shared" si="87"/>
        <v>0.88888888888888884</v>
      </c>
      <c r="AC219">
        <f>survey_responses[[#This Row],[Các thủ tục khai báo thuế VÀ/HOẶC quy trình làm việc với cơ quan thuế đơn giản, tiện lợi, nhanh chóng hơn so với trước đây. - HUMAN-FAC1]]</f>
        <v>7</v>
      </c>
      <c r="AD219">
        <f t="shared" si="88"/>
        <v>0.66666666666666663</v>
      </c>
      <c r="AE219">
        <f>step3_validation[[#This Row],[AI_FAC2]]</f>
        <v>9</v>
      </c>
      <c r="AF219">
        <f t="shared" si="89"/>
        <v>0.88888888888888884</v>
      </c>
      <c r="AG219">
        <f>survey_responses[[#This Row],[So với trước đây, tôi thấy cách tính thuế và các bậc thuế trong phương án mới đơn giản, dễ hiểu và dễ thực hiện hơn. - HUMAN-FAC2]]</f>
        <v>7</v>
      </c>
      <c r="AH219">
        <f t="shared" si="90"/>
        <v>0.66666666666666663</v>
      </c>
      <c r="AI219" s="32">
        <f t="shared" si="91"/>
        <v>0.88888888888888884</v>
      </c>
      <c r="AJ219" s="32">
        <f t="shared" si="92"/>
        <v>0.66666666666666663</v>
      </c>
      <c r="AK219">
        <f>step3_validation[[#This Row],[AI_TRU1]]</f>
        <v>10</v>
      </c>
      <c r="AL219">
        <f t="shared" si="93"/>
        <v>1</v>
      </c>
      <c r="AM219">
        <f>survey_responses[[#This Row],[Tôi tin rằng Nhà nước, cơ quan thuế sẽ thực thi chính sách mới một cách khách quan, công tâm và đối xử bình đẳng với mọi người nộp thuế.  - HUMAN-TRU1]]</f>
        <v>7</v>
      </c>
      <c r="AN219">
        <f t="shared" si="94"/>
        <v>0.66666666666666663</v>
      </c>
      <c r="AO219">
        <f>step3_validation[[#This Row],[AI_TRU2]]</f>
        <v>9</v>
      </c>
      <c r="AP219">
        <f t="shared" si="95"/>
        <v>0.88888888888888884</v>
      </c>
      <c r="AQ219">
        <f>survey_responses[[#This Row],[Tôi thấy mức thuế tôi phải đóng theo phương án mới là công bằng (người thu nhập như tôi đóng mức này là hợp lý). - HUMAN-TRU2]]</f>
        <v>7</v>
      </c>
      <c r="AR219">
        <f t="shared" si="96"/>
        <v>0.66666666666666663</v>
      </c>
      <c r="AS219">
        <f>step3_validation[[#This Row],[AI_TRU3]]</f>
        <v>10</v>
      </c>
      <c r="AT219">
        <f t="shared" si="97"/>
        <v>1</v>
      </c>
      <c r="AU219">
        <f>survey_responses[[#This Row],[Tôi tin tưởng số tiền thuế tôi đóng sẽ được Nhà nước sử dụng hiệu quả để cải thiện dịch vụ công (y tế, đường xá...). - HUMAN-TRU3]]</f>
        <v>7</v>
      </c>
      <c r="AV219">
        <f t="shared" si="98"/>
        <v>0.66666666666666663</v>
      </c>
      <c r="AW219">
        <f>step3_validation[[#This Row],[AI_TRU4]]</f>
        <v>8</v>
      </c>
      <c r="AX219">
        <f t="shared" si="99"/>
        <v>0.77777777777777779</v>
      </c>
      <c r="AY219">
        <f>survey_responses[[#This Row],[Tôi thấy Nhà nước đã giải thích rõ ràng, minh bạch về lý do và mục tiêu của việc sửa đổi thuế lần này. - HUMAN-TRU4]]</f>
        <v>7</v>
      </c>
      <c r="AZ219">
        <f t="shared" si="100"/>
        <v>0.66666666666666663</v>
      </c>
      <c r="BA219" s="32">
        <f t="shared" si="101"/>
        <v>0.91666666666666663</v>
      </c>
      <c r="BB219" s="32">
        <f t="shared" si="102"/>
        <v>0.66666666666666663</v>
      </c>
      <c r="BC219" s="7">
        <f t="shared" si="103"/>
        <v>0.84259259259259256</v>
      </c>
      <c r="BD219" s="7">
        <f t="shared" si="104"/>
        <v>0.64814814814814803</v>
      </c>
      <c r="BE219">
        <f>step3_validation[[#This Row],[AI_OUT1]]</f>
        <v>10</v>
      </c>
      <c r="BF219">
        <f t="shared" si="105"/>
        <v>1</v>
      </c>
      <c r="BG219">
        <f>survey_responses[[#This Row],[Sau khi xem xét các quyền lợi và nghĩa vụ, bạn có ủng hộ và tuân thủ chính sách mới hiện nay? - HUMAN-OUT1]]</f>
        <v>7</v>
      </c>
      <c r="BH219">
        <f t="shared" si="106"/>
        <v>0.66666666666666663</v>
      </c>
      <c r="BI219" s="32">
        <f t="shared" si="107"/>
        <v>3</v>
      </c>
    </row>
    <row r="220" spans="1:61" x14ac:dyDescent="0.45">
      <c r="A220" s="30">
        <f>step3_validation[[#This Row],[Persona_ID]]</f>
        <v>219</v>
      </c>
      <c r="B220" s="31">
        <f>step3_validation[[#This Row],[Used_Seed]]</f>
        <v>260</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182.21574814922121</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5</v>
      </c>
      <c r="R220">
        <f t="shared" si="81"/>
        <v>0.44444444444444442</v>
      </c>
      <c r="S220">
        <f>survey_responses[[#This Row],[Tôi tin rằng với các quy định quản lý thuế hiện nay, hành vi gian lận hoặc trốn thuế sẽ dễ dàng bị phát hiện và xử lý nghiêm. - HUMAN-ENF1]]</f>
        <v>7</v>
      </c>
      <c r="T220">
        <f t="shared" si="82"/>
        <v>0.66666666666666663</v>
      </c>
      <c r="U220">
        <f>step3_validation[[#This Row],[AI_ENF2]]</f>
        <v>6</v>
      </c>
      <c r="V220">
        <f t="shared" si="83"/>
        <v>0.55555555555555558</v>
      </c>
      <c r="W220">
        <f>survey_responses[[#This Row],[Tôi tin rằng Nhà nước, cơ quan thuế có đủ khả năng và công nghệ để phát hiện, xử lý nghiêm các hành vi trốn thuế. - HUMAN-ENF2]]</f>
        <v>8</v>
      </c>
      <c r="X220">
        <f t="shared" si="84"/>
        <v>0.77777777777777779</v>
      </c>
      <c r="Y220" s="32">
        <f t="shared" si="85"/>
        <v>0.5</v>
      </c>
      <c r="Z220" s="32">
        <f t="shared" si="86"/>
        <v>0.72222222222222221</v>
      </c>
      <c r="AA220">
        <f>step3_validation[[#This Row],[AI_FAC1]]</f>
        <v>8</v>
      </c>
      <c r="AB220">
        <f t="shared" si="87"/>
        <v>0.77777777777777779</v>
      </c>
      <c r="AC220">
        <f>survey_responses[[#This Row],[Các thủ tục khai báo thuế VÀ/HOẶC quy trình làm việc với cơ quan thuế đơn giản, tiện lợi, nhanh chóng hơn so với trước đây. - HUMAN-FAC1]]</f>
        <v>8</v>
      </c>
      <c r="AD220">
        <f t="shared" si="88"/>
        <v>0.77777777777777779</v>
      </c>
      <c r="AE220">
        <f>step3_validation[[#This Row],[AI_FAC2]]</f>
        <v>9</v>
      </c>
      <c r="AF220">
        <f t="shared" si="89"/>
        <v>0.88888888888888884</v>
      </c>
      <c r="AG220">
        <f>survey_responses[[#This Row],[So với trước đây, tôi thấy cách tính thuế và các bậc thuế trong phương án mới đơn giản, dễ hiểu và dễ thực hiện hơn. - HUMAN-FAC2]]</f>
        <v>8</v>
      </c>
      <c r="AH220">
        <f t="shared" si="90"/>
        <v>0.77777777777777779</v>
      </c>
      <c r="AI220" s="32">
        <f t="shared" si="91"/>
        <v>0.83333333333333326</v>
      </c>
      <c r="AJ220" s="32">
        <f t="shared" si="92"/>
        <v>0.77777777777777779</v>
      </c>
      <c r="AK220">
        <f>step3_validation[[#This Row],[AI_TRU1]]</f>
        <v>7</v>
      </c>
      <c r="AL220">
        <f t="shared" si="93"/>
        <v>0.66666666666666663</v>
      </c>
      <c r="AM220">
        <f>survey_responses[[#This Row],[Tôi tin rằng Nhà nước, cơ quan thuế sẽ thực thi chính sách mới một cách khách quan, công tâm và đối xử bình đẳng với mọi người nộp thuế.  - HUMAN-TRU1]]</f>
        <v>8</v>
      </c>
      <c r="AN220">
        <f t="shared" si="94"/>
        <v>0.77777777777777779</v>
      </c>
      <c r="AO220">
        <f>step3_validation[[#This Row],[AI_TRU2]]</f>
        <v>9</v>
      </c>
      <c r="AP220">
        <f t="shared" si="95"/>
        <v>0.88888888888888884</v>
      </c>
      <c r="AQ220">
        <f>survey_responses[[#This Row],[Tôi thấy mức thuế tôi phải đóng theo phương án mới là công bằng (người thu nhập như tôi đóng mức này là hợp lý). - HUMAN-TRU2]]</f>
        <v>5</v>
      </c>
      <c r="AR220">
        <f t="shared" si="96"/>
        <v>0.44444444444444442</v>
      </c>
      <c r="AS220">
        <f>step3_validation[[#This Row],[AI_TRU3]]</f>
        <v>7</v>
      </c>
      <c r="AT220">
        <f t="shared" si="97"/>
        <v>0.66666666666666663</v>
      </c>
      <c r="AU220">
        <f>survey_responses[[#This Row],[Tôi tin tưởng số tiền thuế tôi đóng sẽ được Nhà nước sử dụng hiệu quả để cải thiện dịch vụ công (y tế, đường xá...). - HUMAN-TRU3]]</f>
        <v>5</v>
      </c>
      <c r="AV220">
        <f t="shared" si="98"/>
        <v>0.44444444444444442</v>
      </c>
      <c r="AW220">
        <f>step3_validation[[#This Row],[AI_TRU4]]</f>
        <v>6</v>
      </c>
      <c r="AX220">
        <f t="shared" si="99"/>
        <v>0.55555555555555558</v>
      </c>
      <c r="AY220">
        <f>survey_responses[[#This Row],[Tôi thấy Nhà nước đã giải thích rõ ràng, minh bạch về lý do và mục tiêu của việc sửa đổi thuế lần này. - HUMAN-TRU4]]</f>
        <v>7</v>
      </c>
      <c r="AZ220">
        <f t="shared" si="100"/>
        <v>0.66666666666666663</v>
      </c>
      <c r="BA220" s="32">
        <f t="shared" si="101"/>
        <v>0.69444444444444442</v>
      </c>
      <c r="BB220" s="32">
        <f t="shared" si="102"/>
        <v>0.58333333333333337</v>
      </c>
      <c r="BC220" s="7">
        <f t="shared" si="103"/>
        <v>0.67592592592592593</v>
      </c>
      <c r="BD220" s="7">
        <f t="shared" si="104"/>
        <v>0.69444444444444453</v>
      </c>
      <c r="BE220">
        <f>step3_validation[[#This Row],[AI_OUT1]]</f>
        <v>9</v>
      </c>
      <c r="BF220">
        <f t="shared" si="105"/>
        <v>0.88888888888888884</v>
      </c>
      <c r="BG220">
        <f>survey_responses[[#This Row],[Sau khi xem xét các quyền lợi và nghĩa vụ, bạn có ủng hộ và tuân thủ chính sách mới hiện nay? - HUMAN-OUT1]]</f>
        <v>6</v>
      </c>
      <c r="BH220">
        <f t="shared" si="106"/>
        <v>0.55555555555555558</v>
      </c>
      <c r="BI220" s="32">
        <f t="shared" si="107"/>
        <v>3</v>
      </c>
    </row>
    <row r="221" spans="1:61" x14ac:dyDescent="0.45">
      <c r="A221" s="30">
        <f>step3_validation[[#This Row],[Persona_ID]]</f>
        <v>220</v>
      </c>
      <c r="B221" s="31">
        <f>step3_validation[[#This Row],[Used_Seed]]</f>
        <v>261</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116.72238938428899</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7</v>
      </c>
      <c r="R221">
        <f t="shared" si="81"/>
        <v>0.66666666666666663</v>
      </c>
      <c r="S221">
        <f>survey_responses[[#This Row],[Tôi tin rằng với các quy định quản lý thuế hiện nay, hành vi gian lận hoặc trốn thuế sẽ dễ dàng bị phát hiện và xử lý nghiêm. - HUMAN-ENF1]]</f>
        <v>10</v>
      </c>
      <c r="T221">
        <f t="shared" si="82"/>
        <v>1</v>
      </c>
      <c r="U221">
        <f>step3_validation[[#This Row],[AI_ENF2]]</f>
        <v>6</v>
      </c>
      <c r="V221">
        <f t="shared" si="83"/>
        <v>0.55555555555555558</v>
      </c>
      <c r="W221">
        <f>survey_responses[[#This Row],[Tôi tin rằng Nhà nước, cơ quan thuế có đủ khả năng và công nghệ để phát hiện, xử lý nghiêm các hành vi trốn thuế. - HUMAN-ENF2]]</f>
        <v>10</v>
      </c>
      <c r="X221">
        <f t="shared" si="84"/>
        <v>1</v>
      </c>
      <c r="Y221" s="32">
        <f t="shared" si="85"/>
        <v>0.61111111111111116</v>
      </c>
      <c r="Z221" s="32">
        <f t="shared" si="86"/>
        <v>1</v>
      </c>
      <c r="AA221">
        <f>step3_validation[[#This Row],[AI_FAC1]]</f>
        <v>8</v>
      </c>
      <c r="AB221">
        <f t="shared" si="87"/>
        <v>0.77777777777777779</v>
      </c>
      <c r="AC221">
        <f>survey_responses[[#This Row],[Các thủ tục khai báo thuế VÀ/HOẶC quy trình làm việc với cơ quan thuế đơn giản, tiện lợi, nhanh chóng hơn so với trước đây. - HUMAN-FAC1]]</f>
        <v>6</v>
      </c>
      <c r="AD221">
        <f t="shared" si="88"/>
        <v>0.55555555555555558</v>
      </c>
      <c r="AE221">
        <f>step3_validation[[#This Row],[AI_FAC2]]</f>
        <v>9</v>
      </c>
      <c r="AF221">
        <f t="shared" si="89"/>
        <v>0.88888888888888884</v>
      </c>
      <c r="AG221">
        <f>survey_responses[[#This Row],[So với trước đây, tôi thấy cách tính thuế và các bậc thuế trong phương án mới đơn giản, dễ hiểu và dễ thực hiện hơn. - HUMAN-FAC2]]</f>
        <v>9</v>
      </c>
      <c r="AH221">
        <f t="shared" si="90"/>
        <v>0.88888888888888884</v>
      </c>
      <c r="AI221" s="32">
        <f t="shared" si="91"/>
        <v>0.83333333333333326</v>
      </c>
      <c r="AJ221" s="32">
        <f t="shared" si="92"/>
        <v>0.72222222222222221</v>
      </c>
      <c r="AK221">
        <f>step3_validation[[#This Row],[AI_TRU1]]</f>
        <v>7</v>
      </c>
      <c r="AL221">
        <f t="shared" si="93"/>
        <v>0.66666666666666663</v>
      </c>
      <c r="AM221">
        <f>survey_responses[[#This Row],[Tôi tin rằng Nhà nước, cơ quan thuế sẽ thực thi chính sách mới một cách khách quan, công tâm và đối xử bình đẳng với mọi người nộp thuế.  - HUMAN-TRU1]]</f>
        <v>9</v>
      </c>
      <c r="AN221">
        <f t="shared" si="94"/>
        <v>0.88888888888888884</v>
      </c>
      <c r="AO221">
        <f>step3_validation[[#This Row],[AI_TRU2]]</f>
        <v>8</v>
      </c>
      <c r="AP221">
        <f t="shared" si="95"/>
        <v>0.77777777777777779</v>
      </c>
      <c r="AQ221">
        <f>survey_responses[[#This Row],[Tôi thấy mức thuế tôi phải đóng theo phương án mới là công bằng (người thu nhập như tôi đóng mức này là hợp lý). - HUMAN-TRU2]]</f>
        <v>9</v>
      </c>
      <c r="AR221">
        <f t="shared" si="96"/>
        <v>0.88888888888888884</v>
      </c>
      <c r="AS221">
        <f>step3_validation[[#This Row],[AI_TRU3]]</f>
        <v>6</v>
      </c>
      <c r="AT221">
        <f t="shared" si="97"/>
        <v>0.55555555555555558</v>
      </c>
      <c r="AU221">
        <f>survey_responses[[#This Row],[Tôi tin tưởng số tiền thuế tôi đóng sẽ được Nhà nước sử dụng hiệu quả để cải thiện dịch vụ công (y tế, đường xá...). - HUMAN-TRU3]]</f>
        <v>9</v>
      </c>
      <c r="AV221">
        <f t="shared" si="98"/>
        <v>0.88888888888888884</v>
      </c>
      <c r="AW221">
        <f>step3_validation[[#This Row],[AI_TRU4]]</f>
        <v>7</v>
      </c>
      <c r="AX221">
        <f t="shared" si="99"/>
        <v>0.66666666666666663</v>
      </c>
      <c r="AY221">
        <f>survey_responses[[#This Row],[Tôi thấy Nhà nước đã giải thích rõ ràng, minh bạch về lý do và mục tiêu của việc sửa đổi thuế lần này. - HUMAN-TRU4]]</f>
        <v>8</v>
      </c>
      <c r="AZ221">
        <f t="shared" si="100"/>
        <v>0.77777777777777779</v>
      </c>
      <c r="BA221" s="32">
        <f t="shared" si="101"/>
        <v>0.66666666666666663</v>
      </c>
      <c r="BB221" s="32">
        <f t="shared" si="102"/>
        <v>0.86111111111111105</v>
      </c>
      <c r="BC221" s="7">
        <f t="shared" si="103"/>
        <v>0.70370370370370372</v>
      </c>
      <c r="BD221" s="7">
        <f t="shared" si="104"/>
        <v>0.86111111111111116</v>
      </c>
      <c r="BE221">
        <f>step3_validation[[#This Row],[AI_OUT1]]</f>
        <v>9</v>
      </c>
      <c r="BF221">
        <f t="shared" si="105"/>
        <v>0.88888888888888884</v>
      </c>
      <c r="BG221">
        <f>survey_responses[[#This Row],[Sau khi xem xét các quyền lợi và nghĩa vụ, bạn có ủng hộ và tuân thủ chính sách mới hiện nay? - HUMAN-OUT1]]</f>
        <v>8</v>
      </c>
      <c r="BH221">
        <f t="shared" si="106"/>
        <v>0.77777777777777779</v>
      </c>
      <c r="BI221" s="32">
        <f t="shared" si="107"/>
        <v>1</v>
      </c>
    </row>
    <row r="222" spans="1:61" x14ac:dyDescent="0.45">
      <c r="A222" s="30">
        <f>step3_validation[[#This Row],[Persona_ID]]</f>
        <v>221</v>
      </c>
      <c r="B222" s="31">
        <f>step3_validation[[#This Row],[Used_Seed]]</f>
        <v>262</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55.158825873441579</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7</v>
      </c>
      <c r="R222">
        <f t="shared" si="81"/>
        <v>0.66666666666666663</v>
      </c>
      <c r="S222">
        <f>survey_responses[[#This Row],[Tôi tin rằng với các quy định quản lý thuế hiện nay, hành vi gian lận hoặc trốn thuế sẽ dễ dàng bị phát hiện và xử lý nghiêm. - HUMAN-ENF1]]</f>
        <v>4</v>
      </c>
      <c r="T222">
        <f t="shared" si="82"/>
        <v>0.33333333333333331</v>
      </c>
      <c r="U222">
        <f>step3_validation[[#This Row],[AI_ENF2]]</f>
        <v>8</v>
      </c>
      <c r="V222">
        <f t="shared" si="83"/>
        <v>0.77777777777777779</v>
      </c>
      <c r="W222">
        <f>survey_responses[[#This Row],[Tôi tin rằng Nhà nước, cơ quan thuế có đủ khả năng và công nghệ để phát hiện, xử lý nghiêm các hành vi trốn thuế. - HUMAN-ENF2]]</f>
        <v>4</v>
      </c>
      <c r="X222">
        <f t="shared" si="84"/>
        <v>0.33333333333333331</v>
      </c>
      <c r="Y222" s="32">
        <f t="shared" si="85"/>
        <v>0.72222222222222221</v>
      </c>
      <c r="Z222" s="32">
        <f t="shared" si="86"/>
        <v>0.33333333333333331</v>
      </c>
      <c r="AA222">
        <f>step3_validation[[#This Row],[AI_FAC1]]</f>
        <v>6</v>
      </c>
      <c r="AB222">
        <f t="shared" si="87"/>
        <v>0.55555555555555558</v>
      </c>
      <c r="AC222">
        <f>survey_responses[[#This Row],[Các thủ tục khai báo thuế VÀ/HOẶC quy trình làm việc với cơ quan thuế đơn giản, tiện lợi, nhanh chóng hơn so với trước đây. - HUMAN-FAC1]]</f>
        <v>4</v>
      </c>
      <c r="AD222">
        <f t="shared" si="88"/>
        <v>0.33333333333333331</v>
      </c>
      <c r="AE222">
        <f>step3_validation[[#This Row],[AI_FAC2]]</f>
        <v>9</v>
      </c>
      <c r="AF222">
        <f t="shared" si="89"/>
        <v>0.88888888888888884</v>
      </c>
      <c r="AG222">
        <f>survey_responses[[#This Row],[So với trước đây, tôi thấy cách tính thuế và các bậc thuế trong phương án mới đơn giản, dễ hiểu và dễ thực hiện hơn. - HUMAN-FAC2]]</f>
        <v>6</v>
      </c>
      <c r="AH222">
        <f t="shared" si="90"/>
        <v>0.55555555555555558</v>
      </c>
      <c r="AI222" s="32">
        <f t="shared" si="91"/>
        <v>0.72222222222222221</v>
      </c>
      <c r="AJ222" s="32">
        <f t="shared" si="92"/>
        <v>0.44444444444444442</v>
      </c>
      <c r="AK222">
        <f>step3_validation[[#This Row],[AI_TRU1]]</f>
        <v>7</v>
      </c>
      <c r="AL222">
        <f t="shared" si="93"/>
        <v>0.66666666666666663</v>
      </c>
      <c r="AM222">
        <f>survey_responses[[#This Row],[Tôi tin rằng Nhà nước, cơ quan thuế sẽ thực thi chính sách mới một cách khách quan, công tâm và đối xử bình đẳng với mọi người nộp thuế.  - HUMAN-TRU1]]</f>
        <v>5</v>
      </c>
      <c r="AN222">
        <f t="shared" si="94"/>
        <v>0.44444444444444442</v>
      </c>
      <c r="AO222">
        <f>step3_validation[[#This Row],[AI_TRU2]]</f>
        <v>8</v>
      </c>
      <c r="AP222">
        <f t="shared" si="95"/>
        <v>0.77777777777777779</v>
      </c>
      <c r="AQ222">
        <f>survey_responses[[#This Row],[Tôi thấy mức thuế tôi phải đóng theo phương án mới là công bằng (người thu nhập như tôi đóng mức này là hợp lý). - HUMAN-TRU2]]</f>
        <v>6</v>
      </c>
      <c r="AR222">
        <f t="shared" si="96"/>
        <v>0.55555555555555558</v>
      </c>
      <c r="AS222">
        <f>step3_validation[[#This Row],[AI_TRU3]]</f>
        <v>7</v>
      </c>
      <c r="AT222">
        <f t="shared" si="97"/>
        <v>0.66666666666666663</v>
      </c>
      <c r="AU222">
        <f>survey_responses[[#This Row],[Tôi tin tưởng số tiền thuế tôi đóng sẽ được Nhà nước sử dụng hiệu quả để cải thiện dịch vụ công (y tế, đường xá...). - HUMAN-TRU3]]</f>
        <v>5</v>
      </c>
      <c r="AV222">
        <f t="shared" si="98"/>
        <v>0.44444444444444442</v>
      </c>
      <c r="AW222">
        <f>step3_validation[[#This Row],[AI_TRU4]]</f>
        <v>6</v>
      </c>
      <c r="AX222">
        <f t="shared" si="99"/>
        <v>0.55555555555555558</v>
      </c>
      <c r="AY222">
        <f>survey_responses[[#This Row],[Tôi thấy Nhà nước đã giải thích rõ ràng, minh bạch về lý do và mục tiêu của việc sửa đổi thuế lần này. - HUMAN-TRU4]]</f>
        <v>6</v>
      </c>
      <c r="AZ222">
        <f t="shared" si="100"/>
        <v>0.55555555555555558</v>
      </c>
      <c r="BA222" s="32">
        <f t="shared" si="101"/>
        <v>0.66666666666666674</v>
      </c>
      <c r="BB222" s="32">
        <f t="shared" si="102"/>
        <v>0.5</v>
      </c>
      <c r="BC222" s="7">
        <f t="shared" si="103"/>
        <v>0.70370370370370372</v>
      </c>
      <c r="BD222" s="7">
        <f t="shared" si="104"/>
        <v>0.42592592592592587</v>
      </c>
      <c r="BE222">
        <f>step3_validation[[#This Row],[AI_OUT1]]</f>
        <v>8</v>
      </c>
      <c r="BF222">
        <f t="shared" si="105"/>
        <v>0.77777777777777779</v>
      </c>
      <c r="BG222">
        <f>survey_responses[[#This Row],[Sau khi xem xét các quyền lợi và nghĩa vụ, bạn có ủng hộ và tuân thủ chính sách mới hiện nay? - HUMAN-OUT1]]</f>
        <v>5</v>
      </c>
      <c r="BH222">
        <f t="shared" si="106"/>
        <v>0.44444444444444442</v>
      </c>
      <c r="BI222" s="32">
        <f t="shared" si="107"/>
        <v>3</v>
      </c>
    </row>
    <row r="223" spans="1:61" x14ac:dyDescent="0.45">
      <c r="A223" s="30">
        <f>step3_validation[[#This Row],[Persona_ID]]</f>
        <v>222</v>
      </c>
      <c r="B223" s="31">
        <f>step3_validation[[#This Row],[Used_Seed]]</f>
        <v>263</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55.998308302406855</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8</v>
      </c>
      <c r="R223">
        <f t="shared" si="81"/>
        <v>0.77777777777777779</v>
      </c>
      <c r="S223">
        <f>survey_responses[[#This Row],[Tôi tin rằng với các quy định quản lý thuế hiện nay, hành vi gian lận hoặc trốn thuế sẽ dễ dàng bị phát hiện và xử lý nghiêm. - HUMAN-ENF1]]</f>
        <v>4</v>
      </c>
      <c r="T223">
        <f t="shared" si="82"/>
        <v>0.33333333333333331</v>
      </c>
      <c r="U223">
        <f>step3_validation[[#This Row],[AI_ENF2]]</f>
        <v>8</v>
      </c>
      <c r="V223">
        <f t="shared" si="83"/>
        <v>0.77777777777777779</v>
      </c>
      <c r="W223">
        <f>survey_responses[[#This Row],[Tôi tin rằng Nhà nước, cơ quan thuế có đủ khả năng và công nghệ để phát hiện, xử lý nghiêm các hành vi trốn thuế. - HUMAN-ENF2]]</f>
        <v>5</v>
      </c>
      <c r="X223">
        <f t="shared" si="84"/>
        <v>0.44444444444444442</v>
      </c>
      <c r="Y223" s="32">
        <f t="shared" si="85"/>
        <v>0.77777777777777779</v>
      </c>
      <c r="Z223" s="32">
        <f t="shared" si="86"/>
        <v>0.38888888888888884</v>
      </c>
      <c r="AA223">
        <f>step3_validation[[#This Row],[AI_FAC1]]</f>
        <v>7</v>
      </c>
      <c r="AB223">
        <f t="shared" si="87"/>
        <v>0.66666666666666663</v>
      </c>
      <c r="AC223">
        <f>survey_responses[[#This Row],[Các thủ tục khai báo thuế VÀ/HOẶC quy trình làm việc với cơ quan thuế đơn giản, tiện lợi, nhanh chóng hơn so với trước đây. - HUMAN-FAC1]]</f>
        <v>4</v>
      </c>
      <c r="AD223">
        <f t="shared" si="88"/>
        <v>0.33333333333333331</v>
      </c>
      <c r="AE223">
        <f>step3_validation[[#This Row],[AI_FAC2]]</f>
        <v>9</v>
      </c>
      <c r="AF223">
        <f t="shared" si="89"/>
        <v>0.88888888888888884</v>
      </c>
      <c r="AG223">
        <f>survey_responses[[#This Row],[So với trước đây, tôi thấy cách tính thuế và các bậc thuế trong phương án mới đơn giản, dễ hiểu và dễ thực hiện hơn. - HUMAN-FAC2]]</f>
        <v>5</v>
      </c>
      <c r="AH223">
        <f t="shared" si="90"/>
        <v>0.44444444444444442</v>
      </c>
      <c r="AI223" s="32">
        <f t="shared" si="91"/>
        <v>0.77777777777777768</v>
      </c>
      <c r="AJ223" s="32">
        <f t="shared" si="92"/>
        <v>0.38888888888888884</v>
      </c>
      <c r="AK223">
        <f>step3_validation[[#This Row],[AI_TRU1]]</f>
        <v>6</v>
      </c>
      <c r="AL223">
        <f t="shared" si="93"/>
        <v>0.55555555555555558</v>
      </c>
      <c r="AM223">
        <f>survey_responses[[#This Row],[Tôi tin rằng Nhà nước, cơ quan thuế sẽ thực thi chính sách mới một cách khách quan, công tâm và đối xử bình đẳng với mọi người nộp thuế.  - HUMAN-TRU1]]</f>
        <v>5</v>
      </c>
      <c r="AN223">
        <f t="shared" si="94"/>
        <v>0.44444444444444442</v>
      </c>
      <c r="AO223">
        <f>step3_validation[[#This Row],[AI_TRU2]]</f>
        <v>7</v>
      </c>
      <c r="AP223">
        <f t="shared" si="95"/>
        <v>0.66666666666666663</v>
      </c>
      <c r="AQ223">
        <f>survey_responses[[#This Row],[Tôi thấy mức thuế tôi phải đóng theo phương án mới là công bằng (người thu nhập như tôi đóng mức này là hợp lý). - HUMAN-TRU2]]</f>
        <v>5</v>
      </c>
      <c r="AR223">
        <f t="shared" si="96"/>
        <v>0.44444444444444442</v>
      </c>
      <c r="AS223">
        <f>step3_validation[[#This Row],[AI_TRU3]]</f>
        <v>6</v>
      </c>
      <c r="AT223">
        <f t="shared" si="97"/>
        <v>0.55555555555555558</v>
      </c>
      <c r="AU223">
        <f>survey_responses[[#This Row],[Tôi tin tưởng số tiền thuế tôi đóng sẽ được Nhà nước sử dụng hiệu quả để cải thiện dịch vụ công (y tế, đường xá...). - HUMAN-TRU3]]</f>
        <v>5</v>
      </c>
      <c r="AV223">
        <f t="shared" si="98"/>
        <v>0.44444444444444442</v>
      </c>
      <c r="AW223">
        <f>step3_validation[[#This Row],[AI_TRU4]]</f>
        <v>7</v>
      </c>
      <c r="AX223">
        <f t="shared" si="99"/>
        <v>0.66666666666666663</v>
      </c>
      <c r="AY223">
        <f>survey_responses[[#This Row],[Tôi thấy Nhà nước đã giải thích rõ ràng, minh bạch về lý do và mục tiêu của việc sửa đổi thuế lần này. - HUMAN-TRU4]]</f>
        <v>5</v>
      </c>
      <c r="AZ223">
        <f t="shared" si="100"/>
        <v>0.44444444444444442</v>
      </c>
      <c r="BA223" s="32">
        <f t="shared" si="101"/>
        <v>0.61111111111111116</v>
      </c>
      <c r="BB223" s="32">
        <f t="shared" si="102"/>
        <v>0.44444444444444442</v>
      </c>
      <c r="BC223" s="7">
        <f t="shared" si="103"/>
        <v>0.72222222222222221</v>
      </c>
      <c r="BD223" s="7">
        <f t="shared" si="104"/>
        <v>0.40740740740740738</v>
      </c>
      <c r="BE223">
        <f>step3_validation[[#This Row],[AI_OUT1]]</f>
        <v>8</v>
      </c>
      <c r="BF223">
        <f t="shared" si="105"/>
        <v>0.77777777777777779</v>
      </c>
      <c r="BG223">
        <f>survey_responses[[#This Row],[Sau khi xem xét các quyền lợi và nghĩa vụ, bạn có ủng hộ và tuân thủ chính sách mới hiện nay? - HUMAN-OUT1]]</f>
        <v>5</v>
      </c>
      <c r="BH223">
        <f t="shared" si="106"/>
        <v>0.44444444444444442</v>
      </c>
      <c r="BI223" s="32">
        <f t="shared" si="107"/>
        <v>3</v>
      </c>
    </row>
    <row r="224" spans="1:61" x14ac:dyDescent="0.45">
      <c r="A224" s="30">
        <f>step3_validation[[#This Row],[Persona_ID]]</f>
        <v>223</v>
      </c>
      <c r="B224" s="31">
        <f>step3_validation[[#This Row],[Used_Seed]]</f>
        <v>264</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55.459135160250725</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9</v>
      </c>
      <c r="R224">
        <f t="shared" si="81"/>
        <v>0.88888888888888884</v>
      </c>
      <c r="S224">
        <f>survey_responses[[#This Row],[Tôi tin rằng với các quy định quản lý thuế hiện nay, hành vi gian lận hoặc trốn thuế sẽ dễ dàng bị phát hiện và xử lý nghiêm. - HUMAN-ENF1]]</f>
        <v>6</v>
      </c>
      <c r="T224">
        <f t="shared" si="82"/>
        <v>0.55555555555555558</v>
      </c>
      <c r="U224">
        <f>step3_validation[[#This Row],[AI_ENF2]]</f>
        <v>8</v>
      </c>
      <c r="V224">
        <f t="shared" si="83"/>
        <v>0.77777777777777779</v>
      </c>
      <c r="W224">
        <f>survey_responses[[#This Row],[Tôi tin rằng Nhà nước, cơ quan thuế có đủ khả năng và công nghệ để phát hiện, xử lý nghiêm các hành vi trốn thuế. - HUMAN-ENF2]]</f>
        <v>6</v>
      </c>
      <c r="X224">
        <f t="shared" si="84"/>
        <v>0.55555555555555558</v>
      </c>
      <c r="Y224" s="32">
        <f t="shared" si="85"/>
        <v>0.83333333333333326</v>
      </c>
      <c r="Z224" s="32">
        <f t="shared" si="86"/>
        <v>0.55555555555555558</v>
      </c>
      <c r="AA224">
        <f>step3_validation[[#This Row],[AI_FAC1]]</f>
        <v>9</v>
      </c>
      <c r="AB224">
        <f t="shared" si="87"/>
        <v>0.88888888888888884</v>
      </c>
      <c r="AC224">
        <f>survey_responses[[#This Row],[Các thủ tục khai báo thuế VÀ/HOẶC quy trình làm việc với cơ quan thuế đơn giản, tiện lợi, nhanh chóng hơn so với trước đây. - HUMAN-FAC1]]</f>
        <v>7</v>
      </c>
      <c r="AD224">
        <f t="shared" si="88"/>
        <v>0.66666666666666663</v>
      </c>
      <c r="AE224">
        <f>step3_validation[[#This Row],[AI_FAC2]]</f>
        <v>8</v>
      </c>
      <c r="AF224">
        <f t="shared" si="89"/>
        <v>0.77777777777777779</v>
      </c>
      <c r="AG224">
        <f>survey_responses[[#This Row],[So với trước đây, tôi thấy cách tính thuế và các bậc thuế trong phương án mới đơn giản, dễ hiểu và dễ thực hiện hơn. - HUMAN-FAC2]]</f>
        <v>7</v>
      </c>
      <c r="AH224">
        <f t="shared" si="90"/>
        <v>0.66666666666666663</v>
      </c>
      <c r="AI224" s="32">
        <f t="shared" si="91"/>
        <v>0.83333333333333326</v>
      </c>
      <c r="AJ224" s="32">
        <f t="shared" si="92"/>
        <v>0.66666666666666663</v>
      </c>
      <c r="AK224">
        <f>step3_validation[[#This Row],[AI_TRU1]]</f>
        <v>9</v>
      </c>
      <c r="AL224">
        <f t="shared" si="93"/>
        <v>0.88888888888888884</v>
      </c>
      <c r="AM224">
        <f>survey_responses[[#This Row],[Tôi tin rằng Nhà nước, cơ quan thuế sẽ thực thi chính sách mới một cách khách quan, công tâm và đối xử bình đẳng với mọi người nộp thuế.  - HUMAN-TRU1]]</f>
        <v>6</v>
      </c>
      <c r="AN224">
        <f t="shared" si="94"/>
        <v>0.55555555555555558</v>
      </c>
      <c r="AO224">
        <f>step3_validation[[#This Row],[AI_TRU2]]</f>
        <v>8</v>
      </c>
      <c r="AP224">
        <f t="shared" si="95"/>
        <v>0.77777777777777779</v>
      </c>
      <c r="AQ224">
        <f>survey_responses[[#This Row],[Tôi thấy mức thuế tôi phải đóng theo phương án mới là công bằng (người thu nhập như tôi đóng mức này là hợp lý). - HUMAN-TRU2]]</f>
        <v>6</v>
      </c>
      <c r="AR224">
        <f t="shared" si="96"/>
        <v>0.55555555555555558</v>
      </c>
      <c r="AS224">
        <f>step3_validation[[#This Row],[AI_TRU3]]</f>
        <v>9</v>
      </c>
      <c r="AT224">
        <f t="shared" si="97"/>
        <v>0.88888888888888884</v>
      </c>
      <c r="AU224">
        <f>survey_responses[[#This Row],[Tôi tin tưởng số tiền thuế tôi đóng sẽ được Nhà nước sử dụng hiệu quả để cải thiện dịch vụ công (y tế, đường xá...). - HUMAN-TRU3]]</f>
        <v>8</v>
      </c>
      <c r="AV224">
        <f t="shared" si="98"/>
        <v>0.77777777777777779</v>
      </c>
      <c r="AW224">
        <f>step3_validation[[#This Row],[AI_TRU4]]</f>
        <v>8</v>
      </c>
      <c r="AX224">
        <f t="shared" si="99"/>
        <v>0.77777777777777779</v>
      </c>
      <c r="AY224">
        <f>survey_responses[[#This Row],[Tôi thấy Nhà nước đã giải thích rõ ràng, minh bạch về lý do và mục tiêu của việc sửa đổi thuế lần này. - HUMAN-TRU4]]</f>
        <v>8</v>
      </c>
      <c r="AZ224">
        <f t="shared" si="100"/>
        <v>0.77777777777777779</v>
      </c>
      <c r="BA224" s="32">
        <f t="shared" si="101"/>
        <v>0.83333333333333326</v>
      </c>
      <c r="BB224" s="32">
        <f t="shared" si="102"/>
        <v>0.66666666666666663</v>
      </c>
      <c r="BC224" s="7">
        <f t="shared" si="103"/>
        <v>0.83333333333333337</v>
      </c>
      <c r="BD224" s="7">
        <f t="shared" si="104"/>
        <v>0.62962962962962965</v>
      </c>
      <c r="BE224">
        <f>step3_validation[[#This Row],[AI_OUT1]]</f>
        <v>9</v>
      </c>
      <c r="BF224">
        <f t="shared" si="105"/>
        <v>0.88888888888888884</v>
      </c>
      <c r="BG224">
        <f>survey_responses[[#This Row],[Sau khi xem xét các quyền lợi và nghĩa vụ, bạn có ủng hộ và tuân thủ chính sách mới hiện nay? - HUMAN-OUT1]]</f>
        <v>7</v>
      </c>
      <c r="BH224">
        <f t="shared" si="106"/>
        <v>0.66666666666666663</v>
      </c>
      <c r="BI224" s="32">
        <f t="shared" si="107"/>
        <v>2</v>
      </c>
    </row>
    <row r="225" spans="1:61" x14ac:dyDescent="0.45">
      <c r="A225" s="30">
        <f>step3_validation[[#This Row],[Persona_ID]]</f>
        <v>224</v>
      </c>
      <c r="B225" s="31">
        <f>step3_validation[[#This Row],[Used_Seed]]</f>
        <v>265</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63.207315378130382</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9</v>
      </c>
      <c r="R225">
        <f t="shared" si="81"/>
        <v>0.88888888888888884</v>
      </c>
      <c r="S225">
        <f>survey_responses[[#This Row],[Tôi tin rằng với các quy định quản lý thuế hiện nay, hành vi gian lận hoặc trốn thuế sẽ dễ dàng bị phát hiện và xử lý nghiêm. - HUMAN-ENF1]]</f>
        <v>7</v>
      </c>
      <c r="T225">
        <f t="shared" si="82"/>
        <v>0.66666666666666663</v>
      </c>
      <c r="U225">
        <f>step3_validation[[#This Row],[AI_ENF2]]</f>
        <v>8</v>
      </c>
      <c r="V225">
        <f t="shared" si="83"/>
        <v>0.77777777777777779</v>
      </c>
      <c r="W225">
        <f>survey_responses[[#This Row],[Tôi tin rằng Nhà nước, cơ quan thuế có đủ khả năng và công nghệ để phát hiện, xử lý nghiêm các hành vi trốn thuế. - HUMAN-ENF2]]</f>
        <v>7</v>
      </c>
      <c r="X225">
        <f t="shared" si="84"/>
        <v>0.66666666666666663</v>
      </c>
      <c r="Y225" s="32">
        <f t="shared" si="85"/>
        <v>0.83333333333333326</v>
      </c>
      <c r="Z225" s="32">
        <f t="shared" si="86"/>
        <v>0.66666666666666663</v>
      </c>
      <c r="AA225">
        <f>step3_validation[[#This Row],[AI_FAC1]]</f>
        <v>9</v>
      </c>
      <c r="AB225">
        <f t="shared" si="87"/>
        <v>0.88888888888888884</v>
      </c>
      <c r="AC225">
        <f>survey_responses[[#This Row],[Các thủ tục khai báo thuế VÀ/HOẶC quy trình làm việc với cơ quan thuế đơn giản, tiện lợi, nhanh chóng hơn so với trước đây. - HUMAN-FAC1]]</f>
        <v>7</v>
      </c>
      <c r="AD225">
        <f t="shared" si="88"/>
        <v>0.66666666666666663</v>
      </c>
      <c r="AE225">
        <f>step3_validation[[#This Row],[AI_FAC2]]</f>
        <v>8</v>
      </c>
      <c r="AF225">
        <f t="shared" si="89"/>
        <v>0.77777777777777779</v>
      </c>
      <c r="AG225">
        <f>survey_responses[[#This Row],[So với trước đây, tôi thấy cách tính thuế và các bậc thuế trong phương án mới đơn giản, dễ hiểu và dễ thực hiện hơn. - HUMAN-FAC2]]</f>
        <v>7</v>
      </c>
      <c r="AH225">
        <f t="shared" si="90"/>
        <v>0.66666666666666663</v>
      </c>
      <c r="AI225" s="32">
        <f t="shared" si="91"/>
        <v>0.83333333333333326</v>
      </c>
      <c r="AJ225" s="32">
        <f t="shared" si="92"/>
        <v>0.66666666666666663</v>
      </c>
      <c r="AK225">
        <f>step3_validation[[#This Row],[AI_TRU1]]</f>
        <v>9</v>
      </c>
      <c r="AL225">
        <f t="shared" si="93"/>
        <v>0.88888888888888884</v>
      </c>
      <c r="AM225">
        <f>survey_responses[[#This Row],[Tôi tin rằng Nhà nước, cơ quan thuế sẽ thực thi chính sách mới một cách khách quan, công tâm và đối xử bình đẳng với mọi người nộp thuế.  - HUMAN-TRU1]]</f>
        <v>7</v>
      </c>
      <c r="AN225">
        <f t="shared" si="94"/>
        <v>0.66666666666666663</v>
      </c>
      <c r="AO225">
        <f>step3_validation[[#This Row],[AI_TRU2]]</f>
        <v>8</v>
      </c>
      <c r="AP225">
        <f t="shared" si="95"/>
        <v>0.77777777777777779</v>
      </c>
      <c r="AQ225">
        <f>survey_responses[[#This Row],[Tôi thấy mức thuế tôi phải đóng theo phương án mới là công bằng (người thu nhập như tôi đóng mức này là hợp lý). - HUMAN-TRU2]]</f>
        <v>7</v>
      </c>
      <c r="AR225">
        <f t="shared" si="96"/>
        <v>0.66666666666666663</v>
      </c>
      <c r="AS225">
        <f>step3_validation[[#This Row],[AI_TRU3]]</f>
        <v>9</v>
      </c>
      <c r="AT225">
        <f t="shared" si="97"/>
        <v>0.88888888888888884</v>
      </c>
      <c r="AU225">
        <f>survey_responses[[#This Row],[Tôi tin tưởng số tiền thuế tôi đóng sẽ được Nhà nước sử dụng hiệu quả để cải thiện dịch vụ công (y tế, đường xá...). - HUMAN-TRU3]]</f>
        <v>7</v>
      </c>
      <c r="AV225">
        <f t="shared" si="98"/>
        <v>0.66666666666666663</v>
      </c>
      <c r="AW225">
        <f>step3_validation[[#This Row],[AI_TRU4]]</f>
        <v>8</v>
      </c>
      <c r="AX225">
        <f t="shared" si="99"/>
        <v>0.77777777777777779</v>
      </c>
      <c r="AY225">
        <f>survey_responses[[#This Row],[Tôi thấy Nhà nước đã giải thích rõ ràng, minh bạch về lý do và mục tiêu của việc sửa đổi thuế lần này. - HUMAN-TRU4]]</f>
        <v>7</v>
      </c>
      <c r="AZ225">
        <f t="shared" si="100"/>
        <v>0.66666666666666663</v>
      </c>
      <c r="BA225" s="32">
        <f t="shared" si="101"/>
        <v>0.83333333333333326</v>
      </c>
      <c r="BB225" s="32">
        <f t="shared" si="102"/>
        <v>0.66666666666666663</v>
      </c>
      <c r="BC225" s="7">
        <f t="shared" si="103"/>
        <v>0.83333333333333337</v>
      </c>
      <c r="BD225" s="7">
        <f t="shared" si="104"/>
        <v>0.66666666666666663</v>
      </c>
      <c r="BE225">
        <f>step3_validation[[#This Row],[AI_OUT1]]</f>
        <v>9</v>
      </c>
      <c r="BF225">
        <f t="shared" si="105"/>
        <v>0.88888888888888884</v>
      </c>
      <c r="BG225">
        <f>survey_responses[[#This Row],[Sau khi xem xét các quyền lợi và nghĩa vụ, bạn có ủng hộ và tuân thủ chính sách mới hiện nay? - HUMAN-OUT1]]</f>
        <v>7</v>
      </c>
      <c r="BH225">
        <f t="shared" si="106"/>
        <v>0.66666666666666663</v>
      </c>
      <c r="BI225" s="32">
        <f t="shared" si="107"/>
        <v>2</v>
      </c>
    </row>
    <row r="226" spans="1:61" x14ac:dyDescent="0.45">
      <c r="A226" s="30">
        <f>step3_validation[[#This Row],[Persona_ID]]</f>
        <v>225</v>
      </c>
      <c r="B226" s="31">
        <f>step3_validation[[#This Row],[Used_Seed]]</f>
        <v>266</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46.305800017053741</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7</v>
      </c>
      <c r="R226">
        <f t="shared" si="81"/>
        <v>0.66666666666666663</v>
      </c>
      <c r="S226">
        <f>survey_responses[[#This Row],[Tôi tin rằng với các quy định quản lý thuế hiện nay, hành vi gian lận hoặc trốn thuế sẽ dễ dàng bị phát hiện và xử lý nghiêm. - HUMAN-ENF1]]</f>
        <v>6</v>
      </c>
      <c r="T226">
        <f t="shared" si="82"/>
        <v>0.55555555555555558</v>
      </c>
      <c r="U226">
        <f>step3_validation[[#This Row],[AI_ENF2]]</f>
        <v>8</v>
      </c>
      <c r="V226">
        <f t="shared" si="83"/>
        <v>0.77777777777777779</v>
      </c>
      <c r="W226">
        <f>survey_responses[[#This Row],[Tôi tin rằng Nhà nước, cơ quan thuế có đủ khả năng và công nghệ để phát hiện, xử lý nghiêm các hành vi trốn thuế. - HUMAN-ENF2]]</f>
        <v>6</v>
      </c>
      <c r="X226">
        <f t="shared" si="84"/>
        <v>0.55555555555555558</v>
      </c>
      <c r="Y226" s="32">
        <f t="shared" si="85"/>
        <v>0.72222222222222221</v>
      </c>
      <c r="Z226" s="32">
        <f t="shared" si="86"/>
        <v>0.55555555555555558</v>
      </c>
      <c r="AA226">
        <f>step3_validation[[#This Row],[AI_FAC1]]</f>
        <v>6</v>
      </c>
      <c r="AB226">
        <f t="shared" si="87"/>
        <v>0.55555555555555558</v>
      </c>
      <c r="AC226">
        <f>survey_responses[[#This Row],[Các thủ tục khai báo thuế VÀ/HOẶC quy trình làm việc với cơ quan thuế đơn giản, tiện lợi, nhanh chóng hơn so với trước đây. - HUMAN-FAC1]]</f>
        <v>7</v>
      </c>
      <c r="AD226">
        <f t="shared" si="88"/>
        <v>0.66666666666666663</v>
      </c>
      <c r="AE226">
        <f>step3_validation[[#This Row],[AI_FAC2]]</f>
        <v>9</v>
      </c>
      <c r="AF226">
        <f t="shared" si="89"/>
        <v>0.88888888888888884</v>
      </c>
      <c r="AG226">
        <f>survey_responses[[#This Row],[So với trước đây, tôi thấy cách tính thuế và các bậc thuế trong phương án mới đơn giản, dễ hiểu và dễ thực hiện hơn. - HUMAN-FAC2]]</f>
        <v>7</v>
      </c>
      <c r="AH226">
        <f t="shared" si="90"/>
        <v>0.66666666666666663</v>
      </c>
      <c r="AI226" s="32">
        <f t="shared" si="91"/>
        <v>0.72222222222222221</v>
      </c>
      <c r="AJ226" s="32">
        <f t="shared" si="92"/>
        <v>0.66666666666666663</v>
      </c>
      <c r="AK226">
        <f>step3_validation[[#This Row],[AI_TRU1]]</f>
        <v>7</v>
      </c>
      <c r="AL226">
        <f t="shared" si="93"/>
        <v>0.66666666666666663</v>
      </c>
      <c r="AM226">
        <f>survey_responses[[#This Row],[Tôi tin rằng Nhà nước, cơ quan thuế sẽ thực thi chính sách mới một cách khách quan, công tâm và đối xử bình đẳng với mọi người nộp thuế.  - HUMAN-TRU1]]</f>
        <v>5</v>
      </c>
      <c r="AN226">
        <f t="shared" si="94"/>
        <v>0.44444444444444442</v>
      </c>
      <c r="AO226">
        <f>step3_validation[[#This Row],[AI_TRU2]]</f>
        <v>8</v>
      </c>
      <c r="AP226">
        <f t="shared" si="95"/>
        <v>0.77777777777777779</v>
      </c>
      <c r="AQ226">
        <f>survey_responses[[#This Row],[Tôi thấy mức thuế tôi phải đóng theo phương án mới là công bằng (người thu nhập như tôi đóng mức này là hợp lý). - HUMAN-TRU2]]</f>
        <v>6</v>
      </c>
      <c r="AR226">
        <f t="shared" si="96"/>
        <v>0.55555555555555558</v>
      </c>
      <c r="AS226">
        <f>step3_validation[[#This Row],[AI_TRU3]]</f>
        <v>7</v>
      </c>
      <c r="AT226">
        <f t="shared" si="97"/>
        <v>0.66666666666666663</v>
      </c>
      <c r="AU226">
        <f>survey_responses[[#This Row],[Tôi tin tưởng số tiền thuế tôi đóng sẽ được Nhà nước sử dụng hiệu quả để cải thiện dịch vụ công (y tế, đường xá...). - HUMAN-TRU3]]</f>
        <v>6</v>
      </c>
      <c r="AV226">
        <f t="shared" si="98"/>
        <v>0.55555555555555558</v>
      </c>
      <c r="AW226">
        <f>step3_validation[[#This Row],[AI_TRU4]]</f>
        <v>8</v>
      </c>
      <c r="AX226">
        <f t="shared" si="99"/>
        <v>0.77777777777777779</v>
      </c>
      <c r="AY226">
        <f>survey_responses[[#This Row],[Tôi thấy Nhà nước đã giải thích rõ ràng, minh bạch về lý do và mục tiêu của việc sửa đổi thuế lần này. - HUMAN-TRU4]]</f>
        <v>6</v>
      </c>
      <c r="AZ226">
        <f t="shared" si="100"/>
        <v>0.55555555555555558</v>
      </c>
      <c r="BA226" s="32">
        <f t="shared" si="101"/>
        <v>0.72222222222222221</v>
      </c>
      <c r="BB226" s="32">
        <f t="shared" si="102"/>
        <v>0.52777777777777779</v>
      </c>
      <c r="BC226" s="7">
        <f t="shared" si="103"/>
        <v>0.72222222222222221</v>
      </c>
      <c r="BD226" s="7">
        <f t="shared" si="104"/>
        <v>0.58333333333333337</v>
      </c>
      <c r="BE226">
        <f>step3_validation[[#This Row],[AI_OUT1]]</f>
        <v>9</v>
      </c>
      <c r="BF226">
        <f t="shared" si="105"/>
        <v>0.88888888888888884</v>
      </c>
      <c r="BG226">
        <f>survey_responses[[#This Row],[Sau khi xem xét các quyền lợi và nghĩa vụ, bạn có ủng hộ và tuân thủ chính sách mới hiện nay? - HUMAN-OUT1]]</f>
        <v>7</v>
      </c>
      <c r="BH226">
        <f t="shared" si="106"/>
        <v>0.66666666666666663</v>
      </c>
      <c r="BI226" s="32">
        <f t="shared" si="107"/>
        <v>2</v>
      </c>
    </row>
    <row r="227" spans="1:61" x14ac:dyDescent="0.45">
      <c r="A227" s="30">
        <f>step3_validation[[#This Row],[Persona_ID]]</f>
        <v>226</v>
      </c>
      <c r="B227" s="31">
        <f>step3_validation[[#This Row],[Used_Seed]]</f>
        <v>267</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86.845017367414869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7</v>
      </c>
      <c r="R227">
        <f t="shared" si="81"/>
        <v>0.66666666666666663</v>
      </c>
      <c r="S227">
        <f>survey_responses[[#This Row],[Tôi tin rằng với các quy định quản lý thuế hiện nay, hành vi gian lận hoặc trốn thuế sẽ dễ dàng bị phát hiện và xử lý nghiêm. - HUMAN-ENF1]]</f>
        <v>7</v>
      </c>
      <c r="T227">
        <f t="shared" si="82"/>
        <v>0.66666666666666663</v>
      </c>
      <c r="U227">
        <f>step3_validation[[#This Row],[AI_ENF2]]</f>
        <v>8</v>
      </c>
      <c r="V227">
        <f t="shared" si="83"/>
        <v>0.77777777777777779</v>
      </c>
      <c r="W227">
        <f>survey_responses[[#This Row],[Tôi tin rằng Nhà nước, cơ quan thuế có đủ khả năng và công nghệ để phát hiện, xử lý nghiêm các hành vi trốn thuế. - HUMAN-ENF2]]</f>
        <v>7</v>
      </c>
      <c r="X227">
        <f t="shared" si="84"/>
        <v>0.66666666666666663</v>
      </c>
      <c r="Y227" s="32">
        <f t="shared" si="85"/>
        <v>0.72222222222222221</v>
      </c>
      <c r="Z227" s="32">
        <f t="shared" si="86"/>
        <v>0.66666666666666663</v>
      </c>
      <c r="AA227">
        <f>step3_validation[[#This Row],[AI_FAC1]]</f>
        <v>9</v>
      </c>
      <c r="AB227">
        <f t="shared" si="87"/>
        <v>0.88888888888888884</v>
      </c>
      <c r="AC227">
        <f>survey_responses[[#This Row],[Các thủ tục khai báo thuế VÀ/HOẶC quy trình làm việc với cơ quan thuế đơn giản, tiện lợi, nhanh chóng hơn so với trước đây. - HUMAN-FAC1]]</f>
        <v>6</v>
      </c>
      <c r="AD227">
        <f t="shared" si="88"/>
        <v>0.55555555555555558</v>
      </c>
      <c r="AE227">
        <f>step3_validation[[#This Row],[AI_FAC2]]</f>
        <v>9</v>
      </c>
      <c r="AF227">
        <f t="shared" si="89"/>
        <v>0.88888888888888884</v>
      </c>
      <c r="AG227">
        <f>survey_responses[[#This Row],[So với trước đây, tôi thấy cách tính thuế và các bậc thuế trong phương án mới đơn giản, dễ hiểu và dễ thực hiện hơn. - HUMAN-FAC2]]</f>
        <v>7</v>
      </c>
      <c r="AH227">
        <f t="shared" si="90"/>
        <v>0.66666666666666663</v>
      </c>
      <c r="AI227" s="32">
        <f t="shared" si="91"/>
        <v>0.88888888888888884</v>
      </c>
      <c r="AJ227" s="32">
        <f t="shared" si="92"/>
        <v>0.61111111111111116</v>
      </c>
      <c r="AK227">
        <f>step3_validation[[#This Row],[AI_TRU1]]</f>
        <v>8</v>
      </c>
      <c r="AL227">
        <f t="shared" si="93"/>
        <v>0.77777777777777779</v>
      </c>
      <c r="AM227">
        <f>survey_responses[[#This Row],[Tôi tin rằng Nhà nước, cơ quan thuế sẽ thực thi chính sách mới một cách khách quan, công tâm và đối xử bình đẳng với mọi người nộp thuế.  - HUMAN-TRU1]]</f>
        <v>7</v>
      </c>
      <c r="AN227">
        <f t="shared" si="94"/>
        <v>0.66666666666666663</v>
      </c>
      <c r="AO227">
        <f>step3_validation[[#This Row],[AI_TRU2]]</f>
        <v>9</v>
      </c>
      <c r="AP227">
        <f t="shared" si="95"/>
        <v>0.88888888888888884</v>
      </c>
      <c r="AQ227">
        <f>survey_responses[[#This Row],[Tôi thấy mức thuế tôi phải đóng theo phương án mới là công bằng (người thu nhập như tôi đóng mức này là hợp lý). - HUMAN-TRU2]]</f>
        <v>7</v>
      </c>
      <c r="AR227">
        <f t="shared" si="96"/>
        <v>0.66666666666666663</v>
      </c>
      <c r="AS227">
        <f>step3_validation[[#This Row],[AI_TRU3]]</f>
        <v>8</v>
      </c>
      <c r="AT227">
        <f t="shared" si="97"/>
        <v>0.77777777777777779</v>
      </c>
      <c r="AU227">
        <f>survey_responses[[#This Row],[Tôi tin tưởng số tiền thuế tôi đóng sẽ được Nhà nước sử dụng hiệu quả để cải thiện dịch vụ công (y tế, đường xá...). - HUMAN-TRU3]]</f>
        <v>7</v>
      </c>
      <c r="AV227">
        <f t="shared" si="98"/>
        <v>0.66666666666666663</v>
      </c>
      <c r="AW227">
        <f>step3_validation[[#This Row],[AI_TRU4]]</f>
        <v>7</v>
      </c>
      <c r="AX227">
        <f t="shared" si="99"/>
        <v>0.66666666666666663</v>
      </c>
      <c r="AY227">
        <f>survey_responses[[#This Row],[Tôi thấy Nhà nước đã giải thích rõ ràng, minh bạch về lý do và mục tiêu của việc sửa đổi thuế lần này. - HUMAN-TRU4]]</f>
        <v>7</v>
      </c>
      <c r="AZ227">
        <f t="shared" si="100"/>
        <v>0.66666666666666663</v>
      </c>
      <c r="BA227" s="32">
        <f t="shared" si="101"/>
        <v>0.77777777777777768</v>
      </c>
      <c r="BB227" s="32">
        <f t="shared" si="102"/>
        <v>0.66666666666666663</v>
      </c>
      <c r="BC227" s="7">
        <f t="shared" si="103"/>
        <v>0.79629629629629628</v>
      </c>
      <c r="BD227" s="7">
        <f t="shared" si="104"/>
        <v>0.64814814814814803</v>
      </c>
      <c r="BE227">
        <f>step3_validation[[#This Row],[AI_OUT1]]</f>
        <v>9</v>
      </c>
      <c r="BF227">
        <f t="shared" si="105"/>
        <v>0.88888888888888884</v>
      </c>
      <c r="BG227">
        <f>survey_responses[[#This Row],[Sau khi xem xét các quyền lợi và nghĩa vụ, bạn có ủng hộ và tuân thủ chính sách mới hiện nay? - HUMAN-OUT1]]</f>
        <v>7</v>
      </c>
      <c r="BH227">
        <f t="shared" si="106"/>
        <v>0.66666666666666663</v>
      </c>
      <c r="BI227" s="32">
        <f t="shared" si="107"/>
        <v>2</v>
      </c>
    </row>
    <row r="228" spans="1:61" x14ac:dyDescent="0.45">
      <c r="A228" s="30">
        <f>step3_validation[[#This Row],[Persona_ID]]</f>
        <v>227</v>
      </c>
      <c r="B228" s="31">
        <f>step3_validation[[#This Row],[Used_Seed]]</f>
        <v>268</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30.204689012446956</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9</v>
      </c>
      <c r="R228">
        <f t="shared" si="81"/>
        <v>0.88888888888888884</v>
      </c>
      <c r="S228">
        <f>survey_responses[[#This Row],[Tôi tin rằng với các quy định quản lý thuế hiện nay, hành vi gian lận hoặc trốn thuế sẽ dễ dàng bị phát hiện và xử lý nghiêm. - HUMAN-ENF1]]</f>
        <v>6</v>
      </c>
      <c r="T228">
        <f t="shared" si="82"/>
        <v>0.55555555555555558</v>
      </c>
      <c r="U228">
        <f>step3_validation[[#This Row],[AI_ENF2]]</f>
        <v>8</v>
      </c>
      <c r="V228">
        <f t="shared" si="83"/>
        <v>0.77777777777777779</v>
      </c>
      <c r="W228">
        <f>survey_responses[[#This Row],[Tôi tin rằng Nhà nước, cơ quan thuế có đủ khả năng và công nghệ để phát hiện, xử lý nghiêm các hành vi trốn thuế. - HUMAN-ENF2]]</f>
        <v>6</v>
      </c>
      <c r="X228">
        <f t="shared" si="84"/>
        <v>0.55555555555555558</v>
      </c>
      <c r="Y228" s="32">
        <f t="shared" si="85"/>
        <v>0.83333333333333326</v>
      </c>
      <c r="Z228" s="32">
        <f t="shared" si="86"/>
        <v>0.55555555555555558</v>
      </c>
      <c r="AA228">
        <f>step3_validation[[#This Row],[AI_FAC1]]</f>
        <v>9</v>
      </c>
      <c r="AB228">
        <f t="shared" si="87"/>
        <v>0.88888888888888884</v>
      </c>
      <c r="AC228">
        <f>survey_responses[[#This Row],[Các thủ tục khai báo thuế VÀ/HOẶC quy trình làm việc với cơ quan thuế đơn giản, tiện lợi, nhanh chóng hơn so với trước đây. - HUMAN-FAC1]]</f>
        <v>6</v>
      </c>
      <c r="AD228">
        <f t="shared" si="88"/>
        <v>0.55555555555555558</v>
      </c>
      <c r="AE228">
        <f>step3_validation[[#This Row],[AI_FAC2]]</f>
        <v>8</v>
      </c>
      <c r="AF228">
        <f t="shared" si="89"/>
        <v>0.77777777777777779</v>
      </c>
      <c r="AG228">
        <f>survey_responses[[#This Row],[So với trước đây, tôi thấy cách tính thuế và các bậc thuế trong phương án mới đơn giản, dễ hiểu và dễ thực hiện hơn. - HUMAN-FAC2]]</f>
        <v>6</v>
      </c>
      <c r="AH228">
        <f t="shared" si="90"/>
        <v>0.55555555555555558</v>
      </c>
      <c r="AI228" s="32">
        <f t="shared" si="91"/>
        <v>0.83333333333333326</v>
      </c>
      <c r="AJ228" s="32">
        <f t="shared" si="92"/>
        <v>0.55555555555555558</v>
      </c>
      <c r="AK228">
        <f>step3_validation[[#This Row],[AI_TRU1]]</f>
        <v>9</v>
      </c>
      <c r="AL228">
        <f t="shared" si="93"/>
        <v>0.88888888888888884</v>
      </c>
      <c r="AM228">
        <f>survey_responses[[#This Row],[Tôi tin rằng Nhà nước, cơ quan thuế sẽ thực thi chính sách mới một cách khách quan, công tâm và đối xử bình đẳng với mọi người nộp thuế.  - HUMAN-TRU1]]</f>
        <v>6</v>
      </c>
      <c r="AN228">
        <f t="shared" si="94"/>
        <v>0.55555555555555558</v>
      </c>
      <c r="AO228">
        <f>step3_validation[[#This Row],[AI_TRU2]]</f>
        <v>8</v>
      </c>
      <c r="AP228">
        <f t="shared" si="95"/>
        <v>0.77777777777777779</v>
      </c>
      <c r="AQ228">
        <f>survey_responses[[#This Row],[Tôi thấy mức thuế tôi phải đóng theo phương án mới là công bằng (người thu nhập như tôi đóng mức này là hợp lý). - HUMAN-TRU2]]</f>
        <v>6</v>
      </c>
      <c r="AR228">
        <f t="shared" si="96"/>
        <v>0.55555555555555558</v>
      </c>
      <c r="AS228">
        <f>step3_validation[[#This Row],[AI_TRU3]]</f>
        <v>9</v>
      </c>
      <c r="AT228">
        <f t="shared" si="97"/>
        <v>0.88888888888888884</v>
      </c>
      <c r="AU228">
        <f>survey_responses[[#This Row],[Tôi tin tưởng số tiền thuế tôi đóng sẽ được Nhà nước sử dụng hiệu quả để cải thiện dịch vụ công (y tế, đường xá...). - HUMAN-TRU3]]</f>
        <v>6</v>
      </c>
      <c r="AV228">
        <f t="shared" si="98"/>
        <v>0.55555555555555558</v>
      </c>
      <c r="AW228">
        <f>step3_validation[[#This Row],[AI_TRU4]]</f>
        <v>8</v>
      </c>
      <c r="AX228">
        <f t="shared" si="99"/>
        <v>0.77777777777777779</v>
      </c>
      <c r="AY228">
        <f>survey_responses[[#This Row],[Tôi thấy Nhà nước đã giải thích rõ ràng, minh bạch về lý do và mục tiêu của việc sửa đổi thuế lần này. - HUMAN-TRU4]]</f>
        <v>6</v>
      </c>
      <c r="AZ228">
        <f t="shared" si="100"/>
        <v>0.55555555555555558</v>
      </c>
      <c r="BA228" s="32">
        <f t="shared" si="101"/>
        <v>0.83333333333333326</v>
      </c>
      <c r="BB228" s="32">
        <f t="shared" si="102"/>
        <v>0.55555555555555558</v>
      </c>
      <c r="BC228" s="7">
        <f t="shared" si="103"/>
        <v>0.83333333333333337</v>
      </c>
      <c r="BD228" s="7">
        <f t="shared" si="104"/>
        <v>0.55555555555555558</v>
      </c>
      <c r="BE228">
        <f>step3_validation[[#This Row],[AI_OUT1]]</f>
        <v>9</v>
      </c>
      <c r="BF228">
        <f t="shared" si="105"/>
        <v>0.88888888888888884</v>
      </c>
      <c r="BG228">
        <f>survey_responses[[#This Row],[Sau khi xem xét các quyền lợi và nghĩa vụ, bạn có ủng hộ và tuân thủ chính sách mới hiện nay? - HUMAN-OUT1]]</f>
        <v>6</v>
      </c>
      <c r="BH228">
        <f t="shared" si="106"/>
        <v>0.55555555555555558</v>
      </c>
      <c r="BI228" s="32">
        <f t="shared" si="107"/>
        <v>3</v>
      </c>
    </row>
    <row r="229" spans="1:61" x14ac:dyDescent="0.45">
      <c r="A229" s="30">
        <f>step3_validation[[#This Row],[Persona_ID]]</f>
        <v>228</v>
      </c>
      <c r="B229" s="31">
        <f>step3_validation[[#This Row],[Used_Seed]]</f>
        <v>269</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20.883093601344491</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f t="shared" si="81"/>
        <v>0.66666666666666663</v>
      </c>
      <c r="S229">
        <f>survey_responses[[#This Row],[Tôi tin rằng với các quy định quản lý thuế hiện nay, hành vi gian lận hoặc trốn thuế sẽ dễ dàng bị phát hiện và xử lý nghiêm. - HUMAN-ENF1]]</f>
        <v>8</v>
      </c>
      <c r="T229">
        <f t="shared" si="82"/>
        <v>0.77777777777777779</v>
      </c>
      <c r="U229">
        <f>step3_validation[[#This Row],[AI_ENF2]]</f>
        <v>8</v>
      </c>
      <c r="V229">
        <f t="shared" si="83"/>
        <v>0.77777777777777779</v>
      </c>
      <c r="W229">
        <f>survey_responses[[#This Row],[Tôi tin rằng Nhà nước, cơ quan thuế có đủ khả năng và công nghệ để phát hiện, xử lý nghiêm các hành vi trốn thuế. - HUMAN-ENF2]]</f>
        <v>9</v>
      </c>
      <c r="X229">
        <f t="shared" si="84"/>
        <v>0.88888888888888884</v>
      </c>
      <c r="Y229" s="32">
        <f t="shared" si="85"/>
        <v>0.72222222222222221</v>
      </c>
      <c r="Z229" s="32">
        <f t="shared" si="86"/>
        <v>0.83333333333333326</v>
      </c>
      <c r="AA229">
        <f>step3_validation[[#This Row],[AI_FAC1]]</f>
        <v>9</v>
      </c>
      <c r="AB229">
        <f t="shared" si="87"/>
        <v>0.88888888888888884</v>
      </c>
      <c r="AC229">
        <f>survey_responses[[#This Row],[Các thủ tục khai báo thuế VÀ/HOẶC quy trình làm việc với cơ quan thuế đơn giản, tiện lợi, nhanh chóng hơn so với trước đây. - HUMAN-FAC1]]</f>
        <v>7</v>
      </c>
      <c r="AD229">
        <f t="shared" si="88"/>
        <v>0.66666666666666663</v>
      </c>
      <c r="AE229">
        <f>step3_validation[[#This Row],[AI_FAC2]]</f>
        <v>9</v>
      </c>
      <c r="AF229">
        <f t="shared" si="89"/>
        <v>0.88888888888888884</v>
      </c>
      <c r="AG229">
        <f>survey_responses[[#This Row],[So với trước đây, tôi thấy cách tính thuế và các bậc thuế trong phương án mới đơn giản, dễ hiểu và dễ thực hiện hơn. - HUMAN-FAC2]]</f>
        <v>8</v>
      </c>
      <c r="AH229">
        <f t="shared" si="90"/>
        <v>0.77777777777777779</v>
      </c>
      <c r="AI229" s="32">
        <f t="shared" si="91"/>
        <v>0.88888888888888884</v>
      </c>
      <c r="AJ229" s="32">
        <f t="shared" si="92"/>
        <v>0.72222222222222221</v>
      </c>
      <c r="AK229">
        <f>step3_validation[[#This Row],[AI_TRU1]]</f>
        <v>8</v>
      </c>
      <c r="AL229">
        <f t="shared" si="93"/>
        <v>0.77777777777777779</v>
      </c>
      <c r="AM229">
        <f>survey_responses[[#This Row],[Tôi tin rằng Nhà nước, cơ quan thuế sẽ thực thi chính sách mới một cách khách quan, công tâm và đối xử bình đẳng với mọi người nộp thuế.  - HUMAN-TRU1]]</f>
        <v>9</v>
      </c>
      <c r="AN229">
        <f t="shared" si="94"/>
        <v>0.88888888888888884</v>
      </c>
      <c r="AO229">
        <f>step3_validation[[#This Row],[AI_TRU2]]</f>
        <v>9</v>
      </c>
      <c r="AP229">
        <f t="shared" si="95"/>
        <v>0.88888888888888884</v>
      </c>
      <c r="AQ229">
        <f>survey_responses[[#This Row],[Tôi thấy mức thuế tôi phải đóng theo phương án mới là công bằng (người thu nhập như tôi đóng mức này là hợp lý). - HUMAN-TRU2]]</f>
        <v>8</v>
      </c>
      <c r="AR229">
        <f t="shared" si="96"/>
        <v>0.77777777777777779</v>
      </c>
      <c r="AS229">
        <f>step3_validation[[#This Row],[AI_TRU3]]</f>
        <v>8</v>
      </c>
      <c r="AT229">
        <f t="shared" si="97"/>
        <v>0.77777777777777779</v>
      </c>
      <c r="AU229">
        <f>survey_responses[[#This Row],[Tôi tin tưởng số tiền thuế tôi đóng sẽ được Nhà nước sử dụng hiệu quả để cải thiện dịch vụ công (y tế, đường xá...). - HUMAN-TRU3]]</f>
        <v>8</v>
      </c>
      <c r="AV229">
        <f t="shared" si="98"/>
        <v>0.77777777777777779</v>
      </c>
      <c r="AW229">
        <f>step3_validation[[#This Row],[AI_TRU4]]</f>
        <v>7</v>
      </c>
      <c r="AX229">
        <f t="shared" si="99"/>
        <v>0.66666666666666663</v>
      </c>
      <c r="AY229">
        <f>survey_responses[[#This Row],[Tôi thấy Nhà nước đã giải thích rõ ràng, minh bạch về lý do và mục tiêu của việc sửa đổi thuế lần này. - HUMAN-TRU4]]</f>
        <v>8</v>
      </c>
      <c r="AZ229">
        <f t="shared" si="100"/>
        <v>0.77777777777777779</v>
      </c>
      <c r="BA229" s="32">
        <f t="shared" si="101"/>
        <v>0.77777777777777768</v>
      </c>
      <c r="BB229" s="32">
        <f t="shared" si="102"/>
        <v>0.80555555555555547</v>
      </c>
      <c r="BC229" s="7">
        <f t="shared" si="103"/>
        <v>0.79629629629629628</v>
      </c>
      <c r="BD229" s="7">
        <f t="shared" si="104"/>
        <v>0.78703703703703687</v>
      </c>
      <c r="BE229">
        <f>step3_validation[[#This Row],[AI_OUT1]]</f>
        <v>9</v>
      </c>
      <c r="BF229">
        <f t="shared" si="105"/>
        <v>0.88888888888888884</v>
      </c>
      <c r="BG229">
        <f>survey_responses[[#This Row],[Sau khi xem xét các quyền lợi và nghĩa vụ, bạn có ủng hộ và tuân thủ chính sách mới hiện nay? - HUMAN-OUT1]]</f>
        <v>8</v>
      </c>
      <c r="BH229">
        <f t="shared" si="106"/>
        <v>0.77777777777777779</v>
      </c>
      <c r="BI229" s="32">
        <f t="shared" si="107"/>
        <v>1</v>
      </c>
    </row>
    <row r="230" spans="1:61" x14ac:dyDescent="0.45">
      <c r="A230" s="30">
        <f>step3_validation[[#This Row],[Persona_ID]]</f>
        <v>229</v>
      </c>
      <c r="B230" s="31">
        <f>step3_validation[[#This Row],[Used_Seed]]</f>
        <v>270</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58.570001333168669</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7</v>
      </c>
      <c r="R230">
        <f t="shared" si="81"/>
        <v>0.66666666666666663</v>
      </c>
      <c r="S230">
        <f>survey_responses[[#This Row],[Tôi tin rằng với các quy định quản lý thuế hiện nay, hành vi gian lận hoặc trốn thuế sẽ dễ dàng bị phát hiện và xử lý nghiêm. - HUMAN-ENF1]]</f>
        <v>6</v>
      </c>
      <c r="T230">
        <f t="shared" si="82"/>
        <v>0.55555555555555558</v>
      </c>
      <c r="U230">
        <f>step3_validation[[#This Row],[AI_ENF2]]</f>
        <v>8</v>
      </c>
      <c r="V230">
        <f t="shared" si="83"/>
        <v>0.77777777777777779</v>
      </c>
      <c r="W230">
        <f>survey_responses[[#This Row],[Tôi tin rằng Nhà nước, cơ quan thuế có đủ khả năng và công nghệ để phát hiện, xử lý nghiêm các hành vi trốn thuế. - HUMAN-ENF2]]</f>
        <v>6</v>
      </c>
      <c r="X230">
        <f t="shared" si="84"/>
        <v>0.55555555555555558</v>
      </c>
      <c r="Y230" s="32">
        <f t="shared" si="85"/>
        <v>0.72222222222222221</v>
      </c>
      <c r="Z230" s="32">
        <f t="shared" si="86"/>
        <v>0.55555555555555558</v>
      </c>
      <c r="AA230">
        <f>step3_validation[[#This Row],[AI_FAC1]]</f>
        <v>9</v>
      </c>
      <c r="AB230">
        <f t="shared" si="87"/>
        <v>0.88888888888888884</v>
      </c>
      <c r="AC230">
        <f>survey_responses[[#This Row],[Các thủ tục khai báo thuế VÀ/HOẶC quy trình làm việc với cơ quan thuế đơn giản, tiện lợi, nhanh chóng hơn so với trước đây. - HUMAN-FAC1]]</f>
        <v>6</v>
      </c>
      <c r="AD230">
        <f t="shared" si="88"/>
        <v>0.55555555555555558</v>
      </c>
      <c r="AE230">
        <f>step3_validation[[#This Row],[AI_FAC2]]</f>
        <v>9</v>
      </c>
      <c r="AF230">
        <f t="shared" si="89"/>
        <v>0.88888888888888884</v>
      </c>
      <c r="AG230">
        <f>survey_responses[[#This Row],[So với trước đây, tôi thấy cách tính thuế và các bậc thuế trong phương án mới đơn giản, dễ hiểu và dễ thực hiện hơn. - HUMAN-FAC2]]</f>
        <v>6</v>
      </c>
      <c r="AH230">
        <f t="shared" si="90"/>
        <v>0.55555555555555558</v>
      </c>
      <c r="AI230" s="32">
        <f t="shared" si="91"/>
        <v>0.88888888888888884</v>
      </c>
      <c r="AJ230" s="32">
        <f t="shared" si="92"/>
        <v>0.55555555555555558</v>
      </c>
      <c r="AK230">
        <f>step3_validation[[#This Row],[AI_TRU1]]</f>
        <v>8</v>
      </c>
      <c r="AL230">
        <f t="shared" si="93"/>
        <v>0.77777777777777779</v>
      </c>
      <c r="AM230">
        <f>survey_responses[[#This Row],[Tôi tin rằng Nhà nước, cơ quan thuế sẽ thực thi chính sách mới một cách khách quan, công tâm và đối xử bình đẳng với mọi người nộp thuế.  - HUMAN-TRU1]]</f>
        <v>6</v>
      </c>
      <c r="AN230">
        <f t="shared" si="94"/>
        <v>0.55555555555555558</v>
      </c>
      <c r="AO230">
        <f>step3_validation[[#This Row],[AI_TRU2]]</f>
        <v>9</v>
      </c>
      <c r="AP230">
        <f t="shared" si="95"/>
        <v>0.88888888888888884</v>
      </c>
      <c r="AQ230">
        <f>survey_responses[[#This Row],[Tôi thấy mức thuế tôi phải đóng theo phương án mới là công bằng (người thu nhập như tôi đóng mức này là hợp lý). - HUMAN-TRU2]]</f>
        <v>7</v>
      </c>
      <c r="AR230">
        <f t="shared" si="96"/>
        <v>0.66666666666666663</v>
      </c>
      <c r="AS230">
        <f>step3_validation[[#This Row],[AI_TRU3]]</f>
        <v>8</v>
      </c>
      <c r="AT230">
        <f t="shared" si="97"/>
        <v>0.77777777777777779</v>
      </c>
      <c r="AU230">
        <f>survey_responses[[#This Row],[Tôi tin tưởng số tiền thuế tôi đóng sẽ được Nhà nước sử dụng hiệu quả để cải thiện dịch vụ công (y tế, đường xá...). - HUMAN-TRU3]]</f>
        <v>6</v>
      </c>
      <c r="AV230">
        <f t="shared" si="98"/>
        <v>0.55555555555555558</v>
      </c>
      <c r="AW230">
        <f>step3_validation[[#This Row],[AI_TRU4]]</f>
        <v>9</v>
      </c>
      <c r="AX230">
        <f t="shared" si="99"/>
        <v>0.88888888888888884</v>
      </c>
      <c r="AY230">
        <f>survey_responses[[#This Row],[Tôi thấy Nhà nước đã giải thích rõ ràng, minh bạch về lý do và mục tiêu của việc sửa đổi thuế lần này. - HUMAN-TRU4]]</f>
        <v>6</v>
      </c>
      <c r="AZ230">
        <f t="shared" si="100"/>
        <v>0.55555555555555558</v>
      </c>
      <c r="BA230" s="32">
        <f t="shared" si="101"/>
        <v>0.83333333333333326</v>
      </c>
      <c r="BB230" s="32">
        <f t="shared" si="102"/>
        <v>0.58333333333333337</v>
      </c>
      <c r="BC230" s="7">
        <f t="shared" si="103"/>
        <v>0.81481481481481488</v>
      </c>
      <c r="BD230" s="7">
        <f t="shared" si="104"/>
        <v>0.56481481481481488</v>
      </c>
      <c r="BE230">
        <f>step3_validation[[#This Row],[AI_OUT1]]</f>
        <v>10</v>
      </c>
      <c r="BF230">
        <f t="shared" si="105"/>
        <v>1</v>
      </c>
      <c r="BG230">
        <f>survey_responses[[#This Row],[Sau khi xem xét các quyền lợi và nghĩa vụ, bạn có ủng hộ và tuân thủ chính sách mới hiện nay? - HUMAN-OUT1]]</f>
        <v>7</v>
      </c>
      <c r="BH230">
        <f t="shared" si="106"/>
        <v>0.66666666666666663</v>
      </c>
      <c r="BI230" s="32">
        <f t="shared" si="107"/>
        <v>3</v>
      </c>
    </row>
    <row r="231" spans="1:61" x14ac:dyDescent="0.45">
      <c r="A231" s="30">
        <f>step3_validation[[#This Row],[Persona_ID]]</f>
        <v>230</v>
      </c>
      <c r="B231" s="31">
        <f>step3_validation[[#This Row],[Used_Seed]]</f>
        <v>271</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74.057443540925746</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8</v>
      </c>
      <c r="R231">
        <f t="shared" si="81"/>
        <v>0.77777777777777779</v>
      </c>
      <c r="S231">
        <f>survey_responses[[#This Row],[Tôi tin rằng với các quy định quản lý thuế hiện nay, hành vi gian lận hoặc trốn thuế sẽ dễ dàng bị phát hiện và xử lý nghiêm. - HUMAN-ENF1]]</f>
        <v>4</v>
      </c>
      <c r="T231">
        <f t="shared" si="82"/>
        <v>0.33333333333333331</v>
      </c>
      <c r="U231">
        <f>step3_validation[[#This Row],[AI_ENF2]]</f>
        <v>8</v>
      </c>
      <c r="V231">
        <f t="shared" si="83"/>
        <v>0.77777777777777779</v>
      </c>
      <c r="W231">
        <f>survey_responses[[#This Row],[Tôi tin rằng Nhà nước, cơ quan thuế có đủ khả năng và công nghệ để phát hiện, xử lý nghiêm các hành vi trốn thuế. - HUMAN-ENF2]]</f>
        <v>5</v>
      </c>
      <c r="X231">
        <f t="shared" si="84"/>
        <v>0.44444444444444442</v>
      </c>
      <c r="Y231" s="32">
        <f t="shared" si="85"/>
        <v>0.77777777777777779</v>
      </c>
      <c r="Z231" s="32">
        <f t="shared" si="86"/>
        <v>0.38888888888888884</v>
      </c>
      <c r="AA231">
        <f>step3_validation[[#This Row],[AI_FAC1]]</f>
        <v>9</v>
      </c>
      <c r="AB231">
        <f t="shared" si="87"/>
        <v>0.88888888888888884</v>
      </c>
      <c r="AC231">
        <f>survey_responses[[#This Row],[Các thủ tục khai báo thuế VÀ/HOẶC quy trình làm việc với cơ quan thuế đơn giản, tiện lợi, nhanh chóng hơn so với trước đây. - HUMAN-FAC1]]</f>
        <v>1</v>
      </c>
      <c r="AD231">
        <f t="shared" si="88"/>
        <v>0</v>
      </c>
      <c r="AE231">
        <f>step3_validation[[#This Row],[AI_FAC2]]</f>
        <v>10</v>
      </c>
      <c r="AF231">
        <f t="shared" si="89"/>
        <v>1</v>
      </c>
      <c r="AG231">
        <f>survey_responses[[#This Row],[So với trước đây, tôi thấy cách tính thuế và các bậc thuế trong phương án mới đơn giản, dễ hiểu và dễ thực hiện hơn. - HUMAN-FAC2]]</f>
        <v>6</v>
      </c>
      <c r="AH231">
        <f t="shared" si="90"/>
        <v>0.55555555555555558</v>
      </c>
      <c r="AI231" s="32">
        <f t="shared" si="91"/>
        <v>0.94444444444444442</v>
      </c>
      <c r="AJ231" s="32">
        <f t="shared" si="92"/>
        <v>0.27777777777777779</v>
      </c>
      <c r="AK231">
        <f>step3_validation[[#This Row],[AI_TRU1]]</f>
        <v>9</v>
      </c>
      <c r="AL231">
        <f t="shared" si="93"/>
        <v>0.88888888888888884</v>
      </c>
      <c r="AM231">
        <f>survey_responses[[#This Row],[Tôi tin rằng Nhà nước, cơ quan thuế sẽ thực thi chính sách mới một cách khách quan, công tâm và đối xử bình đẳng với mọi người nộp thuế.  - HUMAN-TRU1]]</f>
        <v>4</v>
      </c>
      <c r="AN231">
        <f t="shared" si="94"/>
        <v>0.33333333333333331</v>
      </c>
      <c r="AO231">
        <f>step3_validation[[#This Row],[AI_TRU2]]</f>
        <v>9</v>
      </c>
      <c r="AP231">
        <f t="shared" si="95"/>
        <v>0.88888888888888884</v>
      </c>
      <c r="AQ231">
        <f>survey_responses[[#This Row],[Tôi thấy mức thuế tôi phải đóng theo phương án mới là công bằng (người thu nhập như tôi đóng mức này là hợp lý). - HUMAN-TRU2]]</f>
        <v>4</v>
      </c>
      <c r="AR231">
        <f t="shared" si="96"/>
        <v>0.33333333333333331</v>
      </c>
      <c r="AS231">
        <f>step3_validation[[#This Row],[AI_TRU3]]</f>
        <v>8</v>
      </c>
      <c r="AT231">
        <f t="shared" si="97"/>
        <v>0.77777777777777779</v>
      </c>
      <c r="AU231">
        <f>survey_responses[[#This Row],[Tôi tin tưởng số tiền thuế tôi đóng sẽ được Nhà nước sử dụng hiệu quả để cải thiện dịch vụ công (y tế, đường xá...). - HUMAN-TRU3]]</f>
        <v>5</v>
      </c>
      <c r="AV231">
        <f t="shared" si="98"/>
        <v>0.44444444444444442</v>
      </c>
      <c r="AW231">
        <f>step3_validation[[#This Row],[AI_TRU4]]</f>
        <v>9</v>
      </c>
      <c r="AX231">
        <f t="shared" si="99"/>
        <v>0.88888888888888884</v>
      </c>
      <c r="AY231">
        <f>survey_responses[[#This Row],[Tôi thấy Nhà nước đã giải thích rõ ràng, minh bạch về lý do và mục tiêu của việc sửa đổi thuế lần này. - HUMAN-TRU4]]</f>
        <v>5</v>
      </c>
      <c r="AZ231">
        <f t="shared" si="100"/>
        <v>0.44444444444444442</v>
      </c>
      <c r="BA231" s="32">
        <f t="shared" si="101"/>
        <v>0.86111111111111105</v>
      </c>
      <c r="BB231" s="32">
        <f t="shared" si="102"/>
        <v>0.3888888888888889</v>
      </c>
      <c r="BC231" s="7">
        <f t="shared" si="103"/>
        <v>0.86111111111111116</v>
      </c>
      <c r="BD231" s="7">
        <f t="shared" si="104"/>
        <v>0.35185185185185186</v>
      </c>
      <c r="BE231">
        <f>step3_validation[[#This Row],[AI_OUT1]]</f>
        <v>9</v>
      </c>
      <c r="BF231">
        <f t="shared" si="105"/>
        <v>0.88888888888888884</v>
      </c>
      <c r="BG231">
        <f>survey_responses[[#This Row],[Sau khi xem xét các quyền lợi và nghĩa vụ, bạn có ủng hộ và tuân thủ chính sách mới hiện nay? - HUMAN-OUT1]]</f>
        <v>5</v>
      </c>
      <c r="BH231">
        <f t="shared" si="106"/>
        <v>0.44444444444444442</v>
      </c>
      <c r="BI231" s="32">
        <f t="shared" si="107"/>
        <v>4</v>
      </c>
    </row>
    <row r="232" spans="1:61" x14ac:dyDescent="0.45">
      <c r="A232" s="30">
        <f>step3_validation[[#This Row],[Persona_ID]]</f>
        <v>231</v>
      </c>
      <c r="B232" s="31">
        <f>step3_validation[[#This Row],[Used_Seed]]</f>
        <v>272</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147.5407463784199</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7</v>
      </c>
      <c r="R232">
        <f t="shared" si="81"/>
        <v>0.66666666666666663</v>
      </c>
      <c r="S232">
        <f>survey_responses[[#This Row],[Tôi tin rằng với các quy định quản lý thuế hiện nay, hành vi gian lận hoặc trốn thuế sẽ dễ dàng bị phát hiện và xử lý nghiêm. - HUMAN-ENF1]]</f>
        <v>8</v>
      </c>
      <c r="T232">
        <f t="shared" si="82"/>
        <v>0.77777777777777779</v>
      </c>
      <c r="U232">
        <f>step3_validation[[#This Row],[AI_ENF2]]</f>
        <v>7</v>
      </c>
      <c r="V232">
        <f t="shared" si="83"/>
        <v>0.66666666666666663</v>
      </c>
      <c r="W232">
        <f>survey_responses[[#This Row],[Tôi tin rằng Nhà nước, cơ quan thuế có đủ khả năng và công nghệ để phát hiện, xử lý nghiêm các hành vi trốn thuế. - HUMAN-ENF2]]</f>
        <v>8</v>
      </c>
      <c r="X232">
        <f t="shared" si="84"/>
        <v>0.77777777777777779</v>
      </c>
      <c r="Y232" s="32">
        <f t="shared" si="85"/>
        <v>0.66666666666666663</v>
      </c>
      <c r="Z232" s="32">
        <f t="shared" si="86"/>
        <v>0.77777777777777779</v>
      </c>
      <c r="AA232">
        <f>step3_validation[[#This Row],[AI_FAC1]]</f>
        <v>6</v>
      </c>
      <c r="AB232">
        <f t="shared" si="87"/>
        <v>0.55555555555555558</v>
      </c>
      <c r="AC232">
        <f>survey_responses[[#This Row],[Các thủ tục khai báo thuế VÀ/HOẶC quy trình làm việc với cơ quan thuế đơn giản, tiện lợi, nhanh chóng hơn so với trước đây. - HUMAN-FAC1]]</f>
        <v>8</v>
      </c>
      <c r="AD232">
        <f t="shared" si="88"/>
        <v>0.77777777777777779</v>
      </c>
      <c r="AE232">
        <f>step3_validation[[#This Row],[AI_FAC2]]</f>
        <v>9</v>
      </c>
      <c r="AF232">
        <f t="shared" si="89"/>
        <v>0.88888888888888884</v>
      </c>
      <c r="AG232">
        <f>survey_responses[[#This Row],[So với trước đây, tôi thấy cách tính thuế và các bậc thuế trong phương án mới đơn giản, dễ hiểu và dễ thực hiện hơn. - HUMAN-FAC2]]</f>
        <v>8</v>
      </c>
      <c r="AH232">
        <f t="shared" si="90"/>
        <v>0.77777777777777779</v>
      </c>
      <c r="AI232" s="32">
        <f t="shared" si="91"/>
        <v>0.72222222222222221</v>
      </c>
      <c r="AJ232" s="32">
        <f t="shared" si="92"/>
        <v>0.77777777777777779</v>
      </c>
      <c r="AK232">
        <f>step3_validation[[#This Row],[AI_TRU1]]</f>
        <v>7</v>
      </c>
      <c r="AL232">
        <f t="shared" si="93"/>
        <v>0.66666666666666663</v>
      </c>
      <c r="AM232">
        <f>survey_responses[[#This Row],[Tôi tin rằng Nhà nước, cơ quan thuế sẽ thực thi chính sách mới một cách khách quan, công tâm và đối xử bình đẳng với mọi người nộp thuế.  - HUMAN-TRU1]]</f>
        <v>7</v>
      </c>
      <c r="AN232">
        <f t="shared" si="94"/>
        <v>0.66666666666666663</v>
      </c>
      <c r="AO232">
        <f>step3_validation[[#This Row],[AI_TRU2]]</f>
        <v>9</v>
      </c>
      <c r="AP232">
        <f t="shared" si="95"/>
        <v>0.88888888888888884</v>
      </c>
      <c r="AQ232">
        <f>survey_responses[[#This Row],[Tôi thấy mức thuế tôi phải đóng theo phương án mới là công bằng (người thu nhập như tôi đóng mức này là hợp lý). - HUMAN-TRU2]]</f>
        <v>7</v>
      </c>
      <c r="AR232">
        <f t="shared" si="96"/>
        <v>0.66666666666666663</v>
      </c>
      <c r="AS232">
        <f>step3_validation[[#This Row],[AI_TRU3]]</f>
        <v>7</v>
      </c>
      <c r="AT232">
        <f t="shared" si="97"/>
        <v>0.66666666666666663</v>
      </c>
      <c r="AU232">
        <f>survey_responses[[#This Row],[Tôi tin tưởng số tiền thuế tôi đóng sẽ được Nhà nước sử dụng hiệu quả để cải thiện dịch vụ công (y tế, đường xá...). - HUMAN-TRU3]]</f>
        <v>8</v>
      </c>
      <c r="AV232">
        <f t="shared" si="98"/>
        <v>0.77777777777777779</v>
      </c>
      <c r="AW232">
        <f>step3_validation[[#This Row],[AI_TRU4]]</f>
        <v>8</v>
      </c>
      <c r="AX232">
        <f t="shared" si="99"/>
        <v>0.77777777777777779</v>
      </c>
      <c r="AY232">
        <f>survey_responses[[#This Row],[Tôi thấy Nhà nước đã giải thích rõ ràng, minh bạch về lý do và mục tiêu của việc sửa đổi thuế lần này. - HUMAN-TRU4]]</f>
        <v>7</v>
      </c>
      <c r="AZ232">
        <f t="shared" si="100"/>
        <v>0.66666666666666663</v>
      </c>
      <c r="BA232" s="32">
        <f t="shared" si="101"/>
        <v>0.74999999999999989</v>
      </c>
      <c r="BB232" s="32">
        <f t="shared" si="102"/>
        <v>0.69444444444444442</v>
      </c>
      <c r="BC232" s="7">
        <f t="shared" si="103"/>
        <v>0.71296296296296291</v>
      </c>
      <c r="BD232" s="7">
        <f t="shared" si="104"/>
        <v>0.75</v>
      </c>
      <c r="BE232">
        <f>step3_validation[[#This Row],[AI_OUT1]]</f>
        <v>9</v>
      </c>
      <c r="BF232">
        <f t="shared" si="105"/>
        <v>0.88888888888888884</v>
      </c>
      <c r="BG232">
        <f>survey_responses[[#This Row],[Sau khi xem xét các quyền lợi và nghĩa vụ, bạn có ủng hộ và tuân thủ chính sách mới hiện nay? - HUMAN-OUT1]]</f>
        <v>8</v>
      </c>
      <c r="BH232">
        <f t="shared" si="106"/>
        <v>0.77777777777777779</v>
      </c>
      <c r="BI232" s="32">
        <f t="shared" si="107"/>
        <v>1</v>
      </c>
    </row>
    <row r="233" spans="1:61" x14ac:dyDescent="0.45">
      <c r="A233" s="30">
        <f>step3_validation[[#This Row],[Persona_ID]]</f>
        <v>232</v>
      </c>
      <c r="B233" s="31">
        <f>step3_validation[[#This Row],[Used_Seed]]</f>
        <v>273</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67.508547023844386</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f t="shared" si="81"/>
        <v>0.66666666666666663</v>
      </c>
      <c r="S233">
        <f>survey_responses[[#This Row],[Tôi tin rằng với các quy định quản lý thuế hiện nay, hành vi gian lận hoặc trốn thuế sẽ dễ dàng bị phát hiện và xử lý nghiêm. - HUMAN-ENF1]]</f>
        <v>6</v>
      </c>
      <c r="T233">
        <f t="shared" si="82"/>
        <v>0.55555555555555558</v>
      </c>
      <c r="U233">
        <f>step3_validation[[#This Row],[AI_ENF2]]</f>
        <v>8</v>
      </c>
      <c r="V233">
        <f t="shared" si="83"/>
        <v>0.77777777777777779</v>
      </c>
      <c r="W233">
        <f>survey_responses[[#This Row],[Tôi tin rằng Nhà nước, cơ quan thuế có đủ khả năng và công nghệ để phát hiện, xử lý nghiêm các hành vi trốn thuế. - HUMAN-ENF2]]</f>
        <v>6</v>
      </c>
      <c r="X233">
        <f t="shared" si="84"/>
        <v>0.55555555555555558</v>
      </c>
      <c r="Y233" s="32">
        <f t="shared" si="85"/>
        <v>0.72222222222222221</v>
      </c>
      <c r="Z233" s="32">
        <f t="shared" si="86"/>
        <v>0.55555555555555558</v>
      </c>
      <c r="AA233">
        <f>step3_validation[[#This Row],[AI_FAC1]]</f>
        <v>9</v>
      </c>
      <c r="AB233">
        <f t="shared" si="87"/>
        <v>0.88888888888888884</v>
      </c>
      <c r="AC233">
        <f>survey_responses[[#This Row],[Các thủ tục khai báo thuế VÀ/HOẶC quy trình làm việc với cơ quan thuế đơn giản, tiện lợi, nhanh chóng hơn so với trước đây. - HUMAN-FAC1]]</f>
        <v>6</v>
      </c>
      <c r="AD233">
        <f t="shared" si="88"/>
        <v>0.55555555555555558</v>
      </c>
      <c r="AE233">
        <f>step3_validation[[#This Row],[AI_FAC2]]</f>
        <v>9</v>
      </c>
      <c r="AF233">
        <f t="shared" si="89"/>
        <v>0.88888888888888884</v>
      </c>
      <c r="AG233">
        <f>survey_responses[[#This Row],[So với trước đây, tôi thấy cách tính thuế và các bậc thuế trong phương án mới đơn giản, dễ hiểu và dễ thực hiện hơn. - HUMAN-FAC2]]</f>
        <v>6</v>
      </c>
      <c r="AH233">
        <f t="shared" si="90"/>
        <v>0.55555555555555558</v>
      </c>
      <c r="AI233" s="32">
        <f t="shared" si="91"/>
        <v>0.88888888888888884</v>
      </c>
      <c r="AJ233" s="32">
        <f t="shared" si="92"/>
        <v>0.55555555555555558</v>
      </c>
      <c r="AK233">
        <f>step3_validation[[#This Row],[AI_TRU1]]</f>
        <v>7</v>
      </c>
      <c r="AL233">
        <f t="shared" si="93"/>
        <v>0.66666666666666663</v>
      </c>
      <c r="AM233">
        <f>survey_responses[[#This Row],[Tôi tin rằng Nhà nước, cơ quan thuế sẽ thực thi chính sách mới một cách khách quan, công tâm và đối xử bình đẳng với mọi người nộp thuế.  - HUMAN-TRU1]]</f>
        <v>6</v>
      </c>
      <c r="AN233">
        <f t="shared" si="94"/>
        <v>0.55555555555555558</v>
      </c>
      <c r="AO233">
        <f>step3_validation[[#This Row],[AI_TRU2]]</f>
        <v>8</v>
      </c>
      <c r="AP233">
        <f t="shared" si="95"/>
        <v>0.77777777777777779</v>
      </c>
      <c r="AQ233">
        <f>survey_responses[[#This Row],[Tôi thấy mức thuế tôi phải đóng theo phương án mới là công bằng (người thu nhập như tôi đóng mức này là hợp lý). - HUMAN-TRU2]]</f>
        <v>6</v>
      </c>
      <c r="AR233">
        <f t="shared" si="96"/>
        <v>0.55555555555555558</v>
      </c>
      <c r="AS233">
        <f>step3_validation[[#This Row],[AI_TRU3]]</f>
        <v>7</v>
      </c>
      <c r="AT233">
        <f t="shared" si="97"/>
        <v>0.66666666666666663</v>
      </c>
      <c r="AU233">
        <f>survey_responses[[#This Row],[Tôi tin tưởng số tiền thuế tôi đóng sẽ được Nhà nước sử dụng hiệu quả để cải thiện dịch vụ công (y tế, đường xá...). - HUMAN-TRU3]]</f>
        <v>6</v>
      </c>
      <c r="AV233">
        <f t="shared" si="98"/>
        <v>0.55555555555555558</v>
      </c>
      <c r="AW233">
        <f>step3_validation[[#This Row],[AI_TRU4]]</f>
        <v>6</v>
      </c>
      <c r="AX233">
        <f t="shared" si="99"/>
        <v>0.55555555555555558</v>
      </c>
      <c r="AY233">
        <f>survey_responses[[#This Row],[Tôi thấy Nhà nước đã giải thích rõ ràng, minh bạch về lý do và mục tiêu của việc sửa đổi thuế lần này. - HUMAN-TRU4]]</f>
        <v>6</v>
      </c>
      <c r="AZ233">
        <f t="shared" si="100"/>
        <v>0.55555555555555558</v>
      </c>
      <c r="BA233" s="32">
        <f t="shared" si="101"/>
        <v>0.66666666666666674</v>
      </c>
      <c r="BB233" s="32">
        <f t="shared" si="102"/>
        <v>0.55555555555555558</v>
      </c>
      <c r="BC233" s="7">
        <f t="shared" si="103"/>
        <v>0.75925925925925919</v>
      </c>
      <c r="BD233" s="7">
        <f t="shared" si="104"/>
        <v>0.55555555555555558</v>
      </c>
      <c r="BE233">
        <f>step3_validation[[#This Row],[AI_OUT1]]</f>
        <v>8</v>
      </c>
      <c r="BF233">
        <f t="shared" si="105"/>
        <v>0.77777777777777779</v>
      </c>
      <c r="BG233">
        <f>survey_responses[[#This Row],[Sau khi xem xét các quyền lợi và nghĩa vụ, bạn có ủng hộ và tuân thủ chính sách mới hiện nay? - HUMAN-OUT1]]</f>
        <v>6</v>
      </c>
      <c r="BH233">
        <f t="shared" si="106"/>
        <v>0.55555555555555558</v>
      </c>
      <c r="BI233" s="32">
        <f t="shared" si="107"/>
        <v>2</v>
      </c>
    </row>
    <row r="234" spans="1:61" x14ac:dyDescent="0.45">
      <c r="A234" s="30">
        <f>step3_validation[[#This Row],[Persona_ID]]</f>
        <v>233</v>
      </c>
      <c r="B234" s="31">
        <f>step3_validation[[#This Row],[Used_Seed]]</f>
        <v>274</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15.235367395272302</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3</v>
      </c>
      <c r="R234">
        <f t="shared" si="81"/>
        <v>0.22222222222222221</v>
      </c>
      <c r="S234">
        <f>survey_responses[[#This Row],[Tôi tin rằng với các quy định quản lý thuế hiện nay, hành vi gian lận hoặc trốn thuế sẽ dễ dàng bị phát hiện và xử lý nghiêm. - HUMAN-ENF1]]</f>
        <v>8</v>
      </c>
      <c r="T234">
        <f t="shared" si="82"/>
        <v>0.77777777777777779</v>
      </c>
      <c r="U234">
        <f>step3_validation[[#This Row],[AI_ENF2]]</f>
        <v>4</v>
      </c>
      <c r="V234">
        <f t="shared" si="83"/>
        <v>0.33333333333333331</v>
      </c>
      <c r="W234">
        <f>survey_responses[[#This Row],[Tôi tin rằng Nhà nước, cơ quan thuế có đủ khả năng và công nghệ để phát hiện, xử lý nghiêm các hành vi trốn thuế. - HUMAN-ENF2]]</f>
        <v>8</v>
      </c>
      <c r="X234">
        <f t="shared" si="84"/>
        <v>0.77777777777777779</v>
      </c>
      <c r="Y234" s="32">
        <f t="shared" si="85"/>
        <v>0.27777777777777779</v>
      </c>
      <c r="Z234" s="32">
        <f t="shared" si="86"/>
        <v>0.77777777777777779</v>
      </c>
      <c r="AA234">
        <f>step3_validation[[#This Row],[AI_FAC1]]</f>
        <v>7</v>
      </c>
      <c r="AB234">
        <f t="shared" si="87"/>
        <v>0.66666666666666663</v>
      </c>
      <c r="AC234">
        <f>survey_responses[[#This Row],[Các thủ tục khai báo thuế VÀ/HOẶC quy trình làm việc với cơ quan thuế đơn giản, tiện lợi, nhanh chóng hơn so với trước đây. - HUMAN-FAC1]]</f>
        <v>8</v>
      </c>
      <c r="AD234">
        <f t="shared" si="88"/>
        <v>0.77777777777777779</v>
      </c>
      <c r="AE234">
        <f>step3_validation[[#This Row],[AI_FAC2]]</f>
        <v>9</v>
      </c>
      <c r="AF234">
        <f t="shared" si="89"/>
        <v>0.88888888888888884</v>
      </c>
      <c r="AG234">
        <f>survey_responses[[#This Row],[So với trước đây, tôi thấy cách tính thuế và các bậc thuế trong phương án mới đơn giản, dễ hiểu và dễ thực hiện hơn. - HUMAN-FAC2]]</f>
        <v>8</v>
      </c>
      <c r="AH234">
        <f t="shared" si="90"/>
        <v>0.77777777777777779</v>
      </c>
      <c r="AI234" s="32">
        <f t="shared" si="91"/>
        <v>0.77777777777777768</v>
      </c>
      <c r="AJ234" s="32">
        <f t="shared" si="92"/>
        <v>0.77777777777777779</v>
      </c>
      <c r="AK234">
        <f>step3_validation[[#This Row],[AI_TRU1]]</f>
        <v>8</v>
      </c>
      <c r="AL234">
        <f t="shared" si="93"/>
        <v>0.77777777777777779</v>
      </c>
      <c r="AM234">
        <f>survey_responses[[#This Row],[Tôi tin rằng Nhà nước, cơ quan thuế sẽ thực thi chính sách mới một cách khách quan, công tâm và đối xử bình đẳng với mọi người nộp thuế.  - HUMAN-TRU1]]</f>
        <v>9</v>
      </c>
      <c r="AN234">
        <f t="shared" si="94"/>
        <v>0.88888888888888884</v>
      </c>
      <c r="AO234">
        <f>step3_validation[[#This Row],[AI_TRU2]]</f>
        <v>7</v>
      </c>
      <c r="AP234">
        <f t="shared" si="95"/>
        <v>0.66666666666666663</v>
      </c>
      <c r="AQ234">
        <f>survey_responses[[#This Row],[Tôi thấy mức thuế tôi phải đóng theo phương án mới là công bằng (người thu nhập như tôi đóng mức này là hợp lý). - HUMAN-TRU2]]</f>
        <v>8</v>
      </c>
      <c r="AR234">
        <f t="shared" si="96"/>
        <v>0.77777777777777779</v>
      </c>
      <c r="AS234">
        <f>step3_validation[[#This Row],[AI_TRU3]]</f>
        <v>8</v>
      </c>
      <c r="AT234">
        <f t="shared" si="97"/>
        <v>0.77777777777777779</v>
      </c>
      <c r="AU234">
        <f>survey_responses[[#This Row],[Tôi tin tưởng số tiền thuế tôi đóng sẽ được Nhà nước sử dụng hiệu quả để cải thiện dịch vụ công (y tế, đường xá...). - HUMAN-TRU3]]</f>
        <v>8</v>
      </c>
      <c r="AV234">
        <f t="shared" si="98"/>
        <v>0.77777777777777779</v>
      </c>
      <c r="AW234">
        <f>step3_validation[[#This Row],[AI_TRU4]]</f>
        <v>6</v>
      </c>
      <c r="AX234">
        <f t="shared" si="99"/>
        <v>0.55555555555555558</v>
      </c>
      <c r="AY234">
        <f>survey_responses[[#This Row],[Tôi thấy Nhà nước đã giải thích rõ ràng, minh bạch về lý do và mục tiêu của việc sửa đổi thuế lần này. - HUMAN-TRU4]]</f>
        <v>8</v>
      </c>
      <c r="AZ234">
        <f t="shared" si="100"/>
        <v>0.77777777777777779</v>
      </c>
      <c r="BA234" s="32">
        <f t="shared" si="101"/>
        <v>0.69444444444444442</v>
      </c>
      <c r="BB234" s="32">
        <f t="shared" si="102"/>
        <v>0.80555555555555547</v>
      </c>
      <c r="BC234" s="7">
        <f t="shared" si="103"/>
        <v>0.58333333333333326</v>
      </c>
      <c r="BD234" s="7">
        <f t="shared" si="104"/>
        <v>0.78703703703703709</v>
      </c>
      <c r="BE234">
        <f>step3_validation[[#This Row],[AI_OUT1]]</f>
        <v>9</v>
      </c>
      <c r="BF234">
        <f t="shared" si="105"/>
        <v>0.88888888888888884</v>
      </c>
      <c r="BG234">
        <f>survey_responses[[#This Row],[Sau khi xem xét các quyền lợi và nghĩa vụ, bạn có ủng hộ và tuân thủ chính sách mới hiện nay? - HUMAN-OUT1]]</f>
        <v>10</v>
      </c>
      <c r="BH234">
        <f t="shared" si="106"/>
        <v>1</v>
      </c>
      <c r="BI234" s="32">
        <f t="shared" si="107"/>
        <v>1</v>
      </c>
    </row>
    <row r="235" spans="1:61" x14ac:dyDescent="0.45">
      <c r="A235" s="30">
        <f>step3_validation[[#This Row],[Persona_ID]]</f>
        <v>234</v>
      </c>
      <c r="B235" s="31">
        <f>step3_validation[[#This Row],[Used_Seed]]</f>
        <v>275</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94.931469239853527</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6</v>
      </c>
      <c r="R235">
        <f t="shared" si="81"/>
        <v>0.55555555555555558</v>
      </c>
      <c r="S235">
        <f>survey_responses[[#This Row],[Tôi tin rằng với các quy định quản lý thuế hiện nay, hành vi gian lận hoặc trốn thuế sẽ dễ dàng bị phát hiện và xử lý nghiêm. - HUMAN-ENF1]]</f>
        <v>4</v>
      </c>
      <c r="T235">
        <f t="shared" si="82"/>
        <v>0.33333333333333331</v>
      </c>
      <c r="U235">
        <f>step3_validation[[#This Row],[AI_ENF2]]</f>
        <v>7</v>
      </c>
      <c r="V235">
        <f t="shared" si="83"/>
        <v>0.66666666666666663</v>
      </c>
      <c r="W235">
        <f>survey_responses[[#This Row],[Tôi tin rằng Nhà nước, cơ quan thuế có đủ khả năng và công nghệ để phát hiện, xử lý nghiêm các hành vi trốn thuế. - HUMAN-ENF2]]</f>
        <v>4</v>
      </c>
      <c r="X235">
        <f t="shared" si="84"/>
        <v>0.33333333333333331</v>
      </c>
      <c r="Y235" s="32">
        <f t="shared" si="85"/>
        <v>0.61111111111111116</v>
      </c>
      <c r="Z235" s="32">
        <f t="shared" si="86"/>
        <v>0.33333333333333331</v>
      </c>
      <c r="AA235">
        <f>step3_validation[[#This Row],[AI_FAC1]]</f>
        <v>9</v>
      </c>
      <c r="AB235">
        <f t="shared" si="87"/>
        <v>0.88888888888888884</v>
      </c>
      <c r="AC235">
        <f>survey_responses[[#This Row],[Các thủ tục khai báo thuế VÀ/HOẶC quy trình làm việc với cơ quan thuế đơn giản, tiện lợi, nhanh chóng hơn so với trước đây. - HUMAN-FAC1]]</f>
        <v>4</v>
      </c>
      <c r="AD235">
        <f t="shared" si="88"/>
        <v>0.33333333333333331</v>
      </c>
      <c r="AE235">
        <f>step3_validation[[#This Row],[AI_FAC2]]</f>
        <v>10</v>
      </c>
      <c r="AF235">
        <f t="shared" si="89"/>
        <v>1</v>
      </c>
      <c r="AG235">
        <f>survey_responses[[#This Row],[So với trước đây, tôi thấy cách tính thuế và các bậc thuế trong phương án mới đơn giản, dễ hiểu và dễ thực hiện hơn. - HUMAN-FAC2]]</f>
        <v>4</v>
      </c>
      <c r="AH235">
        <f t="shared" si="90"/>
        <v>0.33333333333333331</v>
      </c>
      <c r="AI235" s="32">
        <f t="shared" si="91"/>
        <v>0.94444444444444442</v>
      </c>
      <c r="AJ235" s="32">
        <f t="shared" si="92"/>
        <v>0.33333333333333331</v>
      </c>
      <c r="AK235">
        <f>step3_validation[[#This Row],[AI_TRU1]]</f>
        <v>8</v>
      </c>
      <c r="AL235">
        <f t="shared" si="93"/>
        <v>0.77777777777777779</v>
      </c>
      <c r="AM235">
        <f>survey_responses[[#This Row],[Tôi tin rằng Nhà nước, cơ quan thuế sẽ thực thi chính sách mới một cách khách quan, công tâm và đối xử bình đẳng với mọi người nộp thuế.  - HUMAN-TRU1]]</f>
        <v>1</v>
      </c>
      <c r="AN235">
        <f t="shared" si="94"/>
        <v>0</v>
      </c>
      <c r="AO235">
        <f>step3_validation[[#This Row],[AI_TRU2]]</f>
        <v>9</v>
      </c>
      <c r="AP235">
        <f t="shared" si="95"/>
        <v>0.88888888888888884</v>
      </c>
      <c r="AQ235">
        <f>survey_responses[[#This Row],[Tôi thấy mức thuế tôi phải đóng theo phương án mới là công bằng (người thu nhập như tôi đóng mức này là hợp lý). - HUMAN-TRU2]]</f>
        <v>3</v>
      </c>
      <c r="AR235">
        <f t="shared" si="96"/>
        <v>0.22222222222222221</v>
      </c>
      <c r="AS235">
        <f>step3_validation[[#This Row],[AI_TRU3]]</f>
        <v>8</v>
      </c>
      <c r="AT235">
        <f t="shared" si="97"/>
        <v>0.77777777777777779</v>
      </c>
      <c r="AU235">
        <f>survey_responses[[#This Row],[Tôi tin tưởng số tiền thuế tôi đóng sẽ được Nhà nước sử dụng hiệu quả để cải thiện dịch vụ công (y tế, đường xá...). - HUMAN-TRU3]]</f>
        <v>1</v>
      </c>
      <c r="AV235">
        <f t="shared" si="98"/>
        <v>0</v>
      </c>
      <c r="AW235">
        <f>step3_validation[[#This Row],[AI_TRU4]]</f>
        <v>7</v>
      </c>
      <c r="AX235">
        <f t="shared" si="99"/>
        <v>0.66666666666666663</v>
      </c>
      <c r="AY235">
        <f>survey_responses[[#This Row],[Tôi thấy Nhà nước đã giải thích rõ ràng, minh bạch về lý do và mục tiêu của việc sửa đổi thuế lần này. - HUMAN-TRU4]]</f>
        <v>1</v>
      </c>
      <c r="AZ235">
        <f t="shared" si="100"/>
        <v>0</v>
      </c>
      <c r="BA235" s="32">
        <f t="shared" si="101"/>
        <v>0.77777777777777768</v>
      </c>
      <c r="BB235" s="32">
        <f t="shared" si="102"/>
        <v>5.5555555555555552E-2</v>
      </c>
      <c r="BC235" s="7">
        <f t="shared" si="103"/>
        <v>0.77777777777777768</v>
      </c>
      <c r="BD235" s="7">
        <f t="shared" si="104"/>
        <v>0.24074074074074073</v>
      </c>
      <c r="BE235">
        <f>step3_validation[[#This Row],[AI_OUT1]]</f>
        <v>9</v>
      </c>
      <c r="BF235">
        <f t="shared" si="105"/>
        <v>0.88888888888888884</v>
      </c>
      <c r="BG235">
        <f>survey_responses[[#This Row],[Sau khi xem xét các quyền lợi và nghĩa vụ, bạn có ủng hộ và tuân thủ chính sách mới hiện nay? - HUMAN-OUT1]]</f>
        <v>1</v>
      </c>
      <c r="BH235">
        <f t="shared" si="106"/>
        <v>0</v>
      </c>
      <c r="BI235" s="32">
        <f t="shared" si="107"/>
        <v>8</v>
      </c>
    </row>
    <row r="236" spans="1:61" x14ac:dyDescent="0.45">
      <c r="A236" s="30">
        <f>step3_validation[[#This Row],[Persona_ID]]</f>
        <v>235</v>
      </c>
      <c r="B236" s="31">
        <f>step3_validation[[#This Row],[Used_Seed]]</f>
        <v>276</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35.208684615393793</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f t="shared" si="81"/>
        <v>0.66666666666666663</v>
      </c>
      <c r="S236">
        <f>survey_responses[[#This Row],[Tôi tin rằng với các quy định quản lý thuế hiện nay, hành vi gian lận hoặc trốn thuế sẽ dễ dàng bị phát hiện và xử lý nghiêm. - HUMAN-ENF1]]</f>
        <v>6</v>
      </c>
      <c r="T236">
        <f t="shared" si="82"/>
        <v>0.55555555555555558</v>
      </c>
      <c r="U236">
        <f>step3_validation[[#This Row],[AI_ENF2]]</f>
        <v>8</v>
      </c>
      <c r="V236">
        <f t="shared" si="83"/>
        <v>0.77777777777777779</v>
      </c>
      <c r="W236">
        <f>survey_responses[[#This Row],[Tôi tin rằng Nhà nước, cơ quan thuế có đủ khả năng và công nghệ để phát hiện, xử lý nghiêm các hành vi trốn thuế. - HUMAN-ENF2]]</f>
        <v>6</v>
      </c>
      <c r="X236">
        <f t="shared" si="84"/>
        <v>0.55555555555555558</v>
      </c>
      <c r="Y236" s="32">
        <f t="shared" si="85"/>
        <v>0.72222222222222221</v>
      </c>
      <c r="Z236" s="32">
        <f t="shared" si="86"/>
        <v>0.55555555555555558</v>
      </c>
      <c r="AA236">
        <f>step3_validation[[#This Row],[AI_FAC1]]</f>
        <v>7</v>
      </c>
      <c r="AB236">
        <f t="shared" si="87"/>
        <v>0.66666666666666663</v>
      </c>
      <c r="AC236">
        <f>survey_responses[[#This Row],[Các thủ tục khai báo thuế VÀ/HOẶC quy trình làm việc với cơ quan thuế đơn giản, tiện lợi, nhanh chóng hơn so với trước đây. - HUMAN-FAC1]]</f>
        <v>1</v>
      </c>
      <c r="AD236">
        <f t="shared" si="88"/>
        <v>0</v>
      </c>
      <c r="AE236">
        <f>step3_validation[[#This Row],[AI_FAC2]]</f>
        <v>9</v>
      </c>
      <c r="AF236">
        <f t="shared" si="89"/>
        <v>0.88888888888888884</v>
      </c>
      <c r="AG236">
        <f>survey_responses[[#This Row],[So với trước đây, tôi thấy cách tính thuế và các bậc thuế trong phương án mới đơn giản, dễ hiểu và dễ thực hiện hơn. - HUMAN-FAC2]]</f>
        <v>6</v>
      </c>
      <c r="AH236">
        <f t="shared" si="90"/>
        <v>0.55555555555555558</v>
      </c>
      <c r="AI236" s="32">
        <f t="shared" si="91"/>
        <v>0.77777777777777768</v>
      </c>
      <c r="AJ236" s="32">
        <f t="shared" si="92"/>
        <v>0.27777777777777779</v>
      </c>
      <c r="AK236">
        <f>step3_validation[[#This Row],[AI_TRU1]]</f>
        <v>8</v>
      </c>
      <c r="AL236">
        <f t="shared" si="93"/>
        <v>0.77777777777777779</v>
      </c>
      <c r="AM236">
        <f>survey_responses[[#This Row],[Tôi tin rằng Nhà nước, cơ quan thuế sẽ thực thi chính sách mới một cách khách quan, công tâm và đối xử bình đẳng với mọi người nộp thuế.  - HUMAN-TRU1]]</f>
        <v>5</v>
      </c>
      <c r="AN236">
        <f t="shared" si="94"/>
        <v>0.44444444444444442</v>
      </c>
      <c r="AO236">
        <f>step3_validation[[#This Row],[AI_TRU2]]</f>
        <v>9</v>
      </c>
      <c r="AP236">
        <f t="shared" si="95"/>
        <v>0.88888888888888884</v>
      </c>
      <c r="AQ236">
        <f>survey_responses[[#This Row],[Tôi thấy mức thuế tôi phải đóng theo phương án mới là công bằng (người thu nhập như tôi đóng mức này là hợp lý). - HUMAN-TRU2]]</f>
        <v>6</v>
      </c>
      <c r="AR236">
        <f t="shared" si="96"/>
        <v>0.55555555555555558</v>
      </c>
      <c r="AS236">
        <f>step3_validation[[#This Row],[AI_TRU3]]</f>
        <v>8</v>
      </c>
      <c r="AT236">
        <f t="shared" si="97"/>
        <v>0.77777777777777779</v>
      </c>
      <c r="AU236">
        <f>survey_responses[[#This Row],[Tôi tin tưởng số tiền thuế tôi đóng sẽ được Nhà nước sử dụng hiệu quả để cải thiện dịch vụ công (y tế, đường xá...). - HUMAN-TRU3]]</f>
        <v>5</v>
      </c>
      <c r="AV236">
        <f t="shared" si="98"/>
        <v>0.44444444444444442</v>
      </c>
      <c r="AW236">
        <f>step3_validation[[#This Row],[AI_TRU4]]</f>
        <v>7</v>
      </c>
      <c r="AX236">
        <f t="shared" si="99"/>
        <v>0.66666666666666663</v>
      </c>
      <c r="AY236">
        <f>survey_responses[[#This Row],[Tôi thấy Nhà nước đã giải thích rõ ràng, minh bạch về lý do và mục tiêu của việc sửa đổi thuế lần này. - HUMAN-TRU4]]</f>
        <v>6</v>
      </c>
      <c r="AZ236">
        <f t="shared" si="100"/>
        <v>0.55555555555555558</v>
      </c>
      <c r="BA236" s="32">
        <f t="shared" si="101"/>
        <v>0.77777777777777768</v>
      </c>
      <c r="BB236" s="32">
        <f t="shared" si="102"/>
        <v>0.5</v>
      </c>
      <c r="BC236" s="7">
        <f t="shared" si="103"/>
        <v>0.75925925925925919</v>
      </c>
      <c r="BD236" s="7">
        <f t="shared" si="104"/>
        <v>0.44444444444444448</v>
      </c>
      <c r="BE236">
        <f>step3_validation[[#This Row],[AI_OUT1]]</f>
        <v>9</v>
      </c>
      <c r="BF236">
        <f t="shared" si="105"/>
        <v>0.88888888888888884</v>
      </c>
      <c r="BG236">
        <f>survey_responses[[#This Row],[Sau khi xem xét các quyền lợi và nghĩa vụ, bạn có ủng hộ và tuân thủ chính sách mới hiện nay? - HUMAN-OUT1]]</f>
        <v>6</v>
      </c>
      <c r="BH236">
        <f t="shared" si="106"/>
        <v>0.55555555555555558</v>
      </c>
      <c r="BI236" s="32">
        <f t="shared" si="107"/>
        <v>3</v>
      </c>
    </row>
    <row r="237" spans="1:61" x14ac:dyDescent="0.45">
      <c r="A237" s="30">
        <f>step3_validation[[#This Row],[Persona_ID]]</f>
        <v>236</v>
      </c>
      <c r="B237" s="31">
        <f>step3_validation[[#This Row],[Used_Seed]]</f>
        <v>277</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49.143140403078377</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7</v>
      </c>
      <c r="R237">
        <f t="shared" si="81"/>
        <v>0.66666666666666663</v>
      </c>
      <c r="S237">
        <f>survey_responses[[#This Row],[Tôi tin rằng với các quy định quản lý thuế hiện nay, hành vi gian lận hoặc trốn thuế sẽ dễ dàng bị phát hiện và xử lý nghiêm. - HUMAN-ENF1]]</f>
        <v>7</v>
      </c>
      <c r="T237">
        <f t="shared" si="82"/>
        <v>0.66666666666666663</v>
      </c>
      <c r="U237">
        <f>step3_validation[[#This Row],[AI_ENF2]]</f>
        <v>8</v>
      </c>
      <c r="V237">
        <f t="shared" si="83"/>
        <v>0.77777777777777779</v>
      </c>
      <c r="W237">
        <f>survey_responses[[#This Row],[Tôi tin rằng Nhà nước, cơ quan thuế có đủ khả năng và công nghệ để phát hiện, xử lý nghiêm các hành vi trốn thuế. - HUMAN-ENF2]]</f>
        <v>7</v>
      </c>
      <c r="X237">
        <f t="shared" si="84"/>
        <v>0.66666666666666663</v>
      </c>
      <c r="Y237" s="32">
        <f t="shared" si="85"/>
        <v>0.72222222222222221</v>
      </c>
      <c r="Z237" s="32">
        <f t="shared" si="86"/>
        <v>0.66666666666666663</v>
      </c>
      <c r="AA237">
        <f>step3_validation[[#This Row],[AI_FAC1]]</f>
        <v>9</v>
      </c>
      <c r="AB237">
        <f t="shared" si="87"/>
        <v>0.88888888888888884</v>
      </c>
      <c r="AC237">
        <f>survey_responses[[#This Row],[Các thủ tục khai báo thuế VÀ/HOẶC quy trình làm việc với cơ quan thuế đơn giản, tiện lợi, nhanh chóng hơn so với trước đây. - HUMAN-FAC1]]</f>
        <v>7</v>
      </c>
      <c r="AD237">
        <f t="shared" si="88"/>
        <v>0.66666666666666663</v>
      </c>
      <c r="AE237">
        <f>step3_validation[[#This Row],[AI_FAC2]]</f>
        <v>9</v>
      </c>
      <c r="AF237">
        <f t="shared" si="89"/>
        <v>0.88888888888888884</v>
      </c>
      <c r="AG237">
        <f>survey_responses[[#This Row],[So với trước đây, tôi thấy cách tính thuế và các bậc thuế trong phương án mới đơn giản, dễ hiểu và dễ thực hiện hơn. - HUMAN-FAC2]]</f>
        <v>7</v>
      </c>
      <c r="AH237">
        <f t="shared" si="90"/>
        <v>0.66666666666666663</v>
      </c>
      <c r="AI237" s="32">
        <f t="shared" si="91"/>
        <v>0.88888888888888884</v>
      </c>
      <c r="AJ237" s="32">
        <f t="shared" si="92"/>
        <v>0.66666666666666663</v>
      </c>
      <c r="AK237">
        <f>step3_validation[[#This Row],[AI_TRU1]]</f>
        <v>9</v>
      </c>
      <c r="AL237">
        <f t="shared" si="93"/>
        <v>0.88888888888888884</v>
      </c>
      <c r="AM237">
        <f>survey_responses[[#This Row],[Tôi tin rằng Nhà nước, cơ quan thuế sẽ thực thi chính sách mới một cách khách quan, công tâm và đối xử bình đẳng với mọi người nộp thuế.  - HUMAN-TRU1]]</f>
        <v>7</v>
      </c>
      <c r="AN237">
        <f t="shared" si="94"/>
        <v>0.66666666666666663</v>
      </c>
      <c r="AO237">
        <f>step3_validation[[#This Row],[AI_TRU2]]</f>
        <v>9</v>
      </c>
      <c r="AP237">
        <f t="shared" si="95"/>
        <v>0.88888888888888884</v>
      </c>
      <c r="AQ237">
        <f>survey_responses[[#This Row],[Tôi thấy mức thuế tôi phải đóng theo phương án mới là công bằng (người thu nhập như tôi đóng mức này là hợp lý). - HUMAN-TRU2]]</f>
        <v>7</v>
      </c>
      <c r="AR237">
        <f t="shared" si="96"/>
        <v>0.66666666666666663</v>
      </c>
      <c r="AS237">
        <f>step3_validation[[#This Row],[AI_TRU3]]</f>
        <v>8</v>
      </c>
      <c r="AT237">
        <f t="shared" si="97"/>
        <v>0.77777777777777779</v>
      </c>
      <c r="AU237">
        <f>survey_responses[[#This Row],[Tôi tin tưởng số tiền thuế tôi đóng sẽ được Nhà nước sử dụng hiệu quả để cải thiện dịch vụ công (y tế, đường xá...). - HUMAN-TRU3]]</f>
        <v>7</v>
      </c>
      <c r="AV237">
        <f t="shared" si="98"/>
        <v>0.66666666666666663</v>
      </c>
      <c r="AW237">
        <f>step3_validation[[#This Row],[AI_TRU4]]</f>
        <v>9</v>
      </c>
      <c r="AX237">
        <f t="shared" si="99"/>
        <v>0.88888888888888884</v>
      </c>
      <c r="AY237">
        <f>survey_responses[[#This Row],[Tôi thấy Nhà nước đã giải thích rõ ràng, minh bạch về lý do và mục tiêu của việc sửa đổi thuế lần này. - HUMAN-TRU4]]</f>
        <v>7</v>
      </c>
      <c r="AZ237">
        <f t="shared" si="100"/>
        <v>0.66666666666666663</v>
      </c>
      <c r="BA237" s="32">
        <f t="shared" si="101"/>
        <v>0.86111111111111105</v>
      </c>
      <c r="BB237" s="32">
        <f t="shared" si="102"/>
        <v>0.66666666666666663</v>
      </c>
      <c r="BC237" s="7">
        <f t="shared" si="103"/>
        <v>0.82407407407407407</v>
      </c>
      <c r="BD237" s="7">
        <f t="shared" si="104"/>
        <v>0.66666666666666663</v>
      </c>
      <c r="BE237">
        <f>step3_validation[[#This Row],[AI_OUT1]]</f>
        <v>9</v>
      </c>
      <c r="BF237">
        <f t="shared" si="105"/>
        <v>0.88888888888888884</v>
      </c>
      <c r="BG237">
        <f>survey_responses[[#This Row],[Sau khi xem xét các quyền lợi và nghĩa vụ, bạn có ủng hộ và tuân thủ chính sách mới hiện nay? - HUMAN-OUT1]]</f>
        <v>7</v>
      </c>
      <c r="BH237">
        <f t="shared" si="106"/>
        <v>0.66666666666666663</v>
      </c>
      <c r="BI237" s="32">
        <f t="shared" si="107"/>
        <v>2</v>
      </c>
    </row>
    <row r="238" spans="1:61" x14ac:dyDescent="0.45">
      <c r="A238" s="30">
        <f>step3_validation[[#This Row],[Persona_ID]]</f>
        <v>237</v>
      </c>
      <c r="B238" s="31">
        <f>step3_validation[[#This Row],[Used_Seed]]</f>
        <v>278</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12.923979842089576</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6</v>
      </c>
      <c r="R238">
        <f t="shared" si="81"/>
        <v>0.55555555555555558</v>
      </c>
      <c r="S238">
        <f>survey_responses[[#This Row],[Tôi tin rằng với các quy định quản lý thuế hiện nay, hành vi gian lận hoặc trốn thuế sẽ dễ dàng bị phát hiện và xử lý nghiêm. - HUMAN-ENF1]]</f>
        <v>10</v>
      </c>
      <c r="T238">
        <f t="shared" si="82"/>
        <v>1</v>
      </c>
      <c r="U238">
        <f>step3_validation[[#This Row],[AI_ENF2]]</f>
        <v>7</v>
      </c>
      <c r="V238">
        <f t="shared" si="83"/>
        <v>0.66666666666666663</v>
      </c>
      <c r="W238">
        <f>survey_responses[[#This Row],[Tôi tin rằng Nhà nước, cơ quan thuế có đủ khả năng và công nghệ để phát hiện, xử lý nghiêm các hành vi trốn thuế. - HUMAN-ENF2]]</f>
        <v>10</v>
      </c>
      <c r="X238">
        <f t="shared" si="84"/>
        <v>1</v>
      </c>
      <c r="Y238" s="32">
        <f t="shared" si="85"/>
        <v>0.61111111111111116</v>
      </c>
      <c r="Z238" s="32">
        <f t="shared" si="86"/>
        <v>1</v>
      </c>
      <c r="AA238">
        <f>step3_validation[[#This Row],[AI_FAC1]]</f>
        <v>6</v>
      </c>
      <c r="AB238">
        <f t="shared" si="87"/>
        <v>0.55555555555555558</v>
      </c>
      <c r="AC238">
        <f>survey_responses[[#This Row],[Các thủ tục khai báo thuế VÀ/HOẶC quy trình làm việc với cơ quan thuế đơn giản, tiện lợi, nhanh chóng hơn so với trước đây. - HUMAN-FAC1]]</f>
        <v>4</v>
      </c>
      <c r="AD238">
        <f t="shared" si="88"/>
        <v>0.33333333333333331</v>
      </c>
      <c r="AE238">
        <f>step3_validation[[#This Row],[AI_FAC2]]</f>
        <v>7</v>
      </c>
      <c r="AF238">
        <f t="shared" si="89"/>
        <v>0.66666666666666663</v>
      </c>
      <c r="AG238">
        <f>survey_responses[[#This Row],[So với trước đây, tôi thấy cách tính thuế và các bậc thuế trong phương án mới đơn giản, dễ hiểu và dễ thực hiện hơn. - HUMAN-FAC2]]</f>
        <v>6</v>
      </c>
      <c r="AH238">
        <f t="shared" si="90"/>
        <v>0.55555555555555558</v>
      </c>
      <c r="AI238" s="32">
        <f t="shared" si="91"/>
        <v>0.61111111111111116</v>
      </c>
      <c r="AJ238" s="32">
        <f t="shared" si="92"/>
        <v>0.44444444444444442</v>
      </c>
      <c r="AK238">
        <f>step3_validation[[#This Row],[AI_TRU1]]</f>
        <v>6</v>
      </c>
      <c r="AL238">
        <f t="shared" si="93"/>
        <v>0.55555555555555558</v>
      </c>
      <c r="AM238">
        <f>survey_responses[[#This Row],[Tôi tin rằng Nhà nước, cơ quan thuế sẽ thực thi chính sách mới một cách khách quan, công tâm và đối xử bình đẳng với mọi người nộp thuế.  - HUMAN-TRU1]]</f>
        <v>3</v>
      </c>
      <c r="AN238">
        <f t="shared" si="94"/>
        <v>0.22222222222222221</v>
      </c>
      <c r="AO238">
        <f>step3_validation[[#This Row],[AI_TRU2]]</f>
        <v>8</v>
      </c>
      <c r="AP238">
        <f t="shared" si="95"/>
        <v>0.77777777777777779</v>
      </c>
      <c r="AQ238">
        <f>survey_responses[[#This Row],[Tôi thấy mức thuế tôi phải đóng theo phương án mới là công bằng (người thu nhập như tôi đóng mức này là hợp lý). - HUMAN-TRU2]]</f>
        <v>1</v>
      </c>
      <c r="AR238">
        <f t="shared" si="96"/>
        <v>0</v>
      </c>
      <c r="AS238">
        <f>step3_validation[[#This Row],[AI_TRU3]]</f>
        <v>6</v>
      </c>
      <c r="AT238">
        <f t="shared" si="97"/>
        <v>0.55555555555555558</v>
      </c>
      <c r="AU238">
        <f>survey_responses[[#This Row],[Tôi tin tưởng số tiền thuế tôi đóng sẽ được Nhà nước sử dụng hiệu quả để cải thiện dịch vụ công (y tế, đường xá...). - HUMAN-TRU3]]</f>
        <v>1</v>
      </c>
      <c r="AV238">
        <f t="shared" si="98"/>
        <v>0</v>
      </c>
      <c r="AW238">
        <f>step3_validation[[#This Row],[AI_TRU4]]</f>
        <v>7</v>
      </c>
      <c r="AX238">
        <f t="shared" si="99"/>
        <v>0.66666666666666663</v>
      </c>
      <c r="AY238">
        <f>survey_responses[[#This Row],[Tôi thấy Nhà nước đã giải thích rõ ràng, minh bạch về lý do và mục tiêu của việc sửa đổi thuế lần này. - HUMAN-TRU4]]</f>
        <v>3</v>
      </c>
      <c r="AZ238">
        <f t="shared" si="100"/>
        <v>0.22222222222222221</v>
      </c>
      <c r="BA238" s="32">
        <f t="shared" si="101"/>
        <v>0.63888888888888895</v>
      </c>
      <c r="BB238" s="32">
        <f t="shared" si="102"/>
        <v>0.1111111111111111</v>
      </c>
      <c r="BC238" s="7">
        <f t="shared" si="103"/>
        <v>0.62037037037037035</v>
      </c>
      <c r="BD238" s="7">
        <f t="shared" si="104"/>
        <v>0.51851851851851849</v>
      </c>
      <c r="BE238">
        <f>step3_validation[[#This Row],[AI_OUT1]]</f>
        <v>8</v>
      </c>
      <c r="BF238">
        <f t="shared" si="105"/>
        <v>0.77777777777777779</v>
      </c>
      <c r="BG238">
        <f>survey_responses[[#This Row],[Sau khi xem xét các quyền lợi và nghĩa vụ, bạn có ủng hộ và tuân thủ chính sách mới hiện nay? - HUMAN-OUT1]]</f>
        <v>1</v>
      </c>
      <c r="BH238">
        <f t="shared" si="106"/>
        <v>0</v>
      </c>
      <c r="BI238" s="32">
        <f t="shared" si="107"/>
        <v>7</v>
      </c>
    </row>
    <row r="239" spans="1:61" x14ac:dyDescent="0.45">
      <c r="A239" s="30">
        <f>step3_validation[[#This Row],[Persona_ID]]</f>
        <v>238</v>
      </c>
      <c r="B239" s="31">
        <f>step3_validation[[#This Row],[Used_Seed]]</f>
        <v>279</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25.252542564087936</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6</v>
      </c>
      <c r="R239">
        <f t="shared" si="81"/>
        <v>0.55555555555555558</v>
      </c>
      <c r="S239">
        <f>survey_responses[[#This Row],[Tôi tin rằng với các quy định quản lý thuế hiện nay, hành vi gian lận hoặc trốn thuế sẽ dễ dàng bị phát hiện và xử lý nghiêm. - HUMAN-ENF1]]</f>
        <v>8</v>
      </c>
      <c r="T239">
        <f t="shared" si="82"/>
        <v>0.77777777777777779</v>
      </c>
      <c r="U239">
        <f>step3_validation[[#This Row],[AI_ENF2]]</f>
        <v>8</v>
      </c>
      <c r="V239">
        <f t="shared" si="83"/>
        <v>0.77777777777777779</v>
      </c>
      <c r="W239">
        <f>survey_responses[[#This Row],[Tôi tin rằng Nhà nước, cơ quan thuế có đủ khả năng và công nghệ để phát hiện, xử lý nghiêm các hành vi trốn thuế. - HUMAN-ENF2]]</f>
        <v>10</v>
      </c>
      <c r="X239">
        <f t="shared" si="84"/>
        <v>1</v>
      </c>
      <c r="Y239" s="32">
        <f t="shared" si="85"/>
        <v>0.66666666666666674</v>
      </c>
      <c r="Z239" s="32">
        <f t="shared" si="86"/>
        <v>0.88888888888888884</v>
      </c>
      <c r="AA239">
        <f>step3_validation[[#This Row],[AI_FAC1]]</f>
        <v>9</v>
      </c>
      <c r="AB239">
        <f t="shared" si="87"/>
        <v>0.88888888888888884</v>
      </c>
      <c r="AC239">
        <f>survey_responses[[#This Row],[Các thủ tục khai báo thuế VÀ/HOẶC quy trình làm việc với cơ quan thuế đơn giản, tiện lợi, nhanh chóng hơn so với trước đây. - HUMAN-FAC1]]</f>
        <v>8</v>
      </c>
      <c r="AD239">
        <f t="shared" si="88"/>
        <v>0.77777777777777779</v>
      </c>
      <c r="AE239">
        <f>step3_validation[[#This Row],[AI_FAC2]]</f>
        <v>8</v>
      </c>
      <c r="AF239">
        <f t="shared" si="89"/>
        <v>0.77777777777777779</v>
      </c>
      <c r="AG239">
        <f>survey_responses[[#This Row],[So với trước đây, tôi thấy cách tính thuế và các bậc thuế trong phương án mới đơn giản, dễ hiểu và dễ thực hiện hơn. - HUMAN-FAC2]]</f>
        <v>10</v>
      </c>
      <c r="AH239">
        <f t="shared" si="90"/>
        <v>1</v>
      </c>
      <c r="AI239" s="32">
        <f t="shared" si="91"/>
        <v>0.83333333333333326</v>
      </c>
      <c r="AJ239" s="32">
        <f t="shared" si="92"/>
        <v>0.88888888888888884</v>
      </c>
      <c r="AK239">
        <f>step3_validation[[#This Row],[AI_TRU1]]</f>
        <v>7</v>
      </c>
      <c r="AL239">
        <f t="shared" si="93"/>
        <v>0.66666666666666663</v>
      </c>
      <c r="AM239">
        <f>survey_responses[[#This Row],[Tôi tin rằng Nhà nước, cơ quan thuế sẽ thực thi chính sách mới một cách khách quan, công tâm và đối xử bình đẳng với mọi người nộp thuế.  - HUMAN-TRU1]]</f>
        <v>9</v>
      </c>
      <c r="AN239">
        <f t="shared" si="94"/>
        <v>0.88888888888888884</v>
      </c>
      <c r="AO239">
        <f>step3_validation[[#This Row],[AI_TRU2]]</f>
        <v>9</v>
      </c>
      <c r="AP239">
        <f t="shared" si="95"/>
        <v>0.88888888888888884</v>
      </c>
      <c r="AQ239">
        <f>survey_responses[[#This Row],[Tôi thấy mức thuế tôi phải đóng theo phương án mới là công bằng (người thu nhập như tôi đóng mức này là hợp lý). - HUMAN-TRU2]]</f>
        <v>8</v>
      </c>
      <c r="AR239">
        <f t="shared" si="96"/>
        <v>0.77777777777777779</v>
      </c>
      <c r="AS239">
        <f>step3_validation[[#This Row],[AI_TRU3]]</f>
        <v>7</v>
      </c>
      <c r="AT239">
        <f t="shared" si="97"/>
        <v>0.66666666666666663</v>
      </c>
      <c r="AU239">
        <f>survey_responses[[#This Row],[Tôi tin tưởng số tiền thuế tôi đóng sẽ được Nhà nước sử dụng hiệu quả để cải thiện dịch vụ công (y tế, đường xá...). - HUMAN-TRU3]]</f>
        <v>7</v>
      </c>
      <c r="AV239">
        <f t="shared" si="98"/>
        <v>0.66666666666666663</v>
      </c>
      <c r="AW239">
        <f>step3_validation[[#This Row],[AI_TRU4]]</f>
        <v>6</v>
      </c>
      <c r="AX239">
        <f t="shared" si="99"/>
        <v>0.55555555555555558</v>
      </c>
      <c r="AY239">
        <f>survey_responses[[#This Row],[Tôi thấy Nhà nước đã giải thích rõ ràng, minh bạch về lý do và mục tiêu của việc sửa đổi thuế lần này. - HUMAN-TRU4]]</f>
        <v>9</v>
      </c>
      <c r="AZ239">
        <f t="shared" si="100"/>
        <v>0.88888888888888884</v>
      </c>
      <c r="BA239" s="32">
        <f t="shared" si="101"/>
        <v>0.69444444444444442</v>
      </c>
      <c r="BB239" s="32">
        <f t="shared" si="102"/>
        <v>0.80555555555555547</v>
      </c>
      <c r="BC239" s="7">
        <f t="shared" si="103"/>
        <v>0.73148148148148151</v>
      </c>
      <c r="BD239" s="7">
        <f t="shared" si="104"/>
        <v>0.86111111111111105</v>
      </c>
      <c r="BE239">
        <f>step3_validation[[#This Row],[AI_OUT1]]</f>
        <v>9</v>
      </c>
      <c r="BF239">
        <f t="shared" si="105"/>
        <v>0.88888888888888884</v>
      </c>
      <c r="BG239">
        <f>survey_responses[[#This Row],[Sau khi xem xét các quyền lợi và nghĩa vụ, bạn có ủng hộ và tuân thủ chính sách mới hiện nay? - HUMAN-OUT1]]</f>
        <v>9</v>
      </c>
      <c r="BH239">
        <f t="shared" si="106"/>
        <v>0.88888888888888884</v>
      </c>
      <c r="BI239" s="32">
        <f t="shared" si="107"/>
        <v>0</v>
      </c>
    </row>
    <row r="240" spans="1:61" x14ac:dyDescent="0.45">
      <c r="A240" s="30">
        <f>step3_validation[[#This Row],[Persona_ID]]</f>
        <v>239</v>
      </c>
      <c r="B240" s="31">
        <f>step3_validation[[#This Row],[Used_Seed]]</f>
        <v>280</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98.207445840656391</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6</v>
      </c>
      <c r="R240">
        <f t="shared" si="81"/>
        <v>0.55555555555555558</v>
      </c>
      <c r="S240">
        <f>survey_responses[[#This Row],[Tôi tin rằng với các quy định quản lý thuế hiện nay, hành vi gian lận hoặc trốn thuế sẽ dễ dàng bị phát hiện và xử lý nghiêm. - HUMAN-ENF1]]</f>
        <v>6</v>
      </c>
      <c r="T240">
        <f t="shared" si="82"/>
        <v>0.55555555555555558</v>
      </c>
      <c r="U240">
        <f>step3_validation[[#This Row],[AI_ENF2]]</f>
        <v>8</v>
      </c>
      <c r="V240">
        <f t="shared" si="83"/>
        <v>0.77777777777777779</v>
      </c>
      <c r="W240">
        <f>survey_responses[[#This Row],[Tôi tin rằng Nhà nước, cơ quan thuế có đủ khả năng và công nghệ để phát hiện, xử lý nghiêm các hành vi trốn thuế. - HUMAN-ENF2]]</f>
        <v>6</v>
      </c>
      <c r="X240">
        <f t="shared" si="84"/>
        <v>0.55555555555555558</v>
      </c>
      <c r="Y240" s="32">
        <f t="shared" si="85"/>
        <v>0.66666666666666674</v>
      </c>
      <c r="Z240" s="32">
        <f t="shared" si="86"/>
        <v>0.55555555555555558</v>
      </c>
      <c r="AA240">
        <f>step3_validation[[#This Row],[AI_FAC1]]</f>
        <v>7</v>
      </c>
      <c r="AB240">
        <f t="shared" si="87"/>
        <v>0.66666666666666663</v>
      </c>
      <c r="AC240">
        <f>survey_responses[[#This Row],[Các thủ tục khai báo thuế VÀ/HOẶC quy trình làm việc với cơ quan thuế đơn giản, tiện lợi, nhanh chóng hơn so với trước đây. - HUMAN-FAC1]]</f>
        <v>6</v>
      </c>
      <c r="AD240">
        <f t="shared" si="88"/>
        <v>0.55555555555555558</v>
      </c>
      <c r="AE240">
        <f>step3_validation[[#This Row],[AI_FAC2]]</f>
        <v>9</v>
      </c>
      <c r="AF240">
        <f t="shared" si="89"/>
        <v>0.88888888888888884</v>
      </c>
      <c r="AG240">
        <f>survey_responses[[#This Row],[So với trước đây, tôi thấy cách tính thuế và các bậc thuế trong phương án mới đơn giản, dễ hiểu và dễ thực hiện hơn. - HUMAN-FAC2]]</f>
        <v>6</v>
      </c>
      <c r="AH240">
        <f t="shared" si="90"/>
        <v>0.55555555555555558</v>
      </c>
      <c r="AI240" s="32">
        <f t="shared" si="91"/>
        <v>0.77777777777777768</v>
      </c>
      <c r="AJ240" s="32">
        <f t="shared" si="92"/>
        <v>0.55555555555555558</v>
      </c>
      <c r="AK240">
        <f>step3_validation[[#This Row],[AI_TRU1]]</f>
        <v>7</v>
      </c>
      <c r="AL240">
        <f t="shared" si="93"/>
        <v>0.66666666666666663</v>
      </c>
      <c r="AM240">
        <f>survey_responses[[#This Row],[Tôi tin rằng Nhà nước, cơ quan thuế sẽ thực thi chính sách mới một cách khách quan, công tâm và đối xử bình đẳng với mọi người nộp thuế.  - HUMAN-TRU1]]</f>
        <v>6</v>
      </c>
      <c r="AN240">
        <f t="shared" si="94"/>
        <v>0.55555555555555558</v>
      </c>
      <c r="AO240">
        <f>step3_validation[[#This Row],[AI_TRU2]]</f>
        <v>7</v>
      </c>
      <c r="AP240">
        <f t="shared" si="95"/>
        <v>0.66666666666666663</v>
      </c>
      <c r="AQ240">
        <f>survey_responses[[#This Row],[Tôi thấy mức thuế tôi phải đóng theo phương án mới là công bằng (người thu nhập như tôi đóng mức này là hợp lý). - HUMAN-TRU2]]</f>
        <v>6</v>
      </c>
      <c r="AR240">
        <f t="shared" si="96"/>
        <v>0.55555555555555558</v>
      </c>
      <c r="AS240">
        <f>step3_validation[[#This Row],[AI_TRU3]]</f>
        <v>6</v>
      </c>
      <c r="AT240">
        <f t="shared" si="97"/>
        <v>0.55555555555555558</v>
      </c>
      <c r="AU240">
        <f>survey_responses[[#This Row],[Tôi tin tưởng số tiền thuế tôi đóng sẽ được Nhà nước sử dụng hiệu quả để cải thiện dịch vụ công (y tế, đường xá...). - HUMAN-TRU3]]</f>
        <v>6</v>
      </c>
      <c r="AV240">
        <f t="shared" si="98"/>
        <v>0.55555555555555558</v>
      </c>
      <c r="AW240">
        <f>step3_validation[[#This Row],[AI_TRU4]]</f>
        <v>7</v>
      </c>
      <c r="AX240">
        <f t="shared" si="99"/>
        <v>0.66666666666666663</v>
      </c>
      <c r="AY240">
        <f>survey_responses[[#This Row],[Tôi thấy Nhà nước đã giải thích rõ ràng, minh bạch về lý do và mục tiêu của việc sửa đổi thuế lần này. - HUMAN-TRU4]]</f>
        <v>7</v>
      </c>
      <c r="AZ240">
        <f t="shared" si="100"/>
        <v>0.66666666666666663</v>
      </c>
      <c r="BA240" s="32">
        <f t="shared" si="101"/>
        <v>0.63888888888888884</v>
      </c>
      <c r="BB240" s="32">
        <f t="shared" si="102"/>
        <v>0.58333333333333337</v>
      </c>
      <c r="BC240" s="7">
        <f t="shared" si="103"/>
        <v>0.69444444444444431</v>
      </c>
      <c r="BD240" s="7">
        <f t="shared" si="104"/>
        <v>0.56481481481481488</v>
      </c>
      <c r="BE240">
        <f>step3_validation[[#This Row],[AI_OUT1]]</f>
        <v>9</v>
      </c>
      <c r="BF240">
        <f t="shared" si="105"/>
        <v>0.88888888888888884</v>
      </c>
      <c r="BG240">
        <f>survey_responses[[#This Row],[Sau khi xem xét các quyền lợi và nghĩa vụ, bạn có ủng hộ và tuân thủ chính sách mới hiện nay? - HUMAN-OUT1]]</f>
        <v>6</v>
      </c>
      <c r="BH240">
        <f t="shared" si="106"/>
        <v>0.55555555555555558</v>
      </c>
      <c r="BI240" s="32">
        <f t="shared" si="107"/>
        <v>3</v>
      </c>
    </row>
    <row r="241" spans="1:61" x14ac:dyDescent="0.45">
      <c r="A241" s="30">
        <f>step3_validation[[#This Row],[Persona_ID]]</f>
        <v>240</v>
      </c>
      <c r="B241" s="31">
        <f>step3_validation[[#This Row],[Used_Seed]]</f>
        <v>281</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62.752585483471158</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7</v>
      </c>
      <c r="R241">
        <f t="shared" si="81"/>
        <v>0.66666666666666663</v>
      </c>
      <c r="S241">
        <f>survey_responses[[#This Row],[Tôi tin rằng với các quy định quản lý thuế hiện nay, hành vi gian lận hoặc trốn thuế sẽ dễ dàng bị phát hiện và xử lý nghiêm. - HUMAN-ENF1]]</f>
        <v>8</v>
      </c>
      <c r="T241">
        <f t="shared" si="82"/>
        <v>0.77777777777777779</v>
      </c>
      <c r="U241">
        <f>step3_validation[[#This Row],[AI_ENF2]]</f>
        <v>8</v>
      </c>
      <c r="V241">
        <f t="shared" si="83"/>
        <v>0.77777777777777779</v>
      </c>
      <c r="W241">
        <f>survey_responses[[#This Row],[Tôi tin rằng Nhà nước, cơ quan thuế có đủ khả năng và công nghệ để phát hiện, xử lý nghiêm các hành vi trốn thuế. - HUMAN-ENF2]]</f>
        <v>8</v>
      </c>
      <c r="X241">
        <f t="shared" si="84"/>
        <v>0.77777777777777779</v>
      </c>
      <c r="Y241" s="32">
        <f t="shared" si="85"/>
        <v>0.72222222222222221</v>
      </c>
      <c r="Z241" s="32">
        <f t="shared" si="86"/>
        <v>0.77777777777777779</v>
      </c>
      <c r="AA241">
        <f>step3_validation[[#This Row],[AI_FAC1]]</f>
        <v>9</v>
      </c>
      <c r="AB241">
        <f t="shared" si="87"/>
        <v>0.88888888888888884</v>
      </c>
      <c r="AC241">
        <f>survey_responses[[#This Row],[Các thủ tục khai báo thuế VÀ/HOẶC quy trình làm việc với cơ quan thuế đơn giản, tiện lợi, nhanh chóng hơn so với trước đây. - HUMAN-FAC1]]</f>
        <v>8</v>
      </c>
      <c r="AD241">
        <f t="shared" si="88"/>
        <v>0.77777777777777779</v>
      </c>
      <c r="AE241">
        <f>step3_validation[[#This Row],[AI_FAC2]]</f>
        <v>9</v>
      </c>
      <c r="AF241">
        <f t="shared" si="89"/>
        <v>0.88888888888888884</v>
      </c>
      <c r="AG241">
        <f>survey_responses[[#This Row],[So với trước đây, tôi thấy cách tính thuế và các bậc thuế trong phương án mới đơn giản, dễ hiểu và dễ thực hiện hơn. - HUMAN-FAC2]]</f>
        <v>8</v>
      </c>
      <c r="AH241">
        <f t="shared" si="90"/>
        <v>0.77777777777777779</v>
      </c>
      <c r="AI241" s="32">
        <f t="shared" si="91"/>
        <v>0.88888888888888884</v>
      </c>
      <c r="AJ241" s="32">
        <f t="shared" si="92"/>
        <v>0.77777777777777779</v>
      </c>
      <c r="AK241">
        <f>step3_validation[[#This Row],[AI_TRU1]]</f>
        <v>8</v>
      </c>
      <c r="AL241">
        <f t="shared" si="93"/>
        <v>0.77777777777777779</v>
      </c>
      <c r="AM241">
        <f>survey_responses[[#This Row],[Tôi tin rằng Nhà nước, cơ quan thuế sẽ thực thi chính sách mới một cách khách quan, công tâm và đối xử bình đẳng với mọi người nộp thuế.  - HUMAN-TRU1]]</f>
        <v>8</v>
      </c>
      <c r="AN241">
        <f t="shared" si="94"/>
        <v>0.77777777777777779</v>
      </c>
      <c r="AO241">
        <f>step3_validation[[#This Row],[AI_TRU2]]</f>
        <v>9</v>
      </c>
      <c r="AP241">
        <f t="shared" si="95"/>
        <v>0.88888888888888884</v>
      </c>
      <c r="AQ241">
        <f>survey_responses[[#This Row],[Tôi thấy mức thuế tôi phải đóng theo phương án mới là công bằng (người thu nhập như tôi đóng mức này là hợp lý). - HUMAN-TRU2]]</f>
        <v>8</v>
      </c>
      <c r="AR241">
        <f t="shared" si="96"/>
        <v>0.77777777777777779</v>
      </c>
      <c r="AS241">
        <f>step3_validation[[#This Row],[AI_TRU3]]</f>
        <v>8</v>
      </c>
      <c r="AT241">
        <f t="shared" si="97"/>
        <v>0.77777777777777779</v>
      </c>
      <c r="AU241">
        <f>survey_responses[[#This Row],[Tôi tin tưởng số tiền thuế tôi đóng sẽ được Nhà nước sử dụng hiệu quả để cải thiện dịch vụ công (y tế, đường xá...). - HUMAN-TRU3]]</f>
        <v>8</v>
      </c>
      <c r="AV241">
        <f t="shared" si="98"/>
        <v>0.77777777777777779</v>
      </c>
      <c r="AW241">
        <f>step3_validation[[#This Row],[AI_TRU4]]</f>
        <v>7</v>
      </c>
      <c r="AX241">
        <f t="shared" si="99"/>
        <v>0.66666666666666663</v>
      </c>
      <c r="AY241">
        <f>survey_responses[[#This Row],[Tôi thấy Nhà nước đã giải thích rõ ràng, minh bạch về lý do và mục tiêu của việc sửa đổi thuế lần này. - HUMAN-TRU4]]</f>
        <v>8</v>
      </c>
      <c r="AZ241">
        <f t="shared" si="100"/>
        <v>0.77777777777777779</v>
      </c>
      <c r="BA241" s="32">
        <f t="shared" si="101"/>
        <v>0.77777777777777768</v>
      </c>
      <c r="BB241" s="32">
        <f t="shared" si="102"/>
        <v>0.77777777777777779</v>
      </c>
      <c r="BC241" s="7">
        <f t="shared" si="103"/>
        <v>0.79629629629629628</v>
      </c>
      <c r="BD241" s="7">
        <f t="shared" si="104"/>
        <v>0.77777777777777779</v>
      </c>
      <c r="BE241">
        <f>step3_validation[[#This Row],[AI_OUT1]]</f>
        <v>9</v>
      </c>
      <c r="BF241">
        <f t="shared" si="105"/>
        <v>0.88888888888888884</v>
      </c>
      <c r="BG241">
        <f>survey_responses[[#This Row],[Sau khi xem xét các quyền lợi và nghĩa vụ, bạn có ủng hộ và tuân thủ chính sách mới hiện nay? - HUMAN-OUT1]]</f>
        <v>8</v>
      </c>
      <c r="BH241">
        <f t="shared" si="106"/>
        <v>0.77777777777777779</v>
      </c>
      <c r="BI241" s="32">
        <f t="shared" si="107"/>
        <v>1</v>
      </c>
    </row>
    <row r="242" spans="1:61" x14ac:dyDescent="0.45">
      <c r="A242" s="30">
        <f>step3_validation[[#This Row],[Persona_ID]]</f>
        <v>241</v>
      </c>
      <c r="B242" s="31">
        <f>step3_validation[[#This Row],[Used_Seed]]</f>
        <v>282</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64.754924869796142</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6</v>
      </c>
      <c r="R242">
        <f t="shared" si="81"/>
        <v>0.55555555555555558</v>
      </c>
      <c r="S242">
        <f>survey_responses[[#This Row],[Tôi tin rằng với các quy định quản lý thuế hiện nay, hành vi gian lận hoặc trốn thuế sẽ dễ dàng bị phát hiện và xử lý nghiêm. - HUMAN-ENF1]]</f>
        <v>7</v>
      </c>
      <c r="T242">
        <f t="shared" si="82"/>
        <v>0.66666666666666663</v>
      </c>
      <c r="U242">
        <f>step3_validation[[#This Row],[AI_ENF2]]</f>
        <v>6</v>
      </c>
      <c r="V242">
        <f t="shared" si="83"/>
        <v>0.55555555555555558</v>
      </c>
      <c r="W242">
        <f>survey_responses[[#This Row],[Tôi tin rằng Nhà nước, cơ quan thuế có đủ khả năng và công nghệ để phát hiện, xử lý nghiêm các hành vi trốn thuế. - HUMAN-ENF2]]</f>
        <v>6</v>
      </c>
      <c r="X242">
        <f t="shared" si="84"/>
        <v>0.55555555555555558</v>
      </c>
      <c r="Y242" s="32">
        <f t="shared" si="85"/>
        <v>0.55555555555555558</v>
      </c>
      <c r="Z242" s="32">
        <f t="shared" si="86"/>
        <v>0.61111111111111116</v>
      </c>
      <c r="AA242">
        <f>step3_validation[[#This Row],[AI_FAC1]]</f>
        <v>9</v>
      </c>
      <c r="AB242">
        <f t="shared" si="87"/>
        <v>0.88888888888888884</v>
      </c>
      <c r="AC242">
        <f>survey_responses[[#This Row],[Các thủ tục khai báo thuế VÀ/HOẶC quy trình làm việc với cơ quan thuế đơn giản, tiện lợi, nhanh chóng hơn so với trước đây. - HUMAN-FAC1]]</f>
        <v>7</v>
      </c>
      <c r="AD242">
        <f t="shared" si="88"/>
        <v>0.66666666666666663</v>
      </c>
      <c r="AE242">
        <f>step3_validation[[#This Row],[AI_FAC2]]</f>
        <v>8</v>
      </c>
      <c r="AF242">
        <f t="shared" si="89"/>
        <v>0.77777777777777779</v>
      </c>
      <c r="AG242">
        <f>survey_responses[[#This Row],[So với trước đây, tôi thấy cách tính thuế và các bậc thuế trong phương án mới đơn giản, dễ hiểu và dễ thực hiện hơn. - HUMAN-FAC2]]</f>
        <v>7</v>
      </c>
      <c r="AH242">
        <f t="shared" si="90"/>
        <v>0.66666666666666663</v>
      </c>
      <c r="AI242" s="32">
        <f t="shared" si="91"/>
        <v>0.83333333333333326</v>
      </c>
      <c r="AJ242" s="32">
        <f t="shared" si="92"/>
        <v>0.66666666666666663</v>
      </c>
      <c r="AK242">
        <f>step3_validation[[#This Row],[AI_TRU1]]</f>
        <v>7</v>
      </c>
      <c r="AL242">
        <f t="shared" si="93"/>
        <v>0.66666666666666663</v>
      </c>
      <c r="AM242">
        <f>survey_responses[[#This Row],[Tôi tin rằng Nhà nước, cơ quan thuế sẽ thực thi chính sách mới một cách khách quan, công tâm và đối xử bình đẳng với mọi người nộp thuế.  - HUMAN-TRU1]]</f>
        <v>8</v>
      </c>
      <c r="AN242">
        <f t="shared" si="94"/>
        <v>0.77777777777777779</v>
      </c>
      <c r="AO242">
        <f>step3_validation[[#This Row],[AI_TRU2]]</f>
        <v>8</v>
      </c>
      <c r="AP242">
        <f t="shared" si="95"/>
        <v>0.77777777777777779</v>
      </c>
      <c r="AQ242">
        <f>survey_responses[[#This Row],[Tôi thấy mức thuế tôi phải đóng theo phương án mới là công bằng (người thu nhập như tôi đóng mức này là hợp lý). - HUMAN-TRU2]]</f>
        <v>8</v>
      </c>
      <c r="AR242">
        <f t="shared" si="96"/>
        <v>0.77777777777777779</v>
      </c>
      <c r="AS242">
        <f>step3_validation[[#This Row],[AI_TRU3]]</f>
        <v>7</v>
      </c>
      <c r="AT242">
        <f t="shared" si="97"/>
        <v>0.66666666666666663</v>
      </c>
      <c r="AU242">
        <f>survey_responses[[#This Row],[Tôi tin tưởng số tiền thuế tôi đóng sẽ được Nhà nước sử dụng hiệu quả để cải thiện dịch vụ công (y tế, đường xá...). - HUMAN-TRU3]]</f>
        <v>8</v>
      </c>
      <c r="AV242">
        <f t="shared" si="98"/>
        <v>0.77777777777777779</v>
      </c>
      <c r="AW242">
        <f>step3_validation[[#This Row],[AI_TRU4]]</f>
        <v>8</v>
      </c>
      <c r="AX242">
        <f t="shared" si="99"/>
        <v>0.77777777777777779</v>
      </c>
      <c r="AY242">
        <f>survey_responses[[#This Row],[Tôi thấy Nhà nước đã giải thích rõ ràng, minh bạch về lý do và mục tiêu của việc sửa đổi thuế lần này. - HUMAN-TRU4]]</f>
        <v>8</v>
      </c>
      <c r="AZ242">
        <f t="shared" si="100"/>
        <v>0.77777777777777779</v>
      </c>
      <c r="BA242" s="32">
        <f t="shared" si="101"/>
        <v>0.72222222222222221</v>
      </c>
      <c r="BB242" s="32">
        <f t="shared" si="102"/>
        <v>0.77777777777777779</v>
      </c>
      <c r="BC242" s="7">
        <f t="shared" si="103"/>
        <v>0.70370370370370372</v>
      </c>
      <c r="BD242" s="7">
        <f t="shared" si="104"/>
        <v>0.68518518518518512</v>
      </c>
      <c r="BE242">
        <f>step3_validation[[#This Row],[AI_OUT1]]</f>
        <v>9</v>
      </c>
      <c r="BF242">
        <f t="shared" si="105"/>
        <v>0.88888888888888884</v>
      </c>
      <c r="BG242">
        <f>survey_responses[[#This Row],[Sau khi xem xét các quyền lợi và nghĩa vụ, bạn có ủng hộ và tuân thủ chính sách mới hiện nay? - HUMAN-OUT1]]</f>
        <v>8</v>
      </c>
      <c r="BH242">
        <f t="shared" si="106"/>
        <v>0.77777777777777779</v>
      </c>
      <c r="BI242" s="32">
        <f t="shared" si="107"/>
        <v>1</v>
      </c>
    </row>
    <row r="243" spans="1:61" x14ac:dyDescent="0.45">
      <c r="A243" s="30">
        <f>step3_validation[[#This Row],[Persona_ID]]</f>
        <v>242</v>
      </c>
      <c r="B243" s="31">
        <f>step3_validation[[#This Row],[Used_Seed]]</f>
        <v>283</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67.652674330722348</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f t="shared" si="81"/>
        <v>0.66666666666666663</v>
      </c>
      <c r="S243">
        <f>survey_responses[[#This Row],[Tôi tin rằng với các quy định quản lý thuế hiện nay, hành vi gian lận hoặc trốn thuế sẽ dễ dàng bị phát hiện và xử lý nghiêm. - HUMAN-ENF1]]</f>
        <v>6</v>
      </c>
      <c r="T243">
        <f t="shared" si="82"/>
        <v>0.55555555555555558</v>
      </c>
      <c r="U243">
        <f>step3_validation[[#This Row],[AI_ENF2]]</f>
        <v>8</v>
      </c>
      <c r="V243">
        <f t="shared" si="83"/>
        <v>0.77777777777777779</v>
      </c>
      <c r="W243">
        <f>survey_responses[[#This Row],[Tôi tin rằng Nhà nước, cơ quan thuế có đủ khả năng và công nghệ để phát hiện, xử lý nghiêm các hành vi trốn thuế. - HUMAN-ENF2]]</f>
        <v>5</v>
      </c>
      <c r="X243">
        <f t="shared" si="84"/>
        <v>0.44444444444444442</v>
      </c>
      <c r="Y243" s="32">
        <f t="shared" si="85"/>
        <v>0.72222222222222221</v>
      </c>
      <c r="Z243" s="32">
        <f t="shared" si="86"/>
        <v>0.5</v>
      </c>
      <c r="AA243">
        <f>step3_validation[[#This Row],[AI_FAC1]]</f>
        <v>9</v>
      </c>
      <c r="AB243">
        <f t="shared" si="87"/>
        <v>0.88888888888888884</v>
      </c>
      <c r="AC243">
        <f>survey_responses[[#This Row],[Các thủ tục khai báo thuế VÀ/HOẶC quy trình làm việc với cơ quan thuế đơn giản, tiện lợi, nhanh chóng hơn so với trước đây. - HUMAN-FAC1]]</f>
        <v>5</v>
      </c>
      <c r="AD243">
        <f t="shared" si="88"/>
        <v>0.44444444444444442</v>
      </c>
      <c r="AE243">
        <f>step3_validation[[#This Row],[AI_FAC2]]</f>
        <v>9</v>
      </c>
      <c r="AF243">
        <f t="shared" si="89"/>
        <v>0.88888888888888884</v>
      </c>
      <c r="AG243">
        <f>survey_responses[[#This Row],[So với trước đây, tôi thấy cách tính thuế và các bậc thuế trong phương án mới đơn giản, dễ hiểu và dễ thực hiện hơn. - HUMAN-FAC2]]</f>
        <v>7</v>
      </c>
      <c r="AH243">
        <f t="shared" si="90"/>
        <v>0.66666666666666663</v>
      </c>
      <c r="AI243" s="32">
        <f t="shared" si="91"/>
        <v>0.88888888888888884</v>
      </c>
      <c r="AJ243" s="32">
        <f t="shared" si="92"/>
        <v>0.55555555555555558</v>
      </c>
      <c r="AK243">
        <f>step3_validation[[#This Row],[AI_TRU1]]</f>
        <v>7</v>
      </c>
      <c r="AL243">
        <f t="shared" si="93"/>
        <v>0.66666666666666663</v>
      </c>
      <c r="AM243">
        <f>survey_responses[[#This Row],[Tôi tin rằng Nhà nước, cơ quan thuế sẽ thực thi chính sách mới một cách khách quan, công tâm và đối xử bình đẳng với mọi người nộp thuế.  - HUMAN-TRU1]]</f>
        <v>7</v>
      </c>
      <c r="AN243">
        <f t="shared" si="94"/>
        <v>0.66666666666666663</v>
      </c>
      <c r="AO243">
        <f>step3_validation[[#This Row],[AI_TRU2]]</f>
        <v>9</v>
      </c>
      <c r="AP243">
        <f t="shared" si="95"/>
        <v>0.88888888888888884</v>
      </c>
      <c r="AQ243">
        <f>survey_responses[[#This Row],[Tôi thấy mức thuế tôi phải đóng theo phương án mới là công bằng (người thu nhập như tôi đóng mức này là hợp lý). - HUMAN-TRU2]]</f>
        <v>7</v>
      </c>
      <c r="AR243">
        <f t="shared" si="96"/>
        <v>0.66666666666666663</v>
      </c>
      <c r="AS243">
        <f>step3_validation[[#This Row],[AI_TRU3]]</f>
        <v>7</v>
      </c>
      <c r="AT243">
        <f t="shared" si="97"/>
        <v>0.66666666666666663</v>
      </c>
      <c r="AU243">
        <f>survey_responses[[#This Row],[Tôi tin tưởng số tiền thuế tôi đóng sẽ được Nhà nước sử dụng hiệu quả để cải thiện dịch vụ công (y tế, đường xá...). - HUMAN-TRU3]]</f>
        <v>7</v>
      </c>
      <c r="AV243">
        <f t="shared" si="98"/>
        <v>0.66666666666666663</v>
      </c>
      <c r="AW243">
        <f>step3_validation[[#This Row],[AI_TRU4]]</f>
        <v>8</v>
      </c>
      <c r="AX243">
        <f t="shared" si="99"/>
        <v>0.77777777777777779</v>
      </c>
      <c r="AY243">
        <f>survey_responses[[#This Row],[Tôi thấy Nhà nước đã giải thích rõ ràng, minh bạch về lý do và mục tiêu của việc sửa đổi thuế lần này. - HUMAN-TRU4]]</f>
        <v>8</v>
      </c>
      <c r="AZ243">
        <f t="shared" si="100"/>
        <v>0.77777777777777779</v>
      </c>
      <c r="BA243" s="32">
        <f t="shared" si="101"/>
        <v>0.74999999999999989</v>
      </c>
      <c r="BB243" s="32">
        <f t="shared" si="102"/>
        <v>0.69444444444444442</v>
      </c>
      <c r="BC243" s="7">
        <f t="shared" si="103"/>
        <v>0.78703703703703709</v>
      </c>
      <c r="BD243" s="7">
        <f t="shared" si="104"/>
        <v>0.58333333333333337</v>
      </c>
      <c r="BE243">
        <f>step3_validation[[#This Row],[AI_OUT1]]</f>
        <v>7</v>
      </c>
      <c r="BF243">
        <f t="shared" si="105"/>
        <v>0.66666666666666663</v>
      </c>
      <c r="BG243">
        <f>survey_responses[[#This Row],[Sau khi xem xét các quyền lợi và nghĩa vụ, bạn có ủng hộ và tuân thủ chính sách mới hiện nay? - HUMAN-OUT1]]</f>
        <v>8</v>
      </c>
      <c r="BH243">
        <f t="shared" si="106"/>
        <v>0.77777777777777779</v>
      </c>
      <c r="BI243" s="32">
        <f t="shared" si="107"/>
        <v>1</v>
      </c>
    </row>
    <row r="244" spans="1:61" x14ac:dyDescent="0.45">
      <c r="A244" s="30">
        <f>step3_validation[[#This Row],[Persona_ID]]</f>
        <v>243</v>
      </c>
      <c r="B244" s="31">
        <f>step3_validation[[#This Row],[Used_Seed]]</f>
        <v>284</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93.08618525769117</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7</v>
      </c>
      <c r="R244">
        <f t="shared" si="81"/>
        <v>0.66666666666666663</v>
      </c>
      <c r="S244">
        <f>survey_responses[[#This Row],[Tôi tin rằng với các quy định quản lý thuế hiện nay, hành vi gian lận hoặc trốn thuế sẽ dễ dàng bị phát hiện và xử lý nghiêm. - HUMAN-ENF1]]</f>
        <v>6</v>
      </c>
      <c r="T244">
        <f t="shared" si="82"/>
        <v>0.55555555555555558</v>
      </c>
      <c r="U244">
        <f>step3_validation[[#This Row],[AI_ENF2]]</f>
        <v>8</v>
      </c>
      <c r="V244">
        <f t="shared" si="83"/>
        <v>0.77777777777777779</v>
      </c>
      <c r="W244">
        <f>survey_responses[[#This Row],[Tôi tin rằng Nhà nước, cơ quan thuế có đủ khả năng và công nghệ để phát hiện, xử lý nghiêm các hành vi trốn thuế. - HUMAN-ENF2]]</f>
        <v>6</v>
      </c>
      <c r="X244">
        <f t="shared" si="84"/>
        <v>0.55555555555555558</v>
      </c>
      <c r="Y244" s="32">
        <f t="shared" si="85"/>
        <v>0.72222222222222221</v>
      </c>
      <c r="Z244" s="32">
        <f t="shared" si="86"/>
        <v>0.55555555555555558</v>
      </c>
      <c r="AA244">
        <f>step3_validation[[#This Row],[AI_FAC1]]</f>
        <v>6</v>
      </c>
      <c r="AB244">
        <f t="shared" si="87"/>
        <v>0.55555555555555558</v>
      </c>
      <c r="AC244">
        <f>survey_responses[[#This Row],[Các thủ tục khai báo thuế VÀ/HOẶC quy trình làm việc với cơ quan thuế đơn giản, tiện lợi, nhanh chóng hơn so với trước đây. - HUMAN-FAC1]]</f>
        <v>6</v>
      </c>
      <c r="AD244">
        <f t="shared" si="88"/>
        <v>0.55555555555555558</v>
      </c>
      <c r="AE244">
        <f>step3_validation[[#This Row],[AI_FAC2]]</f>
        <v>9</v>
      </c>
      <c r="AF244">
        <f t="shared" si="89"/>
        <v>0.88888888888888884</v>
      </c>
      <c r="AG244">
        <f>survey_responses[[#This Row],[So với trước đây, tôi thấy cách tính thuế và các bậc thuế trong phương án mới đơn giản, dễ hiểu và dễ thực hiện hơn. - HUMAN-FAC2]]</f>
        <v>6</v>
      </c>
      <c r="AH244">
        <f t="shared" si="90"/>
        <v>0.55555555555555558</v>
      </c>
      <c r="AI244" s="32">
        <f t="shared" si="91"/>
        <v>0.72222222222222221</v>
      </c>
      <c r="AJ244" s="32">
        <f t="shared" si="92"/>
        <v>0.55555555555555558</v>
      </c>
      <c r="AK244">
        <f>step3_validation[[#This Row],[AI_TRU1]]</f>
        <v>7</v>
      </c>
      <c r="AL244">
        <f t="shared" si="93"/>
        <v>0.66666666666666663</v>
      </c>
      <c r="AM244">
        <f>survey_responses[[#This Row],[Tôi tin rằng Nhà nước, cơ quan thuế sẽ thực thi chính sách mới một cách khách quan, công tâm và đối xử bình đẳng với mọi người nộp thuế.  - HUMAN-TRU1]]</f>
        <v>6</v>
      </c>
      <c r="AN244">
        <f t="shared" si="94"/>
        <v>0.55555555555555558</v>
      </c>
      <c r="AO244">
        <f>step3_validation[[#This Row],[AI_TRU2]]</f>
        <v>9</v>
      </c>
      <c r="AP244">
        <f t="shared" si="95"/>
        <v>0.88888888888888884</v>
      </c>
      <c r="AQ244">
        <f>survey_responses[[#This Row],[Tôi thấy mức thuế tôi phải đóng theo phương án mới là công bằng (người thu nhập như tôi đóng mức này là hợp lý). - HUMAN-TRU2]]</f>
        <v>6</v>
      </c>
      <c r="AR244">
        <f t="shared" si="96"/>
        <v>0.55555555555555558</v>
      </c>
      <c r="AS244">
        <f>step3_validation[[#This Row],[AI_TRU3]]</f>
        <v>8</v>
      </c>
      <c r="AT244">
        <f t="shared" si="97"/>
        <v>0.77777777777777779</v>
      </c>
      <c r="AU244">
        <f>survey_responses[[#This Row],[Tôi tin tưởng số tiền thuế tôi đóng sẽ được Nhà nước sử dụng hiệu quả để cải thiện dịch vụ công (y tế, đường xá...). - HUMAN-TRU3]]</f>
        <v>6</v>
      </c>
      <c r="AV244">
        <f t="shared" si="98"/>
        <v>0.55555555555555558</v>
      </c>
      <c r="AW244">
        <f>step3_validation[[#This Row],[AI_TRU4]]</f>
        <v>7</v>
      </c>
      <c r="AX244">
        <f t="shared" si="99"/>
        <v>0.66666666666666663</v>
      </c>
      <c r="AY244">
        <f>survey_responses[[#This Row],[Tôi thấy Nhà nước đã giải thích rõ ràng, minh bạch về lý do và mục tiêu của việc sửa đổi thuế lần này. - HUMAN-TRU4]]</f>
        <v>6</v>
      </c>
      <c r="AZ244">
        <f t="shared" si="100"/>
        <v>0.55555555555555558</v>
      </c>
      <c r="BA244" s="32">
        <f t="shared" si="101"/>
        <v>0.74999999999999989</v>
      </c>
      <c r="BB244" s="32">
        <f t="shared" si="102"/>
        <v>0.55555555555555558</v>
      </c>
      <c r="BC244" s="7">
        <f t="shared" si="103"/>
        <v>0.7314814814814814</v>
      </c>
      <c r="BD244" s="7">
        <f t="shared" si="104"/>
        <v>0.55555555555555558</v>
      </c>
      <c r="BE244">
        <f>step3_validation[[#This Row],[AI_OUT1]]</f>
        <v>9</v>
      </c>
      <c r="BF244">
        <f t="shared" si="105"/>
        <v>0.88888888888888884</v>
      </c>
      <c r="BG244">
        <f>survey_responses[[#This Row],[Sau khi xem xét các quyền lợi và nghĩa vụ, bạn có ủng hộ và tuân thủ chính sách mới hiện nay? - HUMAN-OUT1]]</f>
        <v>6</v>
      </c>
      <c r="BH244">
        <f t="shared" si="106"/>
        <v>0.55555555555555558</v>
      </c>
      <c r="BI244" s="32">
        <f t="shared" si="107"/>
        <v>3</v>
      </c>
    </row>
    <row r="245" spans="1:61" x14ac:dyDescent="0.45">
      <c r="A245" s="30">
        <f>step3_validation[[#This Row],[Persona_ID]]</f>
        <v>244</v>
      </c>
      <c r="B245" s="31">
        <f>step3_validation[[#This Row],[Used_Seed]]</f>
        <v>285</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58.64415741914317</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6</v>
      </c>
      <c r="R245">
        <f t="shared" si="81"/>
        <v>0.55555555555555558</v>
      </c>
      <c r="S245">
        <f>survey_responses[[#This Row],[Tôi tin rằng với các quy định quản lý thuế hiện nay, hành vi gian lận hoặc trốn thuế sẽ dễ dàng bị phát hiện và xử lý nghiêm. - HUMAN-ENF1]]</f>
        <v>7</v>
      </c>
      <c r="T245">
        <f t="shared" si="82"/>
        <v>0.66666666666666663</v>
      </c>
      <c r="U245">
        <f>step3_validation[[#This Row],[AI_ENF2]]</f>
        <v>7</v>
      </c>
      <c r="V245">
        <f t="shared" si="83"/>
        <v>0.66666666666666663</v>
      </c>
      <c r="W245">
        <f>survey_responses[[#This Row],[Tôi tin rằng Nhà nước, cơ quan thuế có đủ khả năng và công nghệ để phát hiện, xử lý nghiêm các hành vi trốn thuế. - HUMAN-ENF2]]</f>
        <v>6</v>
      </c>
      <c r="X245">
        <f t="shared" si="84"/>
        <v>0.55555555555555558</v>
      </c>
      <c r="Y245" s="32">
        <f t="shared" si="85"/>
        <v>0.61111111111111116</v>
      </c>
      <c r="Z245" s="32">
        <f t="shared" si="86"/>
        <v>0.61111111111111116</v>
      </c>
      <c r="AA245">
        <f>step3_validation[[#This Row],[AI_FAC1]]</f>
        <v>8</v>
      </c>
      <c r="AB245">
        <f t="shared" si="87"/>
        <v>0.77777777777777779</v>
      </c>
      <c r="AC245">
        <f>survey_responses[[#This Row],[Các thủ tục khai báo thuế VÀ/HOẶC quy trình làm việc với cơ quan thuế đơn giản, tiện lợi, nhanh chóng hơn so với trước đây. - HUMAN-FAC1]]</f>
        <v>6</v>
      </c>
      <c r="AD245">
        <f t="shared" si="88"/>
        <v>0.55555555555555558</v>
      </c>
      <c r="AE245">
        <f>step3_validation[[#This Row],[AI_FAC2]]</f>
        <v>9</v>
      </c>
      <c r="AF245">
        <f t="shared" si="89"/>
        <v>0.88888888888888884</v>
      </c>
      <c r="AG245">
        <f>survey_responses[[#This Row],[So với trước đây, tôi thấy cách tính thuế và các bậc thuế trong phương án mới đơn giản, dễ hiểu và dễ thực hiện hơn. - HUMAN-FAC2]]</f>
        <v>8</v>
      </c>
      <c r="AH245">
        <f t="shared" si="90"/>
        <v>0.77777777777777779</v>
      </c>
      <c r="AI245" s="32">
        <f t="shared" si="91"/>
        <v>0.83333333333333326</v>
      </c>
      <c r="AJ245" s="32">
        <f t="shared" si="92"/>
        <v>0.66666666666666674</v>
      </c>
      <c r="AK245">
        <f>step3_validation[[#This Row],[AI_TRU1]]</f>
        <v>8</v>
      </c>
      <c r="AL245">
        <f t="shared" si="93"/>
        <v>0.77777777777777779</v>
      </c>
      <c r="AM245">
        <f>survey_responses[[#This Row],[Tôi tin rằng Nhà nước, cơ quan thuế sẽ thực thi chính sách mới một cách khách quan, công tâm và đối xử bình đẳng với mọi người nộp thuế.  - HUMAN-TRU1]]</f>
        <v>6</v>
      </c>
      <c r="AN245">
        <f t="shared" si="94"/>
        <v>0.55555555555555558</v>
      </c>
      <c r="AO245">
        <f>step3_validation[[#This Row],[AI_TRU2]]</f>
        <v>9</v>
      </c>
      <c r="AP245">
        <f t="shared" si="95"/>
        <v>0.88888888888888884</v>
      </c>
      <c r="AQ245">
        <f>survey_responses[[#This Row],[Tôi thấy mức thuế tôi phải đóng theo phương án mới là công bằng (người thu nhập như tôi đóng mức này là hợp lý). - HUMAN-TRU2]]</f>
        <v>6</v>
      </c>
      <c r="AR245">
        <f t="shared" si="96"/>
        <v>0.55555555555555558</v>
      </c>
      <c r="AS245">
        <f>step3_validation[[#This Row],[AI_TRU3]]</f>
        <v>7</v>
      </c>
      <c r="AT245">
        <f t="shared" si="97"/>
        <v>0.66666666666666663</v>
      </c>
      <c r="AU245">
        <f>survey_responses[[#This Row],[Tôi tin tưởng số tiền thuế tôi đóng sẽ được Nhà nước sử dụng hiệu quả để cải thiện dịch vụ công (y tế, đường xá...). - HUMAN-TRU3]]</f>
        <v>6</v>
      </c>
      <c r="AV245">
        <f t="shared" si="98"/>
        <v>0.55555555555555558</v>
      </c>
      <c r="AW245">
        <f>step3_validation[[#This Row],[AI_TRU4]]</f>
        <v>6</v>
      </c>
      <c r="AX245">
        <f t="shared" si="99"/>
        <v>0.55555555555555558</v>
      </c>
      <c r="AY245">
        <f>survey_responses[[#This Row],[Tôi thấy Nhà nước đã giải thích rõ ràng, minh bạch về lý do và mục tiêu của việc sửa đổi thuế lần này. - HUMAN-TRU4]]</f>
        <v>6</v>
      </c>
      <c r="AZ245">
        <f t="shared" si="100"/>
        <v>0.55555555555555558</v>
      </c>
      <c r="BA245" s="32">
        <f t="shared" si="101"/>
        <v>0.7222222222222221</v>
      </c>
      <c r="BB245" s="32">
        <f t="shared" si="102"/>
        <v>0.55555555555555558</v>
      </c>
      <c r="BC245" s="7">
        <f t="shared" si="103"/>
        <v>0.72222222222222221</v>
      </c>
      <c r="BD245" s="7">
        <f t="shared" si="104"/>
        <v>0.61111111111111116</v>
      </c>
      <c r="BE245">
        <f>step3_validation[[#This Row],[AI_OUT1]]</f>
        <v>8</v>
      </c>
      <c r="BF245">
        <f t="shared" si="105"/>
        <v>0.77777777777777779</v>
      </c>
      <c r="BG245">
        <f>survey_responses[[#This Row],[Sau khi xem xét các quyền lợi và nghĩa vụ, bạn có ủng hộ và tuân thủ chính sách mới hiện nay? - HUMAN-OUT1]]</f>
        <v>6</v>
      </c>
      <c r="BH245">
        <f t="shared" si="106"/>
        <v>0.55555555555555558</v>
      </c>
      <c r="BI245" s="32">
        <f t="shared" si="107"/>
        <v>2</v>
      </c>
    </row>
    <row r="246" spans="1:61" x14ac:dyDescent="0.45">
      <c r="A246" s="30">
        <f>step3_validation[[#This Row],[Persona_ID]]</f>
        <v>245</v>
      </c>
      <c r="B246" s="31">
        <f>step3_validation[[#This Row],[Used_Seed]]</f>
        <v>286</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160.23119915397257</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f t="shared" si="81"/>
        <v>0.66666666666666663</v>
      </c>
      <c r="S246">
        <f>survey_responses[[#This Row],[Tôi tin rằng với các quy định quản lý thuế hiện nay, hành vi gian lận hoặc trốn thuế sẽ dễ dàng bị phát hiện và xử lý nghiêm. - HUMAN-ENF1]]</f>
        <v>4</v>
      </c>
      <c r="T246">
        <f t="shared" si="82"/>
        <v>0.33333333333333331</v>
      </c>
      <c r="U246">
        <f>step3_validation[[#This Row],[AI_ENF2]]</f>
        <v>8</v>
      </c>
      <c r="V246">
        <f t="shared" si="83"/>
        <v>0.77777777777777779</v>
      </c>
      <c r="W246">
        <f>survey_responses[[#This Row],[Tôi tin rằng Nhà nước, cơ quan thuế có đủ khả năng và công nghệ để phát hiện, xử lý nghiêm các hành vi trốn thuế. - HUMAN-ENF2]]</f>
        <v>4</v>
      </c>
      <c r="X246">
        <f t="shared" si="84"/>
        <v>0.33333333333333331</v>
      </c>
      <c r="Y246" s="32">
        <f t="shared" si="85"/>
        <v>0.72222222222222221</v>
      </c>
      <c r="Z246" s="32">
        <f t="shared" si="86"/>
        <v>0.33333333333333331</v>
      </c>
      <c r="AA246">
        <f>step3_validation[[#This Row],[AI_FAC1]]</f>
        <v>9</v>
      </c>
      <c r="AB246">
        <f t="shared" si="87"/>
        <v>0.88888888888888884</v>
      </c>
      <c r="AC246">
        <f>survey_responses[[#This Row],[Các thủ tục khai báo thuế VÀ/HOẶC quy trình làm việc với cơ quan thuế đơn giản, tiện lợi, nhanh chóng hơn so với trước đây. - HUMAN-FAC1]]</f>
        <v>1</v>
      </c>
      <c r="AD246">
        <f t="shared" si="88"/>
        <v>0</v>
      </c>
      <c r="AE246">
        <f>step3_validation[[#This Row],[AI_FAC2]]</f>
        <v>9</v>
      </c>
      <c r="AF246">
        <f t="shared" si="89"/>
        <v>0.88888888888888884</v>
      </c>
      <c r="AG246">
        <f>survey_responses[[#This Row],[So với trước đây, tôi thấy cách tính thuế và các bậc thuế trong phương án mới đơn giản, dễ hiểu và dễ thực hiện hơn. - HUMAN-FAC2]]</f>
        <v>4</v>
      </c>
      <c r="AH246">
        <f t="shared" si="90"/>
        <v>0.33333333333333331</v>
      </c>
      <c r="AI246" s="32">
        <f t="shared" si="91"/>
        <v>0.88888888888888884</v>
      </c>
      <c r="AJ246" s="32">
        <f t="shared" si="92"/>
        <v>0.16666666666666666</v>
      </c>
      <c r="AK246">
        <f>step3_validation[[#This Row],[AI_TRU1]]</f>
        <v>8</v>
      </c>
      <c r="AL246">
        <f t="shared" si="93"/>
        <v>0.77777777777777779</v>
      </c>
      <c r="AM246">
        <f>survey_responses[[#This Row],[Tôi tin rằng Nhà nước, cơ quan thuế sẽ thực thi chính sách mới một cách khách quan, công tâm và đối xử bình đẳng với mọi người nộp thuế.  - HUMAN-TRU1]]</f>
        <v>4</v>
      </c>
      <c r="AN246">
        <f t="shared" si="94"/>
        <v>0.33333333333333331</v>
      </c>
      <c r="AO246">
        <f>step3_validation[[#This Row],[AI_TRU2]]</f>
        <v>9</v>
      </c>
      <c r="AP246">
        <f t="shared" si="95"/>
        <v>0.88888888888888884</v>
      </c>
      <c r="AQ246">
        <f>survey_responses[[#This Row],[Tôi thấy mức thuế tôi phải đóng theo phương án mới là công bằng (người thu nhập như tôi đóng mức này là hợp lý). - HUMAN-TRU2]]</f>
        <v>4</v>
      </c>
      <c r="AR246">
        <f t="shared" si="96"/>
        <v>0.33333333333333331</v>
      </c>
      <c r="AS246">
        <f>step3_validation[[#This Row],[AI_TRU3]]</f>
        <v>8</v>
      </c>
      <c r="AT246">
        <f t="shared" si="97"/>
        <v>0.77777777777777779</v>
      </c>
      <c r="AU246">
        <f>survey_responses[[#This Row],[Tôi tin tưởng số tiền thuế tôi đóng sẽ được Nhà nước sử dụng hiệu quả để cải thiện dịch vụ công (y tế, đường xá...). - HUMAN-TRU3]]</f>
        <v>5</v>
      </c>
      <c r="AV246">
        <f t="shared" si="98"/>
        <v>0.44444444444444442</v>
      </c>
      <c r="AW246">
        <f>step3_validation[[#This Row],[AI_TRU4]]</f>
        <v>9</v>
      </c>
      <c r="AX246">
        <f t="shared" si="99"/>
        <v>0.88888888888888884</v>
      </c>
      <c r="AY246">
        <f>survey_responses[[#This Row],[Tôi thấy Nhà nước đã giải thích rõ ràng, minh bạch về lý do và mục tiêu của việc sửa đổi thuế lần này. - HUMAN-TRU4]]</f>
        <v>5</v>
      </c>
      <c r="AZ246">
        <f t="shared" si="100"/>
        <v>0.44444444444444442</v>
      </c>
      <c r="BA246" s="32">
        <f t="shared" si="101"/>
        <v>0.83333333333333326</v>
      </c>
      <c r="BB246" s="32">
        <f t="shared" si="102"/>
        <v>0.3888888888888889</v>
      </c>
      <c r="BC246" s="7">
        <f t="shared" si="103"/>
        <v>0.81481481481481488</v>
      </c>
      <c r="BD246" s="7">
        <f t="shared" si="104"/>
        <v>0.29629629629629628</v>
      </c>
      <c r="BE246">
        <f>step3_validation[[#This Row],[AI_OUT1]]</f>
        <v>10</v>
      </c>
      <c r="BF246">
        <f t="shared" si="105"/>
        <v>1</v>
      </c>
      <c r="BG246">
        <f>survey_responses[[#This Row],[Sau khi xem xét các quyền lợi và nghĩa vụ, bạn có ủng hộ và tuân thủ chính sách mới hiện nay? - HUMAN-OUT1]]</f>
        <v>5</v>
      </c>
      <c r="BH246">
        <f t="shared" si="106"/>
        <v>0.44444444444444442</v>
      </c>
      <c r="BI246" s="32">
        <f t="shared" si="107"/>
        <v>5</v>
      </c>
    </row>
    <row r="247" spans="1:61" x14ac:dyDescent="0.45">
      <c r="A247" s="30">
        <f>step3_validation[[#This Row],[Persona_ID]]</f>
        <v>246</v>
      </c>
      <c r="B247" s="31">
        <f>step3_validation[[#This Row],[Used_Seed]]</f>
        <v>287</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26.20264300970296</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9</v>
      </c>
      <c r="R247">
        <f t="shared" si="81"/>
        <v>0.88888888888888884</v>
      </c>
      <c r="S247">
        <f>survey_responses[[#This Row],[Tôi tin rằng với các quy định quản lý thuế hiện nay, hành vi gian lận hoặc trốn thuế sẽ dễ dàng bị phát hiện và xử lý nghiêm. - HUMAN-ENF1]]</f>
        <v>6</v>
      </c>
      <c r="T247">
        <f t="shared" si="82"/>
        <v>0.55555555555555558</v>
      </c>
      <c r="U247">
        <f>step3_validation[[#This Row],[AI_ENF2]]</f>
        <v>8</v>
      </c>
      <c r="V247">
        <f t="shared" si="83"/>
        <v>0.77777777777777779</v>
      </c>
      <c r="W247">
        <f>survey_responses[[#This Row],[Tôi tin rằng Nhà nước, cơ quan thuế có đủ khả năng và công nghệ để phát hiện, xử lý nghiêm các hành vi trốn thuế. - HUMAN-ENF2]]</f>
        <v>7</v>
      </c>
      <c r="X247">
        <f t="shared" si="84"/>
        <v>0.66666666666666663</v>
      </c>
      <c r="Y247" s="32">
        <f t="shared" si="85"/>
        <v>0.83333333333333326</v>
      </c>
      <c r="Z247" s="32">
        <f t="shared" si="86"/>
        <v>0.61111111111111116</v>
      </c>
      <c r="AA247">
        <f>step3_validation[[#This Row],[AI_FAC1]]</f>
        <v>9</v>
      </c>
      <c r="AB247">
        <f t="shared" si="87"/>
        <v>0.88888888888888884</v>
      </c>
      <c r="AC247">
        <f>survey_responses[[#This Row],[Các thủ tục khai báo thuế VÀ/HOẶC quy trình làm việc với cơ quan thuế đơn giản, tiện lợi, nhanh chóng hơn so với trước đây. - HUMAN-FAC1]]</f>
        <v>7</v>
      </c>
      <c r="AD247">
        <f t="shared" si="88"/>
        <v>0.66666666666666663</v>
      </c>
      <c r="AE247">
        <f>step3_validation[[#This Row],[AI_FAC2]]</f>
        <v>8</v>
      </c>
      <c r="AF247">
        <f t="shared" si="89"/>
        <v>0.77777777777777779</v>
      </c>
      <c r="AG247">
        <f>survey_responses[[#This Row],[So với trước đây, tôi thấy cách tính thuế và các bậc thuế trong phương án mới đơn giản, dễ hiểu và dễ thực hiện hơn. - HUMAN-FAC2]]</f>
        <v>7</v>
      </c>
      <c r="AH247">
        <f t="shared" si="90"/>
        <v>0.66666666666666663</v>
      </c>
      <c r="AI247" s="32">
        <f t="shared" si="91"/>
        <v>0.83333333333333326</v>
      </c>
      <c r="AJ247" s="32">
        <f t="shared" si="92"/>
        <v>0.66666666666666663</v>
      </c>
      <c r="AK247">
        <f>step3_validation[[#This Row],[AI_TRU1]]</f>
        <v>9</v>
      </c>
      <c r="AL247">
        <f t="shared" si="93"/>
        <v>0.88888888888888884</v>
      </c>
      <c r="AM247">
        <f>survey_responses[[#This Row],[Tôi tin rằng Nhà nước, cơ quan thuế sẽ thực thi chính sách mới một cách khách quan, công tâm và đối xử bình đẳng với mọi người nộp thuế.  - HUMAN-TRU1]]</f>
        <v>7</v>
      </c>
      <c r="AN247">
        <f t="shared" si="94"/>
        <v>0.66666666666666663</v>
      </c>
      <c r="AO247">
        <f>step3_validation[[#This Row],[AI_TRU2]]</f>
        <v>8</v>
      </c>
      <c r="AP247">
        <f t="shared" si="95"/>
        <v>0.77777777777777779</v>
      </c>
      <c r="AQ247">
        <f>survey_responses[[#This Row],[Tôi thấy mức thuế tôi phải đóng theo phương án mới là công bằng (người thu nhập như tôi đóng mức này là hợp lý). - HUMAN-TRU2]]</f>
        <v>7</v>
      </c>
      <c r="AR247">
        <f t="shared" si="96"/>
        <v>0.66666666666666663</v>
      </c>
      <c r="AS247">
        <f>step3_validation[[#This Row],[AI_TRU3]]</f>
        <v>9</v>
      </c>
      <c r="AT247">
        <f t="shared" si="97"/>
        <v>0.88888888888888884</v>
      </c>
      <c r="AU247">
        <f>survey_responses[[#This Row],[Tôi tin tưởng số tiền thuế tôi đóng sẽ được Nhà nước sử dụng hiệu quả để cải thiện dịch vụ công (y tế, đường xá...). - HUMAN-TRU3]]</f>
        <v>7</v>
      </c>
      <c r="AV247">
        <f t="shared" si="98"/>
        <v>0.66666666666666663</v>
      </c>
      <c r="AW247">
        <f>step3_validation[[#This Row],[AI_TRU4]]</f>
        <v>7</v>
      </c>
      <c r="AX247">
        <f t="shared" si="99"/>
        <v>0.66666666666666663</v>
      </c>
      <c r="AY247">
        <f>survey_responses[[#This Row],[Tôi thấy Nhà nước đã giải thích rõ ràng, minh bạch về lý do và mục tiêu của việc sửa đổi thuế lần này. - HUMAN-TRU4]]</f>
        <v>7</v>
      </c>
      <c r="AZ247">
        <f t="shared" si="100"/>
        <v>0.66666666666666663</v>
      </c>
      <c r="BA247" s="32">
        <f t="shared" si="101"/>
        <v>0.80555555555555547</v>
      </c>
      <c r="BB247" s="32">
        <f t="shared" si="102"/>
        <v>0.66666666666666663</v>
      </c>
      <c r="BC247" s="7">
        <f t="shared" si="103"/>
        <v>0.82407407407407396</v>
      </c>
      <c r="BD247" s="7">
        <f t="shared" si="104"/>
        <v>0.64814814814814803</v>
      </c>
      <c r="BE247">
        <f>step3_validation[[#This Row],[AI_OUT1]]</f>
        <v>9</v>
      </c>
      <c r="BF247">
        <f t="shared" si="105"/>
        <v>0.88888888888888884</v>
      </c>
      <c r="BG247">
        <f>survey_responses[[#This Row],[Sau khi xem xét các quyền lợi và nghĩa vụ, bạn có ủng hộ và tuân thủ chính sách mới hiện nay? - HUMAN-OUT1]]</f>
        <v>7</v>
      </c>
      <c r="BH247">
        <f t="shared" si="106"/>
        <v>0.66666666666666663</v>
      </c>
      <c r="BI247" s="32">
        <f t="shared" si="107"/>
        <v>2</v>
      </c>
    </row>
    <row r="248" spans="1:61" x14ac:dyDescent="0.45">
      <c r="A248" s="30">
        <f>step3_validation[[#This Row],[Persona_ID]]</f>
        <v>247</v>
      </c>
      <c r="B248" s="31">
        <f>step3_validation[[#This Row],[Used_Seed]]</f>
        <v>288</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67.059256104593942</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f t="shared" si="81"/>
        <v>0.77777777777777779</v>
      </c>
      <c r="S248">
        <f>survey_responses[[#This Row],[Tôi tin rằng với các quy định quản lý thuế hiện nay, hành vi gian lận hoặc trốn thuế sẽ dễ dàng bị phát hiện và xử lý nghiêm. - HUMAN-ENF1]]</f>
        <v>8</v>
      </c>
      <c r="T248">
        <f t="shared" si="82"/>
        <v>0.77777777777777779</v>
      </c>
      <c r="U248">
        <f>step3_validation[[#This Row],[AI_ENF2]]</f>
        <v>9</v>
      </c>
      <c r="V248">
        <f t="shared" si="83"/>
        <v>0.88888888888888884</v>
      </c>
      <c r="W248">
        <f>survey_responses[[#This Row],[Tôi tin rằng Nhà nước, cơ quan thuế có đủ khả năng và công nghệ để phát hiện, xử lý nghiêm các hành vi trốn thuế. - HUMAN-ENF2]]</f>
        <v>8</v>
      </c>
      <c r="X248">
        <f t="shared" si="84"/>
        <v>0.77777777777777779</v>
      </c>
      <c r="Y248" s="32">
        <f t="shared" si="85"/>
        <v>0.83333333333333326</v>
      </c>
      <c r="Z248" s="32">
        <f t="shared" si="86"/>
        <v>0.77777777777777779</v>
      </c>
      <c r="AA248">
        <f>step3_validation[[#This Row],[AI_FAC1]]</f>
        <v>8</v>
      </c>
      <c r="AB248">
        <f t="shared" si="87"/>
        <v>0.77777777777777779</v>
      </c>
      <c r="AC248">
        <f>survey_responses[[#This Row],[Các thủ tục khai báo thuế VÀ/HOẶC quy trình làm việc với cơ quan thuế đơn giản, tiện lợi, nhanh chóng hơn so với trước đây. - HUMAN-FAC1]]</f>
        <v>8</v>
      </c>
      <c r="AD248">
        <f t="shared" si="88"/>
        <v>0.77777777777777779</v>
      </c>
      <c r="AE248">
        <f>step3_validation[[#This Row],[AI_FAC2]]</f>
        <v>9</v>
      </c>
      <c r="AF248">
        <f t="shared" si="89"/>
        <v>0.88888888888888884</v>
      </c>
      <c r="AG248">
        <f>survey_responses[[#This Row],[So với trước đây, tôi thấy cách tính thuế và các bậc thuế trong phương án mới đơn giản, dễ hiểu và dễ thực hiện hơn. - HUMAN-FAC2]]</f>
        <v>8</v>
      </c>
      <c r="AH248">
        <f t="shared" si="90"/>
        <v>0.77777777777777779</v>
      </c>
      <c r="AI248" s="32">
        <f t="shared" si="91"/>
        <v>0.83333333333333326</v>
      </c>
      <c r="AJ248" s="32">
        <f t="shared" si="92"/>
        <v>0.77777777777777779</v>
      </c>
      <c r="AK248">
        <f>step3_validation[[#This Row],[AI_TRU1]]</f>
        <v>8</v>
      </c>
      <c r="AL248">
        <f t="shared" si="93"/>
        <v>0.77777777777777779</v>
      </c>
      <c r="AM248">
        <f>survey_responses[[#This Row],[Tôi tin rằng Nhà nước, cơ quan thuế sẽ thực thi chính sách mới một cách khách quan, công tâm và đối xử bình đẳng với mọi người nộp thuế.  - HUMAN-TRU1]]</f>
        <v>8</v>
      </c>
      <c r="AN248">
        <f t="shared" si="94"/>
        <v>0.77777777777777779</v>
      </c>
      <c r="AO248">
        <f>step3_validation[[#This Row],[AI_TRU2]]</f>
        <v>9</v>
      </c>
      <c r="AP248">
        <f t="shared" si="95"/>
        <v>0.88888888888888884</v>
      </c>
      <c r="AQ248">
        <f>survey_responses[[#This Row],[Tôi thấy mức thuế tôi phải đóng theo phương án mới là công bằng (người thu nhập như tôi đóng mức này là hợp lý). - HUMAN-TRU2]]</f>
        <v>8</v>
      </c>
      <c r="AR248">
        <f t="shared" si="96"/>
        <v>0.77777777777777779</v>
      </c>
      <c r="AS248">
        <f>step3_validation[[#This Row],[AI_TRU3]]</f>
        <v>8</v>
      </c>
      <c r="AT248">
        <f t="shared" si="97"/>
        <v>0.77777777777777779</v>
      </c>
      <c r="AU248">
        <f>survey_responses[[#This Row],[Tôi tin tưởng số tiền thuế tôi đóng sẽ được Nhà nước sử dụng hiệu quả để cải thiện dịch vụ công (y tế, đường xá...). - HUMAN-TRU3]]</f>
        <v>8</v>
      </c>
      <c r="AV248">
        <f t="shared" si="98"/>
        <v>0.77777777777777779</v>
      </c>
      <c r="AW248">
        <f>step3_validation[[#This Row],[AI_TRU4]]</f>
        <v>7</v>
      </c>
      <c r="AX248">
        <f t="shared" si="99"/>
        <v>0.66666666666666663</v>
      </c>
      <c r="AY248">
        <f>survey_responses[[#This Row],[Tôi thấy Nhà nước đã giải thích rõ ràng, minh bạch về lý do và mục tiêu của việc sửa đổi thuế lần này. - HUMAN-TRU4]]</f>
        <v>8</v>
      </c>
      <c r="AZ248">
        <f t="shared" si="100"/>
        <v>0.77777777777777779</v>
      </c>
      <c r="BA248" s="32">
        <f t="shared" si="101"/>
        <v>0.77777777777777768</v>
      </c>
      <c r="BB248" s="32">
        <f t="shared" si="102"/>
        <v>0.77777777777777779</v>
      </c>
      <c r="BC248" s="7">
        <f t="shared" si="103"/>
        <v>0.81481481481481477</v>
      </c>
      <c r="BD248" s="7">
        <f t="shared" si="104"/>
        <v>0.77777777777777779</v>
      </c>
      <c r="BE248">
        <f>step3_validation[[#This Row],[AI_OUT1]]</f>
        <v>9</v>
      </c>
      <c r="BF248">
        <f t="shared" si="105"/>
        <v>0.88888888888888884</v>
      </c>
      <c r="BG248">
        <f>survey_responses[[#This Row],[Sau khi xem xét các quyền lợi và nghĩa vụ, bạn có ủng hộ và tuân thủ chính sách mới hiện nay? - HUMAN-OUT1]]</f>
        <v>8</v>
      </c>
      <c r="BH248">
        <f t="shared" si="106"/>
        <v>0.77777777777777779</v>
      </c>
      <c r="BI248" s="32">
        <f t="shared" si="107"/>
        <v>1</v>
      </c>
    </row>
    <row r="249" spans="1:61" x14ac:dyDescent="0.45">
      <c r="A249" s="30">
        <f>step3_validation[[#This Row],[Persona_ID]]</f>
        <v>248</v>
      </c>
      <c r="B249" s="31">
        <f>step3_validation[[#This Row],[Used_Seed]]</f>
        <v>289</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46.699044308675738</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6</v>
      </c>
      <c r="R249">
        <f t="shared" si="81"/>
        <v>0.55555555555555558</v>
      </c>
      <c r="S249">
        <f>survey_responses[[#This Row],[Tôi tin rằng với các quy định quản lý thuế hiện nay, hành vi gian lận hoặc trốn thuế sẽ dễ dàng bị phát hiện và xử lý nghiêm. - HUMAN-ENF1]]</f>
        <v>7</v>
      </c>
      <c r="T249">
        <f t="shared" si="82"/>
        <v>0.66666666666666663</v>
      </c>
      <c r="U249">
        <f>step3_validation[[#This Row],[AI_ENF2]]</f>
        <v>7</v>
      </c>
      <c r="V249">
        <f t="shared" si="83"/>
        <v>0.66666666666666663</v>
      </c>
      <c r="W249">
        <f>survey_responses[[#This Row],[Tôi tin rằng Nhà nước, cơ quan thuế có đủ khả năng và công nghệ để phát hiện, xử lý nghiêm các hành vi trốn thuế. - HUMAN-ENF2]]</f>
        <v>7</v>
      </c>
      <c r="X249">
        <f t="shared" si="84"/>
        <v>0.66666666666666663</v>
      </c>
      <c r="Y249" s="32">
        <f t="shared" si="85"/>
        <v>0.61111111111111116</v>
      </c>
      <c r="Z249" s="32">
        <f t="shared" si="86"/>
        <v>0.66666666666666663</v>
      </c>
      <c r="AA249">
        <f>step3_validation[[#This Row],[AI_FAC1]]</f>
        <v>5</v>
      </c>
      <c r="AB249">
        <f t="shared" si="87"/>
        <v>0.44444444444444442</v>
      </c>
      <c r="AC249">
        <f>survey_responses[[#This Row],[Các thủ tục khai báo thuế VÀ/HOẶC quy trình làm việc với cơ quan thuế đơn giản, tiện lợi, nhanh chóng hơn so với trước đây. - HUMAN-FAC1]]</f>
        <v>7</v>
      </c>
      <c r="AD249">
        <f t="shared" si="88"/>
        <v>0.66666666666666663</v>
      </c>
      <c r="AE249">
        <f>step3_validation[[#This Row],[AI_FAC2]]</f>
        <v>8</v>
      </c>
      <c r="AF249">
        <f t="shared" si="89"/>
        <v>0.77777777777777779</v>
      </c>
      <c r="AG249">
        <f>survey_responses[[#This Row],[So với trước đây, tôi thấy cách tính thuế và các bậc thuế trong phương án mới đơn giản, dễ hiểu và dễ thực hiện hơn. - HUMAN-FAC2]]</f>
        <v>7</v>
      </c>
      <c r="AH249">
        <f t="shared" si="90"/>
        <v>0.66666666666666663</v>
      </c>
      <c r="AI249" s="32">
        <f t="shared" si="91"/>
        <v>0.61111111111111116</v>
      </c>
      <c r="AJ249" s="32">
        <f t="shared" si="92"/>
        <v>0.66666666666666663</v>
      </c>
      <c r="AK249">
        <f>step3_validation[[#This Row],[AI_TRU1]]</f>
        <v>6</v>
      </c>
      <c r="AL249">
        <f t="shared" si="93"/>
        <v>0.55555555555555558</v>
      </c>
      <c r="AM249">
        <f>survey_responses[[#This Row],[Tôi tin rằng Nhà nước, cơ quan thuế sẽ thực thi chính sách mới một cách khách quan, công tâm và đối xử bình đẳng với mọi người nộp thuế.  - HUMAN-TRU1]]</f>
        <v>7</v>
      </c>
      <c r="AN249">
        <f t="shared" si="94"/>
        <v>0.66666666666666663</v>
      </c>
      <c r="AO249">
        <f>step3_validation[[#This Row],[AI_TRU2]]</f>
        <v>9</v>
      </c>
      <c r="AP249">
        <f t="shared" si="95"/>
        <v>0.88888888888888884</v>
      </c>
      <c r="AQ249">
        <f>survey_responses[[#This Row],[Tôi thấy mức thuế tôi phải đóng theo phương án mới là công bằng (người thu nhập như tôi đóng mức này là hợp lý). - HUMAN-TRU2]]</f>
        <v>7</v>
      </c>
      <c r="AR249">
        <f t="shared" si="96"/>
        <v>0.66666666666666663</v>
      </c>
      <c r="AS249">
        <f>step3_validation[[#This Row],[AI_TRU3]]</f>
        <v>6</v>
      </c>
      <c r="AT249">
        <f t="shared" si="97"/>
        <v>0.55555555555555558</v>
      </c>
      <c r="AU249">
        <f>survey_responses[[#This Row],[Tôi tin tưởng số tiền thuế tôi đóng sẽ được Nhà nước sử dụng hiệu quả để cải thiện dịch vụ công (y tế, đường xá...). - HUMAN-TRU3]]</f>
        <v>7</v>
      </c>
      <c r="AV249">
        <f t="shared" si="98"/>
        <v>0.66666666666666663</v>
      </c>
      <c r="AW249">
        <f>step3_validation[[#This Row],[AI_TRU4]]</f>
        <v>8</v>
      </c>
      <c r="AX249">
        <f t="shared" si="99"/>
        <v>0.77777777777777779</v>
      </c>
      <c r="AY249">
        <f>survey_responses[[#This Row],[Tôi thấy Nhà nước đã giải thích rõ ràng, minh bạch về lý do và mục tiêu của việc sửa đổi thuế lần này. - HUMAN-TRU4]]</f>
        <v>7</v>
      </c>
      <c r="AZ249">
        <f t="shared" si="100"/>
        <v>0.66666666666666663</v>
      </c>
      <c r="BA249" s="32">
        <f t="shared" si="101"/>
        <v>0.69444444444444442</v>
      </c>
      <c r="BB249" s="32">
        <f t="shared" si="102"/>
        <v>0.66666666666666663</v>
      </c>
      <c r="BC249" s="7">
        <f t="shared" si="103"/>
        <v>0.63888888888888895</v>
      </c>
      <c r="BD249" s="7">
        <f t="shared" si="104"/>
        <v>0.66666666666666663</v>
      </c>
      <c r="BE249">
        <f>step3_validation[[#This Row],[AI_OUT1]]</f>
        <v>7</v>
      </c>
      <c r="BF249">
        <f t="shared" si="105"/>
        <v>0.66666666666666663</v>
      </c>
      <c r="BG249">
        <f>survey_responses[[#This Row],[Sau khi xem xét các quyền lợi và nghĩa vụ, bạn có ủng hộ và tuân thủ chính sách mới hiện nay? - HUMAN-OUT1]]</f>
        <v>7</v>
      </c>
      <c r="BH249">
        <f t="shared" si="106"/>
        <v>0.66666666666666663</v>
      </c>
      <c r="BI249" s="32">
        <f t="shared" si="107"/>
        <v>0</v>
      </c>
    </row>
    <row r="250" spans="1:61" x14ac:dyDescent="0.45">
      <c r="A250" s="30">
        <f>step3_validation[[#This Row],[Persona_ID]]</f>
        <v>249</v>
      </c>
      <c r="B250" s="31">
        <f>step3_validation[[#This Row],[Used_Seed]]</f>
        <v>290</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91.08033688967393</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6</v>
      </c>
      <c r="R250">
        <f t="shared" si="81"/>
        <v>0.55555555555555558</v>
      </c>
      <c r="S250">
        <f>survey_responses[[#This Row],[Tôi tin rằng với các quy định quản lý thuế hiện nay, hành vi gian lận hoặc trốn thuế sẽ dễ dàng bị phát hiện và xử lý nghiêm. - HUMAN-ENF1]]</f>
        <v>9</v>
      </c>
      <c r="T250">
        <f t="shared" si="82"/>
        <v>0.88888888888888884</v>
      </c>
      <c r="U250">
        <f>step3_validation[[#This Row],[AI_ENF2]]</f>
        <v>5</v>
      </c>
      <c r="V250">
        <f t="shared" si="83"/>
        <v>0.44444444444444442</v>
      </c>
      <c r="W250">
        <f>survey_responses[[#This Row],[Tôi tin rằng Nhà nước, cơ quan thuế có đủ khả năng và công nghệ để phát hiện, xử lý nghiêm các hành vi trốn thuế. - HUMAN-ENF2]]</f>
        <v>9</v>
      </c>
      <c r="X250">
        <f t="shared" si="84"/>
        <v>0.88888888888888884</v>
      </c>
      <c r="Y250" s="32">
        <f t="shared" si="85"/>
        <v>0.5</v>
      </c>
      <c r="Z250" s="32">
        <f t="shared" si="86"/>
        <v>0.88888888888888884</v>
      </c>
      <c r="AA250">
        <f>step3_validation[[#This Row],[AI_FAC1]]</f>
        <v>8</v>
      </c>
      <c r="AB250">
        <f t="shared" si="87"/>
        <v>0.77777777777777779</v>
      </c>
      <c r="AC250">
        <f>survey_responses[[#This Row],[Các thủ tục khai báo thuế VÀ/HOẶC quy trình làm việc với cơ quan thuế đơn giản, tiện lợi, nhanh chóng hơn so với trước đây. - HUMAN-FAC1]]</f>
        <v>9</v>
      </c>
      <c r="AD250">
        <f t="shared" si="88"/>
        <v>0.88888888888888884</v>
      </c>
      <c r="AE250">
        <f>step3_validation[[#This Row],[AI_FAC2]]</f>
        <v>9</v>
      </c>
      <c r="AF250">
        <f t="shared" si="89"/>
        <v>0.88888888888888884</v>
      </c>
      <c r="AG250">
        <f>survey_responses[[#This Row],[So với trước đây, tôi thấy cách tính thuế và các bậc thuế trong phương án mới đơn giản, dễ hiểu và dễ thực hiện hơn. - HUMAN-FAC2]]</f>
        <v>9</v>
      </c>
      <c r="AH250">
        <f t="shared" si="90"/>
        <v>0.88888888888888884</v>
      </c>
      <c r="AI250" s="32">
        <f t="shared" si="91"/>
        <v>0.83333333333333326</v>
      </c>
      <c r="AJ250" s="32">
        <f t="shared" si="92"/>
        <v>0.88888888888888884</v>
      </c>
      <c r="AK250">
        <f>step3_validation[[#This Row],[AI_TRU1]]</f>
        <v>7</v>
      </c>
      <c r="AL250">
        <f t="shared" si="93"/>
        <v>0.66666666666666663</v>
      </c>
      <c r="AM250">
        <f>survey_responses[[#This Row],[Tôi tin rằng Nhà nước, cơ quan thuế sẽ thực thi chính sách mới một cách khách quan, công tâm và đối xử bình đẳng với mọi người nộp thuế.  - HUMAN-TRU1]]</f>
        <v>9</v>
      </c>
      <c r="AN250">
        <f t="shared" si="94"/>
        <v>0.88888888888888884</v>
      </c>
      <c r="AO250">
        <f>step3_validation[[#This Row],[AI_TRU2]]</f>
        <v>8</v>
      </c>
      <c r="AP250">
        <f t="shared" si="95"/>
        <v>0.77777777777777779</v>
      </c>
      <c r="AQ250">
        <f>survey_responses[[#This Row],[Tôi thấy mức thuế tôi phải đóng theo phương án mới là công bằng (người thu nhập như tôi đóng mức này là hợp lý). - HUMAN-TRU2]]</f>
        <v>9</v>
      </c>
      <c r="AR250">
        <f t="shared" si="96"/>
        <v>0.88888888888888884</v>
      </c>
      <c r="AS250">
        <f>step3_validation[[#This Row],[AI_TRU3]]</f>
        <v>7</v>
      </c>
      <c r="AT250">
        <f t="shared" si="97"/>
        <v>0.66666666666666663</v>
      </c>
      <c r="AU250">
        <f>survey_responses[[#This Row],[Tôi tin tưởng số tiền thuế tôi đóng sẽ được Nhà nước sử dụng hiệu quả để cải thiện dịch vụ công (y tế, đường xá...). - HUMAN-TRU3]]</f>
        <v>9</v>
      </c>
      <c r="AV250">
        <f t="shared" si="98"/>
        <v>0.88888888888888884</v>
      </c>
      <c r="AW250">
        <f>step3_validation[[#This Row],[AI_TRU4]]</f>
        <v>6</v>
      </c>
      <c r="AX250">
        <f t="shared" si="99"/>
        <v>0.55555555555555558</v>
      </c>
      <c r="AY250">
        <f>survey_responses[[#This Row],[Tôi thấy Nhà nước đã giải thích rõ ràng, minh bạch về lý do và mục tiêu của việc sửa đổi thuế lần này. - HUMAN-TRU4]]</f>
        <v>9</v>
      </c>
      <c r="AZ250">
        <f t="shared" si="100"/>
        <v>0.88888888888888884</v>
      </c>
      <c r="BA250" s="32">
        <f t="shared" si="101"/>
        <v>0.66666666666666674</v>
      </c>
      <c r="BB250" s="32">
        <f t="shared" si="102"/>
        <v>0.88888888888888884</v>
      </c>
      <c r="BC250" s="7">
        <f t="shared" si="103"/>
        <v>0.66666666666666663</v>
      </c>
      <c r="BD250" s="7">
        <f t="shared" si="104"/>
        <v>0.88888888888888884</v>
      </c>
      <c r="BE250">
        <f>step3_validation[[#This Row],[AI_OUT1]]</f>
        <v>8</v>
      </c>
      <c r="BF250">
        <f t="shared" si="105"/>
        <v>0.77777777777777779</v>
      </c>
      <c r="BG250">
        <f>survey_responses[[#This Row],[Sau khi xem xét các quyền lợi và nghĩa vụ, bạn có ủng hộ và tuân thủ chính sách mới hiện nay? - HUMAN-OUT1]]</f>
        <v>9</v>
      </c>
      <c r="BH250">
        <f t="shared" si="106"/>
        <v>0.88888888888888884</v>
      </c>
      <c r="BI250" s="32">
        <f t="shared" si="107"/>
        <v>1</v>
      </c>
    </row>
    <row r="251" spans="1:61" x14ac:dyDescent="0.45">
      <c r="A251" s="30">
        <f>step3_validation[[#This Row],[Persona_ID]]</f>
        <v>250</v>
      </c>
      <c r="B251" s="31">
        <f>step3_validation[[#This Row],[Used_Seed]]</f>
        <v>291</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60.161713037313774</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7</v>
      </c>
      <c r="R251">
        <f t="shared" si="81"/>
        <v>0.66666666666666663</v>
      </c>
      <c r="S251">
        <f>survey_responses[[#This Row],[Tôi tin rằng với các quy định quản lý thuế hiện nay, hành vi gian lận hoặc trốn thuế sẽ dễ dàng bị phát hiện và xử lý nghiêm. - HUMAN-ENF1]]</f>
        <v>7</v>
      </c>
      <c r="T251">
        <f t="shared" si="82"/>
        <v>0.66666666666666663</v>
      </c>
      <c r="U251">
        <f>step3_validation[[#This Row],[AI_ENF2]]</f>
        <v>6</v>
      </c>
      <c r="V251">
        <f t="shared" si="83"/>
        <v>0.55555555555555558</v>
      </c>
      <c r="W251">
        <f>survey_responses[[#This Row],[Tôi tin rằng Nhà nước, cơ quan thuế có đủ khả năng và công nghệ để phát hiện, xử lý nghiêm các hành vi trốn thuế. - HUMAN-ENF2]]</f>
        <v>6</v>
      </c>
      <c r="X251">
        <f t="shared" si="84"/>
        <v>0.55555555555555558</v>
      </c>
      <c r="Y251" s="32">
        <f t="shared" si="85"/>
        <v>0.61111111111111116</v>
      </c>
      <c r="Z251" s="32">
        <f t="shared" si="86"/>
        <v>0.61111111111111116</v>
      </c>
      <c r="AA251">
        <f>step3_validation[[#This Row],[AI_FAC1]]</f>
        <v>8</v>
      </c>
      <c r="AB251">
        <f t="shared" si="87"/>
        <v>0.77777777777777779</v>
      </c>
      <c r="AC251">
        <f>survey_responses[[#This Row],[Các thủ tục khai báo thuế VÀ/HOẶC quy trình làm việc với cơ quan thuế đơn giản, tiện lợi, nhanh chóng hơn so với trước đây. - HUMAN-FAC1]]</f>
        <v>5</v>
      </c>
      <c r="AD251">
        <f t="shared" si="88"/>
        <v>0.44444444444444442</v>
      </c>
      <c r="AE251">
        <f>step3_validation[[#This Row],[AI_FAC2]]</f>
        <v>9</v>
      </c>
      <c r="AF251">
        <f t="shared" si="89"/>
        <v>0.88888888888888884</v>
      </c>
      <c r="AG251">
        <f>survey_responses[[#This Row],[So với trước đây, tôi thấy cách tính thuế và các bậc thuế trong phương án mới đơn giản, dễ hiểu và dễ thực hiện hơn. - HUMAN-FAC2]]</f>
        <v>6</v>
      </c>
      <c r="AH251">
        <f t="shared" si="90"/>
        <v>0.55555555555555558</v>
      </c>
      <c r="AI251" s="32">
        <f t="shared" si="91"/>
        <v>0.83333333333333326</v>
      </c>
      <c r="AJ251" s="32">
        <f t="shared" si="92"/>
        <v>0.5</v>
      </c>
      <c r="AK251">
        <f>step3_validation[[#This Row],[AI_TRU1]]</f>
        <v>7</v>
      </c>
      <c r="AL251">
        <f t="shared" si="93"/>
        <v>0.66666666666666663</v>
      </c>
      <c r="AM251">
        <f>survey_responses[[#This Row],[Tôi tin rằng Nhà nước, cơ quan thuế sẽ thực thi chính sách mới một cách khách quan, công tâm và đối xử bình đẳng với mọi người nộp thuế.  - HUMAN-TRU1]]</f>
        <v>6</v>
      </c>
      <c r="AN251">
        <f t="shared" si="94"/>
        <v>0.55555555555555558</v>
      </c>
      <c r="AO251">
        <f>step3_validation[[#This Row],[AI_TRU2]]</f>
        <v>8</v>
      </c>
      <c r="AP251">
        <f t="shared" si="95"/>
        <v>0.77777777777777779</v>
      </c>
      <c r="AQ251">
        <f>survey_responses[[#This Row],[Tôi thấy mức thuế tôi phải đóng theo phương án mới là công bằng (người thu nhập như tôi đóng mức này là hợp lý). - HUMAN-TRU2]]</f>
        <v>6</v>
      </c>
      <c r="AR251">
        <f t="shared" si="96"/>
        <v>0.55555555555555558</v>
      </c>
      <c r="AS251">
        <f>step3_validation[[#This Row],[AI_TRU3]]</f>
        <v>7</v>
      </c>
      <c r="AT251">
        <f t="shared" si="97"/>
        <v>0.66666666666666663</v>
      </c>
      <c r="AU251">
        <f>survey_responses[[#This Row],[Tôi tin tưởng số tiền thuế tôi đóng sẽ được Nhà nước sử dụng hiệu quả để cải thiện dịch vụ công (y tế, đường xá...). - HUMAN-TRU3]]</f>
        <v>6</v>
      </c>
      <c r="AV251">
        <f t="shared" si="98"/>
        <v>0.55555555555555558</v>
      </c>
      <c r="AW251">
        <f>step3_validation[[#This Row],[AI_TRU4]]</f>
        <v>8</v>
      </c>
      <c r="AX251">
        <f t="shared" si="99"/>
        <v>0.77777777777777779</v>
      </c>
      <c r="AY251">
        <f>survey_responses[[#This Row],[Tôi thấy Nhà nước đã giải thích rõ ràng, minh bạch về lý do và mục tiêu của việc sửa đổi thuế lần này. - HUMAN-TRU4]]</f>
        <v>6</v>
      </c>
      <c r="AZ251">
        <f t="shared" si="100"/>
        <v>0.55555555555555558</v>
      </c>
      <c r="BA251" s="32">
        <f t="shared" si="101"/>
        <v>0.72222222222222221</v>
      </c>
      <c r="BB251" s="32">
        <f t="shared" si="102"/>
        <v>0.55555555555555558</v>
      </c>
      <c r="BC251" s="7">
        <f t="shared" si="103"/>
        <v>0.72222222222222221</v>
      </c>
      <c r="BD251" s="7">
        <f t="shared" si="104"/>
        <v>0.55555555555555558</v>
      </c>
      <c r="BE251">
        <f>step3_validation[[#This Row],[AI_OUT1]]</f>
        <v>9</v>
      </c>
      <c r="BF251">
        <f t="shared" si="105"/>
        <v>0.88888888888888884</v>
      </c>
      <c r="BG251">
        <f>survey_responses[[#This Row],[Sau khi xem xét các quyền lợi và nghĩa vụ, bạn có ủng hộ và tuân thủ chính sách mới hiện nay? - HUMAN-OUT1]]</f>
        <v>7</v>
      </c>
      <c r="BH251">
        <f t="shared" si="106"/>
        <v>0.66666666666666663</v>
      </c>
      <c r="BI251" s="32">
        <f t="shared" si="107"/>
        <v>2</v>
      </c>
    </row>
    <row r="252" spans="1:61" x14ac:dyDescent="0.45">
      <c r="A252" s="30">
        <f>step3_validation[[#This Row],[Persona_ID]]</f>
        <v>251</v>
      </c>
      <c r="B252" s="31">
        <f>step3_validation[[#This Row],[Used_Seed]]</f>
        <v>292</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32.406243853971198</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f t="shared" si="81"/>
        <v>0.66666666666666663</v>
      </c>
      <c r="S252">
        <f>survey_responses[[#This Row],[Tôi tin rằng với các quy định quản lý thuế hiện nay, hành vi gian lận hoặc trốn thuế sẽ dễ dàng bị phát hiện và xử lý nghiêm. - HUMAN-ENF1]]</f>
        <v>8</v>
      </c>
      <c r="T252">
        <f t="shared" si="82"/>
        <v>0.77777777777777779</v>
      </c>
      <c r="U252">
        <f>step3_validation[[#This Row],[AI_ENF2]]</f>
        <v>6</v>
      </c>
      <c r="V252">
        <f t="shared" si="83"/>
        <v>0.55555555555555558</v>
      </c>
      <c r="W252">
        <f>survey_responses[[#This Row],[Tôi tin rằng Nhà nước, cơ quan thuế có đủ khả năng và công nghệ để phát hiện, xử lý nghiêm các hành vi trốn thuế. - HUMAN-ENF2]]</f>
        <v>8</v>
      </c>
      <c r="X252">
        <f t="shared" si="84"/>
        <v>0.77777777777777779</v>
      </c>
      <c r="Y252" s="32">
        <f t="shared" si="85"/>
        <v>0.61111111111111116</v>
      </c>
      <c r="Z252" s="32">
        <f t="shared" si="86"/>
        <v>0.77777777777777779</v>
      </c>
      <c r="AA252">
        <f>step3_validation[[#This Row],[AI_FAC1]]</f>
        <v>9</v>
      </c>
      <c r="AB252">
        <f t="shared" si="87"/>
        <v>0.88888888888888884</v>
      </c>
      <c r="AC252">
        <f>survey_responses[[#This Row],[Các thủ tục khai báo thuế VÀ/HOẶC quy trình làm việc với cơ quan thuế đơn giản, tiện lợi, nhanh chóng hơn so với trước đây. - HUMAN-FAC1]]</f>
        <v>8</v>
      </c>
      <c r="AD252">
        <f t="shared" si="88"/>
        <v>0.77777777777777779</v>
      </c>
      <c r="AE252">
        <f>step3_validation[[#This Row],[AI_FAC2]]</f>
        <v>8</v>
      </c>
      <c r="AF252">
        <f t="shared" si="89"/>
        <v>0.77777777777777779</v>
      </c>
      <c r="AG252">
        <f>survey_responses[[#This Row],[So với trước đây, tôi thấy cách tính thuế và các bậc thuế trong phương án mới đơn giản, dễ hiểu và dễ thực hiện hơn. - HUMAN-FAC2]]</f>
        <v>9</v>
      </c>
      <c r="AH252">
        <f t="shared" si="90"/>
        <v>0.88888888888888884</v>
      </c>
      <c r="AI252" s="32">
        <f t="shared" si="91"/>
        <v>0.83333333333333326</v>
      </c>
      <c r="AJ252" s="32">
        <f t="shared" si="92"/>
        <v>0.83333333333333326</v>
      </c>
      <c r="AK252">
        <f>step3_validation[[#This Row],[AI_TRU1]]</f>
        <v>7</v>
      </c>
      <c r="AL252">
        <f t="shared" si="93"/>
        <v>0.66666666666666663</v>
      </c>
      <c r="AM252">
        <f>survey_responses[[#This Row],[Tôi tin rằng Nhà nước, cơ quan thuế sẽ thực thi chính sách mới một cách khách quan, công tâm và đối xử bình đẳng với mọi người nộp thuế.  - HUMAN-TRU1]]</f>
        <v>8</v>
      </c>
      <c r="AN252">
        <f t="shared" si="94"/>
        <v>0.77777777777777779</v>
      </c>
      <c r="AO252">
        <f>step3_validation[[#This Row],[AI_TRU2]]</f>
        <v>8</v>
      </c>
      <c r="AP252">
        <f t="shared" si="95"/>
        <v>0.77777777777777779</v>
      </c>
      <c r="AQ252">
        <f>survey_responses[[#This Row],[Tôi thấy mức thuế tôi phải đóng theo phương án mới là công bằng (người thu nhập như tôi đóng mức này là hợp lý). - HUMAN-TRU2]]</f>
        <v>10</v>
      </c>
      <c r="AR252">
        <f t="shared" si="96"/>
        <v>1</v>
      </c>
      <c r="AS252">
        <f>step3_validation[[#This Row],[AI_TRU3]]</f>
        <v>6</v>
      </c>
      <c r="AT252">
        <f t="shared" si="97"/>
        <v>0.55555555555555558</v>
      </c>
      <c r="AU252">
        <f>survey_responses[[#This Row],[Tôi tin tưởng số tiền thuế tôi đóng sẽ được Nhà nước sử dụng hiệu quả để cải thiện dịch vụ công (y tế, đường xá...). - HUMAN-TRU3]]</f>
        <v>7</v>
      </c>
      <c r="AV252">
        <f t="shared" si="98"/>
        <v>0.66666666666666663</v>
      </c>
      <c r="AW252">
        <f>step3_validation[[#This Row],[AI_TRU4]]</f>
        <v>7</v>
      </c>
      <c r="AX252">
        <f t="shared" si="99"/>
        <v>0.66666666666666663</v>
      </c>
      <c r="AY252">
        <f>survey_responses[[#This Row],[Tôi thấy Nhà nước đã giải thích rõ ràng, minh bạch về lý do và mục tiêu của việc sửa đổi thuế lần này. - HUMAN-TRU4]]</f>
        <v>7</v>
      </c>
      <c r="AZ252">
        <f t="shared" si="100"/>
        <v>0.66666666666666663</v>
      </c>
      <c r="BA252" s="32">
        <f t="shared" si="101"/>
        <v>0.66666666666666663</v>
      </c>
      <c r="BB252" s="32">
        <f t="shared" si="102"/>
        <v>0.77777777777777768</v>
      </c>
      <c r="BC252" s="7">
        <f t="shared" si="103"/>
        <v>0.70370370370370372</v>
      </c>
      <c r="BD252" s="7">
        <f t="shared" si="104"/>
        <v>0.79629629629629628</v>
      </c>
      <c r="BE252">
        <f>step3_validation[[#This Row],[AI_OUT1]]</f>
        <v>9</v>
      </c>
      <c r="BF252">
        <f t="shared" si="105"/>
        <v>0.88888888888888884</v>
      </c>
      <c r="BG252">
        <f>survey_responses[[#This Row],[Sau khi xem xét các quyền lợi và nghĩa vụ, bạn có ủng hộ và tuân thủ chính sách mới hiện nay? - HUMAN-OUT1]]</f>
        <v>10</v>
      </c>
      <c r="BH252">
        <f t="shared" si="106"/>
        <v>1</v>
      </c>
      <c r="BI252" s="32">
        <f t="shared" si="107"/>
        <v>1</v>
      </c>
    </row>
    <row r="253" spans="1:61" x14ac:dyDescent="0.45">
      <c r="A253" s="30">
        <f>step3_validation[[#This Row],[Persona_ID]]</f>
        <v>252</v>
      </c>
      <c r="B253" s="31">
        <f>step3_validation[[#This Row],[Used_Seed]]</f>
        <v>293</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60.95442128279155</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6</v>
      </c>
      <c r="R253">
        <f t="shared" si="81"/>
        <v>0.55555555555555558</v>
      </c>
      <c r="S253">
        <f>survey_responses[[#This Row],[Tôi tin rằng với các quy định quản lý thuế hiện nay, hành vi gian lận hoặc trốn thuế sẽ dễ dàng bị phát hiện và xử lý nghiêm. - HUMAN-ENF1]]</f>
        <v>6</v>
      </c>
      <c r="T253">
        <f t="shared" si="82"/>
        <v>0.55555555555555558</v>
      </c>
      <c r="U253">
        <f>step3_validation[[#This Row],[AI_ENF2]]</f>
        <v>7</v>
      </c>
      <c r="V253">
        <f t="shared" si="83"/>
        <v>0.66666666666666663</v>
      </c>
      <c r="W253">
        <f>survey_responses[[#This Row],[Tôi tin rằng Nhà nước, cơ quan thuế có đủ khả năng và công nghệ để phát hiện, xử lý nghiêm các hành vi trốn thuế. - HUMAN-ENF2]]</f>
        <v>6</v>
      </c>
      <c r="X253">
        <f t="shared" si="84"/>
        <v>0.55555555555555558</v>
      </c>
      <c r="Y253" s="32">
        <f t="shared" si="85"/>
        <v>0.61111111111111116</v>
      </c>
      <c r="Z253" s="32">
        <f t="shared" si="86"/>
        <v>0.55555555555555558</v>
      </c>
      <c r="AA253">
        <f>step3_validation[[#This Row],[AI_FAC1]]</f>
        <v>8</v>
      </c>
      <c r="AB253">
        <f t="shared" si="87"/>
        <v>0.77777777777777779</v>
      </c>
      <c r="AC253">
        <f>survey_responses[[#This Row],[Các thủ tục khai báo thuế VÀ/HOẶC quy trình làm việc với cơ quan thuế đơn giản, tiện lợi, nhanh chóng hơn so với trước đây. - HUMAN-FAC1]]</f>
        <v>1</v>
      </c>
      <c r="AD253">
        <f t="shared" si="88"/>
        <v>0</v>
      </c>
      <c r="AE253">
        <f>step3_validation[[#This Row],[AI_FAC2]]</f>
        <v>9</v>
      </c>
      <c r="AF253">
        <f t="shared" si="89"/>
        <v>0.88888888888888884</v>
      </c>
      <c r="AG253">
        <f>survey_responses[[#This Row],[So với trước đây, tôi thấy cách tính thuế và các bậc thuế trong phương án mới đơn giản, dễ hiểu và dễ thực hiện hơn. - HUMAN-FAC2]]</f>
        <v>6</v>
      </c>
      <c r="AH253">
        <f t="shared" si="90"/>
        <v>0.55555555555555558</v>
      </c>
      <c r="AI253" s="32">
        <f t="shared" si="91"/>
        <v>0.83333333333333326</v>
      </c>
      <c r="AJ253" s="32">
        <f t="shared" si="92"/>
        <v>0.27777777777777779</v>
      </c>
      <c r="AK253">
        <f>step3_validation[[#This Row],[AI_TRU1]]</f>
        <v>7</v>
      </c>
      <c r="AL253">
        <f t="shared" si="93"/>
        <v>0.66666666666666663</v>
      </c>
      <c r="AM253">
        <f>survey_responses[[#This Row],[Tôi tin rằng Nhà nước, cơ quan thuế sẽ thực thi chính sách mới một cách khách quan, công tâm và đối xử bình đẳng với mọi người nộp thuế.  - HUMAN-TRU1]]</f>
        <v>5</v>
      </c>
      <c r="AN253">
        <f t="shared" si="94"/>
        <v>0.44444444444444442</v>
      </c>
      <c r="AO253">
        <f>step3_validation[[#This Row],[AI_TRU2]]</f>
        <v>8</v>
      </c>
      <c r="AP253">
        <f t="shared" si="95"/>
        <v>0.77777777777777779</v>
      </c>
      <c r="AQ253">
        <f>survey_responses[[#This Row],[Tôi thấy mức thuế tôi phải đóng theo phương án mới là công bằng (người thu nhập như tôi đóng mức này là hợp lý). - HUMAN-TRU2]]</f>
        <v>6</v>
      </c>
      <c r="AR253">
        <f t="shared" si="96"/>
        <v>0.55555555555555558</v>
      </c>
      <c r="AS253">
        <f>step3_validation[[#This Row],[AI_TRU3]]</f>
        <v>7</v>
      </c>
      <c r="AT253">
        <f t="shared" si="97"/>
        <v>0.66666666666666663</v>
      </c>
      <c r="AU253">
        <f>survey_responses[[#This Row],[Tôi tin tưởng số tiền thuế tôi đóng sẽ được Nhà nước sử dụng hiệu quả để cải thiện dịch vụ công (y tế, đường xá...). - HUMAN-TRU3]]</f>
        <v>6</v>
      </c>
      <c r="AV253">
        <f t="shared" si="98"/>
        <v>0.55555555555555558</v>
      </c>
      <c r="AW253">
        <f>step3_validation[[#This Row],[AI_TRU4]]</f>
        <v>8</v>
      </c>
      <c r="AX253">
        <f t="shared" si="99"/>
        <v>0.77777777777777779</v>
      </c>
      <c r="AY253">
        <f>survey_responses[[#This Row],[Tôi thấy Nhà nước đã giải thích rõ ràng, minh bạch về lý do và mục tiêu của việc sửa đổi thuế lần này. - HUMAN-TRU4]]</f>
        <v>6</v>
      </c>
      <c r="AZ253">
        <f t="shared" si="100"/>
        <v>0.55555555555555558</v>
      </c>
      <c r="BA253" s="32">
        <f t="shared" si="101"/>
        <v>0.72222222222222221</v>
      </c>
      <c r="BB253" s="32">
        <f t="shared" si="102"/>
        <v>0.52777777777777779</v>
      </c>
      <c r="BC253" s="7">
        <f t="shared" si="103"/>
        <v>0.72222222222222221</v>
      </c>
      <c r="BD253" s="7">
        <f t="shared" si="104"/>
        <v>0.45370370370370372</v>
      </c>
      <c r="BE253">
        <f>step3_validation[[#This Row],[AI_OUT1]]</f>
        <v>9</v>
      </c>
      <c r="BF253">
        <f t="shared" si="105"/>
        <v>0.88888888888888884</v>
      </c>
      <c r="BG253">
        <f>survey_responses[[#This Row],[Sau khi xem xét các quyền lợi và nghĩa vụ, bạn có ủng hộ và tuân thủ chính sách mới hiện nay? - HUMAN-OUT1]]</f>
        <v>6</v>
      </c>
      <c r="BH253">
        <f t="shared" si="106"/>
        <v>0.55555555555555558</v>
      </c>
      <c r="BI253" s="32">
        <f t="shared" si="107"/>
        <v>3</v>
      </c>
    </row>
    <row r="254" spans="1:61" x14ac:dyDescent="0.45">
      <c r="A254" s="30">
        <f>step3_validation[[#This Row],[Persona_ID]]</f>
        <v>253</v>
      </c>
      <c r="B254" s="31">
        <f>step3_validation[[#This Row],[Used_Seed]]</f>
        <v>294</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87.557608548001312</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f t="shared" si="81"/>
        <v>0.66666666666666663</v>
      </c>
      <c r="S254">
        <f>survey_responses[[#This Row],[Tôi tin rằng với các quy định quản lý thuế hiện nay, hành vi gian lận hoặc trốn thuế sẽ dễ dàng bị phát hiện và xử lý nghiêm. - HUMAN-ENF1]]</f>
        <v>8</v>
      </c>
      <c r="T254">
        <f t="shared" si="82"/>
        <v>0.77777777777777779</v>
      </c>
      <c r="U254">
        <f>step3_validation[[#This Row],[AI_ENF2]]</f>
        <v>8</v>
      </c>
      <c r="V254">
        <f t="shared" si="83"/>
        <v>0.77777777777777779</v>
      </c>
      <c r="W254">
        <f>survey_responses[[#This Row],[Tôi tin rằng Nhà nước, cơ quan thuế có đủ khả năng và công nghệ để phát hiện, xử lý nghiêm các hành vi trốn thuế. - HUMAN-ENF2]]</f>
        <v>8</v>
      </c>
      <c r="X254">
        <f t="shared" si="84"/>
        <v>0.77777777777777779</v>
      </c>
      <c r="Y254" s="32">
        <f t="shared" si="85"/>
        <v>0.72222222222222221</v>
      </c>
      <c r="Z254" s="32">
        <f t="shared" si="86"/>
        <v>0.77777777777777779</v>
      </c>
      <c r="AA254">
        <f>step3_validation[[#This Row],[AI_FAC1]]</f>
        <v>9</v>
      </c>
      <c r="AB254">
        <f t="shared" si="87"/>
        <v>0.88888888888888884</v>
      </c>
      <c r="AC254">
        <f>survey_responses[[#This Row],[Các thủ tục khai báo thuế VÀ/HOẶC quy trình làm việc với cơ quan thuế đơn giản, tiện lợi, nhanh chóng hơn so với trước đây. - HUMAN-FAC1]]</f>
        <v>3</v>
      </c>
      <c r="AD254">
        <f t="shared" si="88"/>
        <v>0.22222222222222221</v>
      </c>
      <c r="AE254">
        <f>step3_validation[[#This Row],[AI_FAC2]]</f>
        <v>10</v>
      </c>
      <c r="AF254">
        <f t="shared" si="89"/>
        <v>1</v>
      </c>
      <c r="AG254">
        <f>survey_responses[[#This Row],[So với trước đây, tôi thấy cách tính thuế và các bậc thuế trong phương án mới đơn giản, dễ hiểu và dễ thực hiện hơn. - HUMAN-FAC2]]</f>
        <v>9</v>
      </c>
      <c r="AH254">
        <f t="shared" si="90"/>
        <v>0.88888888888888884</v>
      </c>
      <c r="AI254" s="32">
        <f t="shared" si="91"/>
        <v>0.94444444444444442</v>
      </c>
      <c r="AJ254" s="32">
        <f t="shared" si="92"/>
        <v>0.55555555555555558</v>
      </c>
      <c r="AK254">
        <f>step3_validation[[#This Row],[AI_TRU1]]</f>
        <v>8</v>
      </c>
      <c r="AL254">
        <f t="shared" si="93"/>
        <v>0.77777777777777779</v>
      </c>
      <c r="AM254">
        <f>survey_responses[[#This Row],[Tôi tin rằng Nhà nước, cơ quan thuế sẽ thực thi chính sách mới một cách khách quan, công tâm và đối xử bình đẳng với mọi người nộp thuế.  - HUMAN-TRU1]]</f>
        <v>8</v>
      </c>
      <c r="AN254">
        <f t="shared" si="94"/>
        <v>0.77777777777777779</v>
      </c>
      <c r="AO254">
        <f>step3_validation[[#This Row],[AI_TRU2]]</f>
        <v>9</v>
      </c>
      <c r="AP254">
        <f t="shared" si="95"/>
        <v>0.88888888888888884</v>
      </c>
      <c r="AQ254">
        <f>survey_responses[[#This Row],[Tôi thấy mức thuế tôi phải đóng theo phương án mới là công bằng (người thu nhập như tôi đóng mức này là hợp lý). - HUMAN-TRU2]]</f>
        <v>8</v>
      </c>
      <c r="AR254">
        <f t="shared" si="96"/>
        <v>0.77777777777777779</v>
      </c>
      <c r="AS254">
        <f>step3_validation[[#This Row],[AI_TRU3]]</f>
        <v>7</v>
      </c>
      <c r="AT254">
        <f t="shared" si="97"/>
        <v>0.66666666666666663</v>
      </c>
      <c r="AU254">
        <f>survey_responses[[#This Row],[Tôi tin tưởng số tiền thuế tôi đóng sẽ được Nhà nước sử dụng hiệu quả để cải thiện dịch vụ công (y tế, đường xá...). - HUMAN-TRU3]]</f>
        <v>8</v>
      </c>
      <c r="AV254">
        <f t="shared" si="98"/>
        <v>0.77777777777777779</v>
      </c>
      <c r="AW254">
        <f>step3_validation[[#This Row],[AI_TRU4]]</f>
        <v>8</v>
      </c>
      <c r="AX254">
        <f t="shared" si="99"/>
        <v>0.77777777777777779</v>
      </c>
      <c r="AY254">
        <f>survey_responses[[#This Row],[Tôi thấy Nhà nước đã giải thích rõ ràng, minh bạch về lý do và mục tiêu của việc sửa đổi thuế lần này. - HUMAN-TRU4]]</f>
        <v>8</v>
      </c>
      <c r="AZ254">
        <f t="shared" si="100"/>
        <v>0.77777777777777779</v>
      </c>
      <c r="BA254" s="32">
        <f t="shared" si="101"/>
        <v>0.77777777777777768</v>
      </c>
      <c r="BB254" s="32">
        <f t="shared" si="102"/>
        <v>0.77777777777777779</v>
      </c>
      <c r="BC254" s="7">
        <f t="shared" si="103"/>
        <v>0.81481481481481477</v>
      </c>
      <c r="BD254" s="7">
        <f t="shared" si="104"/>
        <v>0.70370370370370372</v>
      </c>
      <c r="BE254">
        <f>step3_validation[[#This Row],[AI_OUT1]]</f>
        <v>9</v>
      </c>
      <c r="BF254">
        <f t="shared" si="105"/>
        <v>0.88888888888888884</v>
      </c>
      <c r="BG254">
        <f>survey_responses[[#This Row],[Sau khi xem xét các quyền lợi và nghĩa vụ, bạn có ủng hộ và tuân thủ chính sách mới hiện nay? - HUMAN-OUT1]]</f>
        <v>8</v>
      </c>
      <c r="BH254">
        <f t="shared" si="106"/>
        <v>0.77777777777777779</v>
      </c>
      <c r="BI254" s="32">
        <f t="shared" si="107"/>
        <v>1</v>
      </c>
    </row>
    <row r="255" spans="1:61" x14ac:dyDescent="0.45">
      <c r="A255" s="30">
        <f>step3_validation[[#This Row],[Persona_ID]]</f>
        <v>254</v>
      </c>
      <c r="B255" s="31">
        <f>step3_validation[[#This Row],[Used_Seed]]</f>
        <v>295</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73.395363848232748</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8</v>
      </c>
      <c r="R255">
        <f t="shared" si="81"/>
        <v>0.77777777777777779</v>
      </c>
      <c r="S255">
        <f>survey_responses[[#This Row],[Tôi tin rằng với các quy định quản lý thuế hiện nay, hành vi gian lận hoặc trốn thuế sẽ dễ dàng bị phát hiện và xử lý nghiêm. - HUMAN-ENF1]]</f>
        <v>4</v>
      </c>
      <c r="T255">
        <f t="shared" si="82"/>
        <v>0.33333333333333331</v>
      </c>
      <c r="U255">
        <f>step3_validation[[#This Row],[AI_ENF2]]</f>
        <v>9</v>
      </c>
      <c r="V255">
        <f t="shared" si="83"/>
        <v>0.88888888888888884</v>
      </c>
      <c r="W255">
        <f>survey_responses[[#This Row],[Tôi tin rằng Nhà nước, cơ quan thuế có đủ khả năng và công nghệ để phát hiện, xử lý nghiêm các hành vi trốn thuế. - HUMAN-ENF2]]</f>
        <v>3</v>
      </c>
      <c r="X255">
        <f t="shared" si="84"/>
        <v>0.22222222222222221</v>
      </c>
      <c r="Y255" s="32">
        <f t="shared" si="85"/>
        <v>0.83333333333333326</v>
      </c>
      <c r="Z255" s="32">
        <f t="shared" si="86"/>
        <v>0.27777777777777779</v>
      </c>
      <c r="AA255">
        <f>step3_validation[[#This Row],[AI_FAC1]]</f>
        <v>8</v>
      </c>
      <c r="AB255">
        <f t="shared" si="87"/>
        <v>0.77777777777777779</v>
      </c>
      <c r="AC255">
        <f>survey_responses[[#This Row],[Các thủ tục khai báo thuế VÀ/HOẶC quy trình làm việc với cơ quan thuế đơn giản, tiện lợi, nhanh chóng hơn so với trước đây. - HUMAN-FAC1]]</f>
        <v>1</v>
      </c>
      <c r="AD255">
        <f t="shared" si="88"/>
        <v>0</v>
      </c>
      <c r="AE255">
        <f>step3_validation[[#This Row],[AI_FAC2]]</f>
        <v>9</v>
      </c>
      <c r="AF255">
        <f t="shared" si="89"/>
        <v>0.88888888888888884</v>
      </c>
      <c r="AG255">
        <f>survey_responses[[#This Row],[So với trước đây, tôi thấy cách tính thuế và các bậc thuế trong phương án mới đơn giản, dễ hiểu và dễ thực hiện hơn. - HUMAN-FAC2]]</f>
        <v>7</v>
      </c>
      <c r="AH255">
        <f t="shared" si="90"/>
        <v>0.66666666666666663</v>
      </c>
      <c r="AI255" s="32">
        <f t="shared" si="91"/>
        <v>0.83333333333333326</v>
      </c>
      <c r="AJ255" s="32">
        <f t="shared" si="92"/>
        <v>0.33333333333333331</v>
      </c>
      <c r="AK255">
        <f>step3_validation[[#This Row],[AI_TRU1]]</f>
        <v>7</v>
      </c>
      <c r="AL255">
        <f t="shared" si="93"/>
        <v>0.66666666666666663</v>
      </c>
      <c r="AM255">
        <f>survey_responses[[#This Row],[Tôi tin rằng Nhà nước, cơ quan thuế sẽ thực thi chính sách mới một cách khách quan, công tâm và đối xử bình đẳng với mọi người nộp thuế.  - HUMAN-TRU1]]</f>
        <v>3</v>
      </c>
      <c r="AN255">
        <f t="shared" si="94"/>
        <v>0.22222222222222221</v>
      </c>
      <c r="AO255">
        <f>step3_validation[[#This Row],[AI_TRU2]]</f>
        <v>8</v>
      </c>
      <c r="AP255">
        <f t="shared" si="95"/>
        <v>0.77777777777777779</v>
      </c>
      <c r="AQ255">
        <f>survey_responses[[#This Row],[Tôi thấy mức thuế tôi phải đóng theo phương án mới là công bằng (người thu nhập như tôi đóng mức này là hợp lý). - HUMAN-TRU2]]</f>
        <v>6</v>
      </c>
      <c r="AR255">
        <f t="shared" si="96"/>
        <v>0.55555555555555558</v>
      </c>
      <c r="AS255">
        <f>step3_validation[[#This Row],[AI_TRU3]]</f>
        <v>7</v>
      </c>
      <c r="AT255">
        <f t="shared" si="97"/>
        <v>0.66666666666666663</v>
      </c>
      <c r="AU255">
        <f>survey_responses[[#This Row],[Tôi tin tưởng số tiền thuế tôi đóng sẽ được Nhà nước sử dụng hiệu quả để cải thiện dịch vụ công (y tế, đường xá...). - HUMAN-TRU3]]</f>
        <v>5</v>
      </c>
      <c r="AV255">
        <f t="shared" si="98"/>
        <v>0.44444444444444442</v>
      </c>
      <c r="AW255">
        <f>step3_validation[[#This Row],[AI_TRU4]]</f>
        <v>6</v>
      </c>
      <c r="AX255">
        <f t="shared" si="99"/>
        <v>0.55555555555555558</v>
      </c>
      <c r="AY255">
        <f>survey_responses[[#This Row],[Tôi thấy Nhà nước đã giải thích rõ ràng, minh bạch về lý do và mục tiêu của việc sửa đổi thuế lần này. - HUMAN-TRU4]]</f>
        <v>6</v>
      </c>
      <c r="AZ255">
        <f t="shared" si="100"/>
        <v>0.55555555555555558</v>
      </c>
      <c r="BA255" s="32">
        <f t="shared" si="101"/>
        <v>0.66666666666666674</v>
      </c>
      <c r="BB255" s="32">
        <f t="shared" si="102"/>
        <v>0.44444444444444448</v>
      </c>
      <c r="BC255" s="7">
        <f t="shared" si="103"/>
        <v>0.77777777777777768</v>
      </c>
      <c r="BD255" s="7">
        <f t="shared" si="104"/>
        <v>0.35185185185185186</v>
      </c>
      <c r="BE255">
        <f>step3_validation[[#This Row],[AI_OUT1]]</f>
        <v>7</v>
      </c>
      <c r="BF255">
        <f t="shared" si="105"/>
        <v>0.66666666666666663</v>
      </c>
      <c r="BG255">
        <f>survey_responses[[#This Row],[Sau khi xem xét các quyền lợi và nghĩa vụ, bạn có ủng hộ và tuân thủ chính sách mới hiện nay? - HUMAN-OUT1]]</f>
        <v>6</v>
      </c>
      <c r="BH255">
        <f t="shared" si="106"/>
        <v>0.55555555555555558</v>
      </c>
      <c r="BI255" s="32">
        <f t="shared" si="107"/>
        <v>1</v>
      </c>
    </row>
    <row r="256" spans="1:61" x14ac:dyDescent="0.45">
      <c r="A256" s="30">
        <f>step3_validation[[#This Row],[Persona_ID]]</f>
        <v>255</v>
      </c>
      <c r="B256" s="31">
        <f>step3_validation[[#This Row],[Used_Seed]]</f>
        <v>296</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48.208250904428475</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6</v>
      </c>
      <c r="R256">
        <f t="shared" si="81"/>
        <v>0.55555555555555558</v>
      </c>
      <c r="S256">
        <f>survey_responses[[#This Row],[Tôi tin rằng với các quy định quản lý thuế hiện nay, hành vi gian lận hoặc trốn thuế sẽ dễ dàng bị phát hiện và xử lý nghiêm. - HUMAN-ENF1]]</f>
        <v>6</v>
      </c>
      <c r="T256">
        <f t="shared" si="82"/>
        <v>0.55555555555555558</v>
      </c>
      <c r="U256">
        <f>step3_validation[[#This Row],[AI_ENF2]]</f>
        <v>7</v>
      </c>
      <c r="V256">
        <f t="shared" si="83"/>
        <v>0.66666666666666663</v>
      </c>
      <c r="W256">
        <f>survey_responses[[#This Row],[Tôi tin rằng Nhà nước, cơ quan thuế có đủ khả năng và công nghệ để phát hiện, xử lý nghiêm các hành vi trốn thuế. - HUMAN-ENF2]]</f>
        <v>6</v>
      </c>
      <c r="X256">
        <f t="shared" si="84"/>
        <v>0.55555555555555558</v>
      </c>
      <c r="Y256" s="32">
        <f t="shared" si="85"/>
        <v>0.61111111111111116</v>
      </c>
      <c r="Z256" s="32">
        <f t="shared" si="86"/>
        <v>0.55555555555555558</v>
      </c>
      <c r="AA256">
        <f>step3_validation[[#This Row],[AI_FAC1]]</f>
        <v>6</v>
      </c>
      <c r="AB256">
        <f t="shared" si="87"/>
        <v>0.55555555555555558</v>
      </c>
      <c r="AC256">
        <f>survey_responses[[#This Row],[Các thủ tục khai báo thuế VÀ/HOẶC quy trình làm việc với cơ quan thuế đơn giản, tiện lợi, nhanh chóng hơn so với trước đây. - HUMAN-FAC1]]</f>
        <v>1</v>
      </c>
      <c r="AD256">
        <f t="shared" si="88"/>
        <v>0</v>
      </c>
      <c r="AE256">
        <f>step3_validation[[#This Row],[AI_FAC2]]</f>
        <v>8</v>
      </c>
      <c r="AF256">
        <f t="shared" si="89"/>
        <v>0.77777777777777779</v>
      </c>
      <c r="AG256">
        <f>survey_responses[[#This Row],[So với trước đây, tôi thấy cách tính thuế và các bậc thuế trong phương án mới đơn giản, dễ hiểu và dễ thực hiện hơn. - HUMAN-FAC2]]</f>
        <v>7</v>
      </c>
      <c r="AH256">
        <f t="shared" si="90"/>
        <v>0.66666666666666663</v>
      </c>
      <c r="AI256" s="32">
        <f t="shared" si="91"/>
        <v>0.66666666666666674</v>
      </c>
      <c r="AJ256" s="32">
        <f t="shared" si="92"/>
        <v>0.33333333333333331</v>
      </c>
      <c r="AK256">
        <f>step3_validation[[#This Row],[AI_TRU1]]</f>
        <v>7</v>
      </c>
      <c r="AL256">
        <f t="shared" si="93"/>
        <v>0.66666666666666663</v>
      </c>
      <c r="AM256">
        <f>survey_responses[[#This Row],[Tôi tin rằng Nhà nước, cơ quan thuế sẽ thực thi chính sách mới một cách khách quan, công tâm và đối xử bình đẳng với mọi người nộp thuế.  - HUMAN-TRU1]]</f>
        <v>5</v>
      </c>
      <c r="AN256">
        <f t="shared" si="94"/>
        <v>0.44444444444444442</v>
      </c>
      <c r="AO256">
        <f>step3_validation[[#This Row],[AI_TRU2]]</f>
        <v>9</v>
      </c>
      <c r="AP256">
        <f t="shared" si="95"/>
        <v>0.88888888888888884</v>
      </c>
      <c r="AQ256">
        <f>survey_responses[[#This Row],[Tôi thấy mức thuế tôi phải đóng theo phương án mới là công bằng (người thu nhập như tôi đóng mức này là hợp lý). - HUMAN-TRU2]]</f>
        <v>6</v>
      </c>
      <c r="AR256">
        <f t="shared" si="96"/>
        <v>0.55555555555555558</v>
      </c>
      <c r="AS256">
        <f>step3_validation[[#This Row],[AI_TRU3]]</f>
        <v>7</v>
      </c>
      <c r="AT256">
        <f t="shared" si="97"/>
        <v>0.66666666666666663</v>
      </c>
      <c r="AU256">
        <f>survey_responses[[#This Row],[Tôi tin tưởng số tiền thuế tôi đóng sẽ được Nhà nước sử dụng hiệu quả để cải thiện dịch vụ công (y tế, đường xá...). - HUMAN-TRU3]]</f>
        <v>6</v>
      </c>
      <c r="AV256">
        <f t="shared" si="98"/>
        <v>0.55555555555555558</v>
      </c>
      <c r="AW256">
        <f>step3_validation[[#This Row],[AI_TRU4]]</f>
        <v>6</v>
      </c>
      <c r="AX256">
        <f t="shared" si="99"/>
        <v>0.55555555555555558</v>
      </c>
      <c r="AY256">
        <f>survey_responses[[#This Row],[Tôi thấy Nhà nước đã giải thích rõ ràng, minh bạch về lý do và mục tiêu của việc sửa đổi thuế lần này. - HUMAN-TRU4]]</f>
        <v>6</v>
      </c>
      <c r="AZ256">
        <f t="shared" si="100"/>
        <v>0.55555555555555558</v>
      </c>
      <c r="BA256" s="32">
        <f t="shared" si="101"/>
        <v>0.69444444444444442</v>
      </c>
      <c r="BB256" s="32">
        <f t="shared" si="102"/>
        <v>0.52777777777777779</v>
      </c>
      <c r="BC256" s="7">
        <f t="shared" si="103"/>
        <v>0.65740740740740744</v>
      </c>
      <c r="BD256" s="7">
        <f t="shared" si="104"/>
        <v>0.47222222222222215</v>
      </c>
      <c r="BE256">
        <f>step3_validation[[#This Row],[AI_OUT1]]</f>
        <v>8</v>
      </c>
      <c r="BF256">
        <f t="shared" si="105"/>
        <v>0.77777777777777779</v>
      </c>
      <c r="BG256">
        <f>survey_responses[[#This Row],[Sau khi xem xét các quyền lợi và nghĩa vụ, bạn có ủng hộ và tuân thủ chính sách mới hiện nay? - HUMAN-OUT1]]</f>
        <v>6</v>
      </c>
      <c r="BH256">
        <f t="shared" si="106"/>
        <v>0.55555555555555558</v>
      </c>
      <c r="BI256" s="32">
        <f t="shared" si="107"/>
        <v>2</v>
      </c>
    </row>
    <row r="257" spans="1:61" x14ac:dyDescent="0.45">
      <c r="A257" s="30">
        <f>step3_validation[[#This Row],[Persona_ID]]</f>
        <v>256</v>
      </c>
      <c r="B257" s="31">
        <f>step3_validation[[#This Row],[Used_Seed]]</f>
        <v>297</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150.64830970873513</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f t="shared" si="81"/>
        <v>0.66666666666666663</v>
      </c>
      <c r="S257">
        <f>survey_responses[[#This Row],[Tôi tin rằng với các quy định quản lý thuế hiện nay, hành vi gian lận hoặc trốn thuế sẽ dễ dàng bị phát hiện và xử lý nghiêm. - HUMAN-ENF1]]</f>
        <v>8</v>
      </c>
      <c r="T257">
        <f t="shared" si="82"/>
        <v>0.77777777777777779</v>
      </c>
      <c r="U257">
        <f>step3_validation[[#This Row],[AI_ENF2]]</f>
        <v>6</v>
      </c>
      <c r="V257">
        <f t="shared" si="83"/>
        <v>0.55555555555555558</v>
      </c>
      <c r="W257">
        <f>survey_responses[[#This Row],[Tôi tin rằng Nhà nước, cơ quan thuế có đủ khả năng và công nghệ để phát hiện, xử lý nghiêm các hành vi trốn thuế. - HUMAN-ENF2]]</f>
        <v>8</v>
      </c>
      <c r="X257">
        <f t="shared" si="84"/>
        <v>0.77777777777777779</v>
      </c>
      <c r="Y257" s="32">
        <f t="shared" si="85"/>
        <v>0.61111111111111116</v>
      </c>
      <c r="Z257" s="32">
        <f t="shared" si="86"/>
        <v>0.77777777777777779</v>
      </c>
      <c r="AA257">
        <f>step3_validation[[#This Row],[AI_FAC1]]</f>
        <v>8</v>
      </c>
      <c r="AB257">
        <f t="shared" si="87"/>
        <v>0.77777777777777779</v>
      </c>
      <c r="AC257">
        <f>survey_responses[[#This Row],[Các thủ tục khai báo thuế VÀ/HOẶC quy trình làm việc với cơ quan thuế đơn giản, tiện lợi, nhanh chóng hơn so với trước đây. - HUMAN-FAC1]]</f>
        <v>5</v>
      </c>
      <c r="AD257">
        <f t="shared" si="88"/>
        <v>0.44444444444444442</v>
      </c>
      <c r="AE257">
        <f>step3_validation[[#This Row],[AI_FAC2]]</f>
        <v>9</v>
      </c>
      <c r="AF257">
        <f t="shared" si="89"/>
        <v>0.88888888888888884</v>
      </c>
      <c r="AG257">
        <f>survey_responses[[#This Row],[So với trước đây, tôi thấy cách tính thuế và các bậc thuế trong phương án mới đơn giản, dễ hiểu và dễ thực hiện hơn. - HUMAN-FAC2]]</f>
        <v>8</v>
      </c>
      <c r="AH257">
        <f t="shared" si="90"/>
        <v>0.77777777777777779</v>
      </c>
      <c r="AI257" s="32">
        <f t="shared" si="91"/>
        <v>0.83333333333333326</v>
      </c>
      <c r="AJ257" s="32">
        <f t="shared" si="92"/>
        <v>0.61111111111111116</v>
      </c>
      <c r="AK257">
        <f>step3_validation[[#This Row],[AI_TRU1]]</f>
        <v>7</v>
      </c>
      <c r="AL257">
        <f t="shared" si="93"/>
        <v>0.66666666666666663</v>
      </c>
      <c r="AM257">
        <f>survey_responses[[#This Row],[Tôi tin rằng Nhà nước, cơ quan thuế sẽ thực thi chính sách mới một cách khách quan, công tâm và đối xử bình đẳng với mọi người nộp thuế.  - HUMAN-TRU1]]</f>
        <v>8</v>
      </c>
      <c r="AN257">
        <f t="shared" si="94"/>
        <v>0.77777777777777779</v>
      </c>
      <c r="AO257">
        <f>step3_validation[[#This Row],[AI_TRU2]]</f>
        <v>8</v>
      </c>
      <c r="AP257">
        <f t="shared" si="95"/>
        <v>0.77777777777777779</v>
      </c>
      <c r="AQ257">
        <f>survey_responses[[#This Row],[Tôi thấy mức thuế tôi phải đóng theo phương án mới là công bằng (người thu nhập như tôi đóng mức này là hợp lý). - HUMAN-TRU2]]</f>
        <v>7</v>
      </c>
      <c r="AR257">
        <f t="shared" si="96"/>
        <v>0.66666666666666663</v>
      </c>
      <c r="AS257">
        <f>step3_validation[[#This Row],[AI_TRU3]]</f>
        <v>6</v>
      </c>
      <c r="AT257">
        <f t="shared" si="97"/>
        <v>0.55555555555555558</v>
      </c>
      <c r="AU257">
        <f>survey_responses[[#This Row],[Tôi tin tưởng số tiền thuế tôi đóng sẽ được Nhà nước sử dụng hiệu quả để cải thiện dịch vụ công (y tế, đường xá...). - HUMAN-TRU3]]</f>
        <v>7</v>
      </c>
      <c r="AV257">
        <f t="shared" si="98"/>
        <v>0.66666666666666663</v>
      </c>
      <c r="AW257">
        <f>step3_validation[[#This Row],[AI_TRU4]]</f>
        <v>7</v>
      </c>
      <c r="AX257">
        <f t="shared" si="99"/>
        <v>0.66666666666666663</v>
      </c>
      <c r="AY257">
        <f>survey_responses[[#This Row],[Tôi thấy Nhà nước đã giải thích rõ ràng, minh bạch về lý do và mục tiêu của việc sửa đổi thuế lần này. - HUMAN-TRU4]]</f>
        <v>7</v>
      </c>
      <c r="AZ257">
        <f t="shared" si="100"/>
        <v>0.66666666666666663</v>
      </c>
      <c r="BA257" s="32">
        <f t="shared" si="101"/>
        <v>0.66666666666666663</v>
      </c>
      <c r="BB257" s="32">
        <f t="shared" si="102"/>
        <v>0.69444444444444442</v>
      </c>
      <c r="BC257" s="7">
        <f t="shared" si="103"/>
        <v>0.70370370370370372</v>
      </c>
      <c r="BD257" s="7">
        <f t="shared" si="104"/>
        <v>0.69444444444444431</v>
      </c>
      <c r="BE257">
        <f>step3_validation[[#This Row],[AI_OUT1]]</f>
        <v>9</v>
      </c>
      <c r="BF257">
        <f t="shared" si="105"/>
        <v>0.88888888888888884</v>
      </c>
      <c r="BG257">
        <f>survey_responses[[#This Row],[Sau khi xem xét các quyền lợi và nghĩa vụ, bạn có ủng hộ và tuân thủ chính sách mới hiện nay? - HUMAN-OUT1]]</f>
        <v>7</v>
      </c>
      <c r="BH257">
        <f t="shared" si="106"/>
        <v>0.66666666666666663</v>
      </c>
      <c r="BI257" s="32">
        <f t="shared" si="107"/>
        <v>2</v>
      </c>
    </row>
    <row r="258" spans="1:61" x14ac:dyDescent="0.45">
      <c r="A258" s="30">
        <f>step3_validation[[#This Row],[Persona_ID]]</f>
        <v>257</v>
      </c>
      <c r="B258" s="31">
        <f>step3_validation[[#This Row],[Used_Seed]]</f>
        <v>298</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36.872721405883112</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4</v>
      </c>
      <c r="R258">
        <f t="shared" si="81"/>
        <v>0.33333333333333331</v>
      </c>
      <c r="S258">
        <f>survey_responses[[#This Row],[Tôi tin rằng với các quy định quản lý thuế hiện nay, hành vi gian lận hoặc trốn thuế sẽ dễ dàng bị phát hiện và xử lý nghiêm. - HUMAN-ENF1]]</f>
        <v>7</v>
      </c>
      <c r="T258">
        <f t="shared" si="82"/>
        <v>0.66666666666666663</v>
      </c>
      <c r="U258">
        <f>step3_validation[[#This Row],[AI_ENF2]]</f>
        <v>5</v>
      </c>
      <c r="V258">
        <f t="shared" si="83"/>
        <v>0.44444444444444442</v>
      </c>
      <c r="W258">
        <f>survey_responses[[#This Row],[Tôi tin rằng Nhà nước, cơ quan thuế có đủ khả năng và công nghệ để phát hiện, xử lý nghiêm các hành vi trốn thuế. - HUMAN-ENF2]]</f>
        <v>8</v>
      </c>
      <c r="X258">
        <f t="shared" si="84"/>
        <v>0.77777777777777779</v>
      </c>
      <c r="Y258" s="32">
        <f t="shared" si="85"/>
        <v>0.38888888888888884</v>
      </c>
      <c r="Z258" s="32">
        <f t="shared" si="86"/>
        <v>0.72222222222222221</v>
      </c>
      <c r="AA258">
        <f>step3_validation[[#This Row],[AI_FAC1]]</f>
        <v>7</v>
      </c>
      <c r="AB258">
        <f t="shared" si="87"/>
        <v>0.66666666666666663</v>
      </c>
      <c r="AC258">
        <f>survey_responses[[#This Row],[Các thủ tục khai báo thuế VÀ/HOẶC quy trình làm việc với cơ quan thuế đơn giản, tiện lợi, nhanh chóng hơn so với trước đây. - HUMAN-FAC1]]</f>
        <v>4</v>
      </c>
      <c r="AD258">
        <f t="shared" si="88"/>
        <v>0.33333333333333331</v>
      </c>
      <c r="AE258">
        <f>step3_validation[[#This Row],[AI_FAC2]]</f>
        <v>9</v>
      </c>
      <c r="AF258">
        <f t="shared" si="89"/>
        <v>0.88888888888888884</v>
      </c>
      <c r="AG258">
        <f>survey_responses[[#This Row],[So với trước đây, tôi thấy cách tính thuế và các bậc thuế trong phương án mới đơn giản, dễ hiểu và dễ thực hiện hơn. - HUMAN-FAC2]]</f>
        <v>8</v>
      </c>
      <c r="AH258">
        <f t="shared" si="90"/>
        <v>0.77777777777777779</v>
      </c>
      <c r="AI258" s="32">
        <f t="shared" si="91"/>
        <v>0.77777777777777768</v>
      </c>
      <c r="AJ258" s="32">
        <f t="shared" si="92"/>
        <v>0.55555555555555558</v>
      </c>
      <c r="AK258">
        <f>step3_validation[[#This Row],[AI_TRU1]]</f>
        <v>6</v>
      </c>
      <c r="AL258">
        <f t="shared" si="93"/>
        <v>0.55555555555555558</v>
      </c>
      <c r="AM258">
        <f>survey_responses[[#This Row],[Tôi tin rằng Nhà nước, cơ quan thuế sẽ thực thi chính sách mới một cách khách quan, công tâm và đối xử bình đẳng với mọi người nộp thuế.  - HUMAN-TRU1]]</f>
        <v>5</v>
      </c>
      <c r="AN258">
        <f t="shared" si="94"/>
        <v>0.44444444444444442</v>
      </c>
      <c r="AO258">
        <f>step3_validation[[#This Row],[AI_TRU2]]</f>
        <v>8</v>
      </c>
      <c r="AP258">
        <f t="shared" si="95"/>
        <v>0.77777777777777779</v>
      </c>
      <c r="AQ258">
        <f>survey_responses[[#This Row],[Tôi thấy mức thuế tôi phải đóng theo phương án mới là công bằng (người thu nhập như tôi đóng mức này là hợp lý). - HUMAN-TRU2]]</f>
        <v>7</v>
      </c>
      <c r="AR258">
        <f t="shared" si="96"/>
        <v>0.66666666666666663</v>
      </c>
      <c r="AS258">
        <f>step3_validation[[#This Row],[AI_TRU3]]</f>
        <v>7</v>
      </c>
      <c r="AT258">
        <f t="shared" si="97"/>
        <v>0.66666666666666663</v>
      </c>
      <c r="AU258">
        <f>survey_responses[[#This Row],[Tôi tin tưởng số tiền thuế tôi đóng sẽ được Nhà nước sử dụng hiệu quả để cải thiện dịch vụ công (y tế, đường xá...). - HUMAN-TRU3]]</f>
        <v>5</v>
      </c>
      <c r="AV258">
        <f t="shared" si="98"/>
        <v>0.44444444444444442</v>
      </c>
      <c r="AW258">
        <f>step3_validation[[#This Row],[AI_TRU4]]</f>
        <v>9</v>
      </c>
      <c r="AX258">
        <f t="shared" si="99"/>
        <v>0.88888888888888884</v>
      </c>
      <c r="AY258">
        <f>survey_responses[[#This Row],[Tôi thấy Nhà nước đã giải thích rõ ràng, minh bạch về lý do và mục tiêu của việc sửa đổi thuế lần này. - HUMAN-TRU4]]</f>
        <v>6</v>
      </c>
      <c r="AZ258">
        <f t="shared" si="100"/>
        <v>0.55555555555555558</v>
      </c>
      <c r="BA258" s="32">
        <f t="shared" si="101"/>
        <v>0.72222222222222221</v>
      </c>
      <c r="BB258" s="32">
        <f t="shared" si="102"/>
        <v>0.52777777777777779</v>
      </c>
      <c r="BC258" s="7">
        <f t="shared" si="103"/>
        <v>0.62962962962962965</v>
      </c>
      <c r="BD258" s="7">
        <f t="shared" si="104"/>
        <v>0.60185185185185175</v>
      </c>
      <c r="BE258">
        <f>step3_validation[[#This Row],[AI_OUT1]]</f>
        <v>8</v>
      </c>
      <c r="BF258">
        <f t="shared" si="105"/>
        <v>0.77777777777777779</v>
      </c>
      <c r="BG258">
        <f>survey_responses[[#This Row],[Sau khi xem xét các quyền lợi và nghĩa vụ, bạn có ủng hộ và tuân thủ chính sách mới hiện nay? - HUMAN-OUT1]]</f>
        <v>6</v>
      </c>
      <c r="BH258">
        <f t="shared" si="106"/>
        <v>0.55555555555555558</v>
      </c>
      <c r="BI258" s="32">
        <f t="shared" si="107"/>
        <v>2</v>
      </c>
    </row>
    <row r="259" spans="1:61" x14ac:dyDescent="0.45">
      <c r="A259" s="30">
        <f>step3_validation[[#This Row],[Persona_ID]]</f>
        <v>258</v>
      </c>
      <c r="B259" s="31">
        <f>step3_validation[[#This Row],[Used_Seed]]</f>
        <v>299</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64.686544718428408</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7</v>
      </c>
      <c r="R259">
        <f t="shared" ref="R259:R322" si="108">(Q259-1)/9</f>
        <v>0.66666666666666663</v>
      </c>
      <c r="S259">
        <f>survey_responses[[#This Row],[Tôi tin rằng với các quy định quản lý thuế hiện nay, hành vi gian lận hoặc trốn thuế sẽ dễ dàng bị phát hiện và xử lý nghiêm. - HUMAN-ENF1]]</f>
        <v>6</v>
      </c>
      <c r="T259">
        <f t="shared" ref="T259:T322" si="109">(S259-1)/9</f>
        <v>0.55555555555555558</v>
      </c>
      <c r="U259">
        <f>step3_validation[[#This Row],[AI_ENF2]]</f>
        <v>7</v>
      </c>
      <c r="V259">
        <f t="shared" ref="V259:V322" si="110">(U259-1)/9</f>
        <v>0.66666666666666663</v>
      </c>
      <c r="W259">
        <f>survey_responses[[#This Row],[Tôi tin rằng Nhà nước, cơ quan thuế có đủ khả năng và công nghệ để phát hiện, xử lý nghiêm các hành vi trốn thuế. - HUMAN-ENF2]]</f>
        <v>7</v>
      </c>
      <c r="X259">
        <f t="shared" ref="X259:X322" si="111">(W259-1)/9</f>
        <v>0.66666666666666663</v>
      </c>
      <c r="Y259" s="32">
        <f t="shared" ref="Y259:Y322" si="112">AVERAGE(R259,V259)</f>
        <v>0.66666666666666663</v>
      </c>
      <c r="Z259" s="32">
        <f t="shared" ref="Z259:Z322" si="113">AVERAGE(T259,X259)</f>
        <v>0.61111111111111116</v>
      </c>
      <c r="AA259">
        <f>step3_validation[[#This Row],[AI_FAC1]]</f>
        <v>9</v>
      </c>
      <c r="AB259">
        <f t="shared" ref="AB259:AB322" si="114">(AA259-1)/9</f>
        <v>0.88888888888888884</v>
      </c>
      <c r="AC259">
        <f>survey_responses[[#This Row],[Các thủ tục khai báo thuế VÀ/HOẶC quy trình làm việc với cơ quan thuế đơn giản, tiện lợi, nhanh chóng hơn so với trước đây. - HUMAN-FAC1]]</f>
        <v>2</v>
      </c>
      <c r="AD259">
        <f t="shared" ref="AD259:AD322" si="115">(AC259-1)/9</f>
        <v>0.1111111111111111</v>
      </c>
      <c r="AE259">
        <f>step3_validation[[#This Row],[AI_FAC2]]</f>
        <v>8</v>
      </c>
      <c r="AF259">
        <f t="shared" ref="AF259:AF322" si="116">(AE259-1)/9</f>
        <v>0.77777777777777779</v>
      </c>
      <c r="AG259">
        <f>survey_responses[[#This Row],[So với trước đây, tôi thấy cách tính thuế và các bậc thuế trong phương án mới đơn giản, dễ hiểu và dễ thực hiện hơn. - HUMAN-FAC2]]</f>
        <v>7</v>
      </c>
      <c r="AH259">
        <f t="shared" ref="AH259:AH322" si="117">(AG259-1)/9</f>
        <v>0.66666666666666663</v>
      </c>
      <c r="AI259" s="32">
        <f t="shared" ref="AI259:AI322" si="118">AVERAGE(AB259,AF259)</f>
        <v>0.83333333333333326</v>
      </c>
      <c r="AJ259" s="32">
        <f t="shared" ref="AJ259:AJ322" si="119">AVERAGE(AD259,AH259)</f>
        <v>0.38888888888888884</v>
      </c>
      <c r="AK259">
        <f>step3_validation[[#This Row],[AI_TRU1]]</f>
        <v>6</v>
      </c>
      <c r="AL259">
        <f t="shared" ref="AL259:AL322" si="120">(AK259-1)/9</f>
        <v>0.55555555555555558</v>
      </c>
      <c r="AM259">
        <f>survey_responses[[#This Row],[Tôi tin rằng Nhà nước, cơ quan thuế sẽ thực thi chính sách mới một cách khách quan, công tâm và đối xử bình đẳng với mọi người nộp thuế.  - HUMAN-TRU1]]</f>
        <v>5</v>
      </c>
      <c r="AN259">
        <f t="shared" ref="AN259:AN322" si="121">(AM259-1)/9</f>
        <v>0.44444444444444442</v>
      </c>
      <c r="AO259">
        <f>step3_validation[[#This Row],[AI_TRU2]]</f>
        <v>8</v>
      </c>
      <c r="AP259">
        <f t="shared" ref="AP259:AP322" si="122">(AO259-1)/9</f>
        <v>0.77777777777777779</v>
      </c>
      <c r="AQ259">
        <f>survey_responses[[#This Row],[Tôi thấy mức thuế tôi phải đóng theo phương án mới là công bằng (người thu nhập như tôi đóng mức này là hợp lý). - HUMAN-TRU2]]</f>
        <v>5</v>
      </c>
      <c r="AR259">
        <f t="shared" ref="AR259:AR322" si="123">(AQ259-1)/9</f>
        <v>0.44444444444444442</v>
      </c>
      <c r="AS259">
        <f>step3_validation[[#This Row],[AI_TRU3]]</f>
        <v>5</v>
      </c>
      <c r="AT259">
        <f t="shared" ref="AT259:AT322" si="124">(AS259-1)/9</f>
        <v>0.44444444444444442</v>
      </c>
      <c r="AU259">
        <f>survey_responses[[#This Row],[Tôi tin tưởng số tiền thuế tôi đóng sẽ được Nhà nước sử dụng hiệu quả để cải thiện dịch vụ công (y tế, đường xá...). - HUMAN-TRU3]]</f>
        <v>5</v>
      </c>
      <c r="AV259">
        <f t="shared" ref="AV259:AV322" si="125">(AU259-1)/9</f>
        <v>0.44444444444444442</v>
      </c>
      <c r="AW259">
        <f>step3_validation[[#This Row],[AI_TRU4]]</f>
        <v>7</v>
      </c>
      <c r="AX259">
        <f t="shared" ref="AX259:AX322" si="126">(AW259-1)/9</f>
        <v>0.66666666666666663</v>
      </c>
      <c r="AY259">
        <f>survey_responses[[#This Row],[Tôi thấy Nhà nước đã giải thích rõ ràng, minh bạch về lý do và mục tiêu của việc sửa đổi thuế lần này. - HUMAN-TRU4]]</f>
        <v>6</v>
      </c>
      <c r="AZ259">
        <f t="shared" ref="AZ259:AZ322" si="127">(AY259-1)/9</f>
        <v>0.55555555555555558</v>
      </c>
      <c r="BA259" s="32">
        <f t="shared" ref="BA259:BA322" si="128">AVERAGE(AL259,AP259,AT259,AX259)</f>
        <v>0.61111111111111116</v>
      </c>
      <c r="BB259" s="32">
        <f t="shared" ref="BB259:BB322" si="129">AVERAGE(AN259,AR259,AV259,AZ259)</f>
        <v>0.47222222222222221</v>
      </c>
      <c r="BC259" s="7">
        <f t="shared" ref="BC259:BC322" si="130">(Y259+AI259+BA259)/3</f>
        <v>0.70370370370370372</v>
      </c>
      <c r="BD259" s="7">
        <f t="shared" ref="BD259:BD322" si="131">(Z259+AJ259+BB259)/3</f>
        <v>0.49074074074074076</v>
      </c>
      <c r="BE259">
        <f>step3_validation[[#This Row],[AI_OUT1]]</f>
        <v>9</v>
      </c>
      <c r="BF259">
        <f t="shared" ref="BF259:BF322" si="132">(BE259-1)/9</f>
        <v>0.88888888888888884</v>
      </c>
      <c r="BG259">
        <f>survey_responses[[#This Row],[Sau khi xem xét các quyền lợi và nghĩa vụ, bạn có ủng hộ và tuân thủ chính sách mới hiện nay? - HUMAN-OUT1]]</f>
        <v>5</v>
      </c>
      <c r="BH259">
        <f t="shared" ref="BH259:BH322" si="133">(BG259-1)/9</f>
        <v>0.44444444444444442</v>
      </c>
      <c r="BI259" s="32">
        <f t="shared" ref="BI259:BI322" si="134">ABS(BG259-BE259)</f>
        <v>4</v>
      </c>
    </row>
    <row r="260" spans="1:61" x14ac:dyDescent="0.45">
      <c r="A260" s="30">
        <f>step3_validation[[#This Row],[Persona_ID]]</f>
        <v>259</v>
      </c>
      <c r="B260" s="31">
        <f>step3_validation[[#This Row],[Used_Seed]]</f>
        <v>300</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184.12683194829077</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6</v>
      </c>
      <c r="R260">
        <f t="shared" si="108"/>
        <v>0.55555555555555558</v>
      </c>
      <c r="S260">
        <f>survey_responses[[#This Row],[Tôi tin rằng với các quy định quản lý thuế hiện nay, hành vi gian lận hoặc trốn thuế sẽ dễ dàng bị phát hiện và xử lý nghiêm. - HUMAN-ENF1]]</f>
        <v>2</v>
      </c>
      <c r="T260">
        <f t="shared" si="109"/>
        <v>0.1111111111111111</v>
      </c>
      <c r="U260">
        <f>step3_validation[[#This Row],[AI_ENF2]]</f>
        <v>7</v>
      </c>
      <c r="V260">
        <f t="shared" si="110"/>
        <v>0.66666666666666663</v>
      </c>
      <c r="W260">
        <f>survey_responses[[#This Row],[Tôi tin rằng Nhà nước, cơ quan thuế có đủ khả năng và công nghệ để phát hiện, xử lý nghiêm các hành vi trốn thuế. - HUMAN-ENF2]]</f>
        <v>1</v>
      </c>
      <c r="X260">
        <f t="shared" si="111"/>
        <v>0</v>
      </c>
      <c r="Y260" s="32">
        <f t="shared" si="112"/>
        <v>0.61111111111111116</v>
      </c>
      <c r="Z260" s="32">
        <f t="shared" si="113"/>
        <v>5.5555555555555552E-2</v>
      </c>
      <c r="AA260">
        <f>step3_validation[[#This Row],[AI_FAC1]]</f>
        <v>9</v>
      </c>
      <c r="AB260">
        <f t="shared" si="114"/>
        <v>0.88888888888888884</v>
      </c>
      <c r="AC260">
        <f>survey_responses[[#This Row],[Các thủ tục khai báo thuế VÀ/HOẶC quy trình làm việc với cơ quan thuế đơn giản, tiện lợi, nhanh chóng hơn so với trước đây. - HUMAN-FAC1]]</f>
        <v>1</v>
      </c>
      <c r="AD260">
        <f t="shared" si="115"/>
        <v>0</v>
      </c>
      <c r="AE260">
        <f>step3_validation[[#This Row],[AI_FAC2]]</f>
        <v>8</v>
      </c>
      <c r="AF260">
        <f t="shared" si="116"/>
        <v>0.77777777777777779</v>
      </c>
      <c r="AG260">
        <f>survey_responses[[#This Row],[So với trước đây, tôi thấy cách tính thuế và các bậc thuế trong phương án mới đơn giản, dễ hiểu và dễ thực hiện hơn. - HUMAN-FAC2]]</f>
        <v>6</v>
      </c>
      <c r="AH260">
        <f t="shared" si="117"/>
        <v>0.55555555555555558</v>
      </c>
      <c r="AI260" s="32">
        <f t="shared" si="118"/>
        <v>0.83333333333333326</v>
      </c>
      <c r="AJ260" s="32">
        <f t="shared" si="119"/>
        <v>0.27777777777777779</v>
      </c>
      <c r="AK260">
        <f>step3_validation[[#This Row],[AI_TRU1]]</f>
        <v>5</v>
      </c>
      <c r="AL260">
        <f t="shared" si="120"/>
        <v>0.44444444444444442</v>
      </c>
      <c r="AM260">
        <f>survey_responses[[#This Row],[Tôi tin rằng Nhà nước, cơ quan thuế sẽ thực thi chính sách mới một cách khách quan, công tâm và đối xử bình đẳng với mọi người nộp thuế.  - HUMAN-TRU1]]</f>
        <v>2</v>
      </c>
      <c r="AN260">
        <f t="shared" si="121"/>
        <v>0.1111111111111111</v>
      </c>
      <c r="AO260">
        <f>step3_validation[[#This Row],[AI_TRU2]]</f>
        <v>8</v>
      </c>
      <c r="AP260">
        <f t="shared" si="122"/>
        <v>0.77777777777777779</v>
      </c>
      <c r="AQ260">
        <f>survey_responses[[#This Row],[Tôi thấy mức thuế tôi phải đóng theo phương án mới là công bằng (người thu nhập như tôi đóng mức này là hợp lý). - HUMAN-TRU2]]</f>
        <v>3</v>
      </c>
      <c r="AR260">
        <f t="shared" si="123"/>
        <v>0.22222222222222221</v>
      </c>
      <c r="AS260">
        <f>step3_validation[[#This Row],[AI_TRU3]]</f>
        <v>4</v>
      </c>
      <c r="AT260">
        <f t="shared" si="124"/>
        <v>0.33333333333333331</v>
      </c>
      <c r="AU260">
        <f>survey_responses[[#This Row],[Tôi tin tưởng số tiền thuế tôi đóng sẽ được Nhà nước sử dụng hiệu quả để cải thiện dịch vụ công (y tế, đường xá...). - HUMAN-TRU3]]</f>
        <v>1</v>
      </c>
      <c r="AV260">
        <f t="shared" si="125"/>
        <v>0</v>
      </c>
      <c r="AW260">
        <f>step3_validation[[#This Row],[AI_TRU4]]</f>
        <v>6</v>
      </c>
      <c r="AX260">
        <f t="shared" si="126"/>
        <v>0.55555555555555558</v>
      </c>
      <c r="AY260">
        <f>survey_responses[[#This Row],[Tôi thấy Nhà nước đã giải thích rõ ràng, minh bạch về lý do và mục tiêu của việc sửa đổi thuế lần này. - HUMAN-TRU4]]</f>
        <v>5</v>
      </c>
      <c r="AZ260">
        <f t="shared" si="127"/>
        <v>0.44444444444444442</v>
      </c>
      <c r="BA260" s="32">
        <f t="shared" si="128"/>
        <v>0.52777777777777779</v>
      </c>
      <c r="BB260" s="32">
        <f t="shared" si="129"/>
        <v>0.19444444444444442</v>
      </c>
      <c r="BC260" s="7">
        <f t="shared" si="130"/>
        <v>0.65740740740740744</v>
      </c>
      <c r="BD260" s="7">
        <f t="shared" si="131"/>
        <v>0.17592592592592593</v>
      </c>
      <c r="BE260">
        <f>step3_validation[[#This Row],[AI_OUT1]]</f>
        <v>8</v>
      </c>
      <c r="BF260">
        <f t="shared" si="132"/>
        <v>0.77777777777777779</v>
      </c>
      <c r="BG260">
        <f>survey_responses[[#This Row],[Sau khi xem xét các quyền lợi và nghĩa vụ, bạn có ủng hộ và tuân thủ chính sách mới hiện nay? - HUMAN-OUT1]]</f>
        <v>4</v>
      </c>
      <c r="BH260">
        <f t="shared" si="133"/>
        <v>0.33333333333333331</v>
      </c>
      <c r="BI260" s="32">
        <f t="shared" si="134"/>
        <v>4</v>
      </c>
    </row>
    <row r="261" spans="1:61" x14ac:dyDescent="0.45">
      <c r="A261" s="30">
        <f>step3_validation[[#This Row],[Persona_ID]]</f>
        <v>260</v>
      </c>
      <c r="B261" s="31">
        <f>step3_validation[[#This Row],[Used_Seed]]</f>
        <v>301</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45.176598438441665</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6</v>
      </c>
      <c r="R261">
        <f t="shared" si="108"/>
        <v>0.55555555555555558</v>
      </c>
      <c r="S261">
        <f>survey_responses[[#This Row],[Tôi tin rằng với các quy định quản lý thuế hiện nay, hành vi gian lận hoặc trốn thuế sẽ dễ dàng bị phát hiện và xử lý nghiêm. - HUMAN-ENF1]]</f>
        <v>6</v>
      </c>
      <c r="T261">
        <f t="shared" si="109"/>
        <v>0.55555555555555558</v>
      </c>
      <c r="U261">
        <f>step3_validation[[#This Row],[AI_ENF2]]</f>
        <v>5</v>
      </c>
      <c r="V261">
        <f t="shared" si="110"/>
        <v>0.44444444444444442</v>
      </c>
      <c r="W261">
        <f>survey_responses[[#This Row],[Tôi tin rằng Nhà nước, cơ quan thuế có đủ khả năng và công nghệ để phát hiện, xử lý nghiêm các hành vi trốn thuế. - HUMAN-ENF2]]</f>
        <v>6</v>
      </c>
      <c r="X261">
        <f t="shared" si="111"/>
        <v>0.55555555555555558</v>
      </c>
      <c r="Y261" s="32">
        <f t="shared" si="112"/>
        <v>0.5</v>
      </c>
      <c r="Z261" s="32">
        <f t="shared" si="113"/>
        <v>0.55555555555555558</v>
      </c>
      <c r="AA261">
        <f>step3_validation[[#This Row],[AI_FAC1]]</f>
        <v>7</v>
      </c>
      <c r="AB261">
        <f t="shared" si="114"/>
        <v>0.66666666666666663</v>
      </c>
      <c r="AC261">
        <f>survey_responses[[#This Row],[Các thủ tục khai báo thuế VÀ/HOẶC quy trình làm việc với cơ quan thuế đơn giản, tiện lợi, nhanh chóng hơn so với trước đây. - HUMAN-FAC1]]</f>
        <v>7</v>
      </c>
      <c r="AD261">
        <f t="shared" si="115"/>
        <v>0.66666666666666663</v>
      </c>
      <c r="AE261">
        <f>step3_validation[[#This Row],[AI_FAC2]]</f>
        <v>8</v>
      </c>
      <c r="AF261">
        <f t="shared" si="116"/>
        <v>0.77777777777777779</v>
      </c>
      <c r="AG261">
        <f>survey_responses[[#This Row],[So với trước đây, tôi thấy cách tính thuế và các bậc thuế trong phương án mới đơn giản, dễ hiểu và dễ thực hiện hơn. - HUMAN-FAC2]]</f>
        <v>6</v>
      </c>
      <c r="AH261">
        <f t="shared" si="117"/>
        <v>0.55555555555555558</v>
      </c>
      <c r="AI261" s="32">
        <f t="shared" si="118"/>
        <v>0.72222222222222221</v>
      </c>
      <c r="AJ261" s="32">
        <f t="shared" si="119"/>
        <v>0.61111111111111116</v>
      </c>
      <c r="AK261">
        <f>step3_validation[[#This Row],[AI_TRU1]]</f>
        <v>7</v>
      </c>
      <c r="AL261">
        <f t="shared" si="120"/>
        <v>0.66666666666666663</v>
      </c>
      <c r="AM261">
        <f>survey_responses[[#This Row],[Tôi tin rằng Nhà nước, cơ quan thuế sẽ thực thi chính sách mới một cách khách quan, công tâm và đối xử bình đẳng với mọi người nộp thuế.  - HUMAN-TRU1]]</f>
        <v>5</v>
      </c>
      <c r="AN261">
        <f t="shared" si="121"/>
        <v>0.44444444444444442</v>
      </c>
      <c r="AO261">
        <f>step3_validation[[#This Row],[AI_TRU2]]</f>
        <v>9</v>
      </c>
      <c r="AP261">
        <f t="shared" si="122"/>
        <v>0.88888888888888884</v>
      </c>
      <c r="AQ261">
        <f>survey_responses[[#This Row],[Tôi thấy mức thuế tôi phải đóng theo phương án mới là công bằng (người thu nhập như tôi đóng mức này là hợp lý). - HUMAN-TRU2]]</f>
        <v>6</v>
      </c>
      <c r="AR261">
        <f t="shared" si="123"/>
        <v>0.55555555555555558</v>
      </c>
      <c r="AS261">
        <f>step3_validation[[#This Row],[AI_TRU3]]</f>
        <v>7</v>
      </c>
      <c r="AT261">
        <f t="shared" si="124"/>
        <v>0.66666666666666663</v>
      </c>
      <c r="AU261">
        <f>survey_responses[[#This Row],[Tôi tin tưởng số tiền thuế tôi đóng sẽ được Nhà nước sử dụng hiệu quả để cải thiện dịch vụ công (y tế, đường xá...). - HUMAN-TRU3]]</f>
        <v>5</v>
      </c>
      <c r="AV261">
        <f t="shared" si="125"/>
        <v>0.44444444444444442</v>
      </c>
      <c r="AW261">
        <f>step3_validation[[#This Row],[AI_TRU4]]</f>
        <v>8</v>
      </c>
      <c r="AX261">
        <f t="shared" si="126"/>
        <v>0.77777777777777779</v>
      </c>
      <c r="AY261">
        <f>survey_responses[[#This Row],[Tôi thấy Nhà nước đã giải thích rõ ràng, minh bạch về lý do và mục tiêu của việc sửa đổi thuế lần này. - HUMAN-TRU4]]</f>
        <v>6</v>
      </c>
      <c r="AZ261">
        <f t="shared" si="127"/>
        <v>0.55555555555555558</v>
      </c>
      <c r="BA261" s="32">
        <f t="shared" si="128"/>
        <v>0.74999999999999989</v>
      </c>
      <c r="BB261" s="32">
        <f t="shared" si="129"/>
        <v>0.5</v>
      </c>
      <c r="BC261" s="7">
        <f t="shared" si="130"/>
        <v>0.65740740740740744</v>
      </c>
      <c r="BD261" s="7">
        <f t="shared" si="131"/>
        <v>0.55555555555555558</v>
      </c>
      <c r="BE261">
        <f>step3_validation[[#This Row],[AI_OUT1]]</f>
        <v>9</v>
      </c>
      <c r="BF261">
        <f t="shared" si="132"/>
        <v>0.88888888888888884</v>
      </c>
      <c r="BG261">
        <f>survey_responses[[#This Row],[Sau khi xem xét các quyền lợi và nghĩa vụ, bạn có ủng hộ và tuân thủ chính sách mới hiện nay? - HUMAN-OUT1]]</f>
        <v>6</v>
      </c>
      <c r="BH261">
        <f t="shared" si="133"/>
        <v>0.55555555555555558</v>
      </c>
      <c r="BI261" s="32">
        <f t="shared" si="134"/>
        <v>3</v>
      </c>
    </row>
    <row r="262" spans="1:61" x14ac:dyDescent="0.45">
      <c r="A262" s="30">
        <f>step3_validation[[#This Row],[Persona_ID]]</f>
        <v>261</v>
      </c>
      <c r="B262" s="31">
        <f>step3_validation[[#This Row],[Used_Seed]]</f>
        <v>302</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44.639762601834903</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f t="shared" si="108"/>
        <v>0.66666666666666663</v>
      </c>
      <c r="S262">
        <f>survey_responses[[#This Row],[Tôi tin rằng với các quy định quản lý thuế hiện nay, hành vi gian lận hoặc trốn thuế sẽ dễ dàng bị phát hiện và xử lý nghiêm. - HUMAN-ENF1]]</f>
        <v>6</v>
      </c>
      <c r="T262">
        <f t="shared" si="109"/>
        <v>0.55555555555555558</v>
      </c>
      <c r="U262">
        <f>step3_validation[[#This Row],[AI_ENF2]]</f>
        <v>6</v>
      </c>
      <c r="V262">
        <f t="shared" si="110"/>
        <v>0.55555555555555558</v>
      </c>
      <c r="W262">
        <f>survey_responses[[#This Row],[Tôi tin rằng Nhà nước, cơ quan thuế có đủ khả năng và công nghệ để phát hiện, xử lý nghiêm các hành vi trốn thuế. - HUMAN-ENF2]]</f>
        <v>7</v>
      </c>
      <c r="X262">
        <f t="shared" si="111"/>
        <v>0.66666666666666663</v>
      </c>
      <c r="Y262" s="32">
        <f t="shared" si="112"/>
        <v>0.61111111111111116</v>
      </c>
      <c r="Z262" s="32">
        <f t="shared" si="113"/>
        <v>0.61111111111111116</v>
      </c>
      <c r="AA262">
        <f>step3_validation[[#This Row],[AI_FAC1]]</f>
        <v>9</v>
      </c>
      <c r="AB262">
        <f t="shared" si="114"/>
        <v>0.88888888888888884</v>
      </c>
      <c r="AC262">
        <f>survey_responses[[#This Row],[Các thủ tục khai báo thuế VÀ/HOẶC quy trình làm việc với cơ quan thuế đơn giản, tiện lợi, nhanh chóng hơn so với trước đây. - HUMAN-FAC1]]</f>
        <v>1</v>
      </c>
      <c r="AD262">
        <f t="shared" si="115"/>
        <v>0</v>
      </c>
      <c r="AE262">
        <f>step3_validation[[#This Row],[AI_FAC2]]</f>
        <v>8</v>
      </c>
      <c r="AF262">
        <f t="shared" si="116"/>
        <v>0.77777777777777779</v>
      </c>
      <c r="AG262">
        <f>survey_responses[[#This Row],[So với trước đây, tôi thấy cách tính thuế và các bậc thuế trong phương án mới đơn giản, dễ hiểu và dễ thực hiện hơn. - HUMAN-FAC2]]</f>
        <v>9</v>
      </c>
      <c r="AH262">
        <f t="shared" si="117"/>
        <v>0.88888888888888884</v>
      </c>
      <c r="AI262" s="32">
        <f t="shared" si="118"/>
        <v>0.83333333333333326</v>
      </c>
      <c r="AJ262" s="32">
        <f t="shared" si="119"/>
        <v>0.44444444444444442</v>
      </c>
      <c r="AK262">
        <f>step3_validation[[#This Row],[AI_TRU1]]</f>
        <v>7</v>
      </c>
      <c r="AL262">
        <f t="shared" si="120"/>
        <v>0.66666666666666663</v>
      </c>
      <c r="AM262">
        <f>survey_responses[[#This Row],[Tôi tin rằng Nhà nước, cơ quan thuế sẽ thực thi chính sách mới một cách khách quan, công tâm và đối xử bình đẳng với mọi người nộp thuế.  - HUMAN-TRU1]]</f>
        <v>5</v>
      </c>
      <c r="AN262">
        <f t="shared" si="121"/>
        <v>0.44444444444444442</v>
      </c>
      <c r="AO262">
        <f>step3_validation[[#This Row],[AI_TRU2]]</f>
        <v>8</v>
      </c>
      <c r="AP262">
        <f t="shared" si="122"/>
        <v>0.77777777777777779</v>
      </c>
      <c r="AQ262">
        <f>survey_responses[[#This Row],[Tôi thấy mức thuế tôi phải đóng theo phương án mới là công bằng (người thu nhập như tôi đóng mức này là hợp lý). - HUMAN-TRU2]]</f>
        <v>4</v>
      </c>
      <c r="AR262">
        <f t="shared" si="123"/>
        <v>0.33333333333333331</v>
      </c>
      <c r="AS262">
        <f>step3_validation[[#This Row],[AI_TRU3]]</f>
        <v>6</v>
      </c>
      <c r="AT262">
        <f t="shared" si="124"/>
        <v>0.55555555555555558</v>
      </c>
      <c r="AU262">
        <f>survey_responses[[#This Row],[Tôi tin tưởng số tiền thuế tôi đóng sẽ được Nhà nước sử dụng hiệu quả để cải thiện dịch vụ công (y tế, đường xá...). - HUMAN-TRU3]]</f>
        <v>4</v>
      </c>
      <c r="AV262">
        <f t="shared" si="125"/>
        <v>0.33333333333333331</v>
      </c>
      <c r="AW262">
        <f>step3_validation[[#This Row],[AI_TRU4]]</f>
        <v>7</v>
      </c>
      <c r="AX262">
        <f t="shared" si="126"/>
        <v>0.66666666666666663</v>
      </c>
      <c r="AY262">
        <f>survey_responses[[#This Row],[Tôi thấy Nhà nước đã giải thích rõ ràng, minh bạch về lý do và mục tiêu của việc sửa đổi thuế lần này. - HUMAN-TRU4]]</f>
        <v>5</v>
      </c>
      <c r="AZ262">
        <f t="shared" si="127"/>
        <v>0.44444444444444442</v>
      </c>
      <c r="BA262" s="32">
        <f t="shared" si="128"/>
        <v>0.66666666666666663</v>
      </c>
      <c r="BB262" s="32">
        <f t="shared" si="129"/>
        <v>0.38888888888888884</v>
      </c>
      <c r="BC262" s="7">
        <f t="shared" si="130"/>
        <v>0.70370370370370372</v>
      </c>
      <c r="BD262" s="7">
        <f t="shared" si="131"/>
        <v>0.48148148148148145</v>
      </c>
      <c r="BE262">
        <f>step3_validation[[#This Row],[AI_OUT1]]</f>
        <v>9</v>
      </c>
      <c r="BF262">
        <f t="shared" si="132"/>
        <v>0.88888888888888884</v>
      </c>
      <c r="BG262">
        <f>survey_responses[[#This Row],[Sau khi xem xét các quyền lợi và nghĩa vụ, bạn có ủng hộ và tuân thủ chính sách mới hiện nay? - HUMAN-OUT1]]</f>
        <v>5</v>
      </c>
      <c r="BH262">
        <f t="shared" si="133"/>
        <v>0.44444444444444442</v>
      </c>
      <c r="BI262" s="32">
        <f t="shared" si="134"/>
        <v>4</v>
      </c>
    </row>
    <row r="263" spans="1:61" x14ac:dyDescent="0.45">
      <c r="A263" s="30">
        <f>step3_validation[[#This Row],[Persona_ID]]</f>
        <v>262</v>
      </c>
      <c r="B263" s="31">
        <f>step3_validation[[#This Row],[Used_Seed]]</f>
        <v>303</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68.000404351217739</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4</v>
      </c>
      <c r="R263">
        <f t="shared" si="108"/>
        <v>0.33333333333333331</v>
      </c>
      <c r="S263">
        <f>survey_responses[[#This Row],[Tôi tin rằng với các quy định quản lý thuế hiện nay, hành vi gian lận hoặc trốn thuế sẽ dễ dàng bị phát hiện và xử lý nghiêm. - HUMAN-ENF1]]</f>
        <v>9</v>
      </c>
      <c r="T263">
        <f t="shared" si="109"/>
        <v>0.88888888888888884</v>
      </c>
      <c r="U263">
        <f>step3_validation[[#This Row],[AI_ENF2]]</f>
        <v>5</v>
      </c>
      <c r="V263">
        <f t="shared" si="110"/>
        <v>0.44444444444444442</v>
      </c>
      <c r="W263">
        <f>survey_responses[[#This Row],[Tôi tin rằng Nhà nước, cơ quan thuế có đủ khả năng và công nghệ để phát hiện, xử lý nghiêm các hành vi trốn thuế. - HUMAN-ENF2]]</f>
        <v>9</v>
      </c>
      <c r="X263">
        <f t="shared" si="111"/>
        <v>0.88888888888888884</v>
      </c>
      <c r="Y263" s="32">
        <f t="shared" si="112"/>
        <v>0.38888888888888884</v>
      </c>
      <c r="Z263" s="32">
        <f t="shared" si="113"/>
        <v>0.88888888888888884</v>
      </c>
      <c r="AA263">
        <f>step3_validation[[#This Row],[AI_FAC1]]</f>
        <v>6</v>
      </c>
      <c r="AB263">
        <f t="shared" si="114"/>
        <v>0.55555555555555558</v>
      </c>
      <c r="AC263">
        <f>survey_responses[[#This Row],[Các thủ tục khai báo thuế VÀ/HOẶC quy trình làm việc với cơ quan thuế đơn giản, tiện lợi, nhanh chóng hơn so với trước đây. - HUMAN-FAC1]]</f>
        <v>8</v>
      </c>
      <c r="AD263">
        <f t="shared" si="115"/>
        <v>0.77777777777777779</v>
      </c>
      <c r="AE263">
        <f>step3_validation[[#This Row],[AI_FAC2]]</f>
        <v>8</v>
      </c>
      <c r="AF263">
        <f t="shared" si="116"/>
        <v>0.77777777777777779</v>
      </c>
      <c r="AG263">
        <f>survey_responses[[#This Row],[So với trước đây, tôi thấy cách tính thuế và các bậc thuế trong phương án mới đơn giản, dễ hiểu và dễ thực hiện hơn. - HUMAN-FAC2]]</f>
        <v>9</v>
      </c>
      <c r="AH263">
        <f t="shared" si="117"/>
        <v>0.88888888888888884</v>
      </c>
      <c r="AI263" s="32">
        <f t="shared" si="118"/>
        <v>0.66666666666666674</v>
      </c>
      <c r="AJ263" s="32">
        <f t="shared" si="119"/>
        <v>0.83333333333333326</v>
      </c>
      <c r="AK263">
        <f>step3_validation[[#This Row],[AI_TRU1]]</f>
        <v>7</v>
      </c>
      <c r="AL263">
        <f t="shared" si="120"/>
        <v>0.66666666666666663</v>
      </c>
      <c r="AM263">
        <f>survey_responses[[#This Row],[Tôi tin rằng Nhà nước, cơ quan thuế sẽ thực thi chính sách mới một cách khách quan, công tâm và đối xử bình đẳng với mọi người nộp thuế.  - HUMAN-TRU1]]</f>
        <v>8</v>
      </c>
      <c r="AN263">
        <f t="shared" si="121"/>
        <v>0.77777777777777779</v>
      </c>
      <c r="AO263">
        <f>step3_validation[[#This Row],[AI_TRU2]]</f>
        <v>9</v>
      </c>
      <c r="AP263">
        <f t="shared" si="122"/>
        <v>0.88888888888888884</v>
      </c>
      <c r="AQ263">
        <f>survey_responses[[#This Row],[Tôi thấy mức thuế tôi phải đóng theo phương án mới là công bằng (người thu nhập như tôi đóng mức này là hợp lý). - HUMAN-TRU2]]</f>
        <v>9</v>
      </c>
      <c r="AR263">
        <f t="shared" si="123"/>
        <v>0.88888888888888884</v>
      </c>
      <c r="AS263">
        <f>step3_validation[[#This Row],[AI_TRU3]]</f>
        <v>7</v>
      </c>
      <c r="AT263">
        <f t="shared" si="124"/>
        <v>0.66666666666666663</v>
      </c>
      <c r="AU263">
        <f>survey_responses[[#This Row],[Tôi tin tưởng số tiền thuế tôi đóng sẽ được Nhà nước sử dụng hiệu quả để cải thiện dịch vụ công (y tế, đường xá...). - HUMAN-TRU3]]</f>
        <v>9</v>
      </c>
      <c r="AV263">
        <f t="shared" si="125"/>
        <v>0.88888888888888884</v>
      </c>
      <c r="AW263">
        <f>step3_validation[[#This Row],[AI_TRU4]]</f>
        <v>8</v>
      </c>
      <c r="AX263">
        <f t="shared" si="126"/>
        <v>0.77777777777777779</v>
      </c>
      <c r="AY263">
        <f>survey_responses[[#This Row],[Tôi thấy Nhà nước đã giải thích rõ ràng, minh bạch về lý do và mục tiêu của việc sửa đổi thuế lần này. - HUMAN-TRU4]]</f>
        <v>8</v>
      </c>
      <c r="AZ263">
        <f t="shared" si="127"/>
        <v>0.77777777777777779</v>
      </c>
      <c r="BA263" s="32">
        <f t="shared" si="128"/>
        <v>0.74999999999999989</v>
      </c>
      <c r="BB263" s="32">
        <f t="shared" si="129"/>
        <v>0.83333333333333326</v>
      </c>
      <c r="BC263" s="7">
        <f t="shared" si="130"/>
        <v>0.60185185185185175</v>
      </c>
      <c r="BD263" s="7">
        <f t="shared" si="131"/>
        <v>0.85185185185185175</v>
      </c>
      <c r="BE263">
        <f>step3_validation[[#This Row],[AI_OUT1]]</f>
        <v>9</v>
      </c>
      <c r="BF263">
        <f t="shared" si="132"/>
        <v>0.88888888888888884</v>
      </c>
      <c r="BG263">
        <f>survey_responses[[#This Row],[Sau khi xem xét các quyền lợi và nghĩa vụ, bạn có ủng hộ và tuân thủ chính sách mới hiện nay? - HUMAN-OUT1]]</f>
        <v>8</v>
      </c>
      <c r="BH263">
        <f t="shared" si="133"/>
        <v>0.77777777777777779</v>
      </c>
      <c r="BI263" s="32">
        <f t="shared" si="134"/>
        <v>1</v>
      </c>
    </row>
    <row r="264" spans="1:61" x14ac:dyDescent="0.45">
      <c r="A264" s="30">
        <f>step3_validation[[#This Row],[Persona_ID]]</f>
        <v>263</v>
      </c>
      <c r="B264" s="31">
        <f>step3_validation[[#This Row],[Used_Seed]]</f>
        <v>304</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92.592868479061394</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7</v>
      </c>
      <c r="R264">
        <f t="shared" si="108"/>
        <v>0.66666666666666663</v>
      </c>
      <c r="S264">
        <f>survey_responses[[#This Row],[Tôi tin rằng với các quy định quản lý thuế hiện nay, hành vi gian lận hoặc trốn thuế sẽ dễ dàng bị phát hiện và xử lý nghiêm. - HUMAN-ENF1]]</f>
        <v>8</v>
      </c>
      <c r="T264">
        <f t="shared" si="109"/>
        <v>0.77777777777777779</v>
      </c>
      <c r="U264">
        <f>step3_validation[[#This Row],[AI_ENF2]]</f>
        <v>6</v>
      </c>
      <c r="V264">
        <f t="shared" si="110"/>
        <v>0.55555555555555558</v>
      </c>
      <c r="W264">
        <f>survey_responses[[#This Row],[Tôi tin rằng Nhà nước, cơ quan thuế có đủ khả năng và công nghệ để phát hiện, xử lý nghiêm các hành vi trốn thuế. - HUMAN-ENF2]]</f>
        <v>8</v>
      </c>
      <c r="X264">
        <f t="shared" si="111"/>
        <v>0.77777777777777779</v>
      </c>
      <c r="Y264" s="32">
        <f t="shared" si="112"/>
        <v>0.61111111111111116</v>
      </c>
      <c r="Z264" s="32">
        <f t="shared" si="113"/>
        <v>0.77777777777777779</v>
      </c>
      <c r="AA264">
        <f>step3_validation[[#This Row],[AI_FAC1]]</f>
        <v>8</v>
      </c>
      <c r="AB264">
        <f t="shared" si="114"/>
        <v>0.77777777777777779</v>
      </c>
      <c r="AC264">
        <f>survey_responses[[#This Row],[Các thủ tục khai báo thuế VÀ/HOẶC quy trình làm việc với cơ quan thuế đơn giản, tiện lợi, nhanh chóng hơn so với trước đây. - HUMAN-FAC1]]</f>
        <v>5</v>
      </c>
      <c r="AD264">
        <f t="shared" si="115"/>
        <v>0.44444444444444442</v>
      </c>
      <c r="AE264">
        <f>step3_validation[[#This Row],[AI_FAC2]]</f>
        <v>9</v>
      </c>
      <c r="AF264">
        <f t="shared" si="116"/>
        <v>0.88888888888888884</v>
      </c>
      <c r="AG264">
        <f>survey_responses[[#This Row],[So với trước đây, tôi thấy cách tính thuế và các bậc thuế trong phương án mới đơn giản, dễ hiểu và dễ thực hiện hơn. - HUMAN-FAC2]]</f>
        <v>7</v>
      </c>
      <c r="AH264">
        <f t="shared" si="117"/>
        <v>0.66666666666666663</v>
      </c>
      <c r="AI264" s="32">
        <f t="shared" si="118"/>
        <v>0.83333333333333326</v>
      </c>
      <c r="AJ264" s="32">
        <f t="shared" si="119"/>
        <v>0.55555555555555558</v>
      </c>
      <c r="AK264">
        <f>step3_validation[[#This Row],[AI_TRU1]]</f>
        <v>8</v>
      </c>
      <c r="AL264">
        <f t="shared" si="120"/>
        <v>0.77777777777777779</v>
      </c>
      <c r="AM264">
        <f>survey_responses[[#This Row],[Tôi tin rằng Nhà nước, cơ quan thuế sẽ thực thi chính sách mới một cách khách quan, công tâm và đối xử bình đẳng với mọi người nộp thuế.  - HUMAN-TRU1]]</f>
        <v>7</v>
      </c>
      <c r="AN264">
        <f t="shared" si="121"/>
        <v>0.66666666666666663</v>
      </c>
      <c r="AO264">
        <f>step3_validation[[#This Row],[AI_TRU2]]</f>
        <v>9</v>
      </c>
      <c r="AP264">
        <f t="shared" si="122"/>
        <v>0.88888888888888884</v>
      </c>
      <c r="AQ264">
        <f>survey_responses[[#This Row],[Tôi thấy mức thuế tôi phải đóng theo phương án mới là công bằng (người thu nhập như tôi đóng mức này là hợp lý). - HUMAN-TRU2]]</f>
        <v>5</v>
      </c>
      <c r="AR264">
        <f t="shared" si="123"/>
        <v>0.44444444444444442</v>
      </c>
      <c r="AS264">
        <f>step3_validation[[#This Row],[AI_TRU3]]</f>
        <v>8</v>
      </c>
      <c r="AT264">
        <f t="shared" si="124"/>
        <v>0.77777777777777779</v>
      </c>
      <c r="AU264">
        <f>survey_responses[[#This Row],[Tôi tin tưởng số tiền thuế tôi đóng sẽ được Nhà nước sử dụng hiệu quả để cải thiện dịch vụ công (y tế, đường xá...). - HUMAN-TRU3]]</f>
        <v>5</v>
      </c>
      <c r="AV264">
        <f t="shared" si="125"/>
        <v>0.44444444444444442</v>
      </c>
      <c r="AW264">
        <f>step3_validation[[#This Row],[AI_TRU4]]</f>
        <v>7</v>
      </c>
      <c r="AX264">
        <f t="shared" si="126"/>
        <v>0.66666666666666663</v>
      </c>
      <c r="AY264">
        <f>survey_responses[[#This Row],[Tôi thấy Nhà nước đã giải thích rõ ràng, minh bạch về lý do và mục tiêu của việc sửa đổi thuế lần này. - HUMAN-TRU4]]</f>
        <v>6</v>
      </c>
      <c r="AZ264">
        <f t="shared" si="127"/>
        <v>0.55555555555555558</v>
      </c>
      <c r="BA264" s="32">
        <f t="shared" si="128"/>
        <v>0.77777777777777768</v>
      </c>
      <c r="BB264" s="32">
        <f t="shared" si="129"/>
        <v>0.52777777777777779</v>
      </c>
      <c r="BC264" s="7">
        <f t="shared" si="130"/>
        <v>0.74074074074074081</v>
      </c>
      <c r="BD264" s="7">
        <f t="shared" si="131"/>
        <v>0.62037037037037035</v>
      </c>
      <c r="BE264">
        <f>step3_validation[[#This Row],[AI_OUT1]]</f>
        <v>9</v>
      </c>
      <c r="BF264">
        <f t="shared" si="132"/>
        <v>0.88888888888888884</v>
      </c>
      <c r="BG264">
        <f>survey_responses[[#This Row],[Sau khi xem xét các quyền lợi và nghĩa vụ, bạn có ủng hộ và tuân thủ chính sách mới hiện nay? - HUMAN-OUT1]]</f>
        <v>6</v>
      </c>
      <c r="BH264">
        <f t="shared" si="133"/>
        <v>0.55555555555555558</v>
      </c>
      <c r="BI264" s="32">
        <f t="shared" si="134"/>
        <v>3</v>
      </c>
    </row>
    <row r="265" spans="1:61" x14ac:dyDescent="0.45">
      <c r="A265" s="30">
        <f>step3_validation[[#This Row],[Persona_ID]]</f>
        <v>264</v>
      </c>
      <c r="B265" s="31">
        <f>step3_validation[[#This Row],[Used_Seed]]</f>
        <v>305</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111.11560768180053</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6</v>
      </c>
      <c r="R265">
        <f t="shared" si="108"/>
        <v>0.55555555555555558</v>
      </c>
      <c r="S265">
        <f>survey_responses[[#This Row],[Tôi tin rằng với các quy định quản lý thuế hiện nay, hành vi gian lận hoặc trốn thuế sẽ dễ dàng bị phát hiện và xử lý nghiêm. - HUMAN-ENF1]]</f>
        <v>7</v>
      </c>
      <c r="T265">
        <f t="shared" si="109"/>
        <v>0.66666666666666663</v>
      </c>
      <c r="U265">
        <f>step3_validation[[#This Row],[AI_ENF2]]</f>
        <v>6</v>
      </c>
      <c r="V265">
        <f t="shared" si="110"/>
        <v>0.55555555555555558</v>
      </c>
      <c r="W265">
        <f>survey_responses[[#This Row],[Tôi tin rằng Nhà nước, cơ quan thuế có đủ khả năng và công nghệ để phát hiện, xử lý nghiêm các hành vi trốn thuế. - HUMAN-ENF2]]</f>
        <v>7</v>
      </c>
      <c r="X265">
        <f t="shared" si="111"/>
        <v>0.66666666666666663</v>
      </c>
      <c r="Y265" s="32">
        <f t="shared" si="112"/>
        <v>0.55555555555555558</v>
      </c>
      <c r="Z265" s="32">
        <f t="shared" si="113"/>
        <v>0.66666666666666663</v>
      </c>
      <c r="AA265">
        <f>step3_validation[[#This Row],[AI_FAC1]]</f>
        <v>8</v>
      </c>
      <c r="AB265">
        <f t="shared" si="114"/>
        <v>0.77777777777777779</v>
      </c>
      <c r="AC265">
        <f>survey_responses[[#This Row],[Các thủ tục khai báo thuế VÀ/HOẶC quy trình làm việc với cơ quan thuế đơn giản, tiện lợi, nhanh chóng hơn so với trước đây. - HUMAN-FAC1]]</f>
        <v>7</v>
      </c>
      <c r="AD265">
        <f t="shared" si="115"/>
        <v>0.66666666666666663</v>
      </c>
      <c r="AE265">
        <f>step3_validation[[#This Row],[AI_FAC2]]</f>
        <v>9</v>
      </c>
      <c r="AF265">
        <f t="shared" si="116"/>
        <v>0.88888888888888884</v>
      </c>
      <c r="AG265">
        <f>survey_responses[[#This Row],[So với trước đây, tôi thấy cách tính thuế và các bậc thuế trong phương án mới đơn giản, dễ hiểu và dễ thực hiện hơn. - HUMAN-FAC2]]</f>
        <v>8</v>
      </c>
      <c r="AH265">
        <f t="shared" si="117"/>
        <v>0.77777777777777779</v>
      </c>
      <c r="AI265" s="32">
        <f t="shared" si="118"/>
        <v>0.83333333333333326</v>
      </c>
      <c r="AJ265" s="32">
        <f t="shared" si="119"/>
        <v>0.72222222222222221</v>
      </c>
      <c r="AK265">
        <f>step3_validation[[#This Row],[AI_TRU1]]</f>
        <v>7</v>
      </c>
      <c r="AL265">
        <f t="shared" si="120"/>
        <v>0.66666666666666663</v>
      </c>
      <c r="AM265">
        <f>survey_responses[[#This Row],[Tôi tin rằng Nhà nước, cơ quan thuế sẽ thực thi chính sách mới một cách khách quan, công tâm và đối xử bình đẳng với mọi người nộp thuế.  - HUMAN-TRU1]]</f>
        <v>7</v>
      </c>
      <c r="AN265">
        <f t="shared" si="121"/>
        <v>0.66666666666666663</v>
      </c>
      <c r="AO265">
        <f>step3_validation[[#This Row],[AI_TRU2]]</f>
        <v>8</v>
      </c>
      <c r="AP265">
        <f t="shared" si="122"/>
        <v>0.77777777777777779</v>
      </c>
      <c r="AQ265">
        <f>survey_responses[[#This Row],[Tôi thấy mức thuế tôi phải đóng theo phương án mới là công bằng (người thu nhập như tôi đóng mức này là hợp lý). - HUMAN-TRU2]]</f>
        <v>7</v>
      </c>
      <c r="AR265">
        <f t="shared" si="123"/>
        <v>0.66666666666666663</v>
      </c>
      <c r="AS265">
        <f>step3_validation[[#This Row],[AI_TRU3]]</f>
        <v>7</v>
      </c>
      <c r="AT265">
        <f t="shared" si="124"/>
        <v>0.66666666666666663</v>
      </c>
      <c r="AU265">
        <f>survey_responses[[#This Row],[Tôi tin tưởng số tiền thuế tôi đóng sẽ được Nhà nước sử dụng hiệu quả để cải thiện dịch vụ công (y tế, đường xá...). - HUMAN-TRU3]]</f>
        <v>7</v>
      </c>
      <c r="AV265">
        <f t="shared" si="125"/>
        <v>0.66666666666666663</v>
      </c>
      <c r="AW265">
        <f>step3_validation[[#This Row],[AI_TRU4]]</f>
        <v>8</v>
      </c>
      <c r="AX265">
        <f t="shared" si="126"/>
        <v>0.77777777777777779</v>
      </c>
      <c r="AY265">
        <f>survey_responses[[#This Row],[Tôi thấy Nhà nước đã giải thích rõ ràng, minh bạch về lý do và mục tiêu của việc sửa đổi thuế lần này. - HUMAN-TRU4]]</f>
        <v>7</v>
      </c>
      <c r="AZ265">
        <f t="shared" si="127"/>
        <v>0.66666666666666663</v>
      </c>
      <c r="BA265" s="32">
        <f t="shared" si="128"/>
        <v>0.72222222222222221</v>
      </c>
      <c r="BB265" s="32">
        <f t="shared" si="129"/>
        <v>0.66666666666666663</v>
      </c>
      <c r="BC265" s="7">
        <f t="shared" si="130"/>
        <v>0.70370370370370372</v>
      </c>
      <c r="BD265" s="7">
        <f t="shared" si="131"/>
        <v>0.68518518518518512</v>
      </c>
      <c r="BE265">
        <f>step3_validation[[#This Row],[AI_OUT1]]</f>
        <v>8</v>
      </c>
      <c r="BF265">
        <f t="shared" si="132"/>
        <v>0.77777777777777779</v>
      </c>
      <c r="BG265">
        <f>survey_responses[[#This Row],[Sau khi xem xét các quyền lợi và nghĩa vụ, bạn có ủng hộ và tuân thủ chính sách mới hiện nay? - HUMAN-OUT1]]</f>
        <v>7</v>
      </c>
      <c r="BH265">
        <f t="shared" si="133"/>
        <v>0.66666666666666663</v>
      </c>
      <c r="BI265" s="32">
        <f t="shared" si="134"/>
        <v>1</v>
      </c>
    </row>
    <row r="266" spans="1:61" x14ac:dyDescent="0.45">
      <c r="A266" s="30">
        <f>step3_validation[[#This Row],[Persona_ID]]</f>
        <v>265</v>
      </c>
      <c r="B266" s="31">
        <f>step3_validation[[#This Row],[Used_Seed]]</f>
        <v>306</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23.471752547275287</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6</v>
      </c>
      <c r="R266">
        <f t="shared" si="108"/>
        <v>0.55555555555555558</v>
      </c>
      <c r="S266">
        <f>survey_responses[[#This Row],[Tôi tin rằng với các quy định quản lý thuế hiện nay, hành vi gian lận hoặc trốn thuế sẽ dễ dàng bị phát hiện và xử lý nghiêm. - HUMAN-ENF1]]</f>
        <v>6</v>
      </c>
      <c r="T266">
        <f t="shared" si="109"/>
        <v>0.55555555555555558</v>
      </c>
      <c r="U266">
        <f>step3_validation[[#This Row],[AI_ENF2]]</f>
        <v>7</v>
      </c>
      <c r="V266">
        <f t="shared" si="110"/>
        <v>0.66666666666666663</v>
      </c>
      <c r="W266">
        <f>survey_responses[[#This Row],[Tôi tin rằng Nhà nước, cơ quan thuế có đủ khả năng và công nghệ để phát hiện, xử lý nghiêm các hành vi trốn thuế. - HUMAN-ENF2]]</f>
        <v>5</v>
      </c>
      <c r="X266">
        <f t="shared" si="111"/>
        <v>0.44444444444444442</v>
      </c>
      <c r="Y266" s="32">
        <f t="shared" si="112"/>
        <v>0.61111111111111116</v>
      </c>
      <c r="Z266" s="32">
        <f t="shared" si="113"/>
        <v>0.5</v>
      </c>
      <c r="AA266">
        <f>step3_validation[[#This Row],[AI_FAC1]]</f>
        <v>9</v>
      </c>
      <c r="AB266">
        <f t="shared" si="114"/>
        <v>0.88888888888888884</v>
      </c>
      <c r="AC266">
        <f>survey_responses[[#This Row],[Các thủ tục khai báo thuế VÀ/HOẶC quy trình làm việc với cơ quan thuế đơn giản, tiện lợi, nhanh chóng hơn so với trước đây. - HUMAN-FAC1]]</f>
        <v>5</v>
      </c>
      <c r="AD266">
        <f t="shared" si="115"/>
        <v>0.44444444444444442</v>
      </c>
      <c r="AE266">
        <f>step3_validation[[#This Row],[AI_FAC2]]</f>
        <v>8</v>
      </c>
      <c r="AF266">
        <f t="shared" si="116"/>
        <v>0.77777777777777779</v>
      </c>
      <c r="AG266">
        <f>survey_responses[[#This Row],[So với trước đây, tôi thấy cách tính thuế và các bậc thuế trong phương án mới đơn giản, dễ hiểu và dễ thực hiện hơn. - HUMAN-FAC2]]</f>
        <v>7</v>
      </c>
      <c r="AH266">
        <f t="shared" si="117"/>
        <v>0.66666666666666663</v>
      </c>
      <c r="AI266" s="32">
        <f t="shared" si="118"/>
        <v>0.83333333333333326</v>
      </c>
      <c r="AJ266" s="32">
        <f t="shared" si="119"/>
        <v>0.55555555555555558</v>
      </c>
      <c r="AK266">
        <f>step3_validation[[#This Row],[AI_TRU1]]</f>
        <v>7</v>
      </c>
      <c r="AL266">
        <f t="shared" si="120"/>
        <v>0.66666666666666663</v>
      </c>
      <c r="AM266">
        <f>survey_responses[[#This Row],[Tôi tin rằng Nhà nước, cơ quan thuế sẽ thực thi chính sách mới một cách khách quan, công tâm và đối xử bình đẳng với mọi người nộp thuế.  - HUMAN-TRU1]]</f>
        <v>6</v>
      </c>
      <c r="AN266">
        <f t="shared" si="121"/>
        <v>0.55555555555555558</v>
      </c>
      <c r="AO266">
        <f>step3_validation[[#This Row],[AI_TRU2]]</f>
        <v>9</v>
      </c>
      <c r="AP266">
        <f t="shared" si="122"/>
        <v>0.88888888888888884</v>
      </c>
      <c r="AQ266">
        <f>survey_responses[[#This Row],[Tôi thấy mức thuế tôi phải đóng theo phương án mới là công bằng (người thu nhập như tôi đóng mức này là hợp lý). - HUMAN-TRU2]]</f>
        <v>7</v>
      </c>
      <c r="AR266">
        <f t="shared" si="123"/>
        <v>0.66666666666666663</v>
      </c>
      <c r="AS266">
        <f>step3_validation[[#This Row],[AI_TRU3]]</f>
        <v>7</v>
      </c>
      <c r="AT266">
        <f t="shared" si="124"/>
        <v>0.66666666666666663</v>
      </c>
      <c r="AU266">
        <f>survey_responses[[#This Row],[Tôi tin tưởng số tiền thuế tôi đóng sẽ được Nhà nước sử dụng hiệu quả để cải thiện dịch vụ công (y tế, đường xá...). - HUMAN-TRU3]]</f>
        <v>5</v>
      </c>
      <c r="AV266">
        <f t="shared" si="125"/>
        <v>0.44444444444444442</v>
      </c>
      <c r="AW266">
        <f>step3_validation[[#This Row],[AI_TRU4]]</f>
        <v>8</v>
      </c>
      <c r="AX266">
        <f t="shared" si="126"/>
        <v>0.77777777777777779</v>
      </c>
      <c r="AY266">
        <f>survey_responses[[#This Row],[Tôi thấy Nhà nước đã giải thích rõ ràng, minh bạch về lý do và mục tiêu của việc sửa đổi thuế lần này. - HUMAN-TRU4]]</f>
        <v>6</v>
      </c>
      <c r="AZ266">
        <f t="shared" si="127"/>
        <v>0.55555555555555558</v>
      </c>
      <c r="BA266" s="32">
        <f t="shared" si="128"/>
        <v>0.74999999999999989</v>
      </c>
      <c r="BB266" s="32">
        <f t="shared" si="129"/>
        <v>0.55555555555555558</v>
      </c>
      <c r="BC266" s="7">
        <f t="shared" si="130"/>
        <v>0.7314814814814814</v>
      </c>
      <c r="BD266" s="7">
        <f t="shared" si="131"/>
        <v>0.53703703703703709</v>
      </c>
      <c r="BE266">
        <f>step3_validation[[#This Row],[AI_OUT1]]</f>
        <v>9</v>
      </c>
      <c r="BF266">
        <f t="shared" si="132"/>
        <v>0.88888888888888884</v>
      </c>
      <c r="BG266">
        <f>survey_responses[[#This Row],[Sau khi xem xét các quyền lợi và nghĩa vụ, bạn có ủng hộ và tuân thủ chính sách mới hiện nay? - HUMAN-OUT1]]</f>
        <v>6</v>
      </c>
      <c r="BH266">
        <f t="shared" si="133"/>
        <v>0.55555555555555558</v>
      </c>
      <c r="BI266" s="32">
        <f t="shared" si="134"/>
        <v>3</v>
      </c>
    </row>
    <row r="267" spans="1:61" x14ac:dyDescent="0.45">
      <c r="A267" s="30">
        <f>step3_validation[[#This Row],[Persona_ID]]</f>
        <v>266</v>
      </c>
      <c r="B267" s="31">
        <f>step3_validation[[#This Row],[Used_Seed]]</f>
        <v>307</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50.519403846977397</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8</v>
      </c>
      <c r="R267">
        <f t="shared" si="108"/>
        <v>0.77777777777777779</v>
      </c>
      <c r="S267">
        <f>survey_responses[[#This Row],[Tôi tin rằng với các quy định quản lý thuế hiện nay, hành vi gian lận hoặc trốn thuế sẽ dễ dàng bị phát hiện và xử lý nghiêm. - HUMAN-ENF1]]</f>
        <v>7</v>
      </c>
      <c r="T267">
        <f t="shared" si="109"/>
        <v>0.66666666666666663</v>
      </c>
      <c r="U267">
        <f>step3_validation[[#This Row],[AI_ENF2]]</f>
        <v>7</v>
      </c>
      <c r="V267">
        <f t="shared" si="110"/>
        <v>0.66666666666666663</v>
      </c>
      <c r="W267">
        <f>survey_responses[[#This Row],[Tôi tin rằng Nhà nước, cơ quan thuế có đủ khả năng và công nghệ để phát hiện, xử lý nghiêm các hành vi trốn thuế. - HUMAN-ENF2]]</f>
        <v>6</v>
      </c>
      <c r="X267">
        <f t="shared" si="111"/>
        <v>0.55555555555555558</v>
      </c>
      <c r="Y267" s="32">
        <f t="shared" si="112"/>
        <v>0.72222222222222221</v>
      </c>
      <c r="Z267" s="32">
        <f t="shared" si="113"/>
        <v>0.61111111111111116</v>
      </c>
      <c r="AA267">
        <f>step3_validation[[#This Row],[AI_FAC1]]</f>
        <v>9</v>
      </c>
      <c r="AB267">
        <f t="shared" si="114"/>
        <v>0.88888888888888884</v>
      </c>
      <c r="AC267">
        <f>survey_responses[[#This Row],[Các thủ tục khai báo thuế VÀ/HOẶC quy trình làm việc với cơ quan thuế đơn giản, tiện lợi, nhanh chóng hơn so với trước đây. - HUMAN-FAC1]]</f>
        <v>6</v>
      </c>
      <c r="AD267">
        <f t="shared" si="115"/>
        <v>0.55555555555555558</v>
      </c>
      <c r="AE267">
        <f>step3_validation[[#This Row],[AI_FAC2]]</f>
        <v>8</v>
      </c>
      <c r="AF267">
        <f t="shared" si="116"/>
        <v>0.77777777777777779</v>
      </c>
      <c r="AG267">
        <f>survey_responses[[#This Row],[So với trước đây, tôi thấy cách tính thuế và các bậc thuế trong phương án mới đơn giản, dễ hiểu và dễ thực hiện hơn. - HUMAN-FAC2]]</f>
        <v>6</v>
      </c>
      <c r="AH267">
        <f t="shared" si="117"/>
        <v>0.55555555555555558</v>
      </c>
      <c r="AI267" s="32">
        <f t="shared" si="118"/>
        <v>0.83333333333333326</v>
      </c>
      <c r="AJ267" s="32">
        <f t="shared" si="119"/>
        <v>0.55555555555555558</v>
      </c>
      <c r="AK267">
        <f>step3_validation[[#This Row],[AI_TRU1]]</f>
        <v>9</v>
      </c>
      <c r="AL267">
        <f t="shared" si="120"/>
        <v>0.88888888888888884</v>
      </c>
      <c r="AM267">
        <f>survey_responses[[#This Row],[Tôi tin rằng Nhà nước, cơ quan thuế sẽ thực thi chính sách mới một cách khách quan, công tâm và đối xử bình đẳng với mọi người nộp thuế.  - HUMAN-TRU1]]</f>
        <v>7</v>
      </c>
      <c r="AN267">
        <f t="shared" si="121"/>
        <v>0.66666666666666663</v>
      </c>
      <c r="AO267">
        <f>step3_validation[[#This Row],[AI_TRU2]]</f>
        <v>8</v>
      </c>
      <c r="AP267">
        <f t="shared" si="122"/>
        <v>0.77777777777777779</v>
      </c>
      <c r="AQ267">
        <f>survey_responses[[#This Row],[Tôi thấy mức thuế tôi phải đóng theo phương án mới là công bằng (người thu nhập như tôi đóng mức này là hợp lý). - HUMAN-TRU2]]</f>
        <v>7</v>
      </c>
      <c r="AR267">
        <f t="shared" si="123"/>
        <v>0.66666666666666663</v>
      </c>
      <c r="AS267">
        <f>step3_validation[[#This Row],[AI_TRU3]]</f>
        <v>9</v>
      </c>
      <c r="AT267">
        <f t="shared" si="124"/>
        <v>0.88888888888888884</v>
      </c>
      <c r="AU267">
        <f>survey_responses[[#This Row],[Tôi tin tưởng số tiền thuế tôi đóng sẽ được Nhà nước sử dụng hiệu quả để cải thiện dịch vụ công (y tế, đường xá...). - HUMAN-TRU3]]</f>
        <v>7</v>
      </c>
      <c r="AV267">
        <f t="shared" si="125"/>
        <v>0.66666666666666663</v>
      </c>
      <c r="AW267">
        <f>step3_validation[[#This Row],[AI_TRU4]]</f>
        <v>8</v>
      </c>
      <c r="AX267">
        <f t="shared" si="126"/>
        <v>0.77777777777777779</v>
      </c>
      <c r="AY267">
        <f>survey_responses[[#This Row],[Tôi thấy Nhà nước đã giải thích rõ ràng, minh bạch về lý do và mục tiêu của việc sửa đổi thuế lần này. - HUMAN-TRU4]]</f>
        <v>7</v>
      </c>
      <c r="AZ267">
        <f t="shared" si="127"/>
        <v>0.66666666666666663</v>
      </c>
      <c r="BA267" s="32">
        <f t="shared" si="128"/>
        <v>0.83333333333333326</v>
      </c>
      <c r="BB267" s="32">
        <f t="shared" si="129"/>
        <v>0.66666666666666663</v>
      </c>
      <c r="BC267" s="7">
        <f t="shared" si="130"/>
        <v>0.79629629629629617</v>
      </c>
      <c r="BD267" s="7">
        <f t="shared" si="131"/>
        <v>0.61111111111111116</v>
      </c>
      <c r="BE267">
        <f>step3_validation[[#This Row],[AI_OUT1]]</f>
        <v>9</v>
      </c>
      <c r="BF267">
        <f t="shared" si="132"/>
        <v>0.88888888888888884</v>
      </c>
      <c r="BG267">
        <f>survey_responses[[#This Row],[Sau khi xem xét các quyền lợi và nghĩa vụ, bạn có ủng hộ và tuân thủ chính sách mới hiện nay? - HUMAN-OUT1]]</f>
        <v>7</v>
      </c>
      <c r="BH267">
        <f t="shared" si="133"/>
        <v>0.66666666666666663</v>
      </c>
      <c r="BI267" s="32">
        <f t="shared" si="134"/>
        <v>2</v>
      </c>
    </row>
    <row r="268" spans="1:61" x14ac:dyDescent="0.45">
      <c r="A268" s="30">
        <f>step3_validation[[#This Row],[Persona_ID]]</f>
        <v>267</v>
      </c>
      <c r="B268" s="31">
        <f>step3_validation[[#This Row],[Used_Seed]]</f>
        <v>308</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52.569711452697604</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8</v>
      </c>
      <c r="R268">
        <f t="shared" si="108"/>
        <v>0.77777777777777779</v>
      </c>
      <c r="S268">
        <f>survey_responses[[#This Row],[Tôi tin rằng với các quy định quản lý thuế hiện nay, hành vi gian lận hoặc trốn thuế sẽ dễ dàng bị phát hiện và xử lý nghiêm. - HUMAN-ENF1]]</f>
        <v>6</v>
      </c>
      <c r="T268">
        <f t="shared" si="109"/>
        <v>0.55555555555555558</v>
      </c>
      <c r="U268">
        <f>step3_validation[[#This Row],[AI_ENF2]]</f>
        <v>9</v>
      </c>
      <c r="V268">
        <f t="shared" si="110"/>
        <v>0.88888888888888884</v>
      </c>
      <c r="W268">
        <f>survey_responses[[#This Row],[Tôi tin rằng Nhà nước, cơ quan thuế có đủ khả năng và công nghệ để phát hiện, xử lý nghiêm các hành vi trốn thuế. - HUMAN-ENF2]]</f>
        <v>7</v>
      </c>
      <c r="X268">
        <f t="shared" si="111"/>
        <v>0.66666666666666663</v>
      </c>
      <c r="Y268" s="32">
        <f t="shared" si="112"/>
        <v>0.83333333333333326</v>
      </c>
      <c r="Z268" s="32">
        <f t="shared" si="113"/>
        <v>0.61111111111111116</v>
      </c>
      <c r="AA268">
        <f>step3_validation[[#This Row],[AI_FAC1]]</f>
        <v>8</v>
      </c>
      <c r="AB268">
        <f t="shared" si="114"/>
        <v>0.77777777777777779</v>
      </c>
      <c r="AC268">
        <f>survey_responses[[#This Row],[Các thủ tục khai báo thuế VÀ/HOẶC quy trình làm việc với cơ quan thuế đơn giản, tiện lợi, nhanh chóng hơn so với trước đây. - HUMAN-FAC1]]</f>
        <v>7</v>
      </c>
      <c r="AD268">
        <f t="shared" si="115"/>
        <v>0.66666666666666663</v>
      </c>
      <c r="AE268">
        <f>step3_validation[[#This Row],[AI_FAC2]]</f>
        <v>9</v>
      </c>
      <c r="AF268">
        <f t="shared" si="116"/>
        <v>0.88888888888888884</v>
      </c>
      <c r="AG268">
        <f>survey_responses[[#This Row],[So với trước đây, tôi thấy cách tính thuế và các bậc thuế trong phương án mới đơn giản, dễ hiểu và dễ thực hiện hơn. - HUMAN-FAC2]]</f>
        <v>6</v>
      </c>
      <c r="AH268">
        <f t="shared" si="117"/>
        <v>0.55555555555555558</v>
      </c>
      <c r="AI268" s="32">
        <f t="shared" si="118"/>
        <v>0.83333333333333326</v>
      </c>
      <c r="AJ268" s="32">
        <f t="shared" si="119"/>
        <v>0.61111111111111116</v>
      </c>
      <c r="AK268">
        <f>step3_validation[[#This Row],[AI_TRU1]]</f>
        <v>8</v>
      </c>
      <c r="AL268">
        <f t="shared" si="120"/>
        <v>0.77777777777777779</v>
      </c>
      <c r="AM268">
        <f>survey_responses[[#This Row],[Tôi tin rằng Nhà nước, cơ quan thuế sẽ thực thi chính sách mới một cách khách quan, công tâm và đối xử bình đẳng với mọi người nộp thuế.  - HUMAN-TRU1]]</f>
        <v>6</v>
      </c>
      <c r="AN268">
        <f t="shared" si="121"/>
        <v>0.55555555555555558</v>
      </c>
      <c r="AO268">
        <f>step3_validation[[#This Row],[AI_TRU2]]</f>
        <v>9</v>
      </c>
      <c r="AP268">
        <f t="shared" si="122"/>
        <v>0.88888888888888884</v>
      </c>
      <c r="AQ268">
        <f>survey_responses[[#This Row],[Tôi thấy mức thuế tôi phải đóng theo phương án mới là công bằng (người thu nhập như tôi đóng mức này là hợp lý). - HUMAN-TRU2]]</f>
        <v>6</v>
      </c>
      <c r="AR268">
        <f t="shared" si="123"/>
        <v>0.55555555555555558</v>
      </c>
      <c r="AS268">
        <f>step3_validation[[#This Row],[AI_TRU3]]</f>
        <v>8</v>
      </c>
      <c r="AT268">
        <f t="shared" si="124"/>
        <v>0.77777777777777779</v>
      </c>
      <c r="AU268">
        <f>survey_responses[[#This Row],[Tôi tin tưởng số tiền thuế tôi đóng sẽ được Nhà nước sử dụng hiệu quả để cải thiện dịch vụ công (y tế, đường xá...). - HUMAN-TRU3]]</f>
        <v>6</v>
      </c>
      <c r="AV268">
        <f t="shared" si="125"/>
        <v>0.55555555555555558</v>
      </c>
      <c r="AW268">
        <f>step3_validation[[#This Row],[AI_TRU4]]</f>
        <v>9</v>
      </c>
      <c r="AX268">
        <f t="shared" si="126"/>
        <v>0.88888888888888884</v>
      </c>
      <c r="AY268">
        <f>survey_responses[[#This Row],[Tôi thấy Nhà nước đã giải thích rõ ràng, minh bạch về lý do và mục tiêu của việc sửa đổi thuế lần này. - HUMAN-TRU4]]</f>
        <v>7</v>
      </c>
      <c r="AZ268">
        <f t="shared" si="127"/>
        <v>0.66666666666666663</v>
      </c>
      <c r="BA268" s="32">
        <f t="shared" si="128"/>
        <v>0.83333333333333326</v>
      </c>
      <c r="BB268" s="32">
        <f t="shared" si="129"/>
        <v>0.58333333333333337</v>
      </c>
      <c r="BC268" s="7">
        <f t="shared" si="130"/>
        <v>0.83333333333333337</v>
      </c>
      <c r="BD268" s="7">
        <f t="shared" si="131"/>
        <v>0.60185185185185197</v>
      </c>
      <c r="BE268">
        <f>step3_validation[[#This Row],[AI_OUT1]]</f>
        <v>9</v>
      </c>
      <c r="BF268">
        <f t="shared" si="132"/>
        <v>0.88888888888888884</v>
      </c>
      <c r="BG268">
        <f>survey_responses[[#This Row],[Sau khi xem xét các quyền lợi và nghĩa vụ, bạn có ủng hộ và tuân thủ chính sách mới hiện nay? - HUMAN-OUT1]]</f>
        <v>7</v>
      </c>
      <c r="BH268">
        <f t="shared" si="133"/>
        <v>0.66666666666666663</v>
      </c>
      <c r="BI268" s="32">
        <f t="shared" si="134"/>
        <v>2</v>
      </c>
    </row>
    <row r="269" spans="1:61" x14ac:dyDescent="0.45">
      <c r="A269" s="30">
        <f>step3_validation[[#This Row],[Persona_ID]]</f>
        <v>268</v>
      </c>
      <c r="B269" s="31">
        <f>step3_validation[[#This Row],[Used_Seed]]</f>
        <v>309</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28.91998346010287</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6</v>
      </c>
      <c r="R269">
        <f t="shared" si="108"/>
        <v>0.55555555555555558</v>
      </c>
      <c r="S269">
        <f>survey_responses[[#This Row],[Tôi tin rằng với các quy định quản lý thuế hiện nay, hành vi gian lận hoặc trốn thuế sẽ dễ dàng bị phát hiện và xử lý nghiêm. - HUMAN-ENF1]]</f>
        <v>7</v>
      </c>
      <c r="T269">
        <f t="shared" si="109"/>
        <v>0.66666666666666663</v>
      </c>
      <c r="U269">
        <f>step3_validation[[#This Row],[AI_ENF2]]</f>
        <v>7</v>
      </c>
      <c r="V269">
        <f t="shared" si="110"/>
        <v>0.66666666666666663</v>
      </c>
      <c r="W269">
        <f>survey_responses[[#This Row],[Tôi tin rằng Nhà nước, cơ quan thuế có đủ khả năng và công nghệ để phát hiện, xử lý nghiêm các hành vi trốn thuế. - HUMAN-ENF2]]</f>
        <v>7</v>
      </c>
      <c r="X269">
        <f t="shared" si="111"/>
        <v>0.66666666666666663</v>
      </c>
      <c r="Y269" s="32">
        <f t="shared" si="112"/>
        <v>0.61111111111111116</v>
      </c>
      <c r="Z269" s="32">
        <f t="shared" si="113"/>
        <v>0.66666666666666663</v>
      </c>
      <c r="AA269">
        <f>step3_validation[[#This Row],[AI_FAC1]]</f>
        <v>9</v>
      </c>
      <c r="AB269">
        <f t="shared" si="114"/>
        <v>0.88888888888888884</v>
      </c>
      <c r="AC269">
        <f>survey_responses[[#This Row],[Các thủ tục khai báo thuế VÀ/HOẶC quy trình làm việc với cơ quan thuế đơn giản, tiện lợi, nhanh chóng hơn so với trước đây. - HUMAN-FAC1]]</f>
        <v>2</v>
      </c>
      <c r="AD269">
        <f t="shared" si="115"/>
        <v>0.1111111111111111</v>
      </c>
      <c r="AE269">
        <f>step3_validation[[#This Row],[AI_FAC2]]</f>
        <v>8</v>
      </c>
      <c r="AF269">
        <f t="shared" si="116"/>
        <v>0.77777777777777779</v>
      </c>
      <c r="AG269">
        <f>survey_responses[[#This Row],[So với trước đây, tôi thấy cách tính thuế và các bậc thuế trong phương án mới đơn giản, dễ hiểu và dễ thực hiện hơn. - HUMAN-FAC2]]</f>
        <v>7</v>
      </c>
      <c r="AH269">
        <f t="shared" si="117"/>
        <v>0.66666666666666663</v>
      </c>
      <c r="AI269" s="32">
        <f t="shared" si="118"/>
        <v>0.83333333333333326</v>
      </c>
      <c r="AJ269" s="32">
        <f t="shared" si="119"/>
        <v>0.38888888888888884</v>
      </c>
      <c r="AK269">
        <f>step3_validation[[#This Row],[AI_TRU1]]</f>
        <v>9</v>
      </c>
      <c r="AL269">
        <f t="shared" si="120"/>
        <v>0.88888888888888884</v>
      </c>
      <c r="AM269">
        <f>survey_responses[[#This Row],[Tôi tin rằng Nhà nước, cơ quan thuế sẽ thực thi chính sách mới một cách khách quan, công tâm và đối xử bình đẳng với mọi người nộp thuế.  - HUMAN-TRU1]]</f>
        <v>7</v>
      </c>
      <c r="AN269">
        <f t="shared" si="121"/>
        <v>0.66666666666666663</v>
      </c>
      <c r="AO269">
        <f>step3_validation[[#This Row],[AI_TRU2]]</f>
        <v>8</v>
      </c>
      <c r="AP269">
        <f t="shared" si="122"/>
        <v>0.77777777777777779</v>
      </c>
      <c r="AQ269">
        <f>survey_responses[[#This Row],[Tôi thấy mức thuế tôi phải đóng theo phương án mới là công bằng (người thu nhập như tôi đóng mức này là hợp lý). - HUMAN-TRU2]]</f>
        <v>7</v>
      </c>
      <c r="AR269">
        <f t="shared" si="123"/>
        <v>0.66666666666666663</v>
      </c>
      <c r="AS269">
        <f>step3_validation[[#This Row],[AI_TRU3]]</f>
        <v>9</v>
      </c>
      <c r="AT269">
        <f t="shared" si="124"/>
        <v>0.88888888888888884</v>
      </c>
      <c r="AU269">
        <f>survey_responses[[#This Row],[Tôi tin tưởng số tiền thuế tôi đóng sẽ được Nhà nước sử dụng hiệu quả để cải thiện dịch vụ công (y tế, đường xá...). - HUMAN-TRU3]]</f>
        <v>7</v>
      </c>
      <c r="AV269">
        <f t="shared" si="125"/>
        <v>0.66666666666666663</v>
      </c>
      <c r="AW269">
        <f>step3_validation[[#This Row],[AI_TRU4]]</f>
        <v>7</v>
      </c>
      <c r="AX269">
        <f t="shared" si="126"/>
        <v>0.66666666666666663</v>
      </c>
      <c r="AY269">
        <f>survey_responses[[#This Row],[Tôi thấy Nhà nước đã giải thích rõ ràng, minh bạch về lý do và mục tiêu của việc sửa đổi thuế lần này. - HUMAN-TRU4]]</f>
        <v>7</v>
      </c>
      <c r="AZ269">
        <f t="shared" si="127"/>
        <v>0.66666666666666663</v>
      </c>
      <c r="BA269" s="32">
        <f t="shared" si="128"/>
        <v>0.80555555555555547</v>
      </c>
      <c r="BB269" s="32">
        <f t="shared" si="129"/>
        <v>0.66666666666666663</v>
      </c>
      <c r="BC269" s="7">
        <f t="shared" si="130"/>
        <v>0.75</v>
      </c>
      <c r="BD269" s="7">
        <f t="shared" si="131"/>
        <v>0.57407407407407396</v>
      </c>
      <c r="BE269">
        <f>step3_validation[[#This Row],[AI_OUT1]]</f>
        <v>8</v>
      </c>
      <c r="BF269">
        <f t="shared" si="132"/>
        <v>0.77777777777777779</v>
      </c>
      <c r="BG269">
        <f>survey_responses[[#This Row],[Sau khi xem xét các quyền lợi và nghĩa vụ, bạn có ủng hộ và tuân thủ chính sách mới hiện nay? - HUMAN-OUT1]]</f>
        <v>7</v>
      </c>
      <c r="BH269">
        <f t="shared" si="133"/>
        <v>0.66666666666666663</v>
      </c>
      <c r="BI269" s="32">
        <f t="shared" si="134"/>
        <v>1</v>
      </c>
    </row>
    <row r="270" spans="1:61" x14ac:dyDescent="0.45">
      <c r="A270" s="30">
        <f>step3_validation[[#This Row],[Persona_ID]]</f>
        <v>269</v>
      </c>
      <c r="B270" s="31">
        <f>step3_validation[[#This Row],[Used_Seed]]</f>
        <v>310</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86.24176125121042</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f t="shared" si="108"/>
        <v>0.77777777777777779</v>
      </c>
      <c r="S270">
        <f>survey_responses[[#This Row],[Tôi tin rằng với các quy định quản lý thuế hiện nay, hành vi gian lận hoặc trốn thuế sẽ dễ dàng bị phát hiện và xử lý nghiêm. - HUMAN-ENF1]]</f>
        <v>4</v>
      </c>
      <c r="T270">
        <f t="shared" si="109"/>
        <v>0.33333333333333331</v>
      </c>
      <c r="U270">
        <f>step3_validation[[#This Row],[AI_ENF2]]</f>
        <v>8</v>
      </c>
      <c r="V270">
        <f t="shared" si="110"/>
        <v>0.77777777777777779</v>
      </c>
      <c r="W270">
        <f>survey_responses[[#This Row],[Tôi tin rằng Nhà nước, cơ quan thuế có đủ khả năng và công nghệ để phát hiện, xử lý nghiêm các hành vi trốn thuế. - HUMAN-ENF2]]</f>
        <v>5</v>
      </c>
      <c r="X270">
        <f t="shared" si="111"/>
        <v>0.44444444444444442</v>
      </c>
      <c r="Y270" s="32">
        <f t="shared" si="112"/>
        <v>0.77777777777777779</v>
      </c>
      <c r="Z270" s="32">
        <f t="shared" si="113"/>
        <v>0.38888888888888884</v>
      </c>
      <c r="AA270">
        <f>step3_validation[[#This Row],[AI_FAC1]]</f>
        <v>9</v>
      </c>
      <c r="AB270">
        <f t="shared" si="114"/>
        <v>0.88888888888888884</v>
      </c>
      <c r="AC270">
        <f>survey_responses[[#This Row],[Các thủ tục khai báo thuế VÀ/HOẶC quy trình làm việc với cơ quan thuế đơn giản, tiện lợi, nhanh chóng hơn so với trước đây. - HUMAN-FAC1]]</f>
        <v>2</v>
      </c>
      <c r="AD270">
        <f t="shared" si="115"/>
        <v>0.1111111111111111</v>
      </c>
      <c r="AE270">
        <f>step3_validation[[#This Row],[AI_FAC2]]</f>
        <v>9</v>
      </c>
      <c r="AF270">
        <f t="shared" si="116"/>
        <v>0.88888888888888884</v>
      </c>
      <c r="AG270">
        <f>survey_responses[[#This Row],[So với trước đây, tôi thấy cách tính thuế và các bậc thuế trong phương án mới đơn giản, dễ hiểu và dễ thực hiện hơn. - HUMAN-FAC2]]</f>
        <v>6</v>
      </c>
      <c r="AH270">
        <f t="shared" si="117"/>
        <v>0.55555555555555558</v>
      </c>
      <c r="AI270" s="32">
        <f t="shared" si="118"/>
        <v>0.88888888888888884</v>
      </c>
      <c r="AJ270" s="32">
        <f t="shared" si="119"/>
        <v>0.33333333333333337</v>
      </c>
      <c r="AK270">
        <f>step3_validation[[#This Row],[AI_TRU1]]</f>
        <v>9</v>
      </c>
      <c r="AL270">
        <f t="shared" si="120"/>
        <v>0.88888888888888884</v>
      </c>
      <c r="AM270">
        <f>survey_responses[[#This Row],[Tôi tin rằng Nhà nước, cơ quan thuế sẽ thực thi chính sách mới một cách khách quan, công tâm và đối xử bình đẳng với mọi người nộp thuế.  - HUMAN-TRU1]]</f>
        <v>3</v>
      </c>
      <c r="AN270">
        <f t="shared" si="121"/>
        <v>0.22222222222222221</v>
      </c>
      <c r="AO270">
        <f>step3_validation[[#This Row],[AI_TRU2]]</f>
        <v>9</v>
      </c>
      <c r="AP270">
        <f t="shared" si="122"/>
        <v>0.88888888888888884</v>
      </c>
      <c r="AQ270">
        <f>survey_responses[[#This Row],[Tôi thấy mức thuế tôi phải đóng theo phương án mới là công bằng (người thu nhập như tôi đóng mức này là hợp lý). - HUMAN-TRU2]]</f>
        <v>3</v>
      </c>
      <c r="AR270">
        <f t="shared" si="123"/>
        <v>0.22222222222222221</v>
      </c>
      <c r="AS270">
        <f>step3_validation[[#This Row],[AI_TRU3]]</f>
        <v>9</v>
      </c>
      <c r="AT270">
        <f t="shared" si="124"/>
        <v>0.88888888888888884</v>
      </c>
      <c r="AU270">
        <f>survey_responses[[#This Row],[Tôi tin tưởng số tiền thuế tôi đóng sẽ được Nhà nước sử dụng hiệu quả để cải thiện dịch vụ công (y tế, đường xá...). - HUMAN-TRU3]]</f>
        <v>1</v>
      </c>
      <c r="AV270">
        <f t="shared" si="125"/>
        <v>0</v>
      </c>
      <c r="AW270">
        <f>step3_validation[[#This Row],[AI_TRU4]]</f>
        <v>9</v>
      </c>
      <c r="AX270">
        <f t="shared" si="126"/>
        <v>0.88888888888888884</v>
      </c>
      <c r="AY270">
        <f>survey_responses[[#This Row],[Tôi thấy Nhà nước đã giải thích rõ ràng, minh bạch về lý do và mục tiêu của việc sửa đổi thuế lần này. - HUMAN-TRU4]]</f>
        <v>3</v>
      </c>
      <c r="AZ270">
        <f t="shared" si="127"/>
        <v>0.22222222222222221</v>
      </c>
      <c r="BA270" s="32">
        <f t="shared" si="128"/>
        <v>0.88888888888888884</v>
      </c>
      <c r="BB270" s="32">
        <f t="shared" si="129"/>
        <v>0.16666666666666666</v>
      </c>
      <c r="BC270" s="7">
        <f t="shared" si="130"/>
        <v>0.85185185185185175</v>
      </c>
      <c r="BD270" s="7">
        <f t="shared" si="131"/>
        <v>0.29629629629629628</v>
      </c>
      <c r="BE270">
        <f>step3_validation[[#This Row],[AI_OUT1]]</f>
        <v>9</v>
      </c>
      <c r="BF270">
        <f t="shared" si="132"/>
        <v>0.88888888888888884</v>
      </c>
      <c r="BG270">
        <f>survey_responses[[#This Row],[Sau khi xem xét các quyền lợi và nghĩa vụ, bạn có ủng hộ và tuân thủ chính sách mới hiện nay? - HUMAN-OUT1]]</f>
        <v>1</v>
      </c>
      <c r="BH270">
        <f t="shared" si="133"/>
        <v>0</v>
      </c>
      <c r="BI270" s="32">
        <f t="shared" si="134"/>
        <v>8</v>
      </c>
    </row>
    <row r="271" spans="1:61" x14ac:dyDescent="0.45">
      <c r="A271" s="30">
        <f>step3_validation[[#This Row],[Persona_ID]]</f>
        <v>270</v>
      </c>
      <c r="B271" s="31">
        <f>step3_validation[[#This Row],[Used_Seed]]</f>
        <v>311</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67.77050871738534</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5</v>
      </c>
      <c r="R271">
        <f t="shared" si="108"/>
        <v>0.44444444444444442</v>
      </c>
      <c r="S271">
        <f>survey_responses[[#This Row],[Tôi tin rằng với các quy định quản lý thuế hiện nay, hành vi gian lận hoặc trốn thuế sẽ dễ dàng bị phát hiện và xử lý nghiêm. - HUMAN-ENF1]]</f>
        <v>8</v>
      </c>
      <c r="T271">
        <f t="shared" si="109"/>
        <v>0.77777777777777779</v>
      </c>
      <c r="U271">
        <f>step3_validation[[#This Row],[AI_ENF2]]</f>
        <v>6</v>
      </c>
      <c r="V271">
        <f t="shared" si="110"/>
        <v>0.55555555555555558</v>
      </c>
      <c r="W271">
        <f>survey_responses[[#This Row],[Tôi tin rằng Nhà nước, cơ quan thuế có đủ khả năng và công nghệ để phát hiện, xử lý nghiêm các hành vi trốn thuế. - HUMAN-ENF2]]</f>
        <v>8</v>
      </c>
      <c r="X271">
        <f t="shared" si="111"/>
        <v>0.77777777777777779</v>
      </c>
      <c r="Y271" s="32">
        <f t="shared" si="112"/>
        <v>0.5</v>
      </c>
      <c r="Z271" s="32">
        <f t="shared" si="113"/>
        <v>0.77777777777777779</v>
      </c>
      <c r="AA271">
        <f>step3_validation[[#This Row],[AI_FAC1]]</f>
        <v>8</v>
      </c>
      <c r="AB271">
        <f t="shared" si="114"/>
        <v>0.77777777777777779</v>
      </c>
      <c r="AC271">
        <f>survey_responses[[#This Row],[Các thủ tục khai báo thuế VÀ/HOẶC quy trình làm việc với cơ quan thuế đơn giản, tiện lợi, nhanh chóng hơn so với trước đây. - HUMAN-FAC1]]</f>
        <v>3</v>
      </c>
      <c r="AD271">
        <f t="shared" si="115"/>
        <v>0.22222222222222221</v>
      </c>
      <c r="AE271">
        <f>step3_validation[[#This Row],[AI_FAC2]]</f>
        <v>9</v>
      </c>
      <c r="AF271">
        <f t="shared" si="116"/>
        <v>0.88888888888888884</v>
      </c>
      <c r="AG271">
        <f>survey_responses[[#This Row],[So với trước đây, tôi thấy cách tính thuế và các bậc thuế trong phương án mới đơn giản, dễ hiểu và dễ thực hiện hơn. - HUMAN-FAC2]]</f>
        <v>8</v>
      </c>
      <c r="AH271">
        <f t="shared" si="117"/>
        <v>0.77777777777777779</v>
      </c>
      <c r="AI271" s="32">
        <f t="shared" si="118"/>
        <v>0.83333333333333326</v>
      </c>
      <c r="AJ271" s="32">
        <f t="shared" si="119"/>
        <v>0.5</v>
      </c>
      <c r="AK271">
        <f>step3_validation[[#This Row],[AI_TRU1]]</f>
        <v>7</v>
      </c>
      <c r="AL271">
        <f t="shared" si="120"/>
        <v>0.66666666666666663</v>
      </c>
      <c r="AM271">
        <f>survey_responses[[#This Row],[Tôi tin rằng Nhà nước, cơ quan thuế sẽ thực thi chính sách mới một cách khách quan, công tâm và đối xử bình đẳng với mọi người nộp thuế.  - HUMAN-TRU1]]</f>
        <v>3</v>
      </c>
      <c r="AN271">
        <f t="shared" si="121"/>
        <v>0.22222222222222221</v>
      </c>
      <c r="AO271">
        <f>step3_validation[[#This Row],[AI_TRU2]]</f>
        <v>8</v>
      </c>
      <c r="AP271">
        <f t="shared" si="122"/>
        <v>0.77777777777777779</v>
      </c>
      <c r="AQ271">
        <f>survey_responses[[#This Row],[Tôi thấy mức thuế tôi phải đóng theo phương án mới là công bằng (người thu nhập như tôi đóng mức này là hợp lý). - HUMAN-TRU2]]</f>
        <v>1</v>
      </c>
      <c r="AR271">
        <f t="shared" si="123"/>
        <v>0</v>
      </c>
      <c r="AS271">
        <f>step3_validation[[#This Row],[AI_TRU3]]</f>
        <v>7</v>
      </c>
      <c r="AT271">
        <f t="shared" si="124"/>
        <v>0.66666666666666663</v>
      </c>
      <c r="AU271">
        <f>survey_responses[[#This Row],[Tôi tin tưởng số tiền thuế tôi đóng sẽ được Nhà nước sử dụng hiệu quả để cải thiện dịch vụ công (y tế, đường xá...). - HUMAN-TRU3]]</f>
        <v>8</v>
      </c>
      <c r="AV271">
        <f t="shared" si="125"/>
        <v>0.77777777777777779</v>
      </c>
      <c r="AW271">
        <f>step3_validation[[#This Row],[AI_TRU4]]</f>
        <v>6</v>
      </c>
      <c r="AX271">
        <f t="shared" si="126"/>
        <v>0.55555555555555558</v>
      </c>
      <c r="AY271">
        <f>survey_responses[[#This Row],[Tôi thấy Nhà nước đã giải thích rõ ràng, minh bạch về lý do và mục tiêu của việc sửa đổi thuế lần này. - HUMAN-TRU4]]</f>
        <v>6</v>
      </c>
      <c r="AZ271">
        <f t="shared" si="127"/>
        <v>0.55555555555555558</v>
      </c>
      <c r="BA271" s="32">
        <f t="shared" si="128"/>
        <v>0.66666666666666674</v>
      </c>
      <c r="BB271" s="32">
        <f t="shared" si="129"/>
        <v>0.3888888888888889</v>
      </c>
      <c r="BC271" s="7">
        <f t="shared" si="130"/>
        <v>0.66666666666666663</v>
      </c>
      <c r="BD271" s="7">
        <f t="shared" si="131"/>
        <v>0.55555555555555547</v>
      </c>
      <c r="BE271">
        <f>step3_validation[[#This Row],[AI_OUT1]]</f>
        <v>8</v>
      </c>
      <c r="BF271">
        <f t="shared" si="132"/>
        <v>0.77777777777777779</v>
      </c>
      <c r="BG271">
        <f>survey_responses[[#This Row],[Sau khi xem xét các quyền lợi và nghĩa vụ, bạn có ủng hộ và tuân thủ chính sách mới hiện nay? - HUMAN-OUT1]]</f>
        <v>7</v>
      </c>
      <c r="BH271">
        <f t="shared" si="133"/>
        <v>0.66666666666666663</v>
      </c>
      <c r="BI271" s="32">
        <f t="shared" si="134"/>
        <v>1</v>
      </c>
    </row>
    <row r="272" spans="1:61" x14ac:dyDescent="0.45">
      <c r="A272" s="30">
        <f>step3_validation[[#This Row],[Persona_ID]]</f>
        <v>271</v>
      </c>
      <c r="B272" s="31">
        <f>step3_validation[[#This Row],[Used_Seed]]</f>
        <v>312</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56.8895451578394</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8</v>
      </c>
      <c r="R272">
        <f t="shared" si="108"/>
        <v>0.77777777777777779</v>
      </c>
      <c r="S272">
        <f>survey_responses[[#This Row],[Tôi tin rằng với các quy định quản lý thuế hiện nay, hành vi gian lận hoặc trốn thuế sẽ dễ dàng bị phát hiện và xử lý nghiêm. - HUMAN-ENF1]]</f>
        <v>7</v>
      </c>
      <c r="T272">
        <f t="shared" si="109"/>
        <v>0.66666666666666663</v>
      </c>
      <c r="U272">
        <f>step3_validation[[#This Row],[AI_ENF2]]</f>
        <v>7</v>
      </c>
      <c r="V272">
        <f t="shared" si="110"/>
        <v>0.66666666666666663</v>
      </c>
      <c r="W272">
        <f>survey_responses[[#This Row],[Tôi tin rằng Nhà nước, cơ quan thuế có đủ khả năng và công nghệ để phát hiện, xử lý nghiêm các hành vi trốn thuế. - HUMAN-ENF2]]</f>
        <v>7</v>
      </c>
      <c r="X272">
        <f t="shared" si="111"/>
        <v>0.66666666666666663</v>
      </c>
      <c r="Y272" s="32">
        <f t="shared" si="112"/>
        <v>0.72222222222222221</v>
      </c>
      <c r="Z272" s="32">
        <f t="shared" si="113"/>
        <v>0.66666666666666663</v>
      </c>
      <c r="AA272">
        <f>step3_validation[[#This Row],[AI_FAC1]]</f>
        <v>9</v>
      </c>
      <c r="AB272">
        <f t="shared" si="114"/>
        <v>0.88888888888888884</v>
      </c>
      <c r="AC272">
        <f>survey_responses[[#This Row],[Các thủ tục khai báo thuế VÀ/HOẶC quy trình làm việc với cơ quan thuế đơn giản, tiện lợi, nhanh chóng hơn so với trước đây. - HUMAN-FAC1]]</f>
        <v>4</v>
      </c>
      <c r="AD272">
        <f t="shared" si="115"/>
        <v>0.33333333333333331</v>
      </c>
      <c r="AE272">
        <f>step3_validation[[#This Row],[AI_FAC2]]</f>
        <v>8</v>
      </c>
      <c r="AF272">
        <f t="shared" si="116"/>
        <v>0.77777777777777779</v>
      </c>
      <c r="AG272">
        <f>survey_responses[[#This Row],[So với trước đây, tôi thấy cách tính thuế và các bậc thuế trong phương án mới đơn giản, dễ hiểu và dễ thực hiện hơn. - HUMAN-FAC2]]</f>
        <v>7</v>
      </c>
      <c r="AH272">
        <f t="shared" si="117"/>
        <v>0.66666666666666663</v>
      </c>
      <c r="AI272" s="32">
        <f t="shared" si="118"/>
        <v>0.83333333333333326</v>
      </c>
      <c r="AJ272" s="32">
        <f t="shared" si="119"/>
        <v>0.5</v>
      </c>
      <c r="AK272">
        <f>step3_validation[[#This Row],[AI_TRU1]]</f>
        <v>9</v>
      </c>
      <c r="AL272">
        <f t="shared" si="120"/>
        <v>0.88888888888888884</v>
      </c>
      <c r="AM272">
        <f>survey_responses[[#This Row],[Tôi tin rằng Nhà nước, cơ quan thuế sẽ thực thi chính sách mới một cách khách quan, công tâm và đối xử bình đẳng với mọi người nộp thuế.  - HUMAN-TRU1]]</f>
        <v>7</v>
      </c>
      <c r="AN272">
        <f t="shared" si="121"/>
        <v>0.66666666666666663</v>
      </c>
      <c r="AO272">
        <f>step3_validation[[#This Row],[AI_TRU2]]</f>
        <v>8</v>
      </c>
      <c r="AP272">
        <f t="shared" si="122"/>
        <v>0.77777777777777779</v>
      </c>
      <c r="AQ272">
        <f>survey_responses[[#This Row],[Tôi thấy mức thuế tôi phải đóng theo phương án mới là công bằng (người thu nhập như tôi đóng mức này là hợp lý). - HUMAN-TRU2]]</f>
        <v>6</v>
      </c>
      <c r="AR272">
        <f t="shared" si="123"/>
        <v>0.55555555555555558</v>
      </c>
      <c r="AS272">
        <f>step3_validation[[#This Row],[AI_TRU3]]</f>
        <v>9</v>
      </c>
      <c r="AT272">
        <f t="shared" si="124"/>
        <v>0.88888888888888884</v>
      </c>
      <c r="AU272">
        <f>survey_responses[[#This Row],[Tôi tin tưởng số tiền thuế tôi đóng sẽ được Nhà nước sử dụng hiệu quả để cải thiện dịch vụ công (y tế, đường xá...). - HUMAN-TRU3]]</f>
        <v>5</v>
      </c>
      <c r="AV272">
        <f t="shared" si="125"/>
        <v>0.44444444444444442</v>
      </c>
      <c r="AW272">
        <f>step3_validation[[#This Row],[AI_TRU4]]</f>
        <v>8</v>
      </c>
      <c r="AX272">
        <f t="shared" si="126"/>
        <v>0.77777777777777779</v>
      </c>
      <c r="AY272">
        <f>survey_responses[[#This Row],[Tôi thấy Nhà nước đã giải thích rõ ràng, minh bạch về lý do và mục tiêu của việc sửa đổi thuế lần này. - HUMAN-TRU4]]</f>
        <v>7</v>
      </c>
      <c r="AZ272">
        <f t="shared" si="127"/>
        <v>0.66666666666666663</v>
      </c>
      <c r="BA272" s="32">
        <f t="shared" si="128"/>
        <v>0.83333333333333326</v>
      </c>
      <c r="BB272" s="32">
        <f t="shared" si="129"/>
        <v>0.58333333333333337</v>
      </c>
      <c r="BC272" s="7">
        <f t="shared" si="130"/>
        <v>0.79629629629629617</v>
      </c>
      <c r="BD272" s="7">
        <f t="shared" si="131"/>
        <v>0.58333333333333337</v>
      </c>
      <c r="BE272">
        <f>step3_validation[[#This Row],[AI_OUT1]]</f>
        <v>9</v>
      </c>
      <c r="BF272">
        <f t="shared" si="132"/>
        <v>0.88888888888888884</v>
      </c>
      <c r="BG272">
        <f>survey_responses[[#This Row],[Sau khi xem xét các quyền lợi và nghĩa vụ, bạn có ủng hộ và tuân thủ chính sách mới hiện nay? - HUMAN-OUT1]]</f>
        <v>6</v>
      </c>
      <c r="BH272">
        <f t="shared" si="133"/>
        <v>0.55555555555555558</v>
      </c>
      <c r="BI272" s="32">
        <f t="shared" si="134"/>
        <v>3</v>
      </c>
    </row>
    <row r="273" spans="1:61" x14ac:dyDescent="0.45">
      <c r="A273" s="30">
        <f>step3_validation[[#This Row],[Persona_ID]]</f>
        <v>272</v>
      </c>
      <c r="B273" s="31">
        <f>step3_validation[[#This Row],[Used_Seed]]</f>
        <v>313</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36.279781845072534</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8</v>
      </c>
      <c r="R273">
        <f t="shared" si="108"/>
        <v>0.77777777777777779</v>
      </c>
      <c r="S273">
        <f>survey_responses[[#This Row],[Tôi tin rằng với các quy định quản lý thuế hiện nay, hành vi gian lận hoặc trốn thuế sẽ dễ dàng bị phát hiện và xử lý nghiêm. - HUMAN-ENF1]]</f>
        <v>7</v>
      </c>
      <c r="T273">
        <f t="shared" si="109"/>
        <v>0.66666666666666663</v>
      </c>
      <c r="U273">
        <f>step3_validation[[#This Row],[AI_ENF2]]</f>
        <v>9</v>
      </c>
      <c r="V273">
        <f t="shared" si="110"/>
        <v>0.88888888888888884</v>
      </c>
      <c r="W273">
        <f>survey_responses[[#This Row],[Tôi tin rằng Nhà nước, cơ quan thuế có đủ khả năng và công nghệ để phát hiện, xử lý nghiêm các hành vi trốn thuế. - HUMAN-ENF2]]</f>
        <v>8</v>
      </c>
      <c r="X273">
        <f t="shared" si="111"/>
        <v>0.77777777777777779</v>
      </c>
      <c r="Y273" s="32">
        <f t="shared" si="112"/>
        <v>0.83333333333333326</v>
      </c>
      <c r="Z273" s="32">
        <f t="shared" si="113"/>
        <v>0.72222222222222221</v>
      </c>
      <c r="AA273">
        <f>step3_validation[[#This Row],[AI_FAC1]]</f>
        <v>8</v>
      </c>
      <c r="AB273">
        <f t="shared" si="114"/>
        <v>0.77777777777777779</v>
      </c>
      <c r="AC273">
        <f>survey_responses[[#This Row],[Các thủ tục khai báo thuế VÀ/HOẶC quy trình làm việc với cơ quan thuế đơn giản, tiện lợi, nhanh chóng hơn so với trước đây. - HUMAN-FAC1]]</f>
        <v>2</v>
      </c>
      <c r="AD273">
        <f t="shared" si="115"/>
        <v>0.1111111111111111</v>
      </c>
      <c r="AE273">
        <f>step3_validation[[#This Row],[AI_FAC2]]</f>
        <v>9</v>
      </c>
      <c r="AF273">
        <f t="shared" si="116"/>
        <v>0.88888888888888884</v>
      </c>
      <c r="AG273">
        <f>survey_responses[[#This Row],[So với trước đây, tôi thấy cách tính thuế và các bậc thuế trong phương án mới đơn giản, dễ hiểu và dễ thực hiện hơn. - HUMAN-FAC2]]</f>
        <v>6</v>
      </c>
      <c r="AH273">
        <f t="shared" si="117"/>
        <v>0.55555555555555558</v>
      </c>
      <c r="AI273" s="32">
        <f t="shared" si="118"/>
        <v>0.83333333333333326</v>
      </c>
      <c r="AJ273" s="32">
        <f t="shared" si="119"/>
        <v>0.33333333333333337</v>
      </c>
      <c r="AK273">
        <f>step3_validation[[#This Row],[AI_TRU1]]</f>
        <v>8</v>
      </c>
      <c r="AL273">
        <f t="shared" si="120"/>
        <v>0.77777777777777779</v>
      </c>
      <c r="AM273">
        <f>survey_responses[[#This Row],[Tôi tin rằng Nhà nước, cơ quan thuế sẽ thực thi chính sách mới một cách khách quan, công tâm và đối xử bình đẳng với mọi người nộp thuế.  - HUMAN-TRU1]]</f>
        <v>6</v>
      </c>
      <c r="AN273">
        <f t="shared" si="121"/>
        <v>0.55555555555555558</v>
      </c>
      <c r="AO273">
        <f>step3_validation[[#This Row],[AI_TRU2]]</f>
        <v>9</v>
      </c>
      <c r="AP273">
        <f t="shared" si="122"/>
        <v>0.88888888888888884</v>
      </c>
      <c r="AQ273">
        <f>survey_responses[[#This Row],[Tôi thấy mức thuế tôi phải đóng theo phương án mới là công bằng (người thu nhập như tôi đóng mức này là hợp lý). - HUMAN-TRU2]]</f>
        <v>6</v>
      </c>
      <c r="AR273">
        <f t="shared" si="123"/>
        <v>0.55555555555555558</v>
      </c>
      <c r="AS273">
        <f>step3_validation[[#This Row],[AI_TRU3]]</f>
        <v>8</v>
      </c>
      <c r="AT273">
        <f t="shared" si="124"/>
        <v>0.77777777777777779</v>
      </c>
      <c r="AU273">
        <f>survey_responses[[#This Row],[Tôi tin tưởng số tiền thuế tôi đóng sẽ được Nhà nước sử dụng hiệu quả để cải thiện dịch vụ công (y tế, đường xá...). - HUMAN-TRU3]]</f>
        <v>5</v>
      </c>
      <c r="AV273">
        <f t="shared" si="125"/>
        <v>0.44444444444444442</v>
      </c>
      <c r="AW273">
        <f>step3_validation[[#This Row],[AI_TRU4]]</f>
        <v>9</v>
      </c>
      <c r="AX273">
        <f t="shared" si="126"/>
        <v>0.88888888888888884</v>
      </c>
      <c r="AY273">
        <f>survey_responses[[#This Row],[Tôi thấy Nhà nước đã giải thích rõ ràng, minh bạch về lý do và mục tiêu của việc sửa đổi thuế lần này. - HUMAN-TRU4]]</f>
        <v>5</v>
      </c>
      <c r="AZ273">
        <f t="shared" si="127"/>
        <v>0.44444444444444442</v>
      </c>
      <c r="BA273" s="32">
        <f t="shared" si="128"/>
        <v>0.83333333333333326</v>
      </c>
      <c r="BB273" s="32">
        <f t="shared" si="129"/>
        <v>0.5</v>
      </c>
      <c r="BC273" s="7">
        <f t="shared" si="130"/>
        <v>0.83333333333333337</v>
      </c>
      <c r="BD273" s="7">
        <f t="shared" si="131"/>
        <v>0.51851851851851849</v>
      </c>
      <c r="BE273">
        <f>step3_validation[[#This Row],[AI_OUT1]]</f>
        <v>9</v>
      </c>
      <c r="BF273">
        <f t="shared" si="132"/>
        <v>0.88888888888888884</v>
      </c>
      <c r="BG273">
        <f>survey_responses[[#This Row],[Sau khi xem xét các quyền lợi và nghĩa vụ, bạn có ủng hộ và tuân thủ chính sách mới hiện nay? - HUMAN-OUT1]]</f>
        <v>6</v>
      </c>
      <c r="BH273">
        <f t="shared" si="133"/>
        <v>0.55555555555555558</v>
      </c>
      <c r="BI273" s="32">
        <f t="shared" si="134"/>
        <v>3</v>
      </c>
    </row>
    <row r="274" spans="1:61" x14ac:dyDescent="0.45">
      <c r="A274" s="30">
        <f>step3_validation[[#This Row],[Persona_ID]]</f>
        <v>273</v>
      </c>
      <c r="B274" s="31">
        <f>step3_validation[[#This Row],[Used_Seed]]</f>
        <v>314</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70.906460480728072</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9</v>
      </c>
      <c r="R274">
        <f t="shared" si="108"/>
        <v>0.88888888888888884</v>
      </c>
      <c r="S274">
        <f>survey_responses[[#This Row],[Tôi tin rằng với các quy định quản lý thuế hiện nay, hành vi gian lận hoặc trốn thuế sẽ dễ dàng bị phát hiện và xử lý nghiêm. - HUMAN-ENF1]]</f>
        <v>3</v>
      </c>
      <c r="T274">
        <f t="shared" si="109"/>
        <v>0.22222222222222221</v>
      </c>
      <c r="U274">
        <f>step3_validation[[#This Row],[AI_ENF2]]</f>
        <v>8</v>
      </c>
      <c r="V274">
        <f t="shared" si="110"/>
        <v>0.77777777777777779</v>
      </c>
      <c r="W274">
        <f>survey_responses[[#This Row],[Tôi tin rằng Nhà nước, cơ quan thuế có đủ khả năng và công nghệ để phát hiện, xử lý nghiêm các hành vi trốn thuế. - HUMAN-ENF2]]</f>
        <v>3</v>
      </c>
      <c r="X274">
        <f t="shared" si="111"/>
        <v>0.22222222222222221</v>
      </c>
      <c r="Y274" s="32">
        <f t="shared" si="112"/>
        <v>0.83333333333333326</v>
      </c>
      <c r="Z274" s="32">
        <f t="shared" si="113"/>
        <v>0.22222222222222221</v>
      </c>
      <c r="AA274">
        <f>step3_validation[[#This Row],[AI_FAC1]]</f>
        <v>9</v>
      </c>
      <c r="AB274">
        <f t="shared" si="114"/>
        <v>0.88888888888888884</v>
      </c>
      <c r="AC274">
        <f>survey_responses[[#This Row],[Các thủ tục khai báo thuế VÀ/HOẶC quy trình làm việc với cơ quan thuế đơn giản, tiện lợi, nhanh chóng hơn so với trước đây. - HUMAN-FAC1]]</f>
        <v>1</v>
      </c>
      <c r="AD274">
        <f t="shared" si="115"/>
        <v>0</v>
      </c>
      <c r="AE274">
        <f>step3_validation[[#This Row],[AI_FAC2]]</f>
        <v>8</v>
      </c>
      <c r="AF274">
        <f t="shared" si="116"/>
        <v>0.77777777777777779</v>
      </c>
      <c r="AG274">
        <f>survey_responses[[#This Row],[So với trước đây, tôi thấy cách tính thuế và các bậc thuế trong phương án mới đơn giản, dễ hiểu và dễ thực hiện hơn. - HUMAN-FAC2]]</f>
        <v>6</v>
      </c>
      <c r="AH274">
        <f t="shared" si="117"/>
        <v>0.55555555555555558</v>
      </c>
      <c r="AI274" s="32">
        <f t="shared" si="118"/>
        <v>0.83333333333333326</v>
      </c>
      <c r="AJ274" s="32">
        <f t="shared" si="119"/>
        <v>0.27777777777777779</v>
      </c>
      <c r="AK274">
        <f>step3_validation[[#This Row],[AI_TRU1]]</f>
        <v>7</v>
      </c>
      <c r="AL274">
        <f t="shared" si="120"/>
        <v>0.66666666666666663</v>
      </c>
      <c r="AM274">
        <f>survey_responses[[#This Row],[Tôi tin rằng Nhà nước, cơ quan thuế sẽ thực thi chính sách mới một cách khách quan, công tâm và đối xử bình đẳng với mọi người nộp thuế.  - HUMAN-TRU1]]</f>
        <v>1</v>
      </c>
      <c r="AN274">
        <f t="shared" si="121"/>
        <v>0</v>
      </c>
      <c r="AO274">
        <f>step3_validation[[#This Row],[AI_TRU2]]</f>
        <v>9</v>
      </c>
      <c r="AP274">
        <f t="shared" si="122"/>
        <v>0.88888888888888884</v>
      </c>
      <c r="AQ274">
        <f>survey_responses[[#This Row],[Tôi thấy mức thuế tôi phải đóng theo phương án mới là công bằng (người thu nhập như tôi đóng mức này là hợp lý). - HUMAN-TRU2]]</f>
        <v>1</v>
      </c>
      <c r="AR274">
        <f t="shared" si="123"/>
        <v>0</v>
      </c>
      <c r="AS274">
        <f>step3_validation[[#This Row],[AI_TRU3]]</f>
        <v>8</v>
      </c>
      <c r="AT274">
        <f t="shared" si="124"/>
        <v>0.77777777777777779</v>
      </c>
      <c r="AU274">
        <f>survey_responses[[#This Row],[Tôi tin tưởng số tiền thuế tôi đóng sẽ được Nhà nước sử dụng hiệu quả để cải thiện dịch vụ công (y tế, đường xá...). - HUMAN-TRU3]]</f>
        <v>1</v>
      </c>
      <c r="AV274">
        <f t="shared" si="125"/>
        <v>0</v>
      </c>
      <c r="AW274">
        <f>step3_validation[[#This Row],[AI_TRU4]]</f>
        <v>9</v>
      </c>
      <c r="AX274">
        <f t="shared" si="126"/>
        <v>0.88888888888888884</v>
      </c>
      <c r="AY274">
        <f>survey_responses[[#This Row],[Tôi thấy Nhà nước đã giải thích rõ ràng, minh bạch về lý do và mục tiêu của việc sửa đổi thuế lần này. - HUMAN-TRU4]]</f>
        <v>1</v>
      </c>
      <c r="AZ274">
        <f t="shared" si="127"/>
        <v>0</v>
      </c>
      <c r="BA274" s="32">
        <f t="shared" si="128"/>
        <v>0.80555555555555547</v>
      </c>
      <c r="BB274" s="32">
        <f t="shared" si="129"/>
        <v>0</v>
      </c>
      <c r="BC274" s="7">
        <f t="shared" si="130"/>
        <v>0.82407407407407396</v>
      </c>
      <c r="BD274" s="7">
        <f t="shared" si="131"/>
        <v>0.16666666666666666</v>
      </c>
      <c r="BE274">
        <f>step3_validation[[#This Row],[AI_OUT1]]</f>
        <v>8</v>
      </c>
      <c r="BF274">
        <f t="shared" si="132"/>
        <v>0.77777777777777779</v>
      </c>
      <c r="BG274">
        <f>survey_responses[[#This Row],[Sau khi xem xét các quyền lợi và nghĩa vụ, bạn có ủng hộ và tuân thủ chính sách mới hiện nay? - HUMAN-OUT1]]</f>
        <v>1</v>
      </c>
      <c r="BH274">
        <f t="shared" si="133"/>
        <v>0</v>
      </c>
      <c r="BI274" s="32">
        <f t="shared" si="134"/>
        <v>7</v>
      </c>
    </row>
    <row r="275" spans="1:61" x14ac:dyDescent="0.45">
      <c r="A275" s="30">
        <f>step3_validation[[#This Row],[Persona_ID]]</f>
        <v>274</v>
      </c>
      <c r="B275" s="31">
        <f>step3_validation[[#This Row],[Used_Seed]]</f>
        <v>315</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66.585178249267827</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7</v>
      </c>
      <c r="R275">
        <f t="shared" si="108"/>
        <v>0.66666666666666663</v>
      </c>
      <c r="S275">
        <f>survey_responses[[#This Row],[Tôi tin rằng với các quy định quản lý thuế hiện nay, hành vi gian lận hoặc trốn thuế sẽ dễ dàng bị phát hiện và xử lý nghiêm. - HUMAN-ENF1]]</f>
        <v>6</v>
      </c>
      <c r="T275">
        <f t="shared" si="109"/>
        <v>0.55555555555555558</v>
      </c>
      <c r="U275">
        <f>step3_validation[[#This Row],[AI_ENF2]]</f>
        <v>8</v>
      </c>
      <c r="V275">
        <f t="shared" si="110"/>
        <v>0.77777777777777779</v>
      </c>
      <c r="W275">
        <f>survey_responses[[#This Row],[Tôi tin rằng Nhà nước, cơ quan thuế có đủ khả năng và công nghệ để phát hiện, xử lý nghiêm các hành vi trốn thuế. - HUMAN-ENF2]]</f>
        <v>6</v>
      </c>
      <c r="X275">
        <f t="shared" si="111"/>
        <v>0.55555555555555558</v>
      </c>
      <c r="Y275" s="32">
        <f t="shared" si="112"/>
        <v>0.72222222222222221</v>
      </c>
      <c r="Z275" s="32">
        <f t="shared" si="113"/>
        <v>0.55555555555555558</v>
      </c>
      <c r="AA275">
        <f>step3_validation[[#This Row],[AI_FAC1]]</f>
        <v>6</v>
      </c>
      <c r="AB275">
        <f t="shared" si="114"/>
        <v>0.55555555555555558</v>
      </c>
      <c r="AC275">
        <f>survey_responses[[#This Row],[Các thủ tục khai báo thuế VÀ/HOẶC quy trình làm việc với cơ quan thuế đơn giản, tiện lợi, nhanh chóng hơn so với trước đây. - HUMAN-FAC1]]</f>
        <v>5</v>
      </c>
      <c r="AD275">
        <f t="shared" si="115"/>
        <v>0.44444444444444442</v>
      </c>
      <c r="AE275">
        <f>step3_validation[[#This Row],[AI_FAC2]]</f>
        <v>9</v>
      </c>
      <c r="AF275">
        <f t="shared" si="116"/>
        <v>0.88888888888888884</v>
      </c>
      <c r="AG275">
        <f>survey_responses[[#This Row],[So với trước đây, tôi thấy cách tính thuế và các bậc thuế trong phương án mới đơn giản, dễ hiểu và dễ thực hiện hơn. - HUMAN-FAC2]]</f>
        <v>6</v>
      </c>
      <c r="AH275">
        <f t="shared" si="117"/>
        <v>0.55555555555555558</v>
      </c>
      <c r="AI275" s="32">
        <f t="shared" si="118"/>
        <v>0.72222222222222221</v>
      </c>
      <c r="AJ275" s="32">
        <f t="shared" si="119"/>
        <v>0.5</v>
      </c>
      <c r="AK275">
        <f>step3_validation[[#This Row],[AI_TRU1]]</f>
        <v>7</v>
      </c>
      <c r="AL275">
        <f t="shared" si="120"/>
        <v>0.66666666666666663</v>
      </c>
      <c r="AM275">
        <f>survey_responses[[#This Row],[Tôi tin rằng Nhà nước, cơ quan thuế sẽ thực thi chính sách mới một cách khách quan, công tâm và đối xử bình đẳng với mọi người nộp thuế.  - HUMAN-TRU1]]</f>
        <v>6</v>
      </c>
      <c r="AN275">
        <f t="shared" si="121"/>
        <v>0.55555555555555558</v>
      </c>
      <c r="AO275">
        <f>step3_validation[[#This Row],[AI_TRU2]]</f>
        <v>8</v>
      </c>
      <c r="AP275">
        <f t="shared" si="122"/>
        <v>0.77777777777777779</v>
      </c>
      <c r="AQ275">
        <f>survey_responses[[#This Row],[Tôi thấy mức thuế tôi phải đóng theo phương án mới là công bằng (người thu nhập như tôi đóng mức này là hợp lý). - HUMAN-TRU2]]</f>
        <v>6</v>
      </c>
      <c r="AR275">
        <f t="shared" si="123"/>
        <v>0.55555555555555558</v>
      </c>
      <c r="AS275">
        <f>step3_validation[[#This Row],[AI_TRU3]]</f>
        <v>7</v>
      </c>
      <c r="AT275">
        <f t="shared" si="124"/>
        <v>0.66666666666666663</v>
      </c>
      <c r="AU275">
        <f>survey_responses[[#This Row],[Tôi tin tưởng số tiền thuế tôi đóng sẽ được Nhà nước sử dụng hiệu quả để cải thiện dịch vụ công (y tế, đường xá...). - HUMAN-TRU3]]</f>
        <v>6</v>
      </c>
      <c r="AV275">
        <f t="shared" si="125"/>
        <v>0.55555555555555558</v>
      </c>
      <c r="AW275">
        <f>step3_validation[[#This Row],[AI_TRU4]]</f>
        <v>8</v>
      </c>
      <c r="AX275">
        <f t="shared" si="126"/>
        <v>0.77777777777777779</v>
      </c>
      <c r="AY275">
        <f>survey_responses[[#This Row],[Tôi thấy Nhà nước đã giải thích rõ ràng, minh bạch về lý do và mục tiêu của việc sửa đổi thuế lần này. - HUMAN-TRU4]]</f>
        <v>6</v>
      </c>
      <c r="AZ275">
        <f t="shared" si="127"/>
        <v>0.55555555555555558</v>
      </c>
      <c r="BA275" s="32">
        <f t="shared" si="128"/>
        <v>0.72222222222222221</v>
      </c>
      <c r="BB275" s="32">
        <f t="shared" si="129"/>
        <v>0.55555555555555558</v>
      </c>
      <c r="BC275" s="7">
        <f t="shared" si="130"/>
        <v>0.72222222222222221</v>
      </c>
      <c r="BD275" s="7">
        <f t="shared" si="131"/>
        <v>0.53703703703703709</v>
      </c>
      <c r="BE275">
        <f>step3_validation[[#This Row],[AI_OUT1]]</f>
        <v>9</v>
      </c>
      <c r="BF275">
        <f t="shared" si="132"/>
        <v>0.88888888888888884</v>
      </c>
      <c r="BG275">
        <f>survey_responses[[#This Row],[Sau khi xem xét các quyền lợi và nghĩa vụ, bạn có ủng hộ và tuân thủ chính sách mới hiện nay? - HUMAN-OUT1]]</f>
        <v>6</v>
      </c>
      <c r="BH275">
        <f t="shared" si="133"/>
        <v>0.55555555555555558</v>
      </c>
      <c r="BI275" s="32">
        <f t="shared" si="134"/>
        <v>3</v>
      </c>
    </row>
    <row r="276" spans="1:61" x14ac:dyDescent="0.45">
      <c r="A276" s="30">
        <f>step3_validation[[#This Row],[Persona_ID]]</f>
        <v>275</v>
      </c>
      <c r="B276" s="31">
        <f>step3_validation[[#This Row],[Used_Seed]]</f>
        <v>316</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57.93954691548533</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f t="shared" si="108"/>
        <v>0.66666666666666663</v>
      </c>
      <c r="S276">
        <f>survey_responses[[#This Row],[Tôi tin rằng với các quy định quản lý thuế hiện nay, hành vi gian lận hoặc trốn thuế sẽ dễ dàng bị phát hiện và xử lý nghiêm. - HUMAN-ENF1]]</f>
        <v>8</v>
      </c>
      <c r="T276">
        <f t="shared" si="109"/>
        <v>0.77777777777777779</v>
      </c>
      <c r="U276">
        <f>step3_validation[[#This Row],[AI_ENF2]]</f>
        <v>6</v>
      </c>
      <c r="V276">
        <f t="shared" si="110"/>
        <v>0.55555555555555558</v>
      </c>
      <c r="W276">
        <f>survey_responses[[#This Row],[Tôi tin rằng Nhà nước, cơ quan thuế có đủ khả năng và công nghệ để phát hiện, xử lý nghiêm các hành vi trốn thuế. - HUMAN-ENF2]]</f>
        <v>9</v>
      </c>
      <c r="X276">
        <f t="shared" si="111"/>
        <v>0.88888888888888884</v>
      </c>
      <c r="Y276" s="32">
        <f t="shared" si="112"/>
        <v>0.61111111111111116</v>
      </c>
      <c r="Z276" s="32">
        <f t="shared" si="113"/>
        <v>0.83333333333333326</v>
      </c>
      <c r="AA276">
        <f>step3_validation[[#This Row],[AI_FAC1]]</f>
        <v>8</v>
      </c>
      <c r="AB276">
        <f t="shared" si="114"/>
        <v>0.77777777777777779</v>
      </c>
      <c r="AC276">
        <f>survey_responses[[#This Row],[Các thủ tục khai báo thuế VÀ/HOẶC quy trình làm việc với cơ quan thuế đơn giản, tiện lợi, nhanh chóng hơn so với trước đây. - HUMAN-FAC1]]</f>
        <v>5</v>
      </c>
      <c r="AD276">
        <f t="shared" si="115"/>
        <v>0.44444444444444442</v>
      </c>
      <c r="AE276">
        <f>step3_validation[[#This Row],[AI_FAC2]]</f>
        <v>9</v>
      </c>
      <c r="AF276">
        <f t="shared" si="116"/>
        <v>0.88888888888888884</v>
      </c>
      <c r="AG276">
        <f>survey_responses[[#This Row],[So với trước đây, tôi thấy cách tính thuế và các bậc thuế trong phương án mới đơn giản, dễ hiểu và dễ thực hiện hơn. - HUMAN-FAC2]]</f>
        <v>7</v>
      </c>
      <c r="AH276">
        <f t="shared" si="117"/>
        <v>0.66666666666666663</v>
      </c>
      <c r="AI276" s="32">
        <f t="shared" si="118"/>
        <v>0.83333333333333326</v>
      </c>
      <c r="AJ276" s="32">
        <f t="shared" si="119"/>
        <v>0.55555555555555558</v>
      </c>
      <c r="AK276">
        <f>step3_validation[[#This Row],[AI_TRU1]]</f>
        <v>7</v>
      </c>
      <c r="AL276">
        <f t="shared" si="120"/>
        <v>0.66666666666666663</v>
      </c>
      <c r="AM276">
        <f>survey_responses[[#This Row],[Tôi tin rằng Nhà nước, cơ quan thuế sẽ thực thi chính sách mới một cách khách quan, công tâm và đối xử bình đẳng với mọi người nộp thuế.  - HUMAN-TRU1]]</f>
        <v>6</v>
      </c>
      <c r="AN276">
        <f t="shared" si="121"/>
        <v>0.55555555555555558</v>
      </c>
      <c r="AO276">
        <f>step3_validation[[#This Row],[AI_TRU2]]</f>
        <v>9</v>
      </c>
      <c r="AP276">
        <f t="shared" si="122"/>
        <v>0.88888888888888884</v>
      </c>
      <c r="AQ276">
        <f>survey_responses[[#This Row],[Tôi thấy mức thuế tôi phải đóng theo phương án mới là công bằng (người thu nhập như tôi đóng mức này là hợp lý). - HUMAN-TRU2]]</f>
        <v>7</v>
      </c>
      <c r="AR276">
        <f t="shared" si="123"/>
        <v>0.66666666666666663</v>
      </c>
      <c r="AS276">
        <f>step3_validation[[#This Row],[AI_TRU3]]</f>
        <v>8</v>
      </c>
      <c r="AT276">
        <f t="shared" si="124"/>
        <v>0.77777777777777779</v>
      </c>
      <c r="AU276">
        <f>survey_responses[[#This Row],[Tôi tin tưởng số tiền thuế tôi đóng sẽ được Nhà nước sử dụng hiệu quả để cải thiện dịch vụ công (y tế, đường xá...). - HUMAN-TRU3]]</f>
        <v>7</v>
      </c>
      <c r="AV276">
        <f t="shared" si="125"/>
        <v>0.66666666666666663</v>
      </c>
      <c r="AW276">
        <f>step3_validation[[#This Row],[AI_TRU4]]</f>
        <v>7</v>
      </c>
      <c r="AX276">
        <f t="shared" si="126"/>
        <v>0.66666666666666663</v>
      </c>
      <c r="AY276">
        <f>survey_responses[[#This Row],[Tôi thấy Nhà nước đã giải thích rõ ràng, minh bạch về lý do và mục tiêu của việc sửa đổi thuế lần này. - HUMAN-TRU4]]</f>
        <v>7</v>
      </c>
      <c r="AZ276">
        <f t="shared" si="127"/>
        <v>0.66666666666666663</v>
      </c>
      <c r="BA276" s="32">
        <f t="shared" si="128"/>
        <v>0.74999999999999989</v>
      </c>
      <c r="BB276" s="32">
        <f t="shared" si="129"/>
        <v>0.63888888888888884</v>
      </c>
      <c r="BC276" s="7">
        <f t="shared" si="130"/>
        <v>0.7314814814814814</v>
      </c>
      <c r="BD276" s="7">
        <f t="shared" si="131"/>
        <v>0.67592592592592593</v>
      </c>
      <c r="BE276">
        <f>step3_validation[[#This Row],[AI_OUT1]]</f>
        <v>9</v>
      </c>
      <c r="BF276">
        <f t="shared" si="132"/>
        <v>0.88888888888888884</v>
      </c>
      <c r="BG276">
        <f>survey_responses[[#This Row],[Sau khi xem xét các quyền lợi và nghĩa vụ, bạn có ủng hộ và tuân thủ chính sách mới hiện nay? - HUMAN-OUT1]]</f>
        <v>7</v>
      </c>
      <c r="BH276">
        <f t="shared" si="133"/>
        <v>0.66666666666666663</v>
      </c>
      <c r="BI276" s="32">
        <f t="shared" si="134"/>
        <v>2</v>
      </c>
    </row>
    <row r="277" spans="1:61" x14ac:dyDescent="0.45">
      <c r="A277" s="30">
        <f>step3_validation[[#This Row],[Persona_ID]]</f>
        <v>276</v>
      </c>
      <c r="B277" s="31">
        <f>step3_validation[[#This Row],[Used_Seed]]</f>
        <v>317</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43.864927887446235</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8</v>
      </c>
      <c r="R277">
        <f t="shared" si="108"/>
        <v>0.77777777777777779</v>
      </c>
      <c r="S277">
        <f>survey_responses[[#This Row],[Tôi tin rằng với các quy định quản lý thuế hiện nay, hành vi gian lận hoặc trốn thuế sẽ dễ dàng bị phát hiện và xử lý nghiêm. - HUMAN-ENF1]]</f>
        <v>6</v>
      </c>
      <c r="T277">
        <f t="shared" si="109"/>
        <v>0.55555555555555558</v>
      </c>
      <c r="U277">
        <f>step3_validation[[#This Row],[AI_ENF2]]</f>
        <v>9</v>
      </c>
      <c r="V277">
        <f t="shared" si="110"/>
        <v>0.88888888888888884</v>
      </c>
      <c r="W277">
        <f>survey_responses[[#This Row],[Tôi tin rằng Nhà nước, cơ quan thuế có đủ khả năng và công nghệ để phát hiện, xử lý nghiêm các hành vi trốn thuế. - HUMAN-ENF2]]</f>
        <v>6</v>
      </c>
      <c r="X277">
        <f t="shared" si="111"/>
        <v>0.55555555555555558</v>
      </c>
      <c r="Y277" s="32">
        <f t="shared" si="112"/>
        <v>0.83333333333333326</v>
      </c>
      <c r="Z277" s="32">
        <f t="shared" si="113"/>
        <v>0.55555555555555558</v>
      </c>
      <c r="AA277">
        <f>step3_validation[[#This Row],[AI_FAC1]]</f>
        <v>8</v>
      </c>
      <c r="AB277">
        <f t="shared" si="114"/>
        <v>0.77777777777777779</v>
      </c>
      <c r="AC277">
        <f>survey_responses[[#This Row],[Các thủ tục khai báo thuế VÀ/HOẶC quy trình làm việc với cơ quan thuế đơn giản, tiện lợi, nhanh chóng hơn so với trước đây. - HUMAN-FAC1]]</f>
        <v>3</v>
      </c>
      <c r="AD277">
        <f t="shared" si="115"/>
        <v>0.22222222222222221</v>
      </c>
      <c r="AE277">
        <f>step3_validation[[#This Row],[AI_FAC2]]</f>
        <v>9</v>
      </c>
      <c r="AF277">
        <f t="shared" si="116"/>
        <v>0.88888888888888884</v>
      </c>
      <c r="AG277">
        <f>survey_responses[[#This Row],[So với trước đây, tôi thấy cách tính thuế và các bậc thuế trong phương án mới đơn giản, dễ hiểu và dễ thực hiện hơn. - HUMAN-FAC2]]</f>
        <v>7</v>
      </c>
      <c r="AH277">
        <f t="shared" si="117"/>
        <v>0.66666666666666663</v>
      </c>
      <c r="AI277" s="32">
        <f t="shared" si="118"/>
        <v>0.83333333333333326</v>
      </c>
      <c r="AJ277" s="32">
        <f t="shared" si="119"/>
        <v>0.44444444444444442</v>
      </c>
      <c r="AK277">
        <f>step3_validation[[#This Row],[AI_TRU1]]</f>
        <v>8</v>
      </c>
      <c r="AL277">
        <f t="shared" si="120"/>
        <v>0.77777777777777779</v>
      </c>
      <c r="AM277">
        <f>survey_responses[[#This Row],[Tôi tin rằng Nhà nước, cơ quan thuế sẽ thực thi chính sách mới một cách khách quan, công tâm và đối xử bình đẳng với mọi người nộp thuế.  - HUMAN-TRU1]]</f>
        <v>7</v>
      </c>
      <c r="AN277">
        <f t="shared" si="121"/>
        <v>0.66666666666666663</v>
      </c>
      <c r="AO277">
        <f>step3_validation[[#This Row],[AI_TRU2]]</f>
        <v>9</v>
      </c>
      <c r="AP277">
        <f t="shared" si="122"/>
        <v>0.88888888888888884</v>
      </c>
      <c r="AQ277">
        <f>survey_responses[[#This Row],[Tôi thấy mức thuế tôi phải đóng theo phương án mới là công bằng (người thu nhập như tôi đóng mức này là hợp lý). - HUMAN-TRU2]]</f>
        <v>7</v>
      </c>
      <c r="AR277">
        <f t="shared" si="123"/>
        <v>0.66666666666666663</v>
      </c>
      <c r="AS277">
        <f>step3_validation[[#This Row],[AI_TRU3]]</f>
        <v>8</v>
      </c>
      <c r="AT277">
        <f t="shared" si="124"/>
        <v>0.77777777777777779</v>
      </c>
      <c r="AU277">
        <f>survey_responses[[#This Row],[Tôi tin tưởng số tiền thuế tôi đóng sẽ được Nhà nước sử dụng hiệu quả để cải thiện dịch vụ công (y tế, đường xá...). - HUMAN-TRU3]]</f>
        <v>5</v>
      </c>
      <c r="AV277">
        <f t="shared" si="125"/>
        <v>0.44444444444444442</v>
      </c>
      <c r="AW277">
        <f>step3_validation[[#This Row],[AI_TRU4]]</f>
        <v>9</v>
      </c>
      <c r="AX277">
        <f t="shared" si="126"/>
        <v>0.88888888888888884</v>
      </c>
      <c r="AY277">
        <f>survey_responses[[#This Row],[Tôi thấy Nhà nước đã giải thích rõ ràng, minh bạch về lý do và mục tiêu của việc sửa đổi thuế lần này. - HUMAN-TRU4]]</f>
        <v>7</v>
      </c>
      <c r="AZ277">
        <f t="shared" si="127"/>
        <v>0.66666666666666663</v>
      </c>
      <c r="BA277" s="32">
        <f t="shared" si="128"/>
        <v>0.83333333333333326</v>
      </c>
      <c r="BB277" s="32">
        <f t="shared" si="129"/>
        <v>0.61111111111111105</v>
      </c>
      <c r="BC277" s="7">
        <f t="shared" si="130"/>
        <v>0.83333333333333337</v>
      </c>
      <c r="BD277" s="7">
        <f t="shared" si="131"/>
        <v>0.53703703703703709</v>
      </c>
      <c r="BE277">
        <f>step3_validation[[#This Row],[AI_OUT1]]</f>
        <v>8</v>
      </c>
      <c r="BF277">
        <f t="shared" si="132"/>
        <v>0.77777777777777779</v>
      </c>
      <c r="BG277">
        <f>survey_responses[[#This Row],[Sau khi xem xét các quyền lợi và nghĩa vụ, bạn có ủng hộ và tuân thủ chính sách mới hiện nay? - HUMAN-OUT1]]</f>
        <v>7</v>
      </c>
      <c r="BH277">
        <f t="shared" si="133"/>
        <v>0.66666666666666663</v>
      </c>
      <c r="BI277" s="32">
        <f t="shared" si="134"/>
        <v>1</v>
      </c>
    </row>
    <row r="278" spans="1:61" x14ac:dyDescent="0.45">
      <c r="A278" s="30">
        <f>step3_validation[[#This Row],[Persona_ID]]</f>
        <v>277</v>
      </c>
      <c r="B278" s="31">
        <f>step3_validation[[#This Row],[Used_Seed]]</f>
        <v>318</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90.62189932755696</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8</v>
      </c>
      <c r="R278">
        <f t="shared" si="108"/>
        <v>0.77777777777777779</v>
      </c>
      <c r="S278">
        <f>survey_responses[[#This Row],[Tôi tin rằng với các quy định quản lý thuế hiện nay, hành vi gian lận hoặc trốn thuế sẽ dễ dàng bị phát hiện và xử lý nghiêm. - HUMAN-ENF1]]</f>
        <v>8</v>
      </c>
      <c r="T278">
        <f t="shared" si="109"/>
        <v>0.77777777777777779</v>
      </c>
      <c r="U278">
        <f>step3_validation[[#This Row],[AI_ENF2]]</f>
        <v>7</v>
      </c>
      <c r="V278">
        <f t="shared" si="110"/>
        <v>0.66666666666666663</v>
      </c>
      <c r="W278">
        <f>survey_responses[[#This Row],[Tôi tin rằng Nhà nước, cơ quan thuế có đủ khả năng và công nghệ để phát hiện, xử lý nghiêm các hành vi trốn thuế. - HUMAN-ENF2]]</f>
        <v>8</v>
      </c>
      <c r="X278">
        <f t="shared" si="111"/>
        <v>0.77777777777777779</v>
      </c>
      <c r="Y278" s="32">
        <f t="shared" si="112"/>
        <v>0.72222222222222221</v>
      </c>
      <c r="Z278" s="32">
        <f t="shared" si="113"/>
        <v>0.77777777777777779</v>
      </c>
      <c r="AA278">
        <f>step3_validation[[#This Row],[AI_FAC1]]</f>
        <v>9</v>
      </c>
      <c r="AB278">
        <f t="shared" si="114"/>
        <v>0.88888888888888884</v>
      </c>
      <c r="AC278">
        <f>survey_responses[[#This Row],[Các thủ tục khai báo thuế VÀ/HOẶC quy trình làm việc với cơ quan thuế đơn giản, tiện lợi, nhanh chóng hơn so với trước đây. - HUMAN-FAC1]]</f>
        <v>6</v>
      </c>
      <c r="AD278">
        <f t="shared" si="115"/>
        <v>0.55555555555555558</v>
      </c>
      <c r="AE278">
        <f>step3_validation[[#This Row],[AI_FAC2]]</f>
        <v>8</v>
      </c>
      <c r="AF278">
        <f t="shared" si="116"/>
        <v>0.77777777777777779</v>
      </c>
      <c r="AG278">
        <f>survey_responses[[#This Row],[So với trước đây, tôi thấy cách tính thuế và các bậc thuế trong phương án mới đơn giản, dễ hiểu và dễ thực hiện hơn. - HUMAN-FAC2]]</f>
        <v>7</v>
      </c>
      <c r="AH278">
        <f t="shared" si="117"/>
        <v>0.66666666666666663</v>
      </c>
      <c r="AI278" s="32">
        <f t="shared" si="118"/>
        <v>0.83333333333333326</v>
      </c>
      <c r="AJ278" s="32">
        <f t="shared" si="119"/>
        <v>0.61111111111111116</v>
      </c>
      <c r="AK278">
        <f>step3_validation[[#This Row],[AI_TRU1]]</f>
        <v>9</v>
      </c>
      <c r="AL278">
        <f t="shared" si="120"/>
        <v>0.88888888888888884</v>
      </c>
      <c r="AM278">
        <f>survey_responses[[#This Row],[Tôi tin rằng Nhà nước, cơ quan thuế sẽ thực thi chính sách mới một cách khách quan, công tâm và đối xử bình đẳng với mọi người nộp thuế.  - HUMAN-TRU1]]</f>
        <v>7</v>
      </c>
      <c r="AN278">
        <f t="shared" si="121"/>
        <v>0.66666666666666663</v>
      </c>
      <c r="AO278">
        <f>step3_validation[[#This Row],[AI_TRU2]]</f>
        <v>8</v>
      </c>
      <c r="AP278">
        <f t="shared" si="122"/>
        <v>0.77777777777777779</v>
      </c>
      <c r="AQ278">
        <f>survey_responses[[#This Row],[Tôi thấy mức thuế tôi phải đóng theo phương án mới là công bằng (người thu nhập như tôi đóng mức này là hợp lý). - HUMAN-TRU2]]</f>
        <v>4</v>
      </c>
      <c r="AR278">
        <f t="shared" si="123"/>
        <v>0.33333333333333331</v>
      </c>
      <c r="AS278">
        <f>step3_validation[[#This Row],[AI_TRU3]]</f>
        <v>7</v>
      </c>
      <c r="AT278">
        <f t="shared" si="124"/>
        <v>0.66666666666666663</v>
      </c>
      <c r="AU278">
        <f>survey_responses[[#This Row],[Tôi tin tưởng số tiền thuế tôi đóng sẽ được Nhà nước sử dụng hiệu quả để cải thiện dịch vụ công (y tế, đường xá...). - HUMAN-TRU3]]</f>
        <v>5</v>
      </c>
      <c r="AV278">
        <f t="shared" si="125"/>
        <v>0.44444444444444442</v>
      </c>
      <c r="AW278">
        <f>step3_validation[[#This Row],[AI_TRU4]]</f>
        <v>8</v>
      </c>
      <c r="AX278">
        <f t="shared" si="126"/>
        <v>0.77777777777777779</v>
      </c>
      <c r="AY278">
        <f>survey_responses[[#This Row],[Tôi thấy Nhà nước đã giải thích rõ ràng, minh bạch về lý do và mục tiêu của việc sửa đổi thuế lần này. - HUMAN-TRU4]]</f>
        <v>5</v>
      </c>
      <c r="AZ278">
        <f t="shared" si="127"/>
        <v>0.44444444444444442</v>
      </c>
      <c r="BA278" s="32">
        <f t="shared" si="128"/>
        <v>0.77777777777777768</v>
      </c>
      <c r="BB278" s="32">
        <f t="shared" si="129"/>
        <v>0.47222222222222221</v>
      </c>
      <c r="BC278" s="7">
        <f t="shared" si="130"/>
        <v>0.77777777777777768</v>
      </c>
      <c r="BD278" s="7">
        <f t="shared" si="131"/>
        <v>0.62037037037037035</v>
      </c>
      <c r="BE278">
        <f>step3_validation[[#This Row],[AI_OUT1]]</f>
        <v>9</v>
      </c>
      <c r="BF278">
        <f t="shared" si="132"/>
        <v>0.88888888888888884</v>
      </c>
      <c r="BG278">
        <f>survey_responses[[#This Row],[Sau khi xem xét các quyền lợi và nghĩa vụ, bạn có ủng hộ và tuân thủ chính sách mới hiện nay? - HUMAN-OUT1]]</f>
        <v>5</v>
      </c>
      <c r="BH278">
        <f t="shared" si="133"/>
        <v>0.44444444444444442</v>
      </c>
      <c r="BI278" s="32">
        <f t="shared" si="134"/>
        <v>4</v>
      </c>
    </row>
    <row r="279" spans="1:61" x14ac:dyDescent="0.45">
      <c r="A279" s="30">
        <f>step3_validation[[#This Row],[Persona_ID]]</f>
        <v>278</v>
      </c>
      <c r="B279" s="31">
        <f>step3_validation[[#This Row],[Used_Seed]]</f>
        <v>319</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66.55597708399209</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7</v>
      </c>
      <c r="R279">
        <f t="shared" si="108"/>
        <v>0.66666666666666663</v>
      </c>
      <c r="S279">
        <f>survey_responses[[#This Row],[Tôi tin rằng với các quy định quản lý thuế hiện nay, hành vi gian lận hoặc trốn thuế sẽ dễ dàng bị phát hiện và xử lý nghiêm. - HUMAN-ENF1]]</f>
        <v>6</v>
      </c>
      <c r="T279">
        <f t="shared" si="109"/>
        <v>0.55555555555555558</v>
      </c>
      <c r="U279">
        <f>step3_validation[[#This Row],[AI_ENF2]]</f>
        <v>6</v>
      </c>
      <c r="V279">
        <f t="shared" si="110"/>
        <v>0.55555555555555558</v>
      </c>
      <c r="W279">
        <f>survey_responses[[#This Row],[Tôi tin rằng Nhà nước, cơ quan thuế có đủ khả năng và công nghệ để phát hiện, xử lý nghiêm các hành vi trốn thuế. - HUMAN-ENF2]]</f>
        <v>7</v>
      </c>
      <c r="X279">
        <f t="shared" si="111"/>
        <v>0.66666666666666663</v>
      </c>
      <c r="Y279" s="32">
        <f t="shared" si="112"/>
        <v>0.61111111111111116</v>
      </c>
      <c r="Z279" s="32">
        <f t="shared" si="113"/>
        <v>0.61111111111111116</v>
      </c>
      <c r="AA279">
        <f>step3_validation[[#This Row],[AI_FAC1]]</f>
        <v>9</v>
      </c>
      <c r="AB279">
        <f t="shared" si="114"/>
        <v>0.88888888888888884</v>
      </c>
      <c r="AC279">
        <f>survey_responses[[#This Row],[Các thủ tục khai báo thuế VÀ/HOẶC quy trình làm việc với cơ quan thuế đơn giản, tiện lợi, nhanh chóng hơn so với trước đây. - HUMAN-FAC1]]</f>
        <v>5</v>
      </c>
      <c r="AD279">
        <f t="shared" si="115"/>
        <v>0.44444444444444442</v>
      </c>
      <c r="AE279">
        <f>step3_validation[[#This Row],[AI_FAC2]]</f>
        <v>8</v>
      </c>
      <c r="AF279">
        <f t="shared" si="116"/>
        <v>0.77777777777777779</v>
      </c>
      <c r="AG279">
        <f>survey_responses[[#This Row],[So với trước đây, tôi thấy cách tính thuế và các bậc thuế trong phương án mới đơn giản, dễ hiểu và dễ thực hiện hơn. - HUMAN-FAC2]]</f>
        <v>7</v>
      </c>
      <c r="AH279">
        <f t="shared" si="117"/>
        <v>0.66666666666666663</v>
      </c>
      <c r="AI279" s="32">
        <f t="shared" si="118"/>
        <v>0.83333333333333326</v>
      </c>
      <c r="AJ279" s="32">
        <f t="shared" si="119"/>
        <v>0.55555555555555558</v>
      </c>
      <c r="AK279">
        <f>step3_validation[[#This Row],[AI_TRU1]]</f>
        <v>9</v>
      </c>
      <c r="AL279">
        <f t="shared" si="120"/>
        <v>0.88888888888888884</v>
      </c>
      <c r="AM279">
        <f>survey_responses[[#This Row],[Tôi tin rằng Nhà nước, cơ quan thuế sẽ thực thi chính sách mới một cách khách quan, công tâm và đối xử bình đẳng với mọi người nộp thuế.  - HUMAN-TRU1]]</f>
        <v>6</v>
      </c>
      <c r="AN279">
        <f t="shared" si="121"/>
        <v>0.55555555555555558</v>
      </c>
      <c r="AO279">
        <f>step3_validation[[#This Row],[AI_TRU2]]</f>
        <v>8</v>
      </c>
      <c r="AP279">
        <f t="shared" si="122"/>
        <v>0.77777777777777779</v>
      </c>
      <c r="AQ279">
        <f>survey_responses[[#This Row],[Tôi thấy mức thuế tôi phải đóng theo phương án mới là công bằng (người thu nhập như tôi đóng mức này là hợp lý). - HUMAN-TRU2]]</f>
        <v>6</v>
      </c>
      <c r="AR279">
        <f t="shared" si="123"/>
        <v>0.55555555555555558</v>
      </c>
      <c r="AS279">
        <f>step3_validation[[#This Row],[AI_TRU3]]</f>
        <v>9</v>
      </c>
      <c r="AT279">
        <f t="shared" si="124"/>
        <v>0.88888888888888884</v>
      </c>
      <c r="AU279">
        <f>survey_responses[[#This Row],[Tôi tin tưởng số tiền thuế tôi đóng sẽ được Nhà nước sử dụng hiệu quả để cải thiện dịch vụ công (y tế, đường xá...). - HUMAN-TRU3]]</f>
        <v>6</v>
      </c>
      <c r="AV279">
        <f t="shared" si="125"/>
        <v>0.55555555555555558</v>
      </c>
      <c r="AW279">
        <f>step3_validation[[#This Row],[AI_TRU4]]</f>
        <v>8</v>
      </c>
      <c r="AX279">
        <f t="shared" si="126"/>
        <v>0.77777777777777779</v>
      </c>
      <c r="AY279">
        <f>survey_responses[[#This Row],[Tôi thấy Nhà nước đã giải thích rõ ràng, minh bạch về lý do và mục tiêu của việc sửa đổi thuế lần này. - HUMAN-TRU4]]</f>
        <v>6</v>
      </c>
      <c r="AZ279">
        <f t="shared" si="127"/>
        <v>0.55555555555555558</v>
      </c>
      <c r="BA279" s="32">
        <f t="shared" si="128"/>
        <v>0.83333333333333326</v>
      </c>
      <c r="BB279" s="32">
        <f t="shared" si="129"/>
        <v>0.55555555555555558</v>
      </c>
      <c r="BC279" s="7">
        <f t="shared" si="130"/>
        <v>0.75925925925925919</v>
      </c>
      <c r="BD279" s="7">
        <f t="shared" si="131"/>
        <v>0.57407407407407407</v>
      </c>
      <c r="BE279">
        <f>step3_validation[[#This Row],[AI_OUT1]]</f>
        <v>9</v>
      </c>
      <c r="BF279">
        <f t="shared" si="132"/>
        <v>0.88888888888888884</v>
      </c>
      <c r="BG279">
        <f>survey_responses[[#This Row],[Sau khi xem xét các quyền lợi và nghĩa vụ, bạn có ủng hộ và tuân thủ chính sách mới hiện nay? - HUMAN-OUT1]]</f>
        <v>6</v>
      </c>
      <c r="BH279">
        <f t="shared" si="133"/>
        <v>0.55555555555555558</v>
      </c>
      <c r="BI279" s="32">
        <f t="shared" si="134"/>
        <v>3</v>
      </c>
    </row>
    <row r="280" spans="1:61" x14ac:dyDescent="0.45">
      <c r="A280" s="30">
        <f>step3_validation[[#This Row],[Persona_ID]]</f>
        <v>279</v>
      </c>
      <c r="B280" s="31">
        <f>step3_validation[[#This Row],[Used_Seed]]</f>
        <v>320</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81.512302712743661</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8</v>
      </c>
      <c r="R280">
        <f t="shared" si="108"/>
        <v>0.77777777777777779</v>
      </c>
      <c r="S280">
        <f>survey_responses[[#This Row],[Tôi tin rằng với các quy định quản lý thuế hiện nay, hành vi gian lận hoặc trốn thuế sẽ dễ dàng bị phát hiện và xử lý nghiêm. - HUMAN-ENF1]]</f>
        <v>6</v>
      </c>
      <c r="T280">
        <f t="shared" si="109"/>
        <v>0.55555555555555558</v>
      </c>
      <c r="U280">
        <f>step3_validation[[#This Row],[AI_ENF2]]</f>
        <v>9</v>
      </c>
      <c r="V280">
        <f t="shared" si="110"/>
        <v>0.88888888888888884</v>
      </c>
      <c r="W280">
        <f>survey_responses[[#This Row],[Tôi tin rằng Nhà nước, cơ quan thuế có đủ khả năng và công nghệ để phát hiện, xử lý nghiêm các hành vi trốn thuế. - HUMAN-ENF2]]</f>
        <v>7</v>
      </c>
      <c r="X280">
        <f t="shared" si="111"/>
        <v>0.66666666666666663</v>
      </c>
      <c r="Y280" s="32">
        <f t="shared" si="112"/>
        <v>0.83333333333333326</v>
      </c>
      <c r="Z280" s="32">
        <f t="shared" si="113"/>
        <v>0.61111111111111116</v>
      </c>
      <c r="AA280">
        <f>step3_validation[[#This Row],[AI_FAC1]]</f>
        <v>8</v>
      </c>
      <c r="AB280">
        <f t="shared" si="114"/>
        <v>0.77777777777777779</v>
      </c>
      <c r="AC280">
        <f>survey_responses[[#This Row],[Các thủ tục khai báo thuế VÀ/HOẶC quy trình làm việc với cơ quan thuế đơn giản, tiện lợi, nhanh chóng hơn so với trước đây. - HUMAN-FAC1]]</f>
        <v>5</v>
      </c>
      <c r="AD280">
        <f t="shared" si="115"/>
        <v>0.44444444444444442</v>
      </c>
      <c r="AE280">
        <f>step3_validation[[#This Row],[AI_FAC2]]</f>
        <v>9</v>
      </c>
      <c r="AF280">
        <f t="shared" si="116"/>
        <v>0.88888888888888884</v>
      </c>
      <c r="AG280">
        <f>survey_responses[[#This Row],[So với trước đây, tôi thấy cách tính thuế và các bậc thuế trong phương án mới đơn giản, dễ hiểu và dễ thực hiện hơn. - HUMAN-FAC2]]</f>
        <v>8</v>
      </c>
      <c r="AH280">
        <f t="shared" si="117"/>
        <v>0.77777777777777779</v>
      </c>
      <c r="AI280" s="32">
        <f t="shared" si="118"/>
        <v>0.83333333333333326</v>
      </c>
      <c r="AJ280" s="32">
        <f t="shared" si="119"/>
        <v>0.61111111111111116</v>
      </c>
      <c r="AK280">
        <f>step3_validation[[#This Row],[AI_TRU1]]</f>
        <v>8</v>
      </c>
      <c r="AL280">
        <f t="shared" si="120"/>
        <v>0.77777777777777779</v>
      </c>
      <c r="AM280">
        <f>survey_responses[[#This Row],[Tôi tin rằng Nhà nước, cơ quan thuế sẽ thực thi chính sách mới một cách khách quan, công tâm và đối xử bình đẳng với mọi người nộp thuế.  - HUMAN-TRU1]]</f>
        <v>6</v>
      </c>
      <c r="AN280">
        <f t="shared" si="121"/>
        <v>0.55555555555555558</v>
      </c>
      <c r="AO280">
        <f>step3_validation[[#This Row],[AI_TRU2]]</f>
        <v>9</v>
      </c>
      <c r="AP280">
        <f t="shared" si="122"/>
        <v>0.88888888888888884</v>
      </c>
      <c r="AQ280">
        <f>survey_responses[[#This Row],[Tôi thấy mức thuế tôi phải đóng theo phương án mới là công bằng (người thu nhập như tôi đóng mức này là hợp lý). - HUMAN-TRU2]]</f>
        <v>3</v>
      </c>
      <c r="AR280">
        <f t="shared" si="123"/>
        <v>0.22222222222222221</v>
      </c>
      <c r="AS280">
        <f>step3_validation[[#This Row],[AI_TRU3]]</f>
        <v>8</v>
      </c>
      <c r="AT280">
        <f t="shared" si="124"/>
        <v>0.77777777777777779</v>
      </c>
      <c r="AU280">
        <f>survey_responses[[#This Row],[Tôi tin tưởng số tiền thuế tôi đóng sẽ được Nhà nước sử dụng hiệu quả để cải thiện dịch vụ công (y tế, đường xá...). - HUMAN-TRU3]]</f>
        <v>6</v>
      </c>
      <c r="AV280">
        <f t="shared" si="125"/>
        <v>0.55555555555555558</v>
      </c>
      <c r="AW280">
        <f>step3_validation[[#This Row],[AI_TRU4]]</f>
        <v>9</v>
      </c>
      <c r="AX280">
        <f t="shared" si="126"/>
        <v>0.88888888888888884</v>
      </c>
      <c r="AY280">
        <f>survey_responses[[#This Row],[Tôi thấy Nhà nước đã giải thích rõ ràng, minh bạch về lý do và mục tiêu của việc sửa đổi thuế lần này. - HUMAN-TRU4]]</f>
        <v>8</v>
      </c>
      <c r="AZ280">
        <f t="shared" si="127"/>
        <v>0.77777777777777779</v>
      </c>
      <c r="BA280" s="32">
        <f t="shared" si="128"/>
        <v>0.83333333333333326</v>
      </c>
      <c r="BB280" s="32">
        <f t="shared" si="129"/>
        <v>0.52777777777777779</v>
      </c>
      <c r="BC280" s="7">
        <f t="shared" si="130"/>
        <v>0.83333333333333337</v>
      </c>
      <c r="BD280" s="7">
        <f t="shared" si="131"/>
        <v>0.58333333333333337</v>
      </c>
      <c r="BE280">
        <f>step3_validation[[#This Row],[AI_OUT1]]</f>
        <v>8</v>
      </c>
      <c r="BF280">
        <f t="shared" si="132"/>
        <v>0.77777777777777779</v>
      </c>
      <c r="BG280">
        <f>survey_responses[[#This Row],[Sau khi xem xét các quyền lợi và nghĩa vụ, bạn có ủng hộ và tuân thủ chính sách mới hiện nay? - HUMAN-OUT1]]</f>
        <v>6</v>
      </c>
      <c r="BH280">
        <f t="shared" si="133"/>
        <v>0.55555555555555558</v>
      </c>
      <c r="BI280" s="32">
        <f t="shared" si="134"/>
        <v>2</v>
      </c>
    </row>
    <row r="281" spans="1:61" x14ac:dyDescent="0.45">
      <c r="A281" s="30">
        <f>step3_validation[[#This Row],[Persona_ID]]</f>
        <v>280</v>
      </c>
      <c r="B281" s="31">
        <f>step3_validation[[#This Row],[Used_Seed]]</f>
        <v>321</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87.707786109528342</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9</v>
      </c>
      <c r="R281">
        <f t="shared" si="108"/>
        <v>0.88888888888888884</v>
      </c>
      <c r="S281">
        <f>survey_responses[[#This Row],[Tôi tin rằng với các quy định quản lý thuế hiện nay, hành vi gian lận hoặc trốn thuế sẽ dễ dàng bị phát hiện và xử lý nghiêm. - HUMAN-ENF1]]</f>
        <v>4</v>
      </c>
      <c r="T281">
        <f t="shared" si="109"/>
        <v>0.33333333333333331</v>
      </c>
      <c r="U281">
        <f>step3_validation[[#This Row],[AI_ENF2]]</f>
        <v>8</v>
      </c>
      <c r="V281">
        <f t="shared" si="110"/>
        <v>0.77777777777777779</v>
      </c>
      <c r="W281">
        <f>survey_responses[[#This Row],[Tôi tin rằng Nhà nước, cơ quan thuế có đủ khả năng và công nghệ để phát hiện, xử lý nghiêm các hành vi trốn thuế. - HUMAN-ENF2]]</f>
        <v>4</v>
      </c>
      <c r="X281">
        <f t="shared" si="111"/>
        <v>0.33333333333333331</v>
      </c>
      <c r="Y281" s="32">
        <f t="shared" si="112"/>
        <v>0.83333333333333326</v>
      </c>
      <c r="Z281" s="32">
        <f t="shared" si="113"/>
        <v>0.33333333333333331</v>
      </c>
      <c r="AA281">
        <f>step3_validation[[#This Row],[AI_FAC1]]</f>
        <v>9</v>
      </c>
      <c r="AB281">
        <f t="shared" si="114"/>
        <v>0.88888888888888884</v>
      </c>
      <c r="AC281">
        <f>survey_responses[[#This Row],[Các thủ tục khai báo thuế VÀ/HOẶC quy trình làm việc với cơ quan thuế đơn giản, tiện lợi, nhanh chóng hơn so với trước đây. - HUMAN-FAC1]]</f>
        <v>1</v>
      </c>
      <c r="AD281">
        <f t="shared" si="115"/>
        <v>0</v>
      </c>
      <c r="AE281">
        <f>step3_validation[[#This Row],[AI_FAC2]]</f>
        <v>8</v>
      </c>
      <c r="AF281">
        <f t="shared" si="116"/>
        <v>0.77777777777777779</v>
      </c>
      <c r="AG281">
        <f>survey_responses[[#This Row],[So với trước đây, tôi thấy cách tính thuế và các bậc thuế trong phương án mới đơn giản, dễ hiểu và dễ thực hiện hơn. - HUMAN-FAC2]]</f>
        <v>6</v>
      </c>
      <c r="AH281">
        <f t="shared" si="117"/>
        <v>0.55555555555555558</v>
      </c>
      <c r="AI281" s="32">
        <f t="shared" si="118"/>
        <v>0.83333333333333326</v>
      </c>
      <c r="AJ281" s="32">
        <f t="shared" si="119"/>
        <v>0.27777777777777779</v>
      </c>
      <c r="AK281">
        <f>step3_validation[[#This Row],[AI_TRU1]]</f>
        <v>9</v>
      </c>
      <c r="AL281">
        <f t="shared" si="120"/>
        <v>0.88888888888888884</v>
      </c>
      <c r="AM281">
        <f>survey_responses[[#This Row],[Tôi tin rằng Nhà nước, cơ quan thuế sẽ thực thi chính sách mới một cách khách quan, công tâm và đối xử bình đẳng với mọi người nộp thuế.  - HUMAN-TRU1]]</f>
        <v>3</v>
      </c>
      <c r="AN281">
        <f t="shared" si="121"/>
        <v>0.22222222222222221</v>
      </c>
      <c r="AO281">
        <f>step3_validation[[#This Row],[AI_TRU2]]</f>
        <v>8</v>
      </c>
      <c r="AP281">
        <f t="shared" si="122"/>
        <v>0.77777777777777779</v>
      </c>
      <c r="AQ281">
        <f>survey_responses[[#This Row],[Tôi thấy mức thuế tôi phải đóng theo phương án mới là công bằng (người thu nhập như tôi đóng mức này là hợp lý). - HUMAN-TRU2]]</f>
        <v>2</v>
      </c>
      <c r="AR281">
        <f t="shared" si="123"/>
        <v>0.1111111111111111</v>
      </c>
      <c r="AS281">
        <f>step3_validation[[#This Row],[AI_TRU3]]</f>
        <v>9</v>
      </c>
      <c r="AT281">
        <f t="shared" si="124"/>
        <v>0.88888888888888884</v>
      </c>
      <c r="AU281">
        <f>survey_responses[[#This Row],[Tôi tin tưởng số tiền thuế tôi đóng sẽ được Nhà nước sử dụng hiệu quả để cải thiện dịch vụ công (y tế, đường xá...). - HUMAN-TRU3]]</f>
        <v>1</v>
      </c>
      <c r="AV281">
        <f t="shared" si="125"/>
        <v>0</v>
      </c>
      <c r="AW281">
        <f>step3_validation[[#This Row],[AI_TRU4]]</f>
        <v>8</v>
      </c>
      <c r="AX281">
        <f t="shared" si="126"/>
        <v>0.77777777777777779</v>
      </c>
      <c r="AY281">
        <f>survey_responses[[#This Row],[Tôi thấy Nhà nước đã giải thích rõ ràng, minh bạch về lý do và mục tiêu của việc sửa đổi thuế lần này. - HUMAN-TRU4]]</f>
        <v>5</v>
      </c>
      <c r="AZ281">
        <f t="shared" si="127"/>
        <v>0.44444444444444442</v>
      </c>
      <c r="BA281" s="32">
        <f t="shared" si="128"/>
        <v>0.83333333333333326</v>
      </c>
      <c r="BB281" s="32">
        <f t="shared" si="129"/>
        <v>0.19444444444444442</v>
      </c>
      <c r="BC281" s="7">
        <f t="shared" si="130"/>
        <v>0.83333333333333337</v>
      </c>
      <c r="BD281" s="7">
        <f t="shared" si="131"/>
        <v>0.26851851851851855</v>
      </c>
      <c r="BE281">
        <f>step3_validation[[#This Row],[AI_OUT1]]</f>
        <v>9</v>
      </c>
      <c r="BF281">
        <f t="shared" si="132"/>
        <v>0.88888888888888884</v>
      </c>
      <c r="BG281">
        <f>survey_responses[[#This Row],[Sau khi xem xét các quyền lợi và nghĩa vụ, bạn có ủng hộ và tuân thủ chính sách mới hiện nay? - HUMAN-OUT1]]</f>
        <v>4</v>
      </c>
      <c r="BH281">
        <f t="shared" si="133"/>
        <v>0.33333333333333331</v>
      </c>
      <c r="BI281" s="32">
        <f t="shared" si="134"/>
        <v>5</v>
      </c>
    </row>
    <row r="282" spans="1:61" x14ac:dyDescent="0.45">
      <c r="A282" s="30">
        <f>step3_validation[[#This Row],[Persona_ID]]</f>
        <v>281</v>
      </c>
      <c r="B282" s="31">
        <f>step3_validation[[#This Row],[Used_Seed]]</f>
        <v>322</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72.299069091868844</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9</v>
      </c>
      <c r="R282">
        <f t="shared" si="108"/>
        <v>0.88888888888888884</v>
      </c>
      <c r="S282">
        <f>survey_responses[[#This Row],[Tôi tin rằng với các quy định quản lý thuế hiện nay, hành vi gian lận hoặc trốn thuế sẽ dễ dàng bị phát hiện và xử lý nghiêm. - HUMAN-ENF1]]</f>
        <v>6</v>
      </c>
      <c r="T282">
        <f t="shared" si="109"/>
        <v>0.55555555555555558</v>
      </c>
      <c r="U282">
        <f>step3_validation[[#This Row],[AI_ENF2]]</f>
        <v>8</v>
      </c>
      <c r="V282">
        <f t="shared" si="110"/>
        <v>0.77777777777777779</v>
      </c>
      <c r="W282">
        <f>survey_responses[[#This Row],[Tôi tin rằng Nhà nước, cơ quan thuế có đủ khả năng và công nghệ để phát hiện, xử lý nghiêm các hành vi trốn thuế. - HUMAN-ENF2]]</f>
        <v>7</v>
      </c>
      <c r="X282">
        <f t="shared" si="111"/>
        <v>0.66666666666666663</v>
      </c>
      <c r="Y282" s="32">
        <f t="shared" si="112"/>
        <v>0.83333333333333326</v>
      </c>
      <c r="Z282" s="32">
        <f t="shared" si="113"/>
        <v>0.61111111111111116</v>
      </c>
      <c r="AA282">
        <f>step3_validation[[#This Row],[AI_FAC1]]</f>
        <v>7</v>
      </c>
      <c r="AB282">
        <f t="shared" si="114"/>
        <v>0.66666666666666663</v>
      </c>
      <c r="AC282">
        <f>survey_responses[[#This Row],[Các thủ tục khai báo thuế VÀ/HOẶC quy trình làm việc với cơ quan thuế đơn giản, tiện lợi, nhanh chóng hơn so với trước đây. - HUMAN-FAC1]]</f>
        <v>4</v>
      </c>
      <c r="AD282">
        <f t="shared" si="115"/>
        <v>0.33333333333333331</v>
      </c>
      <c r="AE282">
        <f>step3_validation[[#This Row],[AI_FAC2]]</f>
        <v>8</v>
      </c>
      <c r="AF282">
        <f t="shared" si="116"/>
        <v>0.77777777777777779</v>
      </c>
      <c r="AG282">
        <f>survey_responses[[#This Row],[So với trước đây, tôi thấy cách tính thuế và các bậc thuế trong phương án mới đơn giản, dễ hiểu và dễ thực hiện hơn. - HUMAN-FAC2]]</f>
        <v>8</v>
      </c>
      <c r="AH282">
        <f t="shared" si="117"/>
        <v>0.77777777777777779</v>
      </c>
      <c r="AI282" s="32">
        <f t="shared" si="118"/>
        <v>0.72222222222222221</v>
      </c>
      <c r="AJ282" s="32">
        <f t="shared" si="119"/>
        <v>0.55555555555555558</v>
      </c>
      <c r="AK282">
        <f>step3_validation[[#This Row],[AI_TRU1]]</f>
        <v>9</v>
      </c>
      <c r="AL282">
        <f t="shared" si="120"/>
        <v>0.88888888888888884</v>
      </c>
      <c r="AM282">
        <f>survey_responses[[#This Row],[Tôi tin rằng Nhà nước, cơ quan thuế sẽ thực thi chính sách mới một cách khách quan, công tâm và đối xử bình đẳng với mọi người nộp thuế.  - HUMAN-TRU1]]</f>
        <v>6</v>
      </c>
      <c r="AN282">
        <f t="shared" si="121"/>
        <v>0.55555555555555558</v>
      </c>
      <c r="AO282">
        <f>step3_validation[[#This Row],[AI_TRU2]]</f>
        <v>8</v>
      </c>
      <c r="AP282">
        <f t="shared" si="122"/>
        <v>0.77777777777777779</v>
      </c>
      <c r="AQ282">
        <f>survey_responses[[#This Row],[Tôi thấy mức thuế tôi phải đóng theo phương án mới là công bằng (người thu nhập như tôi đóng mức này là hợp lý). - HUMAN-TRU2]]</f>
        <v>6</v>
      </c>
      <c r="AR282">
        <f t="shared" si="123"/>
        <v>0.55555555555555558</v>
      </c>
      <c r="AS282">
        <f>step3_validation[[#This Row],[AI_TRU3]]</f>
        <v>9</v>
      </c>
      <c r="AT282">
        <f t="shared" si="124"/>
        <v>0.88888888888888884</v>
      </c>
      <c r="AU282">
        <f>survey_responses[[#This Row],[Tôi tin tưởng số tiền thuế tôi đóng sẽ được Nhà nước sử dụng hiệu quả để cải thiện dịch vụ công (y tế, đường xá...). - HUMAN-TRU3]]</f>
        <v>5</v>
      </c>
      <c r="AV282">
        <f t="shared" si="125"/>
        <v>0.44444444444444442</v>
      </c>
      <c r="AW282">
        <f>step3_validation[[#This Row],[AI_TRU4]]</f>
        <v>8</v>
      </c>
      <c r="AX282">
        <f t="shared" si="126"/>
        <v>0.77777777777777779</v>
      </c>
      <c r="AY282">
        <f>survey_responses[[#This Row],[Tôi thấy Nhà nước đã giải thích rõ ràng, minh bạch về lý do và mục tiêu của việc sửa đổi thuế lần này. - HUMAN-TRU4]]</f>
        <v>7</v>
      </c>
      <c r="AZ282">
        <f t="shared" si="127"/>
        <v>0.66666666666666663</v>
      </c>
      <c r="BA282" s="32">
        <f t="shared" si="128"/>
        <v>0.83333333333333326</v>
      </c>
      <c r="BB282" s="32">
        <f t="shared" si="129"/>
        <v>0.55555555555555558</v>
      </c>
      <c r="BC282" s="7">
        <f t="shared" si="130"/>
        <v>0.79629629629629617</v>
      </c>
      <c r="BD282" s="7">
        <f t="shared" si="131"/>
        <v>0.57407407407407407</v>
      </c>
      <c r="BE282">
        <f>step3_validation[[#This Row],[AI_OUT1]]</f>
        <v>9</v>
      </c>
      <c r="BF282">
        <f t="shared" si="132"/>
        <v>0.88888888888888884</v>
      </c>
      <c r="BG282">
        <f>survey_responses[[#This Row],[Sau khi xem xét các quyền lợi và nghĩa vụ, bạn có ủng hộ và tuân thủ chính sách mới hiện nay? - HUMAN-OUT1]]</f>
        <v>6</v>
      </c>
      <c r="BH282">
        <f t="shared" si="133"/>
        <v>0.55555555555555558</v>
      </c>
      <c r="BI282" s="32">
        <f t="shared" si="134"/>
        <v>3</v>
      </c>
    </row>
    <row r="283" spans="1:61" x14ac:dyDescent="0.45">
      <c r="A283" s="30">
        <f>step3_validation[[#This Row],[Persona_ID]]</f>
        <v>282</v>
      </c>
      <c r="B283" s="31">
        <f>step3_validation[[#This Row],[Used_Seed]]</f>
        <v>323</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200.51295478498065</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f t="shared" si="108"/>
        <v>0.66666666666666663</v>
      </c>
      <c r="S283">
        <f>survey_responses[[#This Row],[Tôi tin rằng với các quy định quản lý thuế hiện nay, hành vi gian lận hoặc trốn thuế sẽ dễ dàng bị phát hiện và xử lý nghiêm. - HUMAN-ENF1]]</f>
        <v>8</v>
      </c>
      <c r="T283">
        <f t="shared" si="109"/>
        <v>0.77777777777777779</v>
      </c>
      <c r="U283">
        <f>step3_validation[[#This Row],[AI_ENF2]]</f>
        <v>8</v>
      </c>
      <c r="V283">
        <f t="shared" si="110"/>
        <v>0.77777777777777779</v>
      </c>
      <c r="W283">
        <f>survey_responses[[#This Row],[Tôi tin rằng Nhà nước, cơ quan thuế có đủ khả năng và công nghệ để phát hiện, xử lý nghiêm các hành vi trốn thuế. - HUMAN-ENF2]]</f>
        <v>8</v>
      </c>
      <c r="X283">
        <f t="shared" si="111"/>
        <v>0.77777777777777779</v>
      </c>
      <c r="Y283" s="32">
        <f t="shared" si="112"/>
        <v>0.72222222222222221</v>
      </c>
      <c r="Z283" s="32">
        <f t="shared" si="113"/>
        <v>0.77777777777777779</v>
      </c>
      <c r="AA283">
        <f>step3_validation[[#This Row],[AI_FAC1]]</f>
        <v>9</v>
      </c>
      <c r="AB283">
        <f t="shared" si="114"/>
        <v>0.88888888888888884</v>
      </c>
      <c r="AC283">
        <f>survey_responses[[#This Row],[Các thủ tục khai báo thuế VÀ/HOẶC quy trình làm việc với cơ quan thuế đơn giản, tiện lợi, nhanh chóng hơn so với trước đây. - HUMAN-FAC1]]</f>
        <v>9</v>
      </c>
      <c r="AD283">
        <f t="shared" si="115"/>
        <v>0.88888888888888884</v>
      </c>
      <c r="AE283">
        <f>step3_validation[[#This Row],[AI_FAC2]]</f>
        <v>8</v>
      </c>
      <c r="AF283">
        <f t="shared" si="116"/>
        <v>0.77777777777777779</v>
      </c>
      <c r="AG283">
        <f>survey_responses[[#This Row],[So với trước đây, tôi thấy cách tính thuế và các bậc thuế trong phương án mới đơn giản, dễ hiểu và dễ thực hiện hơn. - HUMAN-FAC2]]</f>
        <v>9</v>
      </c>
      <c r="AH283">
        <f t="shared" si="117"/>
        <v>0.88888888888888884</v>
      </c>
      <c r="AI283" s="32">
        <f t="shared" si="118"/>
        <v>0.83333333333333326</v>
      </c>
      <c r="AJ283" s="32">
        <f t="shared" si="119"/>
        <v>0.88888888888888884</v>
      </c>
      <c r="AK283">
        <f>step3_validation[[#This Row],[AI_TRU1]]</f>
        <v>9</v>
      </c>
      <c r="AL283">
        <f t="shared" si="120"/>
        <v>0.88888888888888884</v>
      </c>
      <c r="AM283">
        <f>survey_responses[[#This Row],[Tôi tin rằng Nhà nước, cơ quan thuế sẽ thực thi chính sách mới một cách khách quan, công tâm và đối xử bình đẳng với mọi người nộp thuế.  - HUMAN-TRU1]]</f>
        <v>7</v>
      </c>
      <c r="AN283">
        <f t="shared" si="121"/>
        <v>0.66666666666666663</v>
      </c>
      <c r="AO283">
        <f>step3_validation[[#This Row],[AI_TRU2]]</f>
        <v>8</v>
      </c>
      <c r="AP283">
        <f t="shared" si="122"/>
        <v>0.77777777777777779</v>
      </c>
      <c r="AQ283">
        <f>survey_responses[[#This Row],[Tôi thấy mức thuế tôi phải đóng theo phương án mới là công bằng (người thu nhập như tôi đóng mức này là hợp lý). - HUMAN-TRU2]]</f>
        <v>8</v>
      </c>
      <c r="AR283">
        <f t="shared" si="123"/>
        <v>0.77777777777777779</v>
      </c>
      <c r="AS283">
        <f>step3_validation[[#This Row],[AI_TRU3]]</f>
        <v>9</v>
      </c>
      <c r="AT283">
        <f t="shared" si="124"/>
        <v>0.88888888888888884</v>
      </c>
      <c r="AU283">
        <f>survey_responses[[#This Row],[Tôi tin tưởng số tiền thuế tôi đóng sẽ được Nhà nước sử dụng hiệu quả để cải thiện dịch vụ công (y tế, đường xá...). - HUMAN-TRU3]]</f>
        <v>8</v>
      </c>
      <c r="AV283">
        <f t="shared" si="125"/>
        <v>0.77777777777777779</v>
      </c>
      <c r="AW283">
        <f>step3_validation[[#This Row],[AI_TRU4]]</f>
        <v>8</v>
      </c>
      <c r="AX283">
        <f t="shared" si="126"/>
        <v>0.77777777777777779</v>
      </c>
      <c r="AY283">
        <f>survey_responses[[#This Row],[Tôi thấy Nhà nước đã giải thích rõ ràng, minh bạch về lý do và mục tiêu của việc sửa đổi thuế lần này. - HUMAN-TRU4]]</f>
        <v>8</v>
      </c>
      <c r="AZ283">
        <f t="shared" si="127"/>
        <v>0.77777777777777779</v>
      </c>
      <c r="BA283" s="32">
        <f t="shared" si="128"/>
        <v>0.83333333333333326</v>
      </c>
      <c r="BB283" s="32">
        <f t="shared" si="129"/>
        <v>0.75</v>
      </c>
      <c r="BC283" s="7">
        <f t="shared" si="130"/>
        <v>0.79629629629629617</v>
      </c>
      <c r="BD283" s="7">
        <f t="shared" si="131"/>
        <v>0.80555555555555547</v>
      </c>
      <c r="BE283">
        <f>step3_validation[[#This Row],[AI_OUT1]]</f>
        <v>9</v>
      </c>
      <c r="BF283">
        <f t="shared" si="132"/>
        <v>0.88888888888888884</v>
      </c>
      <c r="BG283">
        <f>survey_responses[[#This Row],[Sau khi xem xét các quyền lợi và nghĩa vụ, bạn có ủng hộ và tuân thủ chính sách mới hiện nay? - HUMAN-OUT1]]</f>
        <v>7</v>
      </c>
      <c r="BH283">
        <f t="shared" si="133"/>
        <v>0.66666666666666663</v>
      </c>
      <c r="BI283" s="32">
        <f t="shared" si="134"/>
        <v>2</v>
      </c>
    </row>
    <row r="284" spans="1:61" x14ac:dyDescent="0.45">
      <c r="A284" s="30">
        <f>step3_validation[[#This Row],[Persona_ID]]</f>
        <v>283</v>
      </c>
      <c r="B284" s="31">
        <f>step3_validation[[#This Row],[Used_Seed]]</f>
        <v>324</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60.057153881555116</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6</v>
      </c>
      <c r="R284">
        <f t="shared" si="108"/>
        <v>0.55555555555555558</v>
      </c>
      <c r="S284">
        <f>survey_responses[[#This Row],[Tôi tin rằng với các quy định quản lý thuế hiện nay, hành vi gian lận hoặc trốn thuế sẽ dễ dàng bị phát hiện và xử lý nghiêm. - HUMAN-ENF1]]</f>
        <v>5</v>
      </c>
      <c r="T284">
        <f t="shared" si="109"/>
        <v>0.44444444444444442</v>
      </c>
      <c r="U284">
        <f>step3_validation[[#This Row],[AI_ENF2]]</f>
        <v>7</v>
      </c>
      <c r="V284">
        <f t="shared" si="110"/>
        <v>0.66666666666666663</v>
      </c>
      <c r="W284">
        <f>survey_responses[[#This Row],[Tôi tin rằng Nhà nước, cơ quan thuế có đủ khả năng và công nghệ để phát hiện, xử lý nghiêm các hành vi trốn thuế. - HUMAN-ENF2]]</f>
        <v>5</v>
      </c>
      <c r="X284">
        <f t="shared" si="111"/>
        <v>0.44444444444444442</v>
      </c>
      <c r="Y284" s="32">
        <f t="shared" si="112"/>
        <v>0.61111111111111116</v>
      </c>
      <c r="Z284" s="32">
        <f t="shared" si="113"/>
        <v>0.44444444444444442</v>
      </c>
      <c r="AA284">
        <f>step3_validation[[#This Row],[AI_FAC1]]</f>
        <v>8</v>
      </c>
      <c r="AB284">
        <f t="shared" si="114"/>
        <v>0.77777777777777779</v>
      </c>
      <c r="AC284">
        <f>survey_responses[[#This Row],[Các thủ tục khai báo thuế VÀ/HOẶC quy trình làm việc với cơ quan thuế đơn giản, tiện lợi, nhanh chóng hơn so với trước đây. - HUMAN-FAC1]]</f>
        <v>2</v>
      </c>
      <c r="AD284">
        <f t="shared" si="115"/>
        <v>0.1111111111111111</v>
      </c>
      <c r="AE284">
        <f>step3_validation[[#This Row],[AI_FAC2]]</f>
        <v>9</v>
      </c>
      <c r="AF284">
        <f t="shared" si="116"/>
        <v>0.88888888888888884</v>
      </c>
      <c r="AG284">
        <f>survey_responses[[#This Row],[So với trước đây, tôi thấy cách tính thuế và các bậc thuế trong phương án mới đơn giản, dễ hiểu và dễ thực hiện hơn. - HUMAN-FAC2]]</f>
        <v>6</v>
      </c>
      <c r="AH284">
        <f t="shared" si="117"/>
        <v>0.55555555555555558</v>
      </c>
      <c r="AI284" s="32">
        <f t="shared" si="118"/>
        <v>0.83333333333333326</v>
      </c>
      <c r="AJ284" s="32">
        <f t="shared" si="119"/>
        <v>0.33333333333333337</v>
      </c>
      <c r="AK284">
        <f>step3_validation[[#This Row],[AI_TRU1]]</f>
        <v>7</v>
      </c>
      <c r="AL284">
        <f t="shared" si="120"/>
        <v>0.66666666666666663</v>
      </c>
      <c r="AM284">
        <f>survey_responses[[#This Row],[Tôi tin rằng Nhà nước, cơ quan thuế sẽ thực thi chính sách mới một cách khách quan, công tâm và đối xử bình đẳng với mọi người nộp thuế.  - HUMAN-TRU1]]</f>
        <v>5</v>
      </c>
      <c r="AN284">
        <f t="shared" si="121"/>
        <v>0.44444444444444442</v>
      </c>
      <c r="AO284">
        <f>step3_validation[[#This Row],[AI_TRU2]]</f>
        <v>8</v>
      </c>
      <c r="AP284">
        <f t="shared" si="122"/>
        <v>0.77777777777777779</v>
      </c>
      <c r="AQ284">
        <f>survey_responses[[#This Row],[Tôi thấy mức thuế tôi phải đóng theo phương án mới là công bằng (người thu nhập như tôi đóng mức này là hợp lý). - HUMAN-TRU2]]</f>
        <v>4</v>
      </c>
      <c r="AR284">
        <f t="shared" si="123"/>
        <v>0.33333333333333331</v>
      </c>
      <c r="AS284">
        <f>step3_validation[[#This Row],[AI_TRU3]]</f>
        <v>6</v>
      </c>
      <c r="AT284">
        <f t="shared" si="124"/>
        <v>0.55555555555555558</v>
      </c>
      <c r="AU284">
        <f>survey_responses[[#This Row],[Tôi tin tưởng số tiền thuế tôi đóng sẽ được Nhà nước sử dụng hiệu quả để cải thiện dịch vụ công (y tế, đường xá...). - HUMAN-TRU3]]</f>
        <v>5</v>
      </c>
      <c r="AV284">
        <f t="shared" si="125"/>
        <v>0.44444444444444442</v>
      </c>
      <c r="AW284">
        <f>step3_validation[[#This Row],[AI_TRU4]]</f>
        <v>7</v>
      </c>
      <c r="AX284">
        <f t="shared" si="126"/>
        <v>0.66666666666666663</v>
      </c>
      <c r="AY284">
        <f>survey_responses[[#This Row],[Tôi thấy Nhà nước đã giải thích rõ ràng, minh bạch về lý do và mục tiêu của việc sửa đổi thuế lần này. - HUMAN-TRU4]]</f>
        <v>5</v>
      </c>
      <c r="AZ284">
        <f t="shared" si="127"/>
        <v>0.44444444444444442</v>
      </c>
      <c r="BA284" s="32">
        <f t="shared" si="128"/>
        <v>0.66666666666666663</v>
      </c>
      <c r="BB284" s="32">
        <f t="shared" si="129"/>
        <v>0.41666666666666663</v>
      </c>
      <c r="BC284" s="7">
        <f t="shared" si="130"/>
        <v>0.70370370370370372</v>
      </c>
      <c r="BD284" s="7">
        <f t="shared" si="131"/>
        <v>0.39814814814814814</v>
      </c>
      <c r="BE284">
        <f>step3_validation[[#This Row],[AI_OUT1]]</f>
        <v>9</v>
      </c>
      <c r="BF284">
        <f t="shared" si="132"/>
        <v>0.88888888888888884</v>
      </c>
      <c r="BG284">
        <f>survey_responses[[#This Row],[Sau khi xem xét các quyền lợi và nghĩa vụ, bạn có ủng hộ và tuân thủ chính sách mới hiện nay? - HUMAN-OUT1]]</f>
        <v>4</v>
      </c>
      <c r="BH284">
        <f t="shared" si="133"/>
        <v>0.33333333333333331</v>
      </c>
      <c r="BI284" s="32">
        <f t="shared" si="134"/>
        <v>5</v>
      </c>
    </row>
    <row r="285" spans="1:61" x14ac:dyDescent="0.45">
      <c r="A285" s="30">
        <f>step3_validation[[#This Row],[Persona_ID]]</f>
        <v>284</v>
      </c>
      <c r="B285" s="31">
        <f>step3_validation[[#This Row],[Used_Seed]]</f>
        <v>325</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48.131815733884942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8</v>
      </c>
      <c r="R285">
        <f t="shared" si="108"/>
        <v>0.77777777777777779</v>
      </c>
      <c r="S285">
        <f>survey_responses[[#This Row],[Tôi tin rằng với các quy định quản lý thuế hiện nay, hành vi gian lận hoặc trốn thuế sẽ dễ dàng bị phát hiện và xử lý nghiêm. - HUMAN-ENF1]]</f>
        <v>7</v>
      </c>
      <c r="T285">
        <f t="shared" si="109"/>
        <v>0.66666666666666663</v>
      </c>
      <c r="U285">
        <f>step3_validation[[#This Row],[AI_ENF2]]</f>
        <v>9</v>
      </c>
      <c r="V285">
        <f t="shared" si="110"/>
        <v>0.88888888888888884</v>
      </c>
      <c r="W285">
        <f>survey_responses[[#This Row],[Tôi tin rằng Nhà nước, cơ quan thuế có đủ khả năng và công nghệ để phát hiện, xử lý nghiêm các hành vi trốn thuế. - HUMAN-ENF2]]</f>
        <v>7</v>
      </c>
      <c r="X285">
        <f t="shared" si="111"/>
        <v>0.66666666666666663</v>
      </c>
      <c r="Y285" s="32">
        <f t="shared" si="112"/>
        <v>0.83333333333333326</v>
      </c>
      <c r="Z285" s="32">
        <f t="shared" si="113"/>
        <v>0.66666666666666663</v>
      </c>
      <c r="AA285">
        <f>step3_validation[[#This Row],[AI_FAC1]]</f>
        <v>8</v>
      </c>
      <c r="AB285">
        <f t="shared" si="114"/>
        <v>0.77777777777777779</v>
      </c>
      <c r="AC285">
        <f>survey_responses[[#This Row],[Các thủ tục khai báo thuế VÀ/HOẶC quy trình làm việc với cơ quan thuế đơn giản, tiện lợi, nhanh chóng hơn so với trước đây. - HUMAN-FAC1]]</f>
        <v>5</v>
      </c>
      <c r="AD285">
        <f t="shared" si="115"/>
        <v>0.44444444444444442</v>
      </c>
      <c r="AE285">
        <f>step3_validation[[#This Row],[AI_FAC2]]</f>
        <v>9</v>
      </c>
      <c r="AF285">
        <f t="shared" si="116"/>
        <v>0.88888888888888884</v>
      </c>
      <c r="AG285">
        <f>survey_responses[[#This Row],[So với trước đây, tôi thấy cách tính thuế và các bậc thuế trong phương án mới đơn giản, dễ hiểu và dễ thực hiện hơn. - HUMAN-FAC2]]</f>
        <v>7</v>
      </c>
      <c r="AH285">
        <f t="shared" si="117"/>
        <v>0.66666666666666663</v>
      </c>
      <c r="AI285" s="32">
        <f t="shared" si="118"/>
        <v>0.83333333333333326</v>
      </c>
      <c r="AJ285" s="32">
        <f t="shared" si="119"/>
        <v>0.55555555555555558</v>
      </c>
      <c r="AK285">
        <f>step3_validation[[#This Row],[AI_TRU1]]</f>
        <v>8</v>
      </c>
      <c r="AL285">
        <f t="shared" si="120"/>
        <v>0.77777777777777779</v>
      </c>
      <c r="AM285">
        <f>survey_responses[[#This Row],[Tôi tin rằng Nhà nước, cơ quan thuế sẽ thực thi chính sách mới một cách khách quan, công tâm và đối xử bình đẳng với mọi người nộp thuế.  - HUMAN-TRU1]]</f>
        <v>5</v>
      </c>
      <c r="AN285">
        <f t="shared" si="121"/>
        <v>0.44444444444444442</v>
      </c>
      <c r="AO285">
        <f>step3_validation[[#This Row],[AI_TRU2]]</f>
        <v>9</v>
      </c>
      <c r="AP285">
        <f t="shared" si="122"/>
        <v>0.88888888888888884</v>
      </c>
      <c r="AQ285">
        <f>survey_responses[[#This Row],[Tôi thấy mức thuế tôi phải đóng theo phương án mới là công bằng (người thu nhập như tôi đóng mức này là hợp lý). - HUMAN-TRU2]]</f>
        <v>6</v>
      </c>
      <c r="AR285">
        <f t="shared" si="123"/>
        <v>0.55555555555555558</v>
      </c>
      <c r="AS285">
        <f>step3_validation[[#This Row],[AI_TRU3]]</f>
        <v>8</v>
      </c>
      <c r="AT285">
        <f t="shared" si="124"/>
        <v>0.77777777777777779</v>
      </c>
      <c r="AU285">
        <f>survey_responses[[#This Row],[Tôi tin tưởng số tiền thuế tôi đóng sẽ được Nhà nước sử dụng hiệu quả để cải thiện dịch vụ công (y tế, đường xá...). - HUMAN-TRU3]]</f>
        <v>5</v>
      </c>
      <c r="AV285">
        <f t="shared" si="125"/>
        <v>0.44444444444444442</v>
      </c>
      <c r="AW285">
        <f>step3_validation[[#This Row],[AI_TRU4]]</f>
        <v>9</v>
      </c>
      <c r="AX285">
        <f t="shared" si="126"/>
        <v>0.88888888888888884</v>
      </c>
      <c r="AY285">
        <f>survey_responses[[#This Row],[Tôi thấy Nhà nước đã giải thích rõ ràng, minh bạch về lý do và mục tiêu của việc sửa đổi thuế lần này. - HUMAN-TRU4]]</f>
        <v>7</v>
      </c>
      <c r="AZ285">
        <f t="shared" si="127"/>
        <v>0.66666666666666663</v>
      </c>
      <c r="BA285" s="32">
        <f t="shared" si="128"/>
        <v>0.83333333333333326</v>
      </c>
      <c r="BB285" s="32">
        <f t="shared" si="129"/>
        <v>0.52777777777777779</v>
      </c>
      <c r="BC285" s="7">
        <f t="shared" si="130"/>
        <v>0.83333333333333337</v>
      </c>
      <c r="BD285" s="7">
        <f t="shared" si="131"/>
        <v>0.58333333333333337</v>
      </c>
      <c r="BE285">
        <f>step3_validation[[#This Row],[AI_OUT1]]</f>
        <v>9</v>
      </c>
      <c r="BF285">
        <f t="shared" si="132"/>
        <v>0.88888888888888884</v>
      </c>
      <c r="BG285">
        <f>survey_responses[[#This Row],[Sau khi xem xét các quyền lợi và nghĩa vụ, bạn có ủng hộ và tuân thủ chính sách mới hiện nay? - HUMAN-OUT1]]</f>
        <v>6</v>
      </c>
      <c r="BH285">
        <f t="shared" si="133"/>
        <v>0.55555555555555558</v>
      </c>
      <c r="BI285" s="32">
        <f t="shared" si="134"/>
        <v>3</v>
      </c>
    </row>
    <row r="286" spans="1:61" x14ac:dyDescent="0.45">
      <c r="A286" s="30">
        <f>step3_validation[[#This Row],[Persona_ID]]</f>
        <v>285</v>
      </c>
      <c r="B286" s="31">
        <f>step3_validation[[#This Row],[Used_Seed]]</f>
        <v>326</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78.325465725006566</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8</v>
      </c>
      <c r="R286">
        <f t="shared" si="108"/>
        <v>0.77777777777777779</v>
      </c>
      <c r="S286">
        <f>survey_responses[[#This Row],[Tôi tin rằng với các quy định quản lý thuế hiện nay, hành vi gian lận hoặc trốn thuế sẽ dễ dàng bị phát hiện và xử lý nghiêm. - HUMAN-ENF1]]</f>
        <v>7</v>
      </c>
      <c r="T286">
        <f t="shared" si="109"/>
        <v>0.66666666666666663</v>
      </c>
      <c r="U286">
        <f>step3_validation[[#This Row],[AI_ENF2]]</f>
        <v>9</v>
      </c>
      <c r="V286">
        <f t="shared" si="110"/>
        <v>0.88888888888888884</v>
      </c>
      <c r="W286">
        <f>survey_responses[[#This Row],[Tôi tin rằng Nhà nước, cơ quan thuế có đủ khả năng và công nghệ để phát hiện, xử lý nghiêm các hành vi trốn thuế. - HUMAN-ENF2]]</f>
        <v>7</v>
      </c>
      <c r="X286">
        <f t="shared" si="111"/>
        <v>0.66666666666666663</v>
      </c>
      <c r="Y286" s="32">
        <f t="shared" si="112"/>
        <v>0.83333333333333326</v>
      </c>
      <c r="Z286" s="32">
        <f t="shared" si="113"/>
        <v>0.66666666666666663</v>
      </c>
      <c r="AA286">
        <f>step3_validation[[#This Row],[AI_FAC1]]</f>
        <v>9</v>
      </c>
      <c r="AB286">
        <f t="shared" si="114"/>
        <v>0.88888888888888884</v>
      </c>
      <c r="AC286">
        <f>survey_responses[[#This Row],[Các thủ tục khai báo thuế VÀ/HOẶC quy trình làm việc với cơ quan thuế đơn giản, tiện lợi, nhanh chóng hơn so với trước đây. - HUMAN-FAC1]]</f>
        <v>5</v>
      </c>
      <c r="AD286">
        <f t="shared" si="115"/>
        <v>0.44444444444444442</v>
      </c>
      <c r="AE286">
        <f>step3_validation[[#This Row],[AI_FAC2]]</f>
        <v>8</v>
      </c>
      <c r="AF286">
        <f t="shared" si="116"/>
        <v>0.77777777777777779</v>
      </c>
      <c r="AG286">
        <f>survey_responses[[#This Row],[So với trước đây, tôi thấy cách tính thuế và các bậc thuế trong phương án mới đơn giản, dễ hiểu và dễ thực hiện hơn. - HUMAN-FAC2]]</f>
        <v>8</v>
      </c>
      <c r="AH286">
        <f t="shared" si="117"/>
        <v>0.77777777777777779</v>
      </c>
      <c r="AI286" s="32">
        <f t="shared" si="118"/>
        <v>0.83333333333333326</v>
      </c>
      <c r="AJ286" s="32">
        <f t="shared" si="119"/>
        <v>0.61111111111111116</v>
      </c>
      <c r="AK286">
        <f>step3_validation[[#This Row],[AI_TRU1]]</f>
        <v>7</v>
      </c>
      <c r="AL286">
        <f t="shared" si="120"/>
        <v>0.66666666666666663</v>
      </c>
      <c r="AM286">
        <f>survey_responses[[#This Row],[Tôi tin rằng Nhà nước, cơ quan thuế sẽ thực thi chính sách mới một cách khách quan, công tâm và đối xử bình đẳng với mọi người nộp thuế.  - HUMAN-TRU1]]</f>
        <v>6</v>
      </c>
      <c r="AN286">
        <f t="shared" si="121"/>
        <v>0.55555555555555558</v>
      </c>
      <c r="AO286">
        <f>step3_validation[[#This Row],[AI_TRU2]]</f>
        <v>9</v>
      </c>
      <c r="AP286">
        <f t="shared" si="122"/>
        <v>0.88888888888888884</v>
      </c>
      <c r="AQ286">
        <f>survey_responses[[#This Row],[Tôi thấy mức thuế tôi phải đóng theo phương án mới là công bằng (người thu nhập như tôi đóng mức này là hợp lý). - HUMAN-TRU2]]</f>
        <v>6</v>
      </c>
      <c r="AR286">
        <f t="shared" si="123"/>
        <v>0.55555555555555558</v>
      </c>
      <c r="AS286">
        <f>step3_validation[[#This Row],[AI_TRU3]]</f>
        <v>8</v>
      </c>
      <c r="AT286">
        <f t="shared" si="124"/>
        <v>0.77777777777777779</v>
      </c>
      <c r="AU286">
        <f>survey_responses[[#This Row],[Tôi tin tưởng số tiền thuế tôi đóng sẽ được Nhà nước sử dụng hiệu quả để cải thiện dịch vụ công (y tế, đường xá...). - HUMAN-TRU3]]</f>
        <v>6</v>
      </c>
      <c r="AV286">
        <f t="shared" si="125"/>
        <v>0.55555555555555558</v>
      </c>
      <c r="AW286">
        <f>step3_validation[[#This Row],[AI_TRU4]]</f>
        <v>7</v>
      </c>
      <c r="AX286">
        <f t="shared" si="126"/>
        <v>0.66666666666666663</v>
      </c>
      <c r="AY286">
        <f>survey_responses[[#This Row],[Tôi thấy Nhà nước đã giải thích rõ ràng, minh bạch về lý do và mục tiêu của việc sửa đổi thuế lần này. - HUMAN-TRU4]]</f>
        <v>7</v>
      </c>
      <c r="AZ286">
        <f t="shared" si="127"/>
        <v>0.66666666666666663</v>
      </c>
      <c r="BA286" s="32">
        <f t="shared" si="128"/>
        <v>0.74999999999999989</v>
      </c>
      <c r="BB286" s="32">
        <f t="shared" si="129"/>
        <v>0.58333333333333337</v>
      </c>
      <c r="BC286" s="7">
        <f t="shared" si="130"/>
        <v>0.80555555555555547</v>
      </c>
      <c r="BD286" s="7">
        <f t="shared" si="131"/>
        <v>0.62037037037037035</v>
      </c>
      <c r="BE286">
        <f>step3_validation[[#This Row],[AI_OUT1]]</f>
        <v>9</v>
      </c>
      <c r="BF286">
        <f t="shared" si="132"/>
        <v>0.88888888888888884</v>
      </c>
      <c r="BG286">
        <f>survey_responses[[#This Row],[Sau khi xem xét các quyền lợi và nghĩa vụ, bạn có ủng hộ và tuân thủ chính sách mới hiện nay? - HUMAN-OUT1]]</f>
        <v>7</v>
      </c>
      <c r="BH286">
        <f t="shared" si="133"/>
        <v>0.66666666666666663</v>
      </c>
      <c r="BI286" s="32">
        <f t="shared" si="134"/>
        <v>2</v>
      </c>
    </row>
    <row r="287" spans="1:61" x14ac:dyDescent="0.45">
      <c r="A287" s="30">
        <f>step3_validation[[#This Row],[Persona_ID]]</f>
        <v>286</v>
      </c>
      <c r="B287" s="31">
        <f>step3_validation[[#This Row],[Used_Seed]]</f>
        <v>327</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43.35101758750227</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7</v>
      </c>
      <c r="R287">
        <f t="shared" si="108"/>
        <v>0.66666666666666663</v>
      </c>
      <c r="S287">
        <f>survey_responses[[#This Row],[Tôi tin rằng với các quy định quản lý thuế hiện nay, hành vi gian lận hoặc trốn thuế sẽ dễ dàng bị phát hiện và xử lý nghiêm. - HUMAN-ENF1]]</f>
        <v>4</v>
      </c>
      <c r="T287">
        <f t="shared" si="109"/>
        <v>0.33333333333333331</v>
      </c>
      <c r="U287">
        <f>step3_validation[[#This Row],[AI_ENF2]]</f>
        <v>6</v>
      </c>
      <c r="V287">
        <f t="shared" si="110"/>
        <v>0.55555555555555558</v>
      </c>
      <c r="W287">
        <f>survey_responses[[#This Row],[Tôi tin rằng Nhà nước, cơ quan thuế có đủ khả năng và công nghệ để phát hiện, xử lý nghiêm các hành vi trốn thuế. - HUMAN-ENF2]]</f>
        <v>4</v>
      </c>
      <c r="X287">
        <f t="shared" si="111"/>
        <v>0.33333333333333331</v>
      </c>
      <c r="Y287" s="32">
        <f t="shared" si="112"/>
        <v>0.61111111111111116</v>
      </c>
      <c r="Z287" s="32">
        <f t="shared" si="113"/>
        <v>0.33333333333333331</v>
      </c>
      <c r="AA287">
        <f>step3_validation[[#This Row],[AI_FAC1]]</f>
        <v>9</v>
      </c>
      <c r="AB287">
        <f t="shared" si="114"/>
        <v>0.88888888888888884</v>
      </c>
      <c r="AC287">
        <f>survey_responses[[#This Row],[Các thủ tục khai báo thuế VÀ/HOẶC quy trình làm việc với cơ quan thuế đơn giản, tiện lợi, nhanh chóng hơn so với trước đây. - HUMAN-FAC1]]</f>
        <v>2</v>
      </c>
      <c r="AD287">
        <f t="shared" si="115"/>
        <v>0.1111111111111111</v>
      </c>
      <c r="AE287">
        <f>step3_validation[[#This Row],[AI_FAC2]]</f>
        <v>8</v>
      </c>
      <c r="AF287">
        <f t="shared" si="116"/>
        <v>0.77777777777777779</v>
      </c>
      <c r="AG287">
        <f>survey_responses[[#This Row],[So với trước đây, tôi thấy cách tính thuế và các bậc thuế trong phương án mới đơn giản, dễ hiểu và dễ thực hiện hơn. - HUMAN-FAC2]]</f>
        <v>8</v>
      </c>
      <c r="AH287">
        <f t="shared" si="117"/>
        <v>0.77777777777777779</v>
      </c>
      <c r="AI287" s="32">
        <f t="shared" si="118"/>
        <v>0.83333333333333326</v>
      </c>
      <c r="AJ287" s="32">
        <f t="shared" si="119"/>
        <v>0.44444444444444442</v>
      </c>
      <c r="AK287">
        <f>step3_validation[[#This Row],[AI_TRU1]]</f>
        <v>9</v>
      </c>
      <c r="AL287">
        <f t="shared" si="120"/>
        <v>0.88888888888888884</v>
      </c>
      <c r="AM287">
        <f>survey_responses[[#This Row],[Tôi tin rằng Nhà nước, cơ quan thuế sẽ thực thi chính sách mới một cách khách quan, công tâm và đối xử bình đẳng với mọi người nộp thuế.  - HUMAN-TRU1]]</f>
        <v>5</v>
      </c>
      <c r="AN287">
        <f t="shared" si="121"/>
        <v>0.44444444444444442</v>
      </c>
      <c r="AO287">
        <f>step3_validation[[#This Row],[AI_TRU2]]</f>
        <v>8</v>
      </c>
      <c r="AP287">
        <f t="shared" si="122"/>
        <v>0.77777777777777779</v>
      </c>
      <c r="AQ287">
        <f>survey_responses[[#This Row],[Tôi thấy mức thuế tôi phải đóng theo phương án mới là công bằng (người thu nhập như tôi đóng mức này là hợp lý). - HUMAN-TRU2]]</f>
        <v>5</v>
      </c>
      <c r="AR287">
        <f t="shared" si="123"/>
        <v>0.44444444444444442</v>
      </c>
      <c r="AS287">
        <f>step3_validation[[#This Row],[AI_TRU3]]</f>
        <v>9</v>
      </c>
      <c r="AT287">
        <f t="shared" si="124"/>
        <v>0.88888888888888884</v>
      </c>
      <c r="AU287">
        <f>survey_responses[[#This Row],[Tôi tin tưởng số tiền thuế tôi đóng sẽ được Nhà nước sử dụng hiệu quả để cải thiện dịch vụ công (y tế, đường xá...). - HUMAN-TRU3]]</f>
        <v>4</v>
      </c>
      <c r="AV287">
        <f t="shared" si="125"/>
        <v>0.33333333333333331</v>
      </c>
      <c r="AW287">
        <f>step3_validation[[#This Row],[AI_TRU4]]</f>
        <v>8</v>
      </c>
      <c r="AX287">
        <f t="shared" si="126"/>
        <v>0.77777777777777779</v>
      </c>
      <c r="AY287">
        <f>survey_responses[[#This Row],[Tôi thấy Nhà nước đã giải thích rõ ràng, minh bạch về lý do và mục tiêu của việc sửa đổi thuế lần này. - HUMAN-TRU4]]</f>
        <v>6</v>
      </c>
      <c r="AZ287">
        <f t="shared" si="127"/>
        <v>0.55555555555555558</v>
      </c>
      <c r="BA287" s="32">
        <f t="shared" si="128"/>
        <v>0.83333333333333326</v>
      </c>
      <c r="BB287" s="32">
        <f t="shared" si="129"/>
        <v>0.44444444444444442</v>
      </c>
      <c r="BC287" s="7">
        <f t="shared" si="130"/>
        <v>0.75925925925925919</v>
      </c>
      <c r="BD287" s="7">
        <f t="shared" si="131"/>
        <v>0.40740740740740738</v>
      </c>
      <c r="BE287">
        <f>step3_validation[[#This Row],[AI_OUT1]]</f>
        <v>9</v>
      </c>
      <c r="BF287">
        <f t="shared" si="132"/>
        <v>0.88888888888888884</v>
      </c>
      <c r="BG287">
        <f>survey_responses[[#This Row],[Sau khi xem xét các quyền lợi và nghĩa vụ, bạn có ủng hộ và tuân thủ chính sách mới hiện nay? - HUMAN-OUT1]]</f>
        <v>5</v>
      </c>
      <c r="BH287">
        <f t="shared" si="133"/>
        <v>0.44444444444444442</v>
      </c>
      <c r="BI287" s="32">
        <f t="shared" si="134"/>
        <v>4</v>
      </c>
    </row>
    <row r="288" spans="1:61" x14ac:dyDescent="0.45">
      <c r="A288" s="30">
        <f>step3_validation[[#This Row],[Persona_ID]]</f>
        <v>287</v>
      </c>
      <c r="B288" s="31">
        <f>step3_validation[[#This Row],[Used_Seed]]</f>
        <v>328</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54.408141188033468</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f t="shared" si="108"/>
        <v>0.66666666666666663</v>
      </c>
      <c r="S288">
        <f>survey_responses[[#This Row],[Tôi tin rằng với các quy định quản lý thuế hiện nay, hành vi gian lận hoặc trốn thuế sẽ dễ dàng bị phát hiện và xử lý nghiêm. - HUMAN-ENF1]]</f>
        <v>10</v>
      </c>
      <c r="T288">
        <f t="shared" si="109"/>
        <v>1</v>
      </c>
      <c r="U288">
        <f>step3_validation[[#This Row],[AI_ENF2]]</f>
        <v>6</v>
      </c>
      <c r="V288">
        <f t="shared" si="110"/>
        <v>0.55555555555555558</v>
      </c>
      <c r="W288">
        <f>survey_responses[[#This Row],[Tôi tin rằng Nhà nước, cơ quan thuế có đủ khả năng và công nghệ để phát hiện, xử lý nghiêm các hành vi trốn thuế. - HUMAN-ENF2]]</f>
        <v>10</v>
      </c>
      <c r="X288">
        <f t="shared" si="111"/>
        <v>1</v>
      </c>
      <c r="Y288" s="32">
        <f t="shared" si="112"/>
        <v>0.61111111111111116</v>
      </c>
      <c r="Z288" s="32">
        <f t="shared" si="113"/>
        <v>1</v>
      </c>
      <c r="AA288">
        <f>step3_validation[[#This Row],[AI_FAC1]]</f>
        <v>8</v>
      </c>
      <c r="AB288">
        <f t="shared" si="114"/>
        <v>0.77777777777777779</v>
      </c>
      <c r="AC288">
        <f>survey_responses[[#This Row],[Các thủ tục khai báo thuế VÀ/HOẶC quy trình làm việc với cơ quan thuế đơn giản, tiện lợi, nhanh chóng hơn so với trước đây. - HUMAN-FAC1]]</f>
        <v>7</v>
      </c>
      <c r="AD288">
        <f t="shared" si="115"/>
        <v>0.66666666666666663</v>
      </c>
      <c r="AE288">
        <f>step3_validation[[#This Row],[AI_FAC2]]</f>
        <v>9</v>
      </c>
      <c r="AF288">
        <f t="shared" si="116"/>
        <v>0.88888888888888884</v>
      </c>
      <c r="AG288">
        <f>survey_responses[[#This Row],[So với trước đây, tôi thấy cách tính thuế và các bậc thuế trong phương án mới đơn giản, dễ hiểu và dễ thực hiện hơn. - HUMAN-FAC2]]</f>
        <v>7</v>
      </c>
      <c r="AH288">
        <f t="shared" si="117"/>
        <v>0.66666666666666663</v>
      </c>
      <c r="AI288" s="32">
        <f t="shared" si="118"/>
        <v>0.83333333333333326</v>
      </c>
      <c r="AJ288" s="32">
        <f t="shared" si="119"/>
        <v>0.66666666666666663</v>
      </c>
      <c r="AK288">
        <f>step3_validation[[#This Row],[AI_TRU1]]</f>
        <v>7</v>
      </c>
      <c r="AL288">
        <f t="shared" si="120"/>
        <v>0.66666666666666663</v>
      </c>
      <c r="AM288">
        <f>survey_responses[[#This Row],[Tôi tin rằng Nhà nước, cơ quan thuế sẽ thực thi chính sách mới một cách khách quan, công tâm và đối xử bình đẳng với mọi người nộp thuế.  - HUMAN-TRU1]]</f>
        <v>8</v>
      </c>
      <c r="AN288">
        <f t="shared" si="121"/>
        <v>0.77777777777777779</v>
      </c>
      <c r="AO288">
        <f>step3_validation[[#This Row],[AI_TRU2]]</f>
        <v>9</v>
      </c>
      <c r="AP288">
        <f t="shared" si="122"/>
        <v>0.88888888888888884</v>
      </c>
      <c r="AQ288">
        <f>survey_responses[[#This Row],[Tôi thấy mức thuế tôi phải đóng theo phương án mới là công bằng (người thu nhập như tôi đóng mức này là hợp lý). - HUMAN-TRU2]]</f>
        <v>7</v>
      </c>
      <c r="AR288">
        <f t="shared" si="123"/>
        <v>0.66666666666666663</v>
      </c>
      <c r="AS288">
        <f>step3_validation[[#This Row],[AI_TRU3]]</f>
        <v>7</v>
      </c>
      <c r="AT288">
        <f t="shared" si="124"/>
        <v>0.66666666666666663</v>
      </c>
      <c r="AU288">
        <f>survey_responses[[#This Row],[Tôi tin tưởng số tiền thuế tôi đóng sẽ được Nhà nước sử dụng hiệu quả để cải thiện dịch vụ công (y tế, đường xá...). - HUMAN-TRU3]]</f>
        <v>8</v>
      </c>
      <c r="AV288">
        <f t="shared" si="125"/>
        <v>0.77777777777777779</v>
      </c>
      <c r="AW288">
        <f>step3_validation[[#This Row],[AI_TRU4]]</f>
        <v>8</v>
      </c>
      <c r="AX288">
        <f t="shared" si="126"/>
        <v>0.77777777777777779</v>
      </c>
      <c r="AY288">
        <f>survey_responses[[#This Row],[Tôi thấy Nhà nước đã giải thích rõ ràng, minh bạch về lý do và mục tiêu của việc sửa đổi thuế lần này. - HUMAN-TRU4]]</f>
        <v>8</v>
      </c>
      <c r="AZ288">
        <f t="shared" si="127"/>
        <v>0.77777777777777779</v>
      </c>
      <c r="BA288" s="32">
        <f t="shared" si="128"/>
        <v>0.74999999999999989</v>
      </c>
      <c r="BB288" s="32">
        <f t="shared" si="129"/>
        <v>0.75</v>
      </c>
      <c r="BC288" s="7">
        <f t="shared" si="130"/>
        <v>0.7314814814814814</v>
      </c>
      <c r="BD288" s="7">
        <f t="shared" si="131"/>
        <v>0.80555555555555547</v>
      </c>
      <c r="BE288">
        <f>step3_validation[[#This Row],[AI_OUT1]]</f>
        <v>9</v>
      </c>
      <c r="BF288">
        <f t="shared" si="132"/>
        <v>0.88888888888888884</v>
      </c>
      <c r="BG288">
        <f>survey_responses[[#This Row],[Sau khi xem xét các quyền lợi và nghĩa vụ, bạn có ủng hộ và tuân thủ chính sách mới hiện nay? - HUMAN-OUT1]]</f>
        <v>8</v>
      </c>
      <c r="BH288">
        <f t="shared" si="133"/>
        <v>0.77777777777777779</v>
      </c>
      <c r="BI288" s="32">
        <f t="shared" si="134"/>
        <v>1</v>
      </c>
    </row>
    <row r="289" spans="1:61" x14ac:dyDescent="0.45">
      <c r="A289" s="30">
        <f>step3_validation[[#This Row],[Persona_ID]]</f>
        <v>288</v>
      </c>
      <c r="B289" s="31">
        <f>step3_validation[[#This Row],[Used_Seed]]</f>
        <v>329</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27.036619632101331</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f t="shared" si="108"/>
        <v>0.66666666666666663</v>
      </c>
      <c r="S289">
        <f>survey_responses[[#This Row],[Tôi tin rằng với các quy định quản lý thuế hiện nay, hành vi gian lận hoặc trốn thuế sẽ dễ dàng bị phát hiện và xử lý nghiêm. - HUMAN-ENF1]]</f>
        <v>8</v>
      </c>
      <c r="T289">
        <f t="shared" si="109"/>
        <v>0.77777777777777779</v>
      </c>
      <c r="U289">
        <f>step3_validation[[#This Row],[AI_ENF2]]</f>
        <v>8</v>
      </c>
      <c r="V289">
        <f t="shared" si="110"/>
        <v>0.77777777777777779</v>
      </c>
      <c r="W289">
        <f>survey_responses[[#This Row],[Tôi tin rằng Nhà nước, cơ quan thuế có đủ khả năng và công nghệ để phát hiện, xử lý nghiêm các hành vi trốn thuế. - HUMAN-ENF2]]</f>
        <v>8</v>
      </c>
      <c r="X289">
        <f t="shared" si="111"/>
        <v>0.77777777777777779</v>
      </c>
      <c r="Y289" s="32">
        <f t="shared" si="112"/>
        <v>0.72222222222222221</v>
      </c>
      <c r="Z289" s="32">
        <f t="shared" si="113"/>
        <v>0.77777777777777779</v>
      </c>
      <c r="AA289">
        <f>step3_validation[[#This Row],[AI_FAC1]]</f>
        <v>9</v>
      </c>
      <c r="AB289">
        <f t="shared" si="114"/>
        <v>0.88888888888888884</v>
      </c>
      <c r="AC289">
        <f>survey_responses[[#This Row],[Các thủ tục khai báo thuế VÀ/HOẶC quy trình làm việc với cơ quan thuế đơn giản, tiện lợi, nhanh chóng hơn so với trước đây. - HUMAN-FAC1]]</f>
        <v>5</v>
      </c>
      <c r="AD289">
        <f t="shared" si="115"/>
        <v>0.44444444444444442</v>
      </c>
      <c r="AE289">
        <f>step3_validation[[#This Row],[AI_FAC2]]</f>
        <v>9</v>
      </c>
      <c r="AF289">
        <f t="shared" si="116"/>
        <v>0.88888888888888884</v>
      </c>
      <c r="AG289">
        <f>survey_responses[[#This Row],[So với trước đây, tôi thấy cách tính thuế và các bậc thuế trong phương án mới đơn giản, dễ hiểu và dễ thực hiện hơn. - HUMAN-FAC2]]</f>
        <v>9</v>
      </c>
      <c r="AH289">
        <f t="shared" si="117"/>
        <v>0.88888888888888884</v>
      </c>
      <c r="AI289" s="32">
        <f t="shared" si="118"/>
        <v>0.88888888888888884</v>
      </c>
      <c r="AJ289" s="32">
        <f t="shared" si="119"/>
        <v>0.66666666666666663</v>
      </c>
      <c r="AK289">
        <f>step3_validation[[#This Row],[AI_TRU1]]</f>
        <v>6</v>
      </c>
      <c r="AL289">
        <f t="shared" si="120"/>
        <v>0.55555555555555558</v>
      </c>
      <c r="AM289">
        <f>survey_responses[[#This Row],[Tôi tin rằng Nhà nước, cơ quan thuế sẽ thực thi chính sách mới một cách khách quan, công tâm và đối xử bình đẳng với mọi người nộp thuế.  - HUMAN-TRU1]]</f>
        <v>10</v>
      </c>
      <c r="AN289">
        <f t="shared" si="121"/>
        <v>1</v>
      </c>
      <c r="AO289">
        <f>step3_validation[[#This Row],[AI_TRU2]]</f>
        <v>8</v>
      </c>
      <c r="AP289">
        <f t="shared" si="122"/>
        <v>0.77777777777777779</v>
      </c>
      <c r="AQ289">
        <f>survey_responses[[#This Row],[Tôi thấy mức thuế tôi phải đóng theo phương án mới là công bằng (người thu nhập như tôi đóng mức này là hợp lý). - HUMAN-TRU2]]</f>
        <v>10</v>
      </c>
      <c r="AR289">
        <f t="shared" si="123"/>
        <v>1</v>
      </c>
      <c r="AS289">
        <f>step3_validation[[#This Row],[AI_TRU3]]</f>
        <v>7</v>
      </c>
      <c r="AT289">
        <f t="shared" si="124"/>
        <v>0.66666666666666663</v>
      </c>
      <c r="AU289">
        <f>survey_responses[[#This Row],[Tôi tin tưởng số tiền thuế tôi đóng sẽ được Nhà nước sử dụng hiệu quả để cải thiện dịch vụ công (y tế, đường xá...). - HUMAN-TRU3]]</f>
        <v>9</v>
      </c>
      <c r="AV289">
        <f t="shared" si="125"/>
        <v>0.88888888888888884</v>
      </c>
      <c r="AW289">
        <f>step3_validation[[#This Row],[AI_TRU4]]</f>
        <v>6</v>
      </c>
      <c r="AX289">
        <f t="shared" si="126"/>
        <v>0.55555555555555558</v>
      </c>
      <c r="AY289">
        <f>survey_responses[[#This Row],[Tôi thấy Nhà nước đã giải thích rõ ràng, minh bạch về lý do và mục tiêu của việc sửa đổi thuế lần này. - HUMAN-TRU4]]</f>
        <v>9</v>
      </c>
      <c r="AZ289">
        <f t="shared" si="127"/>
        <v>0.88888888888888884</v>
      </c>
      <c r="BA289" s="32">
        <f t="shared" si="128"/>
        <v>0.63888888888888884</v>
      </c>
      <c r="BB289" s="32">
        <f t="shared" si="129"/>
        <v>0.94444444444444442</v>
      </c>
      <c r="BC289" s="7">
        <f t="shared" si="130"/>
        <v>0.75</v>
      </c>
      <c r="BD289" s="7">
        <f t="shared" si="131"/>
        <v>0.79629629629629628</v>
      </c>
      <c r="BE289">
        <f>step3_validation[[#This Row],[AI_OUT1]]</f>
        <v>7</v>
      </c>
      <c r="BF289">
        <f t="shared" si="132"/>
        <v>0.66666666666666663</v>
      </c>
      <c r="BG289">
        <f>survey_responses[[#This Row],[Sau khi xem xét các quyền lợi và nghĩa vụ, bạn có ủng hộ và tuân thủ chính sách mới hiện nay? - HUMAN-OUT1]]</f>
        <v>10</v>
      </c>
      <c r="BH289">
        <f t="shared" si="133"/>
        <v>1</v>
      </c>
      <c r="BI289" s="32">
        <f t="shared" si="134"/>
        <v>3</v>
      </c>
    </row>
    <row r="290" spans="1:61" x14ac:dyDescent="0.45">
      <c r="A290" s="30">
        <f>step3_validation[[#This Row],[Persona_ID]]</f>
        <v>289</v>
      </c>
      <c r="B290" s="31">
        <f>step3_validation[[#This Row],[Used_Seed]]</f>
        <v>330</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30.345647583470807</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5</v>
      </c>
      <c r="R290">
        <f t="shared" si="108"/>
        <v>0.44444444444444442</v>
      </c>
      <c r="S290">
        <f>survey_responses[[#This Row],[Tôi tin rằng với các quy định quản lý thuế hiện nay, hành vi gian lận hoặc trốn thuế sẽ dễ dàng bị phát hiện và xử lý nghiêm. - HUMAN-ENF1]]</f>
        <v>7</v>
      </c>
      <c r="T290">
        <f t="shared" si="109"/>
        <v>0.66666666666666663</v>
      </c>
      <c r="U290">
        <f>step3_validation[[#This Row],[AI_ENF2]]</f>
        <v>7</v>
      </c>
      <c r="V290">
        <f t="shared" si="110"/>
        <v>0.66666666666666663</v>
      </c>
      <c r="W290">
        <f>survey_responses[[#This Row],[Tôi tin rằng Nhà nước, cơ quan thuế có đủ khả năng và công nghệ để phát hiện, xử lý nghiêm các hành vi trốn thuế. - HUMAN-ENF2]]</f>
        <v>7</v>
      </c>
      <c r="X290">
        <f t="shared" si="111"/>
        <v>0.66666666666666663</v>
      </c>
      <c r="Y290" s="32">
        <f t="shared" si="112"/>
        <v>0.55555555555555558</v>
      </c>
      <c r="Z290" s="32">
        <f t="shared" si="113"/>
        <v>0.66666666666666663</v>
      </c>
      <c r="AA290">
        <f>step3_validation[[#This Row],[AI_FAC1]]</f>
        <v>9</v>
      </c>
      <c r="AB290">
        <f t="shared" si="114"/>
        <v>0.88888888888888884</v>
      </c>
      <c r="AC290">
        <f>survey_responses[[#This Row],[Các thủ tục khai báo thuế VÀ/HOẶC quy trình làm việc với cơ quan thuế đơn giản, tiện lợi, nhanh chóng hơn so với trước đây. - HUMAN-FAC1]]</f>
        <v>5</v>
      </c>
      <c r="AD290">
        <f t="shared" si="115"/>
        <v>0.44444444444444442</v>
      </c>
      <c r="AE290">
        <f>step3_validation[[#This Row],[AI_FAC2]]</f>
        <v>8</v>
      </c>
      <c r="AF290">
        <f t="shared" si="116"/>
        <v>0.77777777777777779</v>
      </c>
      <c r="AG290">
        <f>survey_responses[[#This Row],[So với trước đây, tôi thấy cách tính thuế và các bậc thuế trong phương án mới đơn giản, dễ hiểu và dễ thực hiện hơn. - HUMAN-FAC2]]</f>
        <v>6</v>
      </c>
      <c r="AH290">
        <f t="shared" si="117"/>
        <v>0.55555555555555558</v>
      </c>
      <c r="AI290" s="32">
        <f t="shared" si="118"/>
        <v>0.83333333333333326</v>
      </c>
      <c r="AJ290" s="32">
        <f t="shared" si="119"/>
        <v>0.5</v>
      </c>
      <c r="AK290">
        <f>step3_validation[[#This Row],[AI_TRU1]]</f>
        <v>9</v>
      </c>
      <c r="AL290">
        <f t="shared" si="120"/>
        <v>0.88888888888888884</v>
      </c>
      <c r="AM290">
        <f>survey_responses[[#This Row],[Tôi tin rằng Nhà nước, cơ quan thuế sẽ thực thi chính sách mới một cách khách quan, công tâm và đối xử bình đẳng với mọi người nộp thuế.  - HUMAN-TRU1]]</f>
        <v>5</v>
      </c>
      <c r="AN290">
        <f t="shared" si="121"/>
        <v>0.44444444444444442</v>
      </c>
      <c r="AO290">
        <f>step3_validation[[#This Row],[AI_TRU2]]</f>
        <v>8</v>
      </c>
      <c r="AP290">
        <f t="shared" si="122"/>
        <v>0.77777777777777779</v>
      </c>
      <c r="AQ290">
        <f>survey_responses[[#This Row],[Tôi thấy mức thuế tôi phải đóng theo phương án mới là công bằng (người thu nhập như tôi đóng mức này là hợp lý). - HUMAN-TRU2]]</f>
        <v>5</v>
      </c>
      <c r="AR290">
        <f t="shared" si="123"/>
        <v>0.44444444444444442</v>
      </c>
      <c r="AS290">
        <f>step3_validation[[#This Row],[AI_TRU3]]</f>
        <v>9</v>
      </c>
      <c r="AT290">
        <f t="shared" si="124"/>
        <v>0.88888888888888884</v>
      </c>
      <c r="AU290">
        <f>survey_responses[[#This Row],[Tôi tin tưởng số tiền thuế tôi đóng sẽ được Nhà nước sử dụng hiệu quả để cải thiện dịch vụ công (y tế, đường xá...). - HUMAN-TRU3]]</f>
        <v>5</v>
      </c>
      <c r="AV290">
        <f t="shared" si="125"/>
        <v>0.44444444444444442</v>
      </c>
      <c r="AW290">
        <f>step3_validation[[#This Row],[AI_TRU4]]</f>
        <v>8</v>
      </c>
      <c r="AX290">
        <f t="shared" si="126"/>
        <v>0.77777777777777779</v>
      </c>
      <c r="AY290">
        <f>survey_responses[[#This Row],[Tôi thấy Nhà nước đã giải thích rõ ràng, minh bạch về lý do và mục tiêu của việc sửa đổi thuế lần này. - HUMAN-TRU4]]</f>
        <v>5</v>
      </c>
      <c r="AZ290">
        <f t="shared" si="127"/>
        <v>0.44444444444444442</v>
      </c>
      <c r="BA290" s="32">
        <f t="shared" si="128"/>
        <v>0.83333333333333326</v>
      </c>
      <c r="BB290" s="32">
        <f t="shared" si="129"/>
        <v>0.44444444444444442</v>
      </c>
      <c r="BC290" s="7">
        <f t="shared" si="130"/>
        <v>0.74074074074074081</v>
      </c>
      <c r="BD290" s="7">
        <f t="shared" si="131"/>
        <v>0.53703703703703698</v>
      </c>
      <c r="BE290">
        <f>step3_validation[[#This Row],[AI_OUT1]]</f>
        <v>9</v>
      </c>
      <c r="BF290">
        <f t="shared" si="132"/>
        <v>0.88888888888888884</v>
      </c>
      <c r="BG290">
        <f>survey_responses[[#This Row],[Sau khi xem xét các quyền lợi và nghĩa vụ, bạn có ủng hộ và tuân thủ chính sách mới hiện nay? - HUMAN-OUT1]]</f>
        <v>6</v>
      </c>
      <c r="BH290">
        <f t="shared" si="133"/>
        <v>0.55555555555555558</v>
      </c>
      <c r="BI290" s="32">
        <f t="shared" si="134"/>
        <v>3</v>
      </c>
    </row>
    <row r="291" spans="1:61" x14ac:dyDescent="0.45">
      <c r="A291" s="30">
        <f>step3_validation[[#This Row],[Persona_ID]]</f>
        <v>290</v>
      </c>
      <c r="B291" s="31">
        <f>step3_validation[[#This Row],[Used_Seed]]</f>
        <v>331</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44.286525773979889</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8</v>
      </c>
      <c r="R291">
        <f t="shared" si="108"/>
        <v>0.77777777777777779</v>
      </c>
      <c r="S291">
        <f>survey_responses[[#This Row],[Tôi tin rằng với các quy định quản lý thuế hiện nay, hành vi gian lận hoặc trốn thuế sẽ dễ dàng bị phát hiện và xử lý nghiêm. - HUMAN-ENF1]]</f>
        <v>8</v>
      </c>
      <c r="T291">
        <f t="shared" si="109"/>
        <v>0.77777777777777779</v>
      </c>
      <c r="U291">
        <f>step3_validation[[#This Row],[AI_ENF2]]</f>
        <v>7</v>
      </c>
      <c r="V291">
        <f t="shared" si="110"/>
        <v>0.66666666666666663</v>
      </c>
      <c r="W291">
        <f>survey_responses[[#This Row],[Tôi tin rằng Nhà nước, cơ quan thuế có đủ khả năng và công nghệ để phát hiện, xử lý nghiêm các hành vi trốn thuế. - HUMAN-ENF2]]</f>
        <v>8</v>
      </c>
      <c r="X291">
        <f t="shared" si="111"/>
        <v>0.77777777777777779</v>
      </c>
      <c r="Y291" s="32">
        <f t="shared" si="112"/>
        <v>0.72222222222222221</v>
      </c>
      <c r="Z291" s="32">
        <f t="shared" si="113"/>
        <v>0.77777777777777779</v>
      </c>
      <c r="AA291">
        <f>step3_validation[[#This Row],[AI_FAC1]]</f>
        <v>9</v>
      </c>
      <c r="AB291">
        <f t="shared" si="114"/>
        <v>0.88888888888888884</v>
      </c>
      <c r="AC291">
        <f>survey_responses[[#This Row],[Các thủ tục khai báo thuế VÀ/HOẶC quy trình làm việc với cơ quan thuế đơn giản, tiện lợi, nhanh chóng hơn so với trước đây. - HUMAN-FAC1]]</f>
        <v>8</v>
      </c>
      <c r="AD291">
        <f t="shared" si="115"/>
        <v>0.77777777777777779</v>
      </c>
      <c r="AE291">
        <f>step3_validation[[#This Row],[AI_FAC2]]</f>
        <v>8</v>
      </c>
      <c r="AF291">
        <f t="shared" si="116"/>
        <v>0.77777777777777779</v>
      </c>
      <c r="AG291">
        <f>survey_responses[[#This Row],[So với trước đây, tôi thấy cách tính thuế và các bậc thuế trong phương án mới đơn giản, dễ hiểu và dễ thực hiện hơn. - HUMAN-FAC2]]</f>
        <v>8</v>
      </c>
      <c r="AH291">
        <f t="shared" si="117"/>
        <v>0.77777777777777779</v>
      </c>
      <c r="AI291" s="32">
        <f t="shared" si="118"/>
        <v>0.83333333333333326</v>
      </c>
      <c r="AJ291" s="32">
        <f t="shared" si="119"/>
        <v>0.77777777777777779</v>
      </c>
      <c r="AK291">
        <f>step3_validation[[#This Row],[AI_TRU1]]</f>
        <v>9</v>
      </c>
      <c r="AL291">
        <f t="shared" si="120"/>
        <v>0.88888888888888884</v>
      </c>
      <c r="AM291">
        <f>survey_responses[[#This Row],[Tôi tin rằng Nhà nước, cơ quan thuế sẽ thực thi chính sách mới một cách khách quan, công tâm và đối xử bình đẳng với mọi người nộp thuế.  - HUMAN-TRU1]]</f>
        <v>8</v>
      </c>
      <c r="AN291">
        <f t="shared" si="121"/>
        <v>0.77777777777777779</v>
      </c>
      <c r="AO291">
        <f>step3_validation[[#This Row],[AI_TRU2]]</f>
        <v>8</v>
      </c>
      <c r="AP291">
        <f t="shared" si="122"/>
        <v>0.77777777777777779</v>
      </c>
      <c r="AQ291">
        <f>survey_responses[[#This Row],[Tôi thấy mức thuế tôi phải đóng theo phương án mới là công bằng (người thu nhập như tôi đóng mức này là hợp lý). - HUMAN-TRU2]]</f>
        <v>8</v>
      </c>
      <c r="AR291">
        <f t="shared" si="123"/>
        <v>0.77777777777777779</v>
      </c>
      <c r="AS291">
        <f>step3_validation[[#This Row],[AI_TRU3]]</f>
        <v>9</v>
      </c>
      <c r="AT291">
        <f t="shared" si="124"/>
        <v>0.88888888888888884</v>
      </c>
      <c r="AU291">
        <f>survey_responses[[#This Row],[Tôi tin tưởng số tiền thuế tôi đóng sẽ được Nhà nước sử dụng hiệu quả để cải thiện dịch vụ công (y tế, đường xá...). - HUMAN-TRU3]]</f>
        <v>8</v>
      </c>
      <c r="AV291">
        <f t="shared" si="125"/>
        <v>0.77777777777777779</v>
      </c>
      <c r="AW291">
        <f>step3_validation[[#This Row],[AI_TRU4]]</f>
        <v>7</v>
      </c>
      <c r="AX291">
        <f t="shared" si="126"/>
        <v>0.66666666666666663</v>
      </c>
      <c r="AY291">
        <f>survey_responses[[#This Row],[Tôi thấy Nhà nước đã giải thích rõ ràng, minh bạch về lý do và mục tiêu của việc sửa đổi thuế lần này. - HUMAN-TRU4]]</f>
        <v>8</v>
      </c>
      <c r="AZ291">
        <f t="shared" si="127"/>
        <v>0.77777777777777779</v>
      </c>
      <c r="BA291" s="32">
        <f t="shared" si="128"/>
        <v>0.80555555555555547</v>
      </c>
      <c r="BB291" s="32">
        <f t="shared" si="129"/>
        <v>0.77777777777777779</v>
      </c>
      <c r="BC291" s="7">
        <f t="shared" si="130"/>
        <v>0.78703703703703687</v>
      </c>
      <c r="BD291" s="7">
        <f t="shared" si="131"/>
        <v>0.77777777777777779</v>
      </c>
      <c r="BE291">
        <f>step3_validation[[#This Row],[AI_OUT1]]</f>
        <v>9</v>
      </c>
      <c r="BF291">
        <f t="shared" si="132"/>
        <v>0.88888888888888884</v>
      </c>
      <c r="BG291">
        <f>survey_responses[[#This Row],[Sau khi xem xét các quyền lợi và nghĩa vụ, bạn có ủng hộ và tuân thủ chính sách mới hiện nay? - HUMAN-OUT1]]</f>
        <v>8</v>
      </c>
      <c r="BH291">
        <f t="shared" si="133"/>
        <v>0.77777777777777779</v>
      </c>
      <c r="BI291" s="32">
        <f t="shared" si="134"/>
        <v>1</v>
      </c>
    </row>
    <row r="292" spans="1:61" x14ac:dyDescent="0.45">
      <c r="A292" s="30">
        <f>step3_validation[[#This Row],[Persona_ID]]</f>
        <v>291</v>
      </c>
      <c r="B292" s="31">
        <f>step3_validation[[#This Row],[Used_Seed]]</f>
        <v>332</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66.734917768616697</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f t="shared" si="108"/>
        <v>0.66666666666666663</v>
      </c>
      <c r="S292">
        <f>survey_responses[[#This Row],[Tôi tin rằng với các quy định quản lý thuế hiện nay, hành vi gian lận hoặc trốn thuế sẽ dễ dàng bị phát hiện và xử lý nghiêm. - HUMAN-ENF1]]</f>
        <v>9</v>
      </c>
      <c r="T292">
        <f t="shared" si="109"/>
        <v>0.88888888888888884</v>
      </c>
      <c r="U292">
        <f>step3_validation[[#This Row],[AI_ENF2]]</f>
        <v>6</v>
      </c>
      <c r="V292">
        <f t="shared" si="110"/>
        <v>0.55555555555555558</v>
      </c>
      <c r="W292">
        <f>survey_responses[[#This Row],[Tôi tin rằng Nhà nước, cơ quan thuế có đủ khả năng và công nghệ để phát hiện, xử lý nghiêm các hành vi trốn thuế. - HUMAN-ENF2]]</f>
        <v>9</v>
      </c>
      <c r="X292">
        <f t="shared" si="111"/>
        <v>0.88888888888888884</v>
      </c>
      <c r="Y292" s="32">
        <f t="shared" si="112"/>
        <v>0.61111111111111116</v>
      </c>
      <c r="Z292" s="32">
        <f t="shared" si="113"/>
        <v>0.88888888888888884</v>
      </c>
      <c r="AA292">
        <f>step3_validation[[#This Row],[AI_FAC1]]</f>
        <v>9</v>
      </c>
      <c r="AB292">
        <f t="shared" si="114"/>
        <v>0.88888888888888884</v>
      </c>
      <c r="AC292">
        <f>survey_responses[[#This Row],[Các thủ tục khai báo thuế VÀ/HOẶC quy trình làm việc với cơ quan thuế đơn giản, tiện lợi, nhanh chóng hơn so với trước đây. - HUMAN-FAC1]]</f>
        <v>3</v>
      </c>
      <c r="AD292">
        <f t="shared" si="115"/>
        <v>0.22222222222222221</v>
      </c>
      <c r="AE292">
        <f>step3_validation[[#This Row],[AI_FAC2]]</f>
        <v>8</v>
      </c>
      <c r="AF292">
        <f t="shared" si="116"/>
        <v>0.77777777777777779</v>
      </c>
      <c r="AG292">
        <f>survey_responses[[#This Row],[So với trước đây, tôi thấy cách tính thuế và các bậc thuế trong phương án mới đơn giản, dễ hiểu và dễ thực hiện hơn. - HUMAN-FAC2]]</f>
        <v>10</v>
      </c>
      <c r="AH292">
        <f t="shared" si="117"/>
        <v>1</v>
      </c>
      <c r="AI292" s="32">
        <f t="shared" si="118"/>
        <v>0.83333333333333326</v>
      </c>
      <c r="AJ292" s="32">
        <f t="shared" si="119"/>
        <v>0.61111111111111116</v>
      </c>
      <c r="AK292">
        <f>step3_validation[[#This Row],[AI_TRU1]]</f>
        <v>7</v>
      </c>
      <c r="AL292">
        <f t="shared" si="120"/>
        <v>0.66666666666666663</v>
      </c>
      <c r="AM292">
        <f>survey_responses[[#This Row],[Tôi tin rằng Nhà nước, cơ quan thuế sẽ thực thi chính sách mới một cách khách quan, công tâm và đối xử bình đẳng với mọi người nộp thuế.  - HUMAN-TRU1]]</f>
        <v>8</v>
      </c>
      <c r="AN292">
        <f t="shared" si="121"/>
        <v>0.77777777777777779</v>
      </c>
      <c r="AO292">
        <f>step3_validation[[#This Row],[AI_TRU2]]</f>
        <v>9</v>
      </c>
      <c r="AP292">
        <f t="shared" si="122"/>
        <v>0.88888888888888884</v>
      </c>
      <c r="AQ292">
        <f>survey_responses[[#This Row],[Tôi thấy mức thuế tôi phải đóng theo phương án mới là công bằng (người thu nhập như tôi đóng mức này là hợp lý). - HUMAN-TRU2]]</f>
        <v>8</v>
      </c>
      <c r="AR292">
        <f t="shared" si="123"/>
        <v>0.77777777777777779</v>
      </c>
      <c r="AS292">
        <f>step3_validation[[#This Row],[AI_TRU3]]</f>
        <v>6</v>
      </c>
      <c r="AT292">
        <f t="shared" si="124"/>
        <v>0.55555555555555558</v>
      </c>
      <c r="AU292">
        <f>survey_responses[[#This Row],[Tôi tin tưởng số tiền thuế tôi đóng sẽ được Nhà nước sử dụng hiệu quả để cải thiện dịch vụ công (y tế, đường xá...). - HUMAN-TRU3]]</f>
        <v>6</v>
      </c>
      <c r="AV292">
        <f t="shared" si="125"/>
        <v>0.55555555555555558</v>
      </c>
      <c r="AW292">
        <f>step3_validation[[#This Row],[AI_TRU4]]</f>
        <v>7</v>
      </c>
      <c r="AX292">
        <f t="shared" si="126"/>
        <v>0.66666666666666663</v>
      </c>
      <c r="AY292">
        <f>survey_responses[[#This Row],[Tôi thấy Nhà nước đã giải thích rõ ràng, minh bạch về lý do và mục tiêu của việc sửa đổi thuế lần này. - HUMAN-TRU4]]</f>
        <v>8</v>
      </c>
      <c r="AZ292">
        <f t="shared" si="127"/>
        <v>0.77777777777777779</v>
      </c>
      <c r="BA292" s="32">
        <f t="shared" si="128"/>
        <v>0.69444444444444431</v>
      </c>
      <c r="BB292" s="32">
        <f t="shared" si="129"/>
        <v>0.72222222222222221</v>
      </c>
      <c r="BC292" s="7">
        <f t="shared" si="130"/>
        <v>0.71296296296296291</v>
      </c>
      <c r="BD292" s="7">
        <f t="shared" si="131"/>
        <v>0.74074074074074081</v>
      </c>
      <c r="BE292">
        <f>step3_validation[[#This Row],[AI_OUT1]]</f>
        <v>8</v>
      </c>
      <c r="BF292">
        <f t="shared" si="132"/>
        <v>0.77777777777777779</v>
      </c>
      <c r="BG292">
        <f>survey_responses[[#This Row],[Sau khi xem xét các quyền lợi và nghĩa vụ, bạn có ủng hộ và tuân thủ chính sách mới hiện nay? - HUMAN-OUT1]]</f>
        <v>8</v>
      </c>
      <c r="BH292">
        <f t="shared" si="133"/>
        <v>0.77777777777777779</v>
      </c>
      <c r="BI292" s="32">
        <f t="shared" si="134"/>
        <v>0</v>
      </c>
    </row>
    <row r="293" spans="1:61" x14ac:dyDescent="0.45">
      <c r="A293" s="30">
        <f>step3_validation[[#This Row],[Persona_ID]]</f>
        <v>292</v>
      </c>
      <c r="B293" s="31">
        <f>step3_validation[[#This Row],[Used_Seed]]</f>
        <v>333</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60.922768778811417</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7</v>
      </c>
      <c r="R293">
        <f t="shared" si="108"/>
        <v>0.66666666666666663</v>
      </c>
      <c r="S293">
        <f>survey_responses[[#This Row],[Tôi tin rằng với các quy định quản lý thuế hiện nay, hành vi gian lận hoặc trốn thuế sẽ dễ dàng bị phát hiện và xử lý nghiêm. - HUMAN-ENF1]]</f>
        <v>6</v>
      </c>
      <c r="T293">
        <f t="shared" si="109"/>
        <v>0.55555555555555558</v>
      </c>
      <c r="U293">
        <f>step3_validation[[#This Row],[AI_ENF2]]</f>
        <v>8</v>
      </c>
      <c r="V293">
        <f t="shared" si="110"/>
        <v>0.77777777777777779</v>
      </c>
      <c r="W293">
        <f>survey_responses[[#This Row],[Tôi tin rằng Nhà nước, cơ quan thuế có đủ khả năng và công nghệ để phát hiện, xử lý nghiêm các hành vi trốn thuế. - HUMAN-ENF2]]</f>
        <v>6</v>
      </c>
      <c r="X293">
        <f t="shared" si="111"/>
        <v>0.55555555555555558</v>
      </c>
      <c r="Y293" s="32">
        <f t="shared" si="112"/>
        <v>0.72222222222222221</v>
      </c>
      <c r="Z293" s="32">
        <f t="shared" si="113"/>
        <v>0.55555555555555558</v>
      </c>
      <c r="AA293">
        <f>step3_validation[[#This Row],[AI_FAC1]]</f>
        <v>7</v>
      </c>
      <c r="AB293">
        <f t="shared" si="114"/>
        <v>0.66666666666666663</v>
      </c>
      <c r="AC293">
        <f>survey_responses[[#This Row],[Các thủ tục khai báo thuế VÀ/HOẶC quy trình làm việc với cơ quan thuế đơn giản, tiện lợi, nhanh chóng hơn so với trước đây. - HUMAN-FAC1]]</f>
        <v>1</v>
      </c>
      <c r="AD293">
        <f t="shared" si="115"/>
        <v>0</v>
      </c>
      <c r="AE293">
        <f>step3_validation[[#This Row],[AI_FAC2]]</f>
        <v>9</v>
      </c>
      <c r="AF293">
        <f t="shared" si="116"/>
        <v>0.88888888888888884</v>
      </c>
      <c r="AG293">
        <f>survey_responses[[#This Row],[So với trước đây, tôi thấy cách tính thuế và các bậc thuế trong phương án mới đơn giản, dễ hiểu và dễ thực hiện hơn. - HUMAN-FAC2]]</f>
        <v>6</v>
      </c>
      <c r="AH293">
        <f t="shared" si="117"/>
        <v>0.55555555555555558</v>
      </c>
      <c r="AI293" s="32">
        <f t="shared" si="118"/>
        <v>0.77777777777777768</v>
      </c>
      <c r="AJ293" s="32">
        <f t="shared" si="119"/>
        <v>0.27777777777777779</v>
      </c>
      <c r="AK293">
        <f>step3_validation[[#This Row],[AI_TRU1]]</f>
        <v>8</v>
      </c>
      <c r="AL293">
        <f t="shared" si="120"/>
        <v>0.77777777777777779</v>
      </c>
      <c r="AM293">
        <f>survey_responses[[#This Row],[Tôi tin rằng Nhà nước, cơ quan thuế sẽ thực thi chính sách mới một cách khách quan, công tâm và đối xử bình đẳng với mọi người nộp thuế.  - HUMAN-TRU1]]</f>
        <v>5</v>
      </c>
      <c r="AN293">
        <f t="shared" si="121"/>
        <v>0.44444444444444442</v>
      </c>
      <c r="AO293">
        <f>step3_validation[[#This Row],[AI_TRU2]]</f>
        <v>9</v>
      </c>
      <c r="AP293">
        <f t="shared" si="122"/>
        <v>0.88888888888888884</v>
      </c>
      <c r="AQ293">
        <f>survey_responses[[#This Row],[Tôi thấy mức thuế tôi phải đóng theo phương án mới là công bằng (người thu nhập như tôi đóng mức này là hợp lý). - HUMAN-TRU2]]</f>
        <v>6</v>
      </c>
      <c r="AR293">
        <f t="shared" si="123"/>
        <v>0.55555555555555558</v>
      </c>
      <c r="AS293">
        <f>step3_validation[[#This Row],[AI_TRU3]]</f>
        <v>8</v>
      </c>
      <c r="AT293">
        <f t="shared" si="124"/>
        <v>0.77777777777777779</v>
      </c>
      <c r="AU293">
        <f>survey_responses[[#This Row],[Tôi tin tưởng số tiền thuế tôi đóng sẽ được Nhà nước sử dụng hiệu quả để cải thiện dịch vụ công (y tế, đường xá...). - HUMAN-TRU3]]</f>
        <v>5</v>
      </c>
      <c r="AV293">
        <f t="shared" si="125"/>
        <v>0.44444444444444442</v>
      </c>
      <c r="AW293">
        <f>step3_validation[[#This Row],[AI_TRU4]]</f>
        <v>9</v>
      </c>
      <c r="AX293">
        <f t="shared" si="126"/>
        <v>0.88888888888888884</v>
      </c>
      <c r="AY293">
        <f>survey_responses[[#This Row],[Tôi thấy Nhà nước đã giải thích rõ ràng, minh bạch về lý do và mục tiêu của việc sửa đổi thuế lần này. - HUMAN-TRU4]]</f>
        <v>6</v>
      </c>
      <c r="AZ293">
        <f t="shared" si="127"/>
        <v>0.55555555555555558</v>
      </c>
      <c r="BA293" s="32">
        <f t="shared" si="128"/>
        <v>0.83333333333333326</v>
      </c>
      <c r="BB293" s="32">
        <f t="shared" si="129"/>
        <v>0.5</v>
      </c>
      <c r="BC293" s="7">
        <f t="shared" si="130"/>
        <v>0.77777777777777768</v>
      </c>
      <c r="BD293" s="7">
        <f t="shared" si="131"/>
        <v>0.44444444444444448</v>
      </c>
      <c r="BE293">
        <f>step3_validation[[#This Row],[AI_OUT1]]</f>
        <v>9</v>
      </c>
      <c r="BF293">
        <f t="shared" si="132"/>
        <v>0.88888888888888884</v>
      </c>
      <c r="BG293">
        <f>survey_responses[[#This Row],[Sau khi xem xét các quyền lợi và nghĩa vụ, bạn có ủng hộ và tuân thủ chính sách mới hiện nay? - HUMAN-OUT1]]</f>
        <v>6</v>
      </c>
      <c r="BH293">
        <f t="shared" si="133"/>
        <v>0.55555555555555558</v>
      </c>
      <c r="BI293" s="32">
        <f t="shared" si="134"/>
        <v>3</v>
      </c>
    </row>
    <row r="294" spans="1:61" x14ac:dyDescent="0.45">
      <c r="A294" s="30">
        <f>step3_validation[[#This Row],[Persona_ID]]</f>
        <v>293</v>
      </c>
      <c r="B294" s="31">
        <f>step3_validation[[#This Row],[Used_Seed]]</f>
        <v>334</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44.040531406947196</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6</v>
      </c>
      <c r="R294">
        <f t="shared" si="108"/>
        <v>0.55555555555555558</v>
      </c>
      <c r="S294">
        <f>survey_responses[[#This Row],[Tôi tin rằng với các quy định quản lý thuế hiện nay, hành vi gian lận hoặc trốn thuế sẽ dễ dàng bị phát hiện và xử lý nghiêm. - HUMAN-ENF1]]</f>
        <v>8</v>
      </c>
      <c r="T294">
        <f t="shared" si="109"/>
        <v>0.77777777777777779</v>
      </c>
      <c r="U294">
        <f>step3_validation[[#This Row],[AI_ENF2]]</f>
        <v>7</v>
      </c>
      <c r="V294">
        <f t="shared" si="110"/>
        <v>0.66666666666666663</v>
      </c>
      <c r="W294">
        <f>survey_responses[[#This Row],[Tôi tin rằng Nhà nước, cơ quan thuế có đủ khả năng và công nghệ để phát hiện, xử lý nghiêm các hành vi trốn thuế. - HUMAN-ENF2]]</f>
        <v>8</v>
      </c>
      <c r="X294">
        <f t="shared" si="111"/>
        <v>0.77777777777777779</v>
      </c>
      <c r="Y294" s="32">
        <f t="shared" si="112"/>
        <v>0.61111111111111116</v>
      </c>
      <c r="Z294" s="32">
        <f t="shared" si="113"/>
        <v>0.77777777777777779</v>
      </c>
      <c r="AA294">
        <f>step3_validation[[#This Row],[AI_FAC1]]</f>
        <v>5</v>
      </c>
      <c r="AB294">
        <f t="shared" si="114"/>
        <v>0.44444444444444442</v>
      </c>
      <c r="AC294">
        <f>survey_responses[[#This Row],[Các thủ tục khai báo thuế VÀ/HOẶC quy trình làm việc với cơ quan thuế đơn giản, tiện lợi, nhanh chóng hơn so với trước đây. - HUMAN-FAC1]]</f>
        <v>5</v>
      </c>
      <c r="AD294">
        <f t="shared" si="115"/>
        <v>0.44444444444444442</v>
      </c>
      <c r="AE294">
        <f>step3_validation[[#This Row],[AI_FAC2]]</f>
        <v>8</v>
      </c>
      <c r="AF294">
        <f t="shared" si="116"/>
        <v>0.77777777777777779</v>
      </c>
      <c r="AG294">
        <f>survey_responses[[#This Row],[So với trước đây, tôi thấy cách tính thuế và các bậc thuế trong phương án mới đơn giản, dễ hiểu và dễ thực hiện hơn. - HUMAN-FAC2]]</f>
        <v>8</v>
      </c>
      <c r="AH294">
        <f t="shared" si="117"/>
        <v>0.77777777777777779</v>
      </c>
      <c r="AI294" s="32">
        <f t="shared" si="118"/>
        <v>0.61111111111111116</v>
      </c>
      <c r="AJ294" s="32">
        <f t="shared" si="119"/>
        <v>0.61111111111111116</v>
      </c>
      <c r="AK294">
        <f>step3_validation[[#This Row],[AI_TRU1]]</f>
        <v>9</v>
      </c>
      <c r="AL294">
        <f t="shared" si="120"/>
        <v>0.88888888888888884</v>
      </c>
      <c r="AM294">
        <f>survey_responses[[#This Row],[Tôi tin rằng Nhà nước, cơ quan thuế sẽ thực thi chính sách mới một cách khách quan, công tâm và đối xử bình đẳng với mọi người nộp thuế.  - HUMAN-TRU1]]</f>
        <v>5</v>
      </c>
      <c r="AN294">
        <f t="shared" si="121"/>
        <v>0.44444444444444442</v>
      </c>
      <c r="AO294">
        <f>step3_validation[[#This Row],[AI_TRU2]]</f>
        <v>8</v>
      </c>
      <c r="AP294">
        <f t="shared" si="122"/>
        <v>0.77777777777777779</v>
      </c>
      <c r="AQ294">
        <f>survey_responses[[#This Row],[Tôi thấy mức thuế tôi phải đóng theo phương án mới là công bằng (người thu nhập như tôi đóng mức này là hợp lý). - HUMAN-TRU2]]</f>
        <v>6</v>
      </c>
      <c r="AR294">
        <f t="shared" si="123"/>
        <v>0.55555555555555558</v>
      </c>
      <c r="AS294">
        <f>step3_validation[[#This Row],[AI_TRU3]]</f>
        <v>9</v>
      </c>
      <c r="AT294">
        <f t="shared" si="124"/>
        <v>0.88888888888888884</v>
      </c>
      <c r="AU294">
        <f>survey_responses[[#This Row],[Tôi tin tưởng số tiền thuế tôi đóng sẽ được Nhà nước sử dụng hiệu quả để cải thiện dịch vụ công (y tế, đường xá...). - HUMAN-TRU3]]</f>
        <v>5</v>
      </c>
      <c r="AV294">
        <f t="shared" si="125"/>
        <v>0.44444444444444442</v>
      </c>
      <c r="AW294">
        <f>step3_validation[[#This Row],[AI_TRU4]]</f>
        <v>7</v>
      </c>
      <c r="AX294">
        <f t="shared" si="126"/>
        <v>0.66666666666666663</v>
      </c>
      <c r="AY294">
        <f>survey_responses[[#This Row],[Tôi thấy Nhà nước đã giải thích rõ ràng, minh bạch về lý do và mục tiêu của việc sửa đổi thuế lần này. - HUMAN-TRU4]]</f>
        <v>6</v>
      </c>
      <c r="AZ294">
        <f t="shared" si="127"/>
        <v>0.55555555555555558</v>
      </c>
      <c r="BA294" s="32">
        <f t="shared" si="128"/>
        <v>0.80555555555555547</v>
      </c>
      <c r="BB294" s="32">
        <f t="shared" si="129"/>
        <v>0.5</v>
      </c>
      <c r="BC294" s="7">
        <f t="shared" si="130"/>
        <v>0.67592592592592593</v>
      </c>
      <c r="BD294" s="7">
        <f t="shared" si="131"/>
        <v>0.62962962962962965</v>
      </c>
      <c r="BE294">
        <f>step3_validation[[#This Row],[AI_OUT1]]</f>
        <v>9</v>
      </c>
      <c r="BF294">
        <f t="shared" si="132"/>
        <v>0.88888888888888884</v>
      </c>
      <c r="BG294">
        <f>survey_responses[[#This Row],[Sau khi xem xét các quyền lợi và nghĩa vụ, bạn có ủng hộ và tuân thủ chính sách mới hiện nay? - HUMAN-OUT1]]</f>
        <v>6</v>
      </c>
      <c r="BH294">
        <f t="shared" si="133"/>
        <v>0.55555555555555558</v>
      </c>
      <c r="BI294" s="32">
        <f t="shared" si="134"/>
        <v>3</v>
      </c>
    </row>
    <row r="295" spans="1:61" x14ac:dyDescent="0.45">
      <c r="A295" s="30">
        <f>step3_validation[[#This Row],[Persona_ID]]</f>
        <v>294</v>
      </c>
      <c r="B295" s="31">
        <f>step3_validation[[#This Row],[Used_Seed]]</f>
        <v>335</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48.588584246696321</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7</v>
      </c>
      <c r="R295">
        <f t="shared" si="108"/>
        <v>0.66666666666666663</v>
      </c>
      <c r="S295">
        <f>survey_responses[[#This Row],[Tôi tin rằng với các quy định quản lý thuế hiện nay, hành vi gian lận hoặc trốn thuế sẽ dễ dàng bị phát hiện và xử lý nghiêm. - HUMAN-ENF1]]</f>
        <v>6</v>
      </c>
      <c r="T295">
        <f t="shared" si="109"/>
        <v>0.55555555555555558</v>
      </c>
      <c r="U295">
        <f>step3_validation[[#This Row],[AI_ENF2]]</f>
        <v>7</v>
      </c>
      <c r="V295">
        <f t="shared" si="110"/>
        <v>0.66666666666666663</v>
      </c>
      <c r="W295">
        <f>survey_responses[[#This Row],[Tôi tin rằng Nhà nước, cơ quan thuế có đủ khả năng và công nghệ để phát hiện, xử lý nghiêm các hành vi trốn thuế. - HUMAN-ENF2]]</f>
        <v>6</v>
      </c>
      <c r="X295">
        <f t="shared" si="111"/>
        <v>0.55555555555555558</v>
      </c>
      <c r="Y295" s="32">
        <f t="shared" si="112"/>
        <v>0.66666666666666663</v>
      </c>
      <c r="Z295" s="32">
        <f t="shared" si="113"/>
        <v>0.55555555555555558</v>
      </c>
      <c r="AA295">
        <f>step3_validation[[#This Row],[AI_FAC1]]</f>
        <v>9</v>
      </c>
      <c r="AB295">
        <f t="shared" si="114"/>
        <v>0.88888888888888884</v>
      </c>
      <c r="AC295">
        <f>survey_responses[[#This Row],[Các thủ tục khai báo thuế VÀ/HOẶC quy trình làm việc với cơ quan thuế đơn giản, tiện lợi, nhanh chóng hơn so với trước đây. - HUMAN-FAC1]]</f>
        <v>3</v>
      </c>
      <c r="AD295">
        <f t="shared" si="115"/>
        <v>0.22222222222222221</v>
      </c>
      <c r="AE295">
        <f>step3_validation[[#This Row],[AI_FAC2]]</f>
        <v>9</v>
      </c>
      <c r="AF295">
        <f t="shared" si="116"/>
        <v>0.88888888888888884</v>
      </c>
      <c r="AG295">
        <f>survey_responses[[#This Row],[So với trước đây, tôi thấy cách tính thuế và các bậc thuế trong phương án mới đơn giản, dễ hiểu và dễ thực hiện hơn. - HUMAN-FAC2]]</f>
        <v>7</v>
      </c>
      <c r="AH295">
        <f t="shared" si="117"/>
        <v>0.66666666666666663</v>
      </c>
      <c r="AI295" s="32">
        <f t="shared" si="118"/>
        <v>0.88888888888888884</v>
      </c>
      <c r="AJ295" s="32">
        <f t="shared" si="119"/>
        <v>0.44444444444444442</v>
      </c>
      <c r="AK295">
        <f>step3_validation[[#This Row],[AI_TRU1]]</f>
        <v>6</v>
      </c>
      <c r="AL295">
        <f t="shared" si="120"/>
        <v>0.55555555555555558</v>
      </c>
      <c r="AM295">
        <f>survey_responses[[#This Row],[Tôi tin rằng Nhà nước, cơ quan thuế sẽ thực thi chính sách mới một cách khách quan, công tâm và đối xử bình đẳng với mọi người nộp thuế.  - HUMAN-TRU1]]</f>
        <v>5</v>
      </c>
      <c r="AN295">
        <f t="shared" si="121"/>
        <v>0.44444444444444442</v>
      </c>
      <c r="AO295">
        <f>step3_validation[[#This Row],[AI_TRU2]]</f>
        <v>8</v>
      </c>
      <c r="AP295">
        <f t="shared" si="122"/>
        <v>0.77777777777777779</v>
      </c>
      <c r="AQ295">
        <f>survey_responses[[#This Row],[Tôi thấy mức thuế tôi phải đóng theo phương án mới là công bằng (người thu nhập như tôi đóng mức này là hợp lý). - HUMAN-TRU2]]</f>
        <v>6</v>
      </c>
      <c r="AR295">
        <f t="shared" si="123"/>
        <v>0.55555555555555558</v>
      </c>
      <c r="AS295">
        <f>step3_validation[[#This Row],[AI_TRU3]]</f>
        <v>7</v>
      </c>
      <c r="AT295">
        <f t="shared" si="124"/>
        <v>0.66666666666666663</v>
      </c>
      <c r="AU295">
        <f>survey_responses[[#This Row],[Tôi tin tưởng số tiền thuế tôi đóng sẽ được Nhà nước sử dụng hiệu quả để cải thiện dịch vụ công (y tế, đường xá...). - HUMAN-TRU3]]</f>
        <v>5</v>
      </c>
      <c r="AV295">
        <f t="shared" si="125"/>
        <v>0.44444444444444442</v>
      </c>
      <c r="AW295">
        <f>step3_validation[[#This Row],[AI_TRU4]]</f>
        <v>6</v>
      </c>
      <c r="AX295">
        <f t="shared" si="126"/>
        <v>0.55555555555555558</v>
      </c>
      <c r="AY295">
        <f>survey_responses[[#This Row],[Tôi thấy Nhà nước đã giải thích rõ ràng, minh bạch về lý do và mục tiêu của việc sửa đổi thuế lần này. - HUMAN-TRU4]]</f>
        <v>5</v>
      </c>
      <c r="AZ295">
        <f t="shared" si="127"/>
        <v>0.44444444444444442</v>
      </c>
      <c r="BA295" s="32">
        <f t="shared" si="128"/>
        <v>0.63888888888888884</v>
      </c>
      <c r="BB295" s="32">
        <f t="shared" si="129"/>
        <v>0.47222222222222221</v>
      </c>
      <c r="BC295" s="7">
        <f t="shared" si="130"/>
        <v>0.7314814814814814</v>
      </c>
      <c r="BD295" s="7">
        <f t="shared" si="131"/>
        <v>0.49074074074074076</v>
      </c>
      <c r="BE295">
        <f>step3_validation[[#This Row],[AI_OUT1]]</f>
        <v>8</v>
      </c>
      <c r="BF295">
        <f t="shared" si="132"/>
        <v>0.77777777777777779</v>
      </c>
      <c r="BG295">
        <f>survey_responses[[#This Row],[Sau khi xem xét các quyền lợi và nghĩa vụ, bạn có ủng hộ và tuân thủ chính sách mới hiện nay? - HUMAN-OUT1]]</f>
        <v>6</v>
      </c>
      <c r="BH295">
        <f t="shared" si="133"/>
        <v>0.55555555555555558</v>
      </c>
      <c r="BI295" s="32">
        <f t="shared" si="134"/>
        <v>2</v>
      </c>
    </row>
    <row r="296" spans="1:61" x14ac:dyDescent="0.45">
      <c r="A296" s="30">
        <f>step3_validation[[#This Row],[Persona_ID]]</f>
        <v>295</v>
      </c>
      <c r="B296" s="31">
        <f>step3_validation[[#This Row],[Used_Seed]]</f>
        <v>336</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27.64027679889082</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6</v>
      </c>
      <c r="R296">
        <f t="shared" si="108"/>
        <v>0.55555555555555558</v>
      </c>
      <c r="S296">
        <f>survey_responses[[#This Row],[Tôi tin rằng với các quy định quản lý thuế hiện nay, hành vi gian lận hoặc trốn thuế sẽ dễ dàng bị phát hiện và xử lý nghiêm. - HUMAN-ENF1]]</f>
        <v>8</v>
      </c>
      <c r="T296">
        <f t="shared" si="109"/>
        <v>0.77777777777777779</v>
      </c>
      <c r="U296">
        <f>step3_validation[[#This Row],[AI_ENF2]]</f>
        <v>7</v>
      </c>
      <c r="V296">
        <f t="shared" si="110"/>
        <v>0.66666666666666663</v>
      </c>
      <c r="W296">
        <f>survey_responses[[#This Row],[Tôi tin rằng Nhà nước, cơ quan thuế có đủ khả năng và công nghệ để phát hiện, xử lý nghiêm các hành vi trốn thuế. - HUMAN-ENF2]]</f>
        <v>9</v>
      </c>
      <c r="X296">
        <f t="shared" si="111"/>
        <v>0.88888888888888884</v>
      </c>
      <c r="Y296" s="32">
        <f t="shared" si="112"/>
        <v>0.61111111111111116</v>
      </c>
      <c r="Z296" s="32">
        <f t="shared" si="113"/>
        <v>0.83333333333333326</v>
      </c>
      <c r="AA296">
        <f>step3_validation[[#This Row],[AI_FAC1]]</f>
        <v>8</v>
      </c>
      <c r="AB296">
        <f t="shared" si="114"/>
        <v>0.77777777777777779</v>
      </c>
      <c r="AC296">
        <f>survey_responses[[#This Row],[Các thủ tục khai báo thuế VÀ/HOẶC quy trình làm việc với cơ quan thuế đơn giản, tiện lợi, nhanh chóng hơn so với trước đây. - HUMAN-FAC1]]</f>
        <v>9</v>
      </c>
      <c r="AD296">
        <f t="shared" si="115"/>
        <v>0.88888888888888884</v>
      </c>
      <c r="AE296">
        <f>step3_validation[[#This Row],[AI_FAC2]]</f>
        <v>9</v>
      </c>
      <c r="AF296">
        <f t="shared" si="116"/>
        <v>0.88888888888888884</v>
      </c>
      <c r="AG296">
        <f>survey_responses[[#This Row],[So với trước đây, tôi thấy cách tính thuế và các bậc thuế trong phương án mới đơn giản, dễ hiểu và dễ thực hiện hơn. - HUMAN-FAC2]]</f>
        <v>10</v>
      </c>
      <c r="AH296">
        <f t="shared" si="117"/>
        <v>1</v>
      </c>
      <c r="AI296" s="32">
        <f t="shared" si="118"/>
        <v>0.83333333333333326</v>
      </c>
      <c r="AJ296" s="32">
        <f t="shared" si="119"/>
        <v>0.94444444444444442</v>
      </c>
      <c r="AK296">
        <f>step3_validation[[#This Row],[AI_TRU1]]</f>
        <v>8</v>
      </c>
      <c r="AL296">
        <f t="shared" si="120"/>
        <v>0.77777777777777779</v>
      </c>
      <c r="AM296">
        <f>survey_responses[[#This Row],[Tôi tin rằng Nhà nước, cơ quan thuế sẽ thực thi chính sách mới một cách khách quan, công tâm và đối xử bình đẳng với mọi người nộp thuế.  - HUMAN-TRU1]]</f>
        <v>8</v>
      </c>
      <c r="AN296">
        <f t="shared" si="121"/>
        <v>0.77777777777777779</v>
      </c>
      <c r="AO296">
        <f>step3_validation[[#This Row],[AI_TRU2]]</f>
        <v>9</v>
      </c>
      <c r="AP296">
        <f t="shared" si="122"/>
        <v>0.88888888888888884</v>
      </c>
      <c r="AQ296">
        <f>survey_responses[[#This Row],[Tôi thấy mức thuế tôi phải đóng theo phương án mới là công bằng (người thu nhập như tôi đóng mức này là hợp lý). - HUMAN-TRU2]]</f>
        <v>8</v>
      </c>
      <c r="AR296">
        <f t="shared" si="123"/>
        <v>0.77777777777777779</v>
      </c>
      <c r="AS296">
        <f>step3_validation[[#This Row],[AI_TRU3]]</f>
        <v>7</v>
      </c>
      <c r="AT296">
        <f t="shared" si="124"/>
        <v>0.66666666666666663</v>
      </c>
      <c r="AU296">
        <f>survey_responses[[#This Row],[Tôi tin tưởng số tiền thuế tôi đóng sẽ được Nhà nước sử dụng hiệu quả để cải thiện dịch vụ công (y tế, đường xá...). - HUMAN-TRU3]]</f>
        <v>9</v>
      </c>
      <c r="AV296">
        <f t="shared" si="125"/>
        <v>0.88888888888888884</v>
      </c>
      <c r="AW296">
        <f>step3_validation[[#This Row],[AI_TRU4]]</f>
        <v>6</v>
      </c>
      <c r="AX296">
        <f t="shared" si="126"/>
        <v>0.55555555555555558</v>
      </c>
      <c r="AY296">
        <f>survey_responses[[#This Row],[Tôi thấy Nhà nước đã giải thích rõ ràng, minh bạch về lý do và mục tiêu của việc sửa đổi thuế lần này. - HUMAN-TRU4]]</f>
        <v>10</v>
      </c>
      <c r="AZ296">
        <f t="shared" si="127"/>
        <v>1</v>
      </c>
      <c r="BA296" s="32">
        <f t="shared" si="128"/>
        <v>0.7222222222222221</v>
      </c>
      <c r="BB296" s="32">
        <f t="shared" si="129"/>
        <v>0.86111111111111116</v>
      </c>
      <c r="BC296" s="7">
        <f t="shared" si="130"/>
        <v>0.72222222222222221</v>
      </c>
      <c r="BD296" s="7">
        <f t="shared" si="131"/>
        <v>0.87962962962962965</v>
      </c>
      <c r="BE296">
        <f>step3_validation[[#This Row],[AI_OUT1]]</f>
        <v>8</v>
      </c>
      <c r="BF296">
        <f t="shared" si="132"/>
        <v>0.77777777777777779</v>
      </c>
      <c r="BG296">
        <f>survey_responses[[#This Row],[Sau khi xem xét các quyền lợi và nghĩa vụ, bạn có ủng hộ và tuân thủ chính sách mới hiện nay? - HUMAN-OUT1]]</f>
        <v>10</v>
      </c>
      <c r="BH296">
        <f t="shared" si="133"/>
        <v>1</v>
      </c>
      <c r="BI296" s="32">
        <f t="shared" si="134"/>
        <v>2</v>
      </c>
    </row>
    <row r="297" spans="1:61" x14ac:dyDescent="0.45">
      <c r="A297" s="30">
        <f>step3_validation[[#This Row],[Persona_ID]]</f>
        <v>296</v>
      </c>
      <c r="B297" s="31">
        <f>step3_validation[[#This Row],[Used_Seed]]</f>
        <v>337</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8</v>
      </c>
      <c r="R297">
        <f t="shared" si="108"/>
        <v>0.77777777777777779</v>
      </c>
      <c r="S297">
        <f>survey_responses[[#This Row],[Tôi tin rằng với các quy định quản lý thuế hiện nay, hành vi gian lận hoặc trốn thuế sẽ dễ dàng bị phát hiện và xử lý nghiêm. - HUMAN-ENF1]]</f>
        <v>7</v>
      </c>
      <c r="T297">
        <f t="shared" si="109"/>
        <v>0.66666666666666663</v>
      </c>
      <c r="U297">
        <f>step3_validation[[#This Row],[AI_ENF2]]</f>
        <v>7</v>
      </c>
      <c r="V297">
        <f t="shared" si="110"/>
        <v>0.66666666666666663</v>
      </c>
      <c r="W297">
        <f>survey_responses[[#This Row],[Tôi tin rằng Nhà nước, cơ quan thuế có đủ khả năng và công nghệ để phát hiện, xử lý nghiêm các hành vi trốn thuế. - HUMAN-ENF2]]</f>
        <v>7</v>
      </c>
      <c r="X297">
        <f t="shared" si="111"/>
        <v>0.66666666666666663</v>
      </c>
      <c r="Y297" s="32">
        <f t="shared" si="112"/>
        <v>0.72222222222222221</v>
      </c>
      <c r="Z297" s="32">
        <f t="shared" si="113"/>
        <v>0.66666666666666663</v>
      </c>
      <c r="AA297">
        <f>step3_validation[[#This Row],[AI_FAC1]]</f>
        <v>9</v>
      </c>
      <c r="AB297">
        <f t="shared" si="114"/>
        <v>0.88888888888888884</v>
      </c>
      <c r="AC297">
        <f>survey_responses[[#This Row],[Các thủ tục khai báo thuế VÀ/HOẶC quy trình làm việc với cơ quan thuế đơn giản, tiện lợi, nhanh chóng hơn so với trước đây. - HUMAN-FAC1]]</f>
        <v>6</v>
      </c>
      <c r="AD297">
        <f t="shared" si="115"/>
        <v>0.55555555555555558</v>
      </c>
      <c r="AE297">
        <f>step3_validation[[#This Row],[AI_FAC2]]</f>
        <v>8</v>
      </c>
      <c r="AF297">
        <f t="shared" si="116"/>
        <v>0.77777777777777779</v>
      </c>
      <c r="AG297">
        <f>survey_responses[[#This Row],[So với trước đây, tôi thấy cách tính thuế và các bậc thuế trong phương án mới đơn giản, dễ hiểu và dễ thực hiện hơn. - HUMAN-FAC2]]</f>
        <v>7</v>
      </c>
      <c r="AH297">
        <f t="shared" si="117"/>
        <v>0.66666666666666663</v>
      </c>
      <c r="AI297" s="32">
        <f t="shared" si="118"/>
        <v>0.83333333333333326</v>
      </c>
      <c r="AJ297" s="32">
        <f t="shared" si="119"/>
        <v>0.61111111111111116</v>
      </c>
      <c r="AK297">
        <f>step3_validation[[#This Row],[AI_TRU1]]</f>
        <v>9</v>
      </c>
      <c r="AL297">
        <f t="shared" si="120"/>
        <v>0.88888888888888884</v>
      </c>
      <c r="AM297">
        <f>survey_responses[[#This Row],[Tôi tin rằng Nhà nước, cơ quan thuế sẽ thực thi chính sách mới một cách khách quan, công tâm và đối xử bình đẳng với mọi người nộp thuế.  - HUMAN-TRU1]]</f>
        <v>7</v>
      </c>
      <c r="AN297">
        <f t="shared" si="121"/>
        <v>0.66666666666666663</v>
      </c>
      <c r="AO297">
        <f>step3_validation[[#This Row],[AI_TRU2]]</f>
        <v>8</v>
      </c>
      <c r="AP297">
        <f t="shared" si="122"/>
        <v>0.77777777777777779</v>
      </c>
      <c r="AQ297">
        <f>survey_responses[[#This Row],[Tôi thấy mức thuế tôi phải đóng theo phương án mới là công bằng (người thu nhập như tôi đóng mức này là hợp lý). - HUMAN-TRU2]]</f>
        <v>1</v>
      </c>
      <c r="AR297">
        <f t="shared" si="123"/>
        <v>0</v>
      </c>
      <c r="AS297">
        <f>step3_validation[[#This Row],[AI_TRU3]]</f>
        <v>9</v>
      </c>
      <c r="AT297">
        <f t="shared" si="124"/>
        <v>0.88888888888888884</v>
      </c>
      <c r="AU297">
        <f>survey_responses[[#This Row],[Tôi tin tưởng số tiền thuế tôi đóng sẽ được Nhà nước sử dụng hiệu quả để cải thiện dịch vụ công (y tế, đường xá...). - HUMAN-TRU3]]</f>
        <v>5</v>
      </c>
      <c r="AV297">
        <f t="shared" si="125"/>
        <v>0.44444444444444442</v>
      </c>
      <c r="AW297">
        <f>step3_validation[[#This Row],[AI_TRU4]]</f>
        <v>8</v>
      </c>
      <c r="AX297">
        <f t="shared" si="126"/>
        <v>0.77777777777777779</v>
      </c>
      <c r="AY297">
        <f>survey_responses[[#This Row],[Tôi thấy Nhà nước đã giải thích rõ ràng, minh bạch về lý do và mục tiêu của việc sửa đổi thuế lần này. - HUMAN-TRU4]]</f>
        <v>7</v>
      </c>
      <c r="AZ297">
        <f t="shared" si="127"/>
        <v>0.66666666666666663</v>
      </c>
      <c r="BA297" s="32">
        <f t="shared" si="128"/>
        <v>0.83333333333333326</v>
      </c>
      <c r="BB297" s="32">
        <f t="shared" si="129"/>
        <v>0.44444444444444442</v>
      </c>
      <c r="BC297" s="7">
        <f t="shared" si="130"/>
        <v>0.79629629629629617</v>
      </c>
      <c r="BD297" s="7">
        <f t="shared" si="131"/>
        <v>0.57407407407407407</v>
      </c>
      <c r="BE297">
        <f>step3_validation[[#This Row],[AI_OUT1]]</f>
        <v>9</v>
      </c>
      <c r="BF297">
        <f t="shared" si="132"/>
        <v>0.88888888888888884</v>
      </c>
      <c r="BG297">
        <f>survey_responses[[#This Row],[Sau khi xem xét các quyền lợi và nghĩa vụ, bạn có ủng hộ và tuân thủ chính sách mới hiện nay? - HUMAN-OUT1]]</f>
        <v>7</v>
      </c>
      <c r="BH297">
        <f t="shared" si="133"/>
        <v>0.66666666666666663</v>
      </c>
      <c r="BI297" s="32">
        <f t="shared" si="134"/>
        <v>2</v>
      </c>
    </row>
    <row r="298" spans="1:61" x14ac:dyDescent="0.45">
      <c r="A298" s="30">
        <f>step3_validation[[#This Row],[Persona_ID]]</f>
        <v>297</v>
      </c>
      <c r="B298" s="31">
        <f>step3_validation[[#This Row],[Used_Seed]]</f>
        <v>338</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53.250507389931649</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7</v>
      </c>
      <c r="R298">
        <f t="shared" si="108"/>
        <v>0.66666666666666663</v>
      </c>
      <c r="S298">
        <f>survey_responses[[#This Row],[Tôi tin rằng với các quy định quản lý thuế hiện nay, hành vi gian lận hoặc trốn thuế sẽ dễ dàng bị phát hiện và xử lý nghiêm. - HUMAN-ENF1]]</f>
        <v>5</v>
      </c>
      <c r="T298">
        <f t="shared" si="109"/>
        <v>0.44444444444444442</v>
      </c>
      <c r="U298">
        <f>step3_validation[[#This Row],[AI_ENF2]]</f>
        <v>6</v>
      </c>
      <c r="V298">
        <f t="shared" si="110"/>
        <v>0.55555555555555558</v>
      </c>
      <c r="W298">
        <f>survey_responses[[#This Row],[Tôi tin rằng Nhà nước, cơ quan thuế có đủ khả năng và công nghệ để phát hiện, xử lý nghiêm các hành vi trốn thuế. - HUMAN-ENF2]]</f>
        <v>10</v>
      </c>
      <c r="X298">
        <f t="shared" si="111"/>
        <v>1</v>
      </c>
      <c r="Y298" s="32">
        <f t="shared" si="112"/>
        <v>0.61111111111111116</v>
      </c>
      <c r="Z298" s="32">
        <f t="shared" si="113"/>
        <v>0.72222222222222221</v>
      </c>
      <c r="AA298">
        <f>step3_validation[[#This Row],[AI_FAC1]]</f>
        <v>9</v>
      </c>
      <c r="AB298">
        <f t="shared" si="114"/>
        <v>0.88888888888888884</v>
      </c>
      <c r="AC298">
        <f>survey_responses[[#This Row],[Các thủ tục khai báo thuế VÀ/HOẶC quy trình làm việc với cơ quan thuế đơn giản, tiện lợi, nhanh chóng hơn so với trước đây. - HUMAN-FAC1]]</f>
        <v>5</v>
      </c>
      <c r="AD298">
        <f t="shared" si="115"/>
        <v>0.44444444444444442</v>
      </c>
      <c r="AE298">
        <f>step3_validation[[#This Row],[AI_FAC2]]</f>
        <v>8</v>
      </c>
      <c r="AF298">
        <f t="shared" si="116"/>
        <v>0.77777777777777779</v>
      </c>
      <c r="AG298">
        <f>survey_responses[[#This Row],[So với trước đây, tôi thấy cách tính thuế và các bậc thuế trong phương án mới đơn giản, dễ hiểu và dễ thực hiện hơn. - HUMAN-FAC2]]</f>
        <v>5</v>
      </c>
      <c r="AH298">
        <f t="shared" si="117"/>
        <v>0.44444444444444442</v>
      </c>
      <c r="AI298" s="32">
        <f t="shared" si="118"/>
        <v>0.83333333333333326</v>
      </c>
      <c r="AJ298" s="32">
        <f t="shared" si="119"/>
        <v>0.44444444444444442</v>
      </c>
      <c r="AK298">
        <f>step3_validation[[#This Row],[AI_TRU1]]</f>
        <v>9</v>
      </c>
      <c r="AL298">
        <f t="shared" si="120"/>
        <v>0.88888888888888884</v>
      </c>
      <c r="AM298">
        <f>survey_responses[[#This Row],[Tôi tin rằng Nhà nước, cơ quan thuế sẽ thực thi chính sách mới một cách khách quan, công tâm và đối xử bình đẳng với mọi người nộp thuế.  - HUMAN-TRU1]]</f>
        <v>2</v>
      </c>
      <c r="AN298">
        <f t="shared" si="121"/>
        <v>0.1111111111111111</v>
      </c>
      <c r="AO298">
        <f>step3_validation[[#This Row],[AI_TRU2]]</f>
        <v>8</v>
      </c>
      <c r="AP298">
        <f t="shared" si="122"/>
        <v>0.77777777777777779</v>
      </c>
      <c r="AQ298">
        <f>survey_responses[[#This Row],[Tôi thấy mức thuế tôi phải đóng theo phương án mới là công bằng (người thu nhập như tôi đóng mức này là hợp lý). - HUMAN-TRU2]]</f>
        <v>3</v>
      </c>
      <c r="AR298">
        <f t="shared" si="123"/>
        <v>0.22222222222222221</v>
      </c>
      <c r="AS298">
        <f>step3_validation[[#This Row],[AI_TRU3]]</f>
        <v>9</v>
      </c>
      <c r="AT298">
        <f t="shared" si="124"/>
        <v>0.88888888888888884</v>
      </c>
      <c r="AU298">
        <f>survey_responses[[#This Row],[Tôi tin tưởng số tiền thuế tôi đóng sẽ được Nhà nước sử dụng hiệu quả để cải thiện dịch vụ công (y tế, đường xá...). - HUMAN-TRU3]]</f>
        <v>2</v>
      </c>
      <c r="AV298">
        <f t="shared" si="125"/>
        <v>0.1111111111111111</v>
      </c>
      <c r="AW298">
        <f>step3_validation[[#This Row],[AI_TRU4]]</f>
        <v>8</v>
      </c>
      <c r="AX298">
        <f t="shared" si="126"/>
        <v>0.77777777777777779</v>
      </c>
      <c r="AY298">
        <f>survey_responses[[#This Row],[Tôi thấy Nhà nước đã giải thích rõ ràng, minh bạch về lý do và mục tiêu của việc sửa đổi thuế lần này. - HUMAN-TRU4]]</f>
        <v>5</v>
      </c>
      <c r="AZ298">
        <f t="shared" si="127"/>
        <v>0.44444444444444442</v>
      </c>
      <c r="BA298" s="32">
        <f t="shared" si="128"/>
        <v>0.83333333333333326</v>
      </c>
      <c r="BB298" s="32">
        <f t="shared" si="129"/>
        <v>0.22222222222222221</v>
      </c>
      <c r="BC298" s="7">
        <f t="shared" si="130"/>
        <v>0.75925925925925919</v>
      </c>
      <c r="BD298" s="7">
        <f t="shared" si="131"/>
        <v>0.46296296296296297</v>
      </c>
      <c r="BE298">
        <f>step3_validation[[#This Row],[AI_OUT1]]</f>
        <v>9</v>
      </c>
      <c r="BF298">
        <f t="shared" si="132"/>
        <v>0.88888888888888884</v>
      </c>
      <c r="BG298">
        <f>survey_responses[[#This Row],[Sau khi xem xét các quyền lợi và nghĩa vụ, bạn có ủng hộ và tuân thủ chính sách mới hiện nay? - HUMAN-OUT1]]</f>
        <v>5</v>
      </c>
      <c r="BH298">
        <f t="shared" si="133"/>
        <v>0.44444444444444442</v>
      </c>
      <c r="BI298" s="32">
        <f t="shared" si="134"/>
        <v>4</v>
      </c>
    </row>
    <row r="299" spans="1:61" x14ac:dyDescent="0.45">
      <c r="A299" s="30">
        <f>step3_validation[[#This Row],[Persona_ID]]</f>
        <v>298</v>
      </c>
      <c r="B299" s="31">
        <f>step3_validation[[#This Row],[Used_Seed]]</f>
        <v>339</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8</v>
      </c>
      <c r="R299">
        <f t="shared" si="108"/>
        <v>0.77777777777777779</v>
      </c>
      <c r="S299">
        <f>survey_responses[[#This Row],[Tôi tin rằng với các quy định quản lý thuế hiện nay, hành vi gian lận hoặc trốn thuế sẽ dễ dàng bị phát hiện và xử lý nghiêm. - HUMAN-ENF1]]</f>
        <v>5</v>
      </c>
      <c r="T299">
        <f t="shared" si="109"/>
        <v>0.44444444444444442</v>
      </c>
      <c r="U299">
        <f>step3_validation[[#This Row],[AI_ENF2]]</f>
        <v>8</v>
      </c>
      <c r="V299">
        <f t="shared" si="110"/>
        <v>0.77777777777777779</v>
      </c>
      <c r="W299">
        <f>survey_responses[[#This Row],[Tôi tin rằng Nhà nước, cơ quan thuế có đủ khả năng và công nghệ để phát hiện, xử lý nghiêm các hành vi trốn thuế. - HUMAN-ENF2]]</f>
        <v>5</v>
      </c>
      <c r="X299">
        <f t="shared" si="111"/>
        <v>0.44444444444444442</v>
      </c>
      <c r="Y299" s="32">
        <f t="shared" si="112"/>
        <v>0.77777777777777779</v>
      </c>
      <c r="Z299" s="32">
        <f t="shared" si="113"/>
        <v>0.44444444444444442</v>
      </c>
      <c r="AA299">
        <f>step3_validation[[#This Row],[AI_FAC1]]</f>
        <v>9</v>
      </c>
      <c r="AB299">
        <f t="shared" si="114"/>
        <v>0.88888888888888884</v>
      </c>
      <c r="AC299">
        <f>survey_responses[[#This Row],[Các thủ tục khai báo thuế VÀ/HOẶC quy trình làm việc với cơ quan thuế đơn giản, tiện lợi, nhanh chóng hơn so với trước đây. - HUMAN-FAC1]]</f>
        <v>5</v>
      </c>
      <c r="AD299">
        <f t="shared" si="115"/>
        <v>0.44444444444444442</v>
      </c>
      <c r="AE299">
        <f>step3_validation[[#This Row],[AI_FAC2]]</f>
        <v>10</v>
      </c>
      <c r="AF299">
        <f t="shared" si="116"/>
        <v>1</v>
      </c>
      <c r="AG299">
        <f>survey_responses[[#This Row],[So với trước đây, tôi thấy cách tính thuế và các bậc thuế trong phương án mới đơn giản, dễ hiểu và dễ thực hiện hơn. - HUMAN-FAC2]]</f>
        <v>10</v>
      </c>
      <c r="AH299">
        <f t="shared" si="117"/>
        <v>1</v>
      </c>
      <c r="AI299" s="32">
        <f t="shared" si="118"/>
        <v>0.94444444444444442</v>
      </c>
      <c r="AJ299" s="32">
        <f t="shared" si="119"/>
        <v>0.72222222222222221</v>
      </c>
      <c r="AK299">
        <f>step3_validation[[#This Row],[AI_TRU1]]</f>
        <v>9</v>
      </c>
      <c r="AL299">
        <f t="shared" si="120"/>
        <v>0.88888888888888884</v>
      </c>
      <c r="AM299">
        <f>survey_responses[[#This Row],[Tôi tin rằng Nhà nước, cơ quan thuế sẽ thực thi chính sách mới một cách khách quan, công tâm và đối xử bình đẳng với mọi người nộp thuế.  - HUMAN-TRU1]]</f>
        <v>10</v>
      </c>
      <c r="AN299">
        <f t="shared" si="121"/>
        <v>1</v>
      </c>
      <c r="AO299">
        <f>step3_validation[[#This Row],[AI_TRU2]]</f>
        <v>9</v>
      </c>
      <c r="AP299">
        <f t="shared" si="122"/>
        <v>0.88888888888888884</v>
      </c>
      <c r="AQ299">
        <f>survey_responses[[#This Row],[Tôi thấy mức thuế tôi phải đóng theo phương án mới là công bằng (người thu nhập như tôi đóng mức này là hợp lý). - HUMAN-TRU2]]</f>
        <v>5</v>
      </c>
      <c r="AR299">
        <f t="shared" si="123"/>
        <v>0.44444444444444442</v>
      </c>
      <c r="AS299">
        <f>step3_validation[[#This Row],[AI_TRU3]]</f>
        <v>9</v>
      </c>
      <c r="AT299">
        <f t="shared" si="124"/>
        <v>0.88888888888888884</v>
      </c>
      <c r="AU299">
        <f>survey_responses[[#This Row],[Tôi tin tưởng số tiền thuế tôi đóng sẽ được Nhà nước sử dụng hiệu quả để cải thiện dịch vụ công (y tế, đường xá...). - HUMAN-TRU3]]</f>
        <v>5</v>
      </c>
      <c r="AV299">
        <f t="shared" si="125"/>
        <v>0.44444444444444442</v>
      </c>
      <c r="AW299">
        <f>step3_validation[[#This Row],[AI_TRU4]]</f>
        <v>7</v>
      </c>
      <c r="AX299">
        <f t="shared" si="126"/>
        <v>0.66666666666666663</v>
      </c>
      <c r="AY299">
        <f>survey_responses[[#This Row],[Tôi thấy Nhà nước đã giải thích rõ ràng, minh bạch về lý do và mục tiêu của việc sửa đổi thuế lần này. - HUMAN-TRU4]]</f>
        <v>5</v>
      </c>
      <c r="AZ299">
        <f t="shared" si="127"/>
        <v>0.44444444444444442</v>
      </c>
      <c r="BA299" s="32">
        <f t="shared" si="128"/>
        <v>0.83333333333333326</v>
      </c>
      <c r="BB299" s="32">
        <f t="shared" si="129"/>
        <v>0.58333333333333326</v>
      </c>
      <c r="BC299" s="7">
        <f t="shared" si="130"/>
        <v>0.85185185185185175</v>
      </c>
      <c r="BD299" s="7">
        <f t="shared" si="131"/>
        <v>0.58333333333333326</v>
      </c>
      <c r="BE299">
        <f>step3_validation[[#This Row],[AI_OUT1]]</f>
        <v>9</v>
      </c>
      <c r="BF299">
        <f t="shared" si="132"/>
        <v>0.88888888888888884</v>
      </c>
      <c r="BG299">
        <f>survey_responses[[#This Row],[Sau khi xem xét các quyền lợi và nghĩa vụ, bạn có ủng hộ và tuân thủ chính sách mới hiện nay? - HUMAN-OUT1]]</f>
        <v>5</v>
      </c>
      <c r="BH299">
        <f t="shared" si="133"/>
        <v>0.44444444444444442</v>
      </c>
      <c r="BI299" s="32">
        <f t="shared" si="134"/>
        <v>4</v>
      </c>
    </row>
    <row r="300" spans="1:61" x14ac:dyDescent="0.45">
      <c r="A300" s="30">
        <f>step3_validation[[#This Row],[Persona_ID]]</f>
        <v>299</v>
      </c>
      <c r="B300" s="31">
        <f>step3_validation[[#This Row],[Used_Seed]]</f>
        <v>340</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41.348736023002267</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f t="shared" si="108"/>
        <v>0.66666666666666663</v>
      </c>
      <c r="S300">
        <f>survey_responses[[#This Row],[Tôi tin rằng với các quy định quản lý thuế hiện nay, hành vi gian lận hoặc trốn thuế sẽ dễ dàng bị phát hiện và xử lý nghiêm. - HUMAN-ENF1]]</f>
        <v>10</v>
      </c>
      <c r="T300">
        <f t="shared" si="109"/>
        <v>1</v>
      </c>
      <c r="U300">
        <f>step3_validation[[#This Row],[AI_ENF2]]</f>
        <v>6</v>
      </c>
      <c r="V300">
        <f t="shared" si="110"/>
        <v>0.55555555555555558</v>
      </c>
      <c r="W300">
        <f>survey_responses[[#This Row],[Tôi tin rằng Nhà nước, cơ quan thuế có đủ khả năng và công nghệ để phát hiện, xử lý nghiêm các hành vi trốn thuế. - HUMAN-ENF2]]</f>
        <v>10</v>
      </c>
      <c r="X300">
        <f t="shared" si="111"/>
        <v>1</v>
      </c>
      <c r="Y300" s="32">
        <f t="shared" si="112"/>
        <v>0.61111111111111116</v>
      </c>
      <c r="Z300" s="32">
        <f t="shared" si="113"/>
        <v>1</v>
      </c>
      <c r="AA300">
        <f>step3_validation[[#This Row],[AI_FAC1]]</f>
        <v>8</v>
      </c>
      <c r="AB300">
        <f t="shared" si="114"/>
        <v>0.77777777777777779</v>
      </c>
      <c r="AC300">
        <f>survey_responses[[#This Row],[Các thủ tục khai báo thuế VÀ/HOẶC quy trình làm việc với cơ quan thuế đơn giản, tiện lợi, nhanh chóng hơn so với trước đây. - HUMAN-FAC1]]</f>
        <v>10</v>
      </c>
      <c r="AD300">
        <f t="shared" si="115"/>
        <v>1</v>
      </c>
      <c r="AE300">
        <f>step3_validation[[#This Row],[AI_FAC2]]</f>
        <v>9</v>
      </c>
      <c r="AF300">
        <f t="shared" si="116"/>
        <v>0.88888888888888884</v>
      </c>
      <c r="AG300">
        <f>survey_responses[[#This Row],[So với trước đây, tôi thấy cách tính thuế và các bậc thuế trong phương án mới đơn giản, dễ hiểu và dễ thực hiện hơn. - HUMAN-FAC2]]</f>
        <v>10</v>
      </c>
      <c r="AH300">
        <f t="shared" si="117"/>
        <v>1</v>
      </c>
      <c r="AI300" s="32">
        <f t="shared" si="118"/>
        <v>0.83333333333333326</v>
      </c>
      <c r="AJ300" s="32">
        <f t="shared" si="119"/>
        <v>1</v>
      </c>
      <c r="AK300">
        <f>step3_validation[[#This Row],[AI_TRU1]]</f>
        <v>8</v>
      </c>
      <c r="AL300">
        <f t="shared" si="120"/>
        <v>0.77777777777777779</v>
      </c>
      <c r="AM300">
        <f>survey_responses[[#This Row],[Tôi tin rằng Nhà nước, cơ quan thuế sẽ thực thi chính sách mới một cách khách quan, công tâm và đối xử bình đẳng với mọi người nộp thuế.  - HUMAN-TRU1]]</f>
        <v>10</v>
      </c>
      <c r="AN300">
        <f t="shared" si="121"/>
        <v>1</v>
      </c>
      <c r="AO300">
        <f>step3_validation[[#This Row],[AI_TRU2]]</f>
        <v>9</v>
      </c>
      <c r="AP300">
        <f t="shared" si="122"/>
        <v>0.88888888888888884</v>
      </c>
      <c r="AQ300">
        <f>survey_responses[[#This Row],[Tôi thấy mức thuế tôi phải đóng theo phương án mới là công bằng (người thu nhập như tôi đóng mức này là hợp lý). - HUMAN-TRU2]]</f>
        <v>10</v>
      </c>
      <c r="AR300">
        <f t="shared" si="123"/>
        <v>1</v>
      </c>
      <c r="AS300">
        <f>step3_validation[[#This Row],[AI_TRU3]]</f>
        <v>8</v>
      </c>
      <c r="AT300">
        <f t="shared" si="124"/>
        <v>0.77777777777777779</v>
      </c>
      <c r="AU300">
        <f>survey_responses[[#This Row],[Tôi tin tưởng số tiền thuế tôi đóng sẽ được Nhà nước sử dụng hiệu quả để cải thiện dịch vụ công (y tế, đường xá...). - HUMAN-TRU3]]</f>
        <v>10</v>
      </c>
      <c r="AV300">
        <f t="shared" si="125"/>
        <v>1</v>
      </c>
      <c r="AW300">
        <f>step3_validation[[#This Row],[AI_TRU4]]</f>
        <v>7</v>
      </c>
      <c r="AX300">
        <f t="shared" si="126"/>
        <v>0.66666666666666663</v>
      </c>
      <c r="AY300">
        <f>survey_responses[[#This Row],[Tôi thấy Nhà nước đã giải thích rõ ràng, minh bạch về lý do và mục tiêu của việc sửa đổi thuế lần này. - HUMAN-TRU4]]</f>
        <v>10</v>
      </c>
      <c r="AZ300">
        <f t="shared" si="127"/>
        <v>1</v>
      </c>
      <c r="BA300" s="32">
        <f t="shared" si="128"/>
        <v>0.77777777777777768</v>
      </c>
      <c r="BB300" s="32">
        <f t="shared" si="129"/>
        <v>1</v>
      </c>
      <c r="BC300" s="7">
        <f t="shared" si="130"/>
        <v>0.74074074074074081</v>
      </c>
      <c r="BD300" s="7">
        <f t="shared" si="131"/>
        <v>1</v>
      </c>
      <c r="BE300">
        <f>step3_validation[[#This Row],[AI_OUT1]]</f>
        <v>9</v>
      </c>
      <c r="BF300">
        <f t="shared" si="132"/>
        <v>0.88888888888888884</v>
      </c>
      <c r="BG300">
        <f>survey_responses[[#This Row],[Sau khi xem xét các quyền lợi và nghĩa vụ, bạn có ủng hộ và tuân thủ chính sách mới hiện nay? - HUMAN-OUT1]]</f>
        <v>10</v>
      </c>
      <c r="BH300">
        <f t="shared" si="133"/>
        <v>1</v>
      </c>
      <c r="BI300" s="32">
        <f t="shared" si="134"/>
        <v>1</v>
      </c>
    </row>
    <row r="301" spans="1:61" x14ac:dyDescent="0.45">
      <c r="A301" s="30">
        <f>step3_validation[[#This Row],[Persona_ID]]</f>
        <v>300</v>
      </c>
      <c r="B301" s="31">
        <f>step3_validation[[#This Row],[Used_Seed]]</f>
        <v>341</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28.928083498235601</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6</v>
      </c>
      <c r="R301">
        <f t="shared" si="108"/>
        <v>0.55555555555555558</v>
      </c>
      <c r="S301">
        <f>survey_responses[[#This Row],[Tôi tin rằng với các quy định quản lý thuế hiện nay, hành vi gian lận hoặc trốn thuế sẽ dễ dàng bị phát hiện và xử lý nghiêm. - HUMAN-ENF1]]</f>
        <v>9</v>
      </c>
      <c r="T301">
        <f t="shared" si="109"/>
        <v>0.88888888888888884</v>
      </c>
      <c r="U301">
        <f>step3_validation[[#This Row],[AI_ENF2]]</f>
        <v>8</v>
      </c>
      <c r="V301">
        <f t="shared" si="110"/>
        <v>0.77777777777777779</v>
      </c>
      <c r="W301">
        <f>survey_responses[[#This Row],[Tôi tin rằng Nhà nước, cơ quan thuế có đủ khả năng và công nghệ để phát hiện, xử lý nghiêm các hành vi trốn thuế. - HUMAN-ENF2]]</f>
        <v>9</v>
      </c>
      <c r="X301">
        <f t="shared" si="111"/>
        <v>0.88888888888888884</v>
      </c>
      <c r="Y301" s="32">
        <f t="shared" si="112"/>
        <v>0.66666666666666674</v>
      </c>
      <c r="Z301" s="32">
        <f t="shared" si="113"/>
        <v>0.88888888888888884</v>
      </c>
      <c r="AA301">
        <f>step3_validation[[#This Row],[AI_FAC1]]</f>
        <v>9</v>
      </c>
      <c r="AB301">
        <f t="shared" si="114"/>
        <v>0.88888888888888884</v>
      </c>
      <c r="AC301">
        <f>survey_responses[[#This Row],[Các thủ tục khai báo thuế VÀ/HOẶC quy trình làm việc với cơ quan thuế đơn giản, tiện lợi, nhanh chóng hơn so với trước đây. - HUMAN-FAC1]]</f>
        <v>8</v>
      </c>
      <c r="AD301">
        <f t="shared" si="115"/>
        <v>0.77777777777777779</v>
      </c>
      <c r="AE301">
        <f>step3_validation[[#This Row],[AI_FAC2]]</f>
        <v>8</v>
      </c>
      <c r="AF301">
        <f t="shared" si="116"/>
        <v>0.77777777777777779</v>
      </c>
      <c r="AG301">
        <f>survey_responses[[#This Row],[So với trước đây, tôi thấy cách tính thuế và các bậc thuế trong phương án mới đơn giản, dễ hiểu và dễ thực hiện hơn. - HUMAN-FAC2]]</f>
        <v>10</v>
      </c>
      <c r="AH301">
        <f t="shared" si="117"/>
        <v>1</v>
      </c>
      <c r="AI301" s="32">
        <f t="shared" si="118"/>
        <v>0.83333333333333326</v>
      </c>
      <c r="AJ301" s="32">
        <f t="shared" si="119"/>
        <v>0.88888888888888884</v>
      </c>
      <c r="AK301">
        <f>step3_validation[[#This Row],[AI_TRU1]]</f>
        <v>7</v>
      </c>
      <c r="AL301">
        <f t="shared" si="120"/>
        <v>0.66666666666666663</v>
      </c>
      <c r="AM301">
        <f>survey_responses[[#This Row],[Tôi tin rằng Nhà nước, cơ quan thuế sẽ thực thi chính sách mới một cách khách quan, công tâm và đối xử bình đẳng với mọi người nộp thuế.  - HUMAN-TRU1]]</f>
        <v>8</v>
      </c>
      <c r="AN301">
        <f t="shared" si="121"/>
        <v>0.77777777777777779</v>
      </c>
      <c r="AO301">
        <f>step3_validation[[#This Row],[AI_TRU2]]</f>
        <v>9</v>
      </c>
      <c r="AP301">
        <f t="shared" si="122"/>
        <v>0.88888888888888884</v>
      </c>
      <c r="AQ301">
        <f>survey_responses[[#This Row],[Tôi thấy mức thuế tôi phải đóng theo phương án mới là công bằng (người thu nhập như tôi đóng mức này là hợp lý). - HUMAN-TRU2]]</f>
        <v>8</v>
      </c>
      <c r="AR301">
        <f t="shared" si="123"/>
        <v>0.77777777777777779</v>
      </c>
      <c r="AS301">
        <f>step3_validation[[#This Row],[AI_TRU3]]</f>
        <v>7</v>
      </c>
      <c r="AT301">
        <f t="shared" si="124"/>
        <v>0.66666666666666663</v>
      </c>
      <c r="AU301">
        <f>survey_responses[[#This Row],[Tôi tin tưởng số tiền thuế tôi đóng sẽ được Nhà nước sử dụng hiệu quả để cải thiện dịch vụ công (y tế, đường xá...). - HUMAN-TRU3]]</f>
        <v>10</v>
      </c>
      <c r="AV301">
        <f t="shared" si="125"/>
        <v>1</v>
      </c>
      <c r="AW301">
        <f>step3_validation[[#This Row],[AI_TRU4]]</f>
        <v>6</v>
      </c>
      <c r="AX301">
        <f t="shared" si="126"/>
        <v>0.55555555555555558</v>
      </c>
      <c r="AY301">
        <f>survey_responses[[#This Row],[Tôi thấy Nhà nước đã giải thích rõ ràng, minh bạch về lý do và mục tiêu của việc sửa đổi thuế lần này. - HUMAN-TRU4]]</f>
        <v>9</v>
      </c>
      <c r="AZ301">
        <f t="shared" si="127"/>
        <v>0.88888888888888884</v>
      </c>
      <c r="BA301" s="32">
        <f t="shared" si="128"/>
        <v>0.69444444444444442</v>
      </c>
      <c r="BB301" s="32">
        <f t="shared" si="129"/>
        <v>0.86111111111111105</v>
      </c>
      <c r="BC301" s="7">
        <f t="shared" si="130"/>
        <v>0.73148148148148151</v>
      </c>
      <c r="BD301" s="7">
        <f t="shared" si="131"/>
        <v>0.87962962962962965</v>
      </c>
      <c r="BE301">
        <f>step3_validation[[#This Row],[AI_OUT1]]</f>
        <v>8</v>
      </c>
      <c r="BF301">
        <f t="shared" si="132"/>
        <v>0.77777777777777779</v>
      </c>
      <c r="BG301">
        <f>survey_responses[[#This Row],[Sau khi xem xét các quyền lợi và nghĩa vụ, bạn có ủng hộ và tuân thủ chính sách mới hiện nay? - HUMAN-OUT1]]</f>
        <v>9</v>
      </c>
      <c r="BH301">
        <f t="shared" si="133"/>
        <v>0.88888888888888884</v>
      </c>
      <c r="BI301" s="32">
        <f t="shared" si="134"/>
        <v>1</v>
      </c>
    </row>
    <row r="302" spans="1:61" x14ac:dyDescent="0.45">
      <c r="A302" s="30">
        <f>step3_validation[[#This Row],[Persona_ID]]</f>
        <v>301</v>
      </c>
      <c r="B302" s="31">
        <f>step3_validation[[#This Row],[Used_Seed]]</f>
        <v>342</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6</v>
      </c>
      <c r="R302">
        <f t="shared" si="108"/>
        <v>0.55555555555555558</v>
      </c>
      <c r="S302">
        <f>survey_responses[[#This Row],[Tôi tin rằng với các quy định quản lý thuế hiện nay, hành vi gian lận hoặc trốn thuế sẽ dễ dàng bị phát hiện và xử lý nghiêm. - HUMAN-ENF1]]</f>
        <v>8</v>
      </c>
      <c r="T302">
        <f t="shared" si="109"/>
        <v>0.77777777777777779</v>
      </c>
      <c r="U302">
        <f>step3_validation[[#This Row],[AI_ENF2]]</f>
        <v>6</v>
      </c>
      <c r="V302">
        <f t="shared" si="110"/>
        <v>0.55555555555555558</v>
      </c>
      <c r="W302">
        <f>survey_responses[[#This Row],[Tôi tin rằng Nhà nước, cơ quan thuế có đủ khả năng và công nghệ để phát hiện, xử lý nghiêm các hành vi trốn thuế. - HUMAN-ENF2]]</f>
        <v>7</v>
      </c>
      <c r="X302">
        <f t="shared" si="111"/>
        <v>0.66666666666666663</v>
      </c>
      <c r="Y302" s="32">
        <f t="shared" si="112"/>
        <v>0.55555555555555558</v>
      </c>
      <c r="Z302" s="32">
        <f t="shared" si="113"/>
        <v>0.72222222222222221</v>
      </c>
      <c r="AA302">
        <f>step3_validation[[#This Row],[AI_FAC1]]</f>
        <v>9</v>
      </c>
      <c r="AB302">
        <f t="shared" si="114"/>
        <v>0.88888888888888884</v>
      </c>
      <c r="AC302">
        <f>survey_responses[[#This Row],[Các thủ tục khai báo thuế VÀ/HOẶC quy trình làm việc với cơ quan thuế đơn giản, tiện lợi, nhanh chóng hơn so với trước đây. - HUMAN-FAC1]]</f>
        <v>9</v>
      </c>
      <c r="AD302">
        <f t="shared" si="115"/>
        <v>0.88888888888888884</v>
      </c>
      <c r="AE302">
        <f>step3_validation[[#This Row],[AI_FAC2]]</f>
        <v>9</v>
      </c>
      <c r="AF302">
        <f t="shared" si="116"/>
        <v>0.88888888888888884</v>
      </c>
      <c r="AG302">
        <f>survey_responses[[#This Row],[So với trước đây, tôi thấy cách tính thuế và các bậc thuế trong phương án mới đơn giản, dễ hiểu và dễ thực hiện hơn. - HUMAN-FAC2]]</f>
        <v>5</v>
      </c>
      <c r="AH302">
        <f t="shared" si="117"/>
        <v>0.44444444444444442</v>
      </c>
      <c r="AI302" s="32">
        <f t="shared" si="118"/>
        <v>0.88888888888888884</v>
      </c>
      <c r="AJ302" s="32">
        <f t="shared" si="119"/>
        <v>0.66666666666666663</v>
      </c>
      <c r="AK302">
        <f>step3_validation[[#This Row],[AI_TRU1]]</f>
        <v>7</v>
      </c>
      <c r="AL302">
        <f t="shared" si="120"/>
        <v>0.66666666666666663</v>
      </c>
      <c r="AM302">
        <f>survey_responses[[#This Row],[Tôi tin rằng Nhà nước, cơ quan thuế sẽ thực thi chính sách mới một cách khách quan, công tâm và đối xử bình đẳng với mọi người nộp thuế.  - HUMAN-TRU1]]</f>
        <v>7</v>
      </c>
      <c r="AN302">
        <f t="shared" si="121"/>
        <v>0.66666666666666663</v>
      </c>
      <c r="AO302">
        <f>step3_validation[[#This Row],[AI_TRU2]]</f>
        <v>8</v>
      </c>
      <c r="AP302">
        <f t="shared" si="122"/>
        <v>0.77777777777777779</v>
      </c>
      <c r="AQ302">
        <f>survey_responses[[#This Row],[Tôi thấy mức thuế tôi phải đóng theo phương án mới là công bằng (người thu nhập như tôi đóng mức này là hợp lý). - HUMAN-TRU2]]</f>
        <v>7</v>
      </c>
      <c r="AR302">
        <f t="shared" si="123"/>
        <v>0.66666666666666663</v>
      </c>
      <c r="AS302">
        <f>step3_validation[[#This Row],[AI_TRU3]]</f>
        <v>7</v>
      </c>
      <c r="AT302">
        <f t="shared" si="124"/>
        <v>0.66666666666666663</v>
      </c>
      <c r="AU302">
        <f>survey_responses[[#This Row],[Tôi tin tưởng số tiền thuế tôi đóng sẽ được Nhà nước sử dụng hiệu quả để cải thiện dịch vụ công (y tế, đường xá...). - HUMAN-TRU3]]</f>
        <v>7</v>
      </c>
      <c r="AV302">
        <f t="shared" si="125"/>
        <v>0.66666666666666663</v>
      </c>
      <c r="AW302">
        <f>step3_validation[[#This Row],[AI_TRU4]]</f>
        <v>6</v>
      </c>
      <c r="AX302">
        <f t="shared" si="126"/>
        <v>0.55555555555555558</v>
      </c>
      <c r="AY302">
        <f>survey_responses[[#This Row],[Tôi thấy Nhà nước đã giải thích rõ ràng, minh bạch về lý do và mục tiêu của việc sửa đổi thuế lần này. - HUMAN-TRU4]]</f>
        <v>6</v>
      </c>
      <c r="AZ302">
        <f t="shared" si="127"/>
        <v>0.55555555555555558</v>
      </c>
      <c r="BA302" s="32">
        <f t="shared" si="128"/>
        <v>0.66666666666666674</v>
      </c>
      <c r="BB302" s="32">
        <f t="shared" si="129"/>
        <v>0.63888888888888884</v>
      </c>
      <c r="BC302" s="7">
        <f t="shared" si="130"/>
        <v>0.70370370370370372</v>
      </c>
      <c r="BD302" s="7">
        <f t="shared" si="131"/>
        <v>0.67592592592592593</v>
      </c>
      <c r="BE302">
        <f>step3_validation[[#This Row],[AI_OUT1]]</f>
        <v>8</v>
      </c>
      <c r="BF302">
        <f t="shared" si="132"/>
        <v>0.77777777777777779</v>
      </c>
      <c r="BG302">
        <f>survey_responses[[#This Row],[Sau khi xem xét các quyền lợi và nghĩa vụ, bạn có ủng hộ và tuân thủ chính sách mới hiện nay? - HUMAN-OUT1]]</f>
        <v>7</v>
      </c>
      <c r="BH302">
        <f t="shared" si="133"/>
        <v>0.66666666666666663</v>
      </c>
      <c r="BI302" s="32">
        <f t="shared" si="134"/>
        <v>1</v>
      </c>
    </row>
    <row r="303" spans="1:61" x14ac:dyDescent="0.45">
      <c r="A303" s="30">
        <f>step3_validation[[#This Row],[Persona_ID]]</f>
        <v>302</v>
      </c>
      <c r="B303" s="31">
        <f>step3_validation[[#This Row],[Used_Seed]]</f>
        <v>343</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28.832250589026202</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9</v>
      </c>
      <c r="R303">
        <f t="shared" si="108"/>
        <v>0.88888888888888884</v>
      </c>
      <c r="S303">
        <f>survey_responses[[#This Row],[Tôi tin rằng với các quy định quản lý thuế hiện nay, hành vi gian lận hoặc trốn thuế sẽ dễ dàng bị phát hiện và xử lý nghiêm. - HUMAN-ENF1]]</f>
        <v>7</v>
      </c>
      <c r="T303">
        <f t="shared" si="109"/>
        <v>0.66666666666666663</v>
      </c>
      <c r="U303">
        <f>step3_validation[[#This Row],[AI_ENF2]]</f>
        <v>8</v>
      </c>
      <c r="V303">
        <f t="shared" si="110"/>
        <v>0.77777777777777779</v>
      </c>
      <c r="W303">
        <f>survey_responses[[#This Row],[Tôi tin rằng Nhà nước, cơ quan thuế có đủ khả năng và công nghệ để phát hiện, xử lý nghiêm các hành vi trốn thuế. - HUMAN-ENF2]]</f>
        <v>7</v>
      </c>
      <c r="X303">
        <f t="shared" si="111"/>
        <v>0.66666666666666663</v>
      </c>
      <c r="Y303" s="32">
        <f t="shared" si="112"/>
        <v>0.83333333333333326</v>
      </c>
      <c r="Z303" s="32">
        <f t="shared" si="113"/>
        <v>0.66666666666666663</v>
      </c>
      <c r="AA303">
        <f>step3_validation[[#This Row],[AI_FAC1]]</f>
        <v>9</v>
      </c>
      <c r="AB303">
        <f t="shared" si="114"/>
        <v>0.88888888888888884</v>
      </c>
      <c r="AC303">
        <f>survey_responses[[#This Row],[Các thủ tục khai báo thuế VÀ/HOẶC quy trình làm việc với cơ quan thuế đơn giản, tiện lợi, nhanh chóng hơn so với trước đây. - HUMAN-FAC1]]</f>
        <v>4</v>
      </c>
      <c r="AD303">
        <f t="shared" si="115"/>
        <v>0.33333333333333331</v>
      </c>
      <c r="AE303">
        <f>step3_validation[[#This Row],[AI_FAC2]]</f>
        <v>8</v>
      </c>
      <c r="AF303">
        <f t="shared" si="116"/>
        <v>0.77777777777777779</v>
      </c>
      <c r="AG303">
        <f>survey_responses[[#This Row],[So với trước đây, tôi thấy cách tính thuế và các bậc thuế trong phương án mới đơn giản, dễ hiểu và dễ thực hiện hơn. - HUMAN-FAC2]]</f>
        <v>8</v>
      </c>
      <c r="AH303">
        <f t="shared" si="117"/>
        <v>0.77777777777777779</v>
      </c>
      <c r="AI303" s="32">
        <f t="shared" si="118"/>
        <v>0.83333333333333326</v>
      </c>
      <c r="AJ303" s="32">
        <f t="shared" si="119"/>
        <v>0.55555555555555558</v>
      </c>
      <c r="AK303">
        <f>step3_validation[[#This Row],[AI_TRU1]]</f>
        <v>9</v>
      </c>
      <c r="AL303">
        <f t="shared" si="120"/>
        <v>0.88888888888888884</v>
      </c>
      <c r="AM303">
        <f>survey_responses[[#This Row],[Tôi tin rằng Nhà nước, cơ quan thuế sẽ thực thi chính sách mới một cách khách quan, công tâm và đối xử bình đẳng với mọi người nộp thuế.  - HUMAN-TRU1]]</f>
        <v>7</v>
      </c>
      <c r="AN303">
        <f t="shared" si="121"/>
        <v>0.66666666666666663</v>
      </c>
      <c r="AO303">
        <f>step3_validation[[#This Row],[AI_TRU2]]</f>
        <v>8</v>
      </c>
      <c r="AP303">
        <f t="shared" si="122"/>
        <v>0.77777777777777779</v>
      </c>
      <c r="AQ303">
        <f>survey_responses[[#This Row],[Tôi thấy mức thuế tôi phải đóng theo phương án mới là công bằng (người thu nhập như tôi đóng mức này là hợp lý). - HUMAN-TRU2]]</f>
        <v>7</v>
      </c>
      <c r="AR303">
        <f t="shared" si="123"/>
        <v>0.66666666666666663</v>
      </c>
      <c r="AS303">
        <f>step3_validation[[#This Row],[AI_TRU3]]</f>
        <v>9</v>
      </c>
      <c r="AT303">
        <f t="shared" si="124"/>
        <v>0.88888888888888884</v>
      </c>
      <c r="AU303">
        <f>survey_responses[[#This Row],[Tôi tin tưởng số tiền thuế tôi đóng sẽ được Nhà nước sử dụng hiệu quả để cải thiện dịch vụ công (y tế, đường xá...). - HUMAN-TRU3]]</f>
        <v>5</v>
      </c>
      <c r="AV303">
        <f t="shared" si="125"/>
        <v>0.44444444444444442</v>
      </c>
      <c r="AW303">
        <f>step3_validation[[#This Row],[AI_TRU4]]</f>
        <v>8</v>
      </c>
      <c r="AX303">
        <f t="shared" si="126"/>
        <v>0.77777777777777779</v>
      </c>
      <c r="AY303">
        <f>survey_responses[[#This Row],[Tôi thấy Nhà nước đã giải thích rõ ràng, minh bạch về lý do và mục tiêu của việc sửa đổi thuế lần này. - HUMAN-TRU4]]</f>
        <v>5</v>
      </c>
      <c r="AZ303">
        <f t="shared" si="127"/>
        <v>0.44444444444444442</v>
      </c>
      <c r="BA303" s="32">
        <f t="shared" si="128"/>
        <v>0.83333333333333326</v>
      </c>
      <c r="BB303" s="32">
        <f t="shared" si="129"/>
        <v>0.55555555555555558</v>
      </c>
      <c r="BC303" s="7">
        <f t="shared" si="130"/>
        <v>0.83333333333333337</v>
      </c>
      <c r="BD303" s="7">
        <f t="shared" si="131"/>
        <v>0.59259259259259267</v>
      </c>
      <c r="BE303">
        <f>step3_validation[[#This Row],[AI_OUT1]]</f>
        <v>9</v>
      </c>
      <c r="BF303">
        <f t="shared" si="132"/>
        <v>0.88888888888888884</v>
      </c>
      <c r="BG303">
        <f>survey_responses[[#This Row],[Sau khi xem xét các quyền lợi và nghĩa vụ, bạn có ủng hộ và tuân thủ chính sách mới hiện nay? - HUMAN-OUT1]]</f>
        <v>7</v>
      </c>
      <c r="BH303">
        <f t="shared" si="133"/>
        <v>0.66666666666666663</v>
      </c>
      <c r="BI303" s="32">
        <f t="shared" si="134"/>
        <v>2</v>
      </c>
    </row>
    <row r="304" spans="1:61" x14ac:dyDescent="0.45">
      <c r="A304" s="30">
        <f>step3_validation[[#This Row],[Persona_ID]]</f>
        <v>303</v>
      </c>
      <c r="B304" s="31">
        <f>step3_validation[[#This Row],[Used_Seed]]</f>
        <v>344</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25.423545021267447</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f t="shared" si="108"/>
        <v>0.66666666666666663</v>
      </c>
      <c r="S304">
        <f>survey_responses[[#This Row],[Tôi tin rằng với các quy định quản lý thuế hiện nay, hành vi gian lận hoặc trốn thuế sẽ dễ dàng bị phát hiện và xử lý nghiêm. - HUMAN-ENF1]]</f>
        <v>6</v>
      </c>
      <c r="T304">
        <f t="shared" si="109"/>
        <v>0.55555555555555558</v>
      </c>
      <c r="U304">
        <f>step3_validation[[#This Row],[AI_ENF2]]</f>
        <v>6</v>
      </c>
      <c r="V304">
        <f t="shared" si="110"/>
        <v>0.55555555555555558</v>
      </c>
      <c r="W304">
        <f>survey_responses[[#This Row],[Tôi tin rằng Nhà nước, cơ quan thuế có đủ khả năng và công nghệ để phát hiện, xử lý nghiêm các hành vi trốn thuế. - HUMAN-ENF2]]</f>
        <v>10</v>
      </c>
      <c r="X304">
        <f t="shared" si="111"/>
        <v>1</v>
      </c>
      <c r="Y304" s="32">
        <f t="shared" si="112"/>
        <v>0.61111111111111116</v>
      </c>
      <c r="Z304" s="32">
        <f t="shared" si="113"/>
        <v>0.77777777777777779</v>
      </c>
      <c r="AA304">
        <f>step3_validation[[#This Row],[AI_FAC1]]</f>
        <v>9</v>
      </c>
      <c r="AB304">
        <f t="shared" si="114"/>
        <v>0.88888888888888884</v>
      </c>
      <c r="AC304">
        <f>survey_responses[[#This Row],[Các thủ tục khai báo thuế VÀ/HOẶC quy trình làm việc với cơ quan thuế đơn giản, tiện lợi, nhanh chóng hơn so với trước đây. - HUMAN-FAC1]]</f>
        <v>5</v>
      </c>
      <c r="AD304">
        <f t="shared" si="115"/>
        <v>0.44444444444444442</v>
      </c>
      <c r="AE304">
        <f>step3_validation[[#This Row],[AI_FAC2]]</f>
        <v>8</v>
      </c>
      <c r="AF304">
        <f t="shared" si="116"/>
        <v>0.77777777777777779</v>
      </c>
      <c r="AG304">
        <f>survey_responses[[#This Row],[So với trước đây, tôi thấy cách tính thuế và các bậc thuế trong phương án mới đơn giản, dễ hiểu và dễ thực hiện hơn. - HUMAN-FAC2]]</f>
        <v>4</v>
      </c>
      <c r="AH304">
        <f t="shared" si="117"/>
        <v>0.33333333333333331</v>
      </c>
      <c r="AI304" s="32">
        <f t="shared" si="118"/>
        <v>0.83333333333333326</v>
      </c>
      <c r="AJ304" s="32">
        <f t="shared" si="119"/>
        <v>0.38888888888888884</v>
      </c>
      <c r="AK304">
        <f>step3_validation[[#This Row],[AI_TRU1]]</f>
        <v>6</v>
      </c>
      <c r="AL304">
        <f t="shared" si="120"/>
        <v>0.55555555555555558</v>
      </c>
      <c r="AM304">
        <f>survey_responses[[#This Row],[Tôi tin rằng Nhà nước, cơ quan thuế sẽ thực thi chính sách mới một cách khách quan, công tâm và đối xử bình đẳng với mọi người nộp thuế.  - HUMAN-TRU1]]</f>
        <v>3</v>
      </c>
      <c r="AN304">
        <f t="shared" si="121"/>
        <v>0.22222222222222221</v>
      </c>
      <c r="AO304">
        <f>step3_validation[[#This Row],[AI_TRU2]]</f>
        <v>9</v>
      </c>
      <c r="AP304">
        <f t="shared" si="122"/>
        <v>0.88888888888888884</v>
      </c>
      <c r="AQ304">
        <f>survey_responses[[#This Row],[Tôi thấy mức thuế tôi phải đóng theo phương án mới là công bằng (người thu nhập như tôi đóng mức này là hợp lý). - HUMAN-TRU2]]</f>
        <v>7</v>
      </c>
      <c r="AR304">
        <f t="shared" si="123"/>
        <v>0.66666666666666663</v>
      </c>
      <c r="AS304">
        <f>step3_validation[[#This Row],[AI_TRU3]]</f>
        <v>7</v>
      </c>
      <c r="AT304">
        <f t="shared" si="124"/>
        <v>0.66666666666666663</v>
      </c>
      <c r="AU304">
        <f>survey_responses[[#This Row],[Tôi tin tưởng số tiền thuế tôi đóng sẽ được Nhà nước sử dụng hiệu quả để cải thiện dịch vụ công (y tế, đường xá...). - HUMAN-TRU3]]</f>
        <v>4</v>
      </c>
      <c r="AV304">
        <f t="shared" si="125"/>
        <v>0.33333333333333331</v>
      </c>
      <c r="AW304">
        <f>step3_validation[[#This Row],[AI_TRU4]]</f>
        <v>8</v>
      </c>
      <c r="AX304">
        <f t="shared" si="126"/>
        <v>0.77777777777777779</v>
      </c>
      <c r="AY304">
        <f>survey_responses[[#This Row],[Tôi thấy Nhà nước đã giải thích rõ ràng, minh bạch về lý do và mục tiêu của việc sửa đổi thuế lần này. - HUMAN-TRU4]]</f>
        <v>4</v>
      </c>
      <c r="AZ304">
        <f t="shared" si="127"/>
        <v>0.33333333333333331</v>
      </c>
      <c r="BA304" s="32">
        <f t="shared" si="128"/>
        <v>0.72222222222222221</v>
      </c>
      <c r="BB304" s="32">
        <f t="shared" si="129"/>
        <v>0.38888888888888884</v>
      </c>
      <c r="BC304" s="7">
        <f t="shared" si="130"/>
        <v>0.72222222222222221</v>
      </c>
      <c r="BD304" s="7">
        <f t="shared" si="131"/>
        <v>0.51851851851851849</v>
      </c>
      <c r="BE304">
        <f>step3_validation[[#This Row],[AI_OUT1]]</f>
        <v>9</v>
      </c>
      <c r="BF304">
        <f t="shared" si="132"/>
        <v>0.88888888888888884</v>
      </c>
      <c r="BG304">
        <f>survey_responses[[#This Row],[Sau khi xem xét các quyền lợi và nghĩa vụ, bạn có ủng hộ và tuân thủ chính sách mới hiện nay? - HUMAN-OUT1]]</f>
        <v>5</v>
      </c>
      <c r="BH304">
        <f t="shared" si="133"/>
        <v>0.44444444444444442</v>
      </c>
      <c r="BI304" s="32">
        <f t="shared" si="134"/>
        <v>4</v>
      </c>
    </row>
    <row r="305" spans="1:61" x14ac:dyDescent="0.45">
      <c r="A305" s="30">
        <f>step3_validation[[#This Row],[Persona_ID]]</f>
        <v>304</v>
      </c>
      <c r="B305" s="31">
        <f>step3_validation[[#This Row],[Used_Seed]]</f>
        <v>345</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f t="shared" si="108"/>
        <v>0.55555555555555558</v>
      </c>
      <c r="S305">
        <f>survey_responses[[#This Row],[Tôi tin rằng với các quy định quản lý thuế hiện nay, hành vi gian lận hoặc trốn thuế sẽ dễ dàng bị phát hiện và xử lý nghiêm. - HUMAN-ENF1]]</f>
        <v>10</v>
      </c>
      <c r="T305">
        <f t="shared" si="109"/>
        <v>1</v>
      </c>
      <c r="U305">
        <f>step3_validation[[#This Row],[AI_ENF2]]</f>
        <v>7</v>
      </c>
      <c r="V305">
        <f t="shared" si="110"/>
        <v>0.66666666666666663</v>
      </c>
      <c r="W305">
        <f>survey_responses[[#This Row],[Tôi tin rằng Nhà nước, cơ quan thuế có đủ khả năng và công nghệ để phát hiện, xử lý nghiêm các hành vi trốn thuế. - HUMAN-ENF2]]</f>
        <v>10</v>
      </c>
      <c r="X305">
        <f t="shared" si="111"/>
        <v>1</v>
      </c>
      <c r="Y305" s="32">
        <f t="shared" si="112"/>
        <v>0.61111111111111116</v>
      </c>
      <c r="Z305" s="32">
        <f t="shared" si="113"/>
        <v>1</v>
      </c>
      <c r="AA305">
        <f>step3_validation[[#This Row],[AI_FAC1]]</f>
        <v>9</v>
      </c>
      <c r="AB305">
        <f t="shared" si="114"/>
        <v>0.88888888888888884</v>
      </c>
      <c r="AC305">
        <f>survey_responses[[#This Row],[Các thủ tục khai báo thuế VÀ/HOẶC quy trình làm việc với cơ quan thuế đơn giản, tiện lợi, nhanh chóng hơn so với trước đây. - HUMAN-FAC1]]</f>
        <v>10</v>
      </c>
      <c r="AD305">
        <f t="shared" si="115"/>
        <v>1</v>
      </c>
      <c r="AE305">
        <f>step3_validation[[#This Row],[AI_FAC2]]</f>
        <v>9</v>
      </c>
      <c r="AF305">
        <f t="shared" si="116"/>
        <v>0.88888888888888884</v>
      </c>
      <c r="AG305">
        <f>survey_responses[[#This Row],[So với trước đây, tôi thấy cách tính thuế và các bậc thuế trong phương án mới đơn giản, dễ hiểu và dễ thực hiện hơn. - HUMAN-FAC2]]</f>
        <v>10</v>
      </c>
      <c r="AH305">
        <f t="shared" si="117"/>
        <v>1</v>
      </c>
      <c r="AI305" s="32">
        <f t="shared" si="118"/>
        <v>0.88888888888888884</v>
      </c>
      <c r="AJ305" s="32">
        <f t="shared" si="119"/>
        <v>1</v>
      </c>
      <c r="AK305">
        <f>step3_validation[[#This Row],[AI_TRU1]]</f>
        <v>8</v>
      </c>
      <c r="AL305">
        <f t="shared" si="120"/>
        <v>0.77777777777777779</v>
      </c>
      <c r="AM305">
        <f>survey_responses[[#This Row],[Tôi tin rằng Nhà nước, cơ quan thuế sẽ thực thi chính sách mới một cách khách quan, công tâm và đối xử bình đẳng với mọi người nộp thuế.  - HUMAN-TRU1]]</f>
        <v>10</v>
      </c>
      <c r="AN305">
        <f t="shared" si="121"/>
        <v>1</v>
      </c>
      <c r="AO305">
        <f>step3_validation[[#This Row],[AI_TRU2]]</f>
        <v>8</v>
      </c>
      <c r="AP305">
        <f t="shared" si="122"/>
        <v>0.77777777777777779</v>
      </c>
      <c r="AQ305">
        <f>survey_responses[[#This Row],[Tôi thấy mức thuế tôi phải đóng theo phương án mới là công bằng (người thu nhập như tôi đóng mức này là hợp lý). - HUMAN-TRU2]]</f>
        <v>10</v>
      </c>
      <c r="AR305">
        <f t="shared" si="123"/>
        <v>1</v>
      </c>
      <c r="AS305">
        <f>step3_validation[[#This Row],[AI_TRU3]]</f>
        <v>8</v>
      </c>
      <c r="AT305">
        <f t="shared" si="124"/>
        <v>0.77777777777777779</v>
      </c>
      <c r="AU305">
        <f>survey_responses[[#This Row],[Tôi tin tưởng số tiền thuế tôi đóng sẽ được Nhà nước sử dụng hiệu quả để cải thiện dịch vụ công (y tế, đường xá...). - HUMAN-TRU3]]</f>
        <v>10</v>
      </c>
      <c r="AV305">
        <f t="shared" si="125"/>
        <v>1</v>
      </c>
      <c r="AW305">
        <f>step3_validation[[#This Row],[AI_TRU4]]</f>
        <v>8</v>
      </c>
      <c r="AX305">
        <f t="shared" si="126"/>
        <v>0.77777777777777779</v>
      </c>
      <c r="AY305">
        <f>survey_responses[[#This Row],[Tôi thấy Nhà nước đã giải thích rõ ràng, minh bạch về lý do và mục tiêu của việc sửa đổi thuế lần này. - HUMAN-TRU4]]</f>
        <v>10</v>
      </c>
      <c r="AZ305">
        <f t="shared" si="127"/>
        <v>1</v>
      </c>
      <c r="BA305" s="32">
        <f t="shared" si="128"/>
        <v>0.77777777777777779</v>
      </c>
      <c r="BB305" s="32">
        <f t="shared" si="129"/>
        <v>1</v>
      </c>
      <c r="BC305" s="7">
        <f t="shared" si="130"/>
        <v>0.75925925925925919</v>
      </c>
      <c r="BD305" s="7">
        <f t="shared" si="131"/>
        <v>1</v>
      </c>
      <c r="BE305">
        <f>step3_validation[[#This Row],[AI_OUT1]]</f>
        <v>9</v>
      </c>
      <c r="BF305">
        <f t="shared" si="132"/>
        <v>0.88888888888888884</v>
      </c>
      <c r="BG305">
        <f>survey_responses[[#This Row],[Sau khi xem xét các quyền lợi và nghĩa vụ, bạn có ủng hộ và tuân thủ chính sách mới hiện nay? - HUMAN-OUT1]]</f>
        <v>10</v>
      </c>
      <c r="BH305">
        <f t="shared" si="133"/>
        <v>1</v>
      </c>
      <c r="BI305" s="32">
        <f t="shared" si="134"/>
        <v>1</v>
      </c>
    </row>
    <row r="306" spans="1:61" x14ac:dyDescent="0.45">
      <c r="A306" s="30">
        <f>step3_validation[[#This Row],[Persona_ID]]</f>
        <v>305</v>
      </c>
      <c r="B306" s="31">
        <f>step3_validation[[#This Row],[Used_Seed]]</f>
        <v>346</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44.98179538273552</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6</v>
      </c>
      <c r="R306">
        <f t="shared" si="108"/>
        <v>0.55555555555555558</v>
      </c>
      <c r="S306">
        <f>survey_responses[[#This Row],[Tôi tin rằng với các quy định quản lý thuế hiện nay, hành vi gian lận hoặc trốn thuế sẽ dễ dàng bị phát hiện và xử lý nghiêm. - HUMAN-ENF1]]</f>
        <v>7</v>
      </c>
      <c r="T306">
        <f t="shared" si="109"/>
        <v>0.66666666666666663</v>
      </c>
      <c r="U306">
        <f>step3_validation[[#This Row],[AI_ENF2]]</f>
        <v>7</v>
      </c>
      <c r="V306">
        <f t="shared" si="110"/>
        <v>0.66666666666666663</v>
      </c>
      <c r="W306">
        <f>survey_responses[[#This Row],[Tôi tin rằng Nhà nước, cơ quan thuế có đủ khả năng và công nghệ để phát hiện, xử lý nghiêm các hành vi trốn thuế. - HUMAN-ENF2]]</f>
        <v>9</v>
      </c>
      <c r="X306">
        <f t="shared" si="111"/>
        <v>0.88888888888888884</v>
      </c>
      <c r="Y306" s="32">
        <f t="shared" si="112"/>
        <v>0.61111111111111116</v>
      </c>
      <c r="Z306" s="32">
        <f t="shared" si="113"/>
        <v>0.77777777777777768</v>
      </c>
      <c r="AA306">
        <f>step3_validation[[#This Row],[AI_FAC1]]</f>
        <v>8</v>
      </c>
      <c r="AB306">
        <f t="shared" si="114"/>
        <v>0.77777777777777779</v>
      </c>
      <c r="AC306">
        <f>survey_responses[[#This Row],[Các thủ tục khai báo thuế VÀ/HOẶC quy trình làm việc với cơ quan thuế đơn giản, tiện lợi, nhanh chóng hơn so với trước đây. - HUMAN-FAC1]]</f>
        <v>8</v>
      </c>
      <c r="AD306">
        <f t="shared" si="115"/>
        <v>0.77777777777777779</v>
      </c>
      <c r="AE306">
        <f>step3_validation[[#This Row],[AI_FAC2]]</f>
        <v>9</v>
      </c>
      <c r="AF306">
        <f t="shared" si="116"/>
        <v>0.88888888888888884</v>
      </c>
      <c r="AG306">
        <f>survey_responses[[#This Row],[So với trước đây, tôi thấy cách tính thuế và các bậc thuế trong phương án mới đơn giản, dễ hiểu và dễ thực hiện hơn. - HUMAN-FAC2]]</f>
        <v>6</v>
      </c>
      <c r="AH306">
        <f t="shared" si="117"/>
        <v>0.55555555555555558</v>
      </c>
      <c r="AI306" s="32">
        <f t="shared" si="118"/>
        <v>0.83333333333333326</v>
      </c>
      <c r="AJ306" s="32">
        <f t="shared" si="119"/>
        <v>0.66666666666666674</v>
      </c>
      <c r="AK306">
        <f>step3_validation[[#This Row],[AI_TRU1]]</f>
        <v>8</v>
      </c>
      <c r="AL306">
        <f t="shared" si="120"/>
        <v>0.77777777777777779</v>
      </c>
      <c r="AM306">
        <f>survey_responses[[#This Row],[Tôi tin rằng Nhà nước, cơ quan thuế sẽ thực thi chính sách mới một cách khách quan, công tâm và đối xử bình đẳng với mọi người nộp thuế.  - HUMAN-TRU1]]</f>
        <v>5</v>
      </c>
      <c r="AN306">
        <f t="shared" si="121"/>
        <v>0.44444444444444442</v>
      </c>
      <c r="AO306">
        <f>step3_validation[[#This Row],[AI_TRU2]]</f>
        <v>9</v>
      </c>
      <c r="AP306">
        <f t="shared" si="122"/>
        <v>0.88888888888888884</v>
      </c>
      <c r="AQ306">
        <f>survey_responses[[#This Row],[Tôi thấy mức thuế tôi phải đóng theo phương án mới là công bằng (người thu nhập như tôi đóng mức này là hợp lý). - HUMAN-TRU2]]</f>
        <v>3</v>
      </c>
      <c r="AR306">
        <f t="shared" si="123"/>
        <v>0.22222222222222221</v>
      </c>
      <c r="AS306">
        <f>step3_validation[[#This Row],[AI_TRU3]]</f>
        <v>7</v>
      </c>
      <c r="AT306">
        <f t="shared" si="124"/>
        <v>0.66666666666666663</v>
      </c>
      <c r="AU306">
        <f>survey_responses[[#This Row],[Tôi tin tưởng số tiền thuế tôi đóng sẽ được Nhà nước sử dụng hiệu quả để cải thiện dịch vụ công (y tế, đường xá...). - HUMAN-TRU3]]</f>
        <v>9</v>
      </c>
      <c r="AV306">
        <f t="shared" si="125"/>
        <v>0.88888888888888884</v>
      </c>
      <c r="AW306">
        <f>step3_validation[[#This Row],[AI_TRU4]]</f>
        <v>8</v>
      </c>
      <c r="AX306">
        <f t="shared" si="126"/>
        <v>0.77777777777777779</v>
      </c>
      <c r="AY306">
        <f>survey_responses[[#This Row],[Tôi thấy Nhà nước đã giải thích rõ ràng, minh bạch về lý do và mục tiêu của việc sửa đổi thuế lần này. - HUMAN-TRU4]]</f>
        <v>3</v>
      </c>
      <c r="AZ306">
        <f t="shared" si="127"/>
        <v>0.22222222222222221</v>
      </c>
      <c r="BA306" s="32">
        <f t="shared" si="128"/>
        <v>0.77777777777777768</v>
      </c>
      <c r="BB306" s="32">
        <f t="shared" si="129"/>
        <v>0.44444444444444442</v>
      </c>
      <c r="BC306" s="7">
        <f t="shared" si="130"/>
        <v>0.74074074074074081</v>
      </c>
      <c r="BD306" s="7">
        <f t="shared" si="131"/>
        <v>0.62962962962962965</v>
      </c>
      <c r="BE306">
        <f>step3_validation[[#This Row],[AI_OUT1]]</f>
        <v>9</v>
      </c>
      <c r="BF306">
        <f t="shared" si="132"/>
        <v>0.88888888888888884</v>
      </c>
      <c r="BG306">
        <f>survey_responses[[#This Row],[Sau khi xem xét các quyền lợi và nghĩa vụ, bạn có ủng hộ và tuân thủ chính sách mới hiện nay? - HUMAN-OUT1]]</f>
        <v>4</v>
      </c>
      <c r="BH306">
        <f t="shared" si="133"/>
        <v>0.33333333333333331</v>
      </c>
      <c r="BI306" s="32">
        <f t="shared" si="134"/>
        <v>5</v>
      </c>
    </row>
    <row r="307" spans="1:61" x14ac:dyDescent="0.45">
      <c r="A307" s="30">
        <f>step3_validation[[#This Row],[Persona_ID]]</f>
        <v>306</v>
      </c>
      <c r="B307" s="31">
        <f>step3_validation[[#This Row],[Used_Seed]]</f>
        <v>347</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49.814382056108016</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8</v>
      </c>
      <c r="R307">
        <f t="shared" si="108"/>
        <v>0.77777777777777779</v>
      </c>
      <c r="S307">
        <f>survey_responses[[#This Row],[Tôi tin rằng với các quy định quản lý thuế hiện nay, hành vi gian lận hoặc trốn thuế sẽ dễ dàng bị phát hiện và xử lý nghiêm. - HUMAN-ENF1]]</f>
        <v>3</v>
      </c>
      <c r="T307">
        <f t="shared" si="109"/>
        <v>0.22222222222222221</v>
      </c>
      <c r="U307">
        <f>step3_validation[[#This Row],[AI_ENF2]]</f>
        <v>8</v>
      </c>
      <c r="V307">
        <f t="shared" si="110"/>
        <v>0.77777777777777779</v>
      </c>
      <c r="W307">
        <f>survey_responses[[#This Row],[Tôi tin rằng Nhà nước, cơ quan thuế có đủ khả năng và công nghệ để phát hiện, xử lý nghiêm các hành vi trốn thuế. - HUMAN-ENF2]]</f>
        <v>8</v>
      </c>
      <c r="X307">
        <f t="shared" si="111"/>
        <v>0.77777777777777779</v>
      </c>
      <c r="Y307" s="32">
        <f t="shared" si="112"/>
        <v>0.77777777777777779</v>
      </c>
      <c r="Z307" s="32">
        <f t="shared" si="113"/>
        <v>0.5</v>
      </c>
      <c r="AA307">
        <f>step3_validation[[#This Row],[AI_FAC1]]</f>
        <v>7</v>
      </c>
      <c r="AB307">
        <f t="shared" si="114"/>
        <v>0.66666666666666663</v>
      </c>
      <c r="AC307">
        <f>survey_responses[[#This Row],[Các thủ tục khai báo thuế VÀ/HOẶC quy trình làm việc với cơ quan thuế đơn giản, tiện lợi, nhanh chóng hơn so với trước đây. - HUMAN-FAC1]]</f>
        <v>8</v>
      </c>
      <c r="AD307">
        <f t="shared" si="115"/>
        <v>0.77777777777777779</v>
      </c>
      <c r="AE307">
        <f>step3_validation[[#This Row],[AI_FAC2]]</f>
        <v>9</v>
      </c>
      <c r="AF307">
        <f t="shared" si="116"/>
        <v>0.88888888888888884</v>
      </c>
      <c r="AG307">
        <f>survey_responses[[#This Row],[So với trước đây, tôi thấy cách tính thuế và các bậc thuế trong phương án mới đơn giản, dễ hiểu và dễ thực hiện hơn. - HUMAN-FAC2]]</f>
        <v>4</v>
      </c>
      <c r="AH307">
        <f t="shared" si="117"/>
        <v>0.33333333333333331</v>
      </c>
      <c r="AI307" s="32">
        <f t="shared" si="118"/>
        <v>0.77777777777777768</v>
      </c>
      <c r="AJ307" s="32">
        <f t="shared" si="119"/>
        <v>0.55555555555555558</v>
      </c>
      <c r="AK307">
        <f>step3_validation[[#This Row],[AI_TRU1]]</f>
        <v>8</v>
      </c>
      <c r="AL307">
        <f t="shared" si="120"/>
        <v>0.77777777777777779</v>
      </c>
      <c r="AM307">
        <f>survey_responses[[#This Row],[Tôi tin rằng Nhà nước, cơ quan thuế sẽ thực thi chính sách mới một cách khách quan, công tâm và đối xử bình đẳng với mọi người nộp thuế.  - HUMAN-TRU1]]</f>
        <v>4</v>
      </c>
      <c r="AN307">
        <f t="shared" si="121"/>
        <v>0.33333333333333331</v>
      </c>
      <c r="AO307">
        <f>step3_validation[[#This Row],[AI_TRU2]]</f>
        <v>8</v>
      </c>
      <c r="AP307">
        <f t="shared" si="122"/>
        <v>0.77777777777777779</v>
      </c>
      <c r="AQ307">
        <f>survey_responses[[#This Row],[Tôi thấy mức thuế tôi phải đóng theo phương án mới là công bằng (người thu nhập như tôi đóng mức này là hợp lý). - HUMAN-TRU2]]</f>
        <v>3</v>
      </c>
      <c r="AR307">
        <f t="shared" si="123"/>
        <v>0.22222222222222221</v>
      </c>
      <c r="AS307">
        <f>step3_validation[[#This Row],[AI_TRU3]]</f>
        <v>7</v>
      </c>
      <c r="AT307">
        <f t="shared" si="124"/>
        <v>0.66666666666666663</v>
      </c>
      <c r="AU307">
        <f>survey_responses[[#This Row],[Tôi tin tưởng số tiền thuế tôi đóng sẽ được Nhà nước sử dụng hiệu quả để cải thiện dịch vụ công (y tế, đường xá...). - HUMAN-TRU3]]</f>
        <v>7</v>
      </c>
      <c r="AV307">
        <f t="shared" si="125"/>
        <v>0.66666666666666663</v>
      </c>
      <c r="AW307">
        <f>step3_validation[[#This Row],[AI_TRU4]]</f>
        <v>8</v>
      </c>
      <c r="AX307">
        <f t="shared" si="126"/>
        <v>0.77777777777777779</v>
      </c>
      <c r="AY307">
        <f>survey_responses[[#This Row],[Tôi thấy Nhà nước đã giải thích rõ ràng, minh bạch về lý do và mục tiêu của việc sửa đổi thuế lần này. - HUMAN-TRU4]]</f>
        <v>5</v>
      </c>
      <c r="AZ307">
        <f t="shared" si="127"/>
        <v>0.44444444444444442</v>
      </c>
      <c r="BA307" s="32">
        <f t="shared" si="128"/>
        <v>0.75</v>
      </c>
      <c r="BB307" s="32">
        <f t="shared" si="129"/>
        <v>0.41666666666666669</v>
      </c>
      <c r="BC307" s="7">
        <f t="shared" si="130"/>
        <v>0.76851851851851849</v>
      </c>
      <c r="BD307" s="7">
        <f t="shared" si="131"/>
        <v>0.49074074074074076</v>
      </c>
      <c r="BE307">
        <f>step3_validation[[#This Row],[AI_OUT1]]</f>
        <v>9</v>
      </c>
      <c r="BF307">
        <f t="shared" si="132"/>
        <v>0.88888888888888884</v>
      </c>
      <c r="BG307">
        <f>survey_responses[[#This Row],[Sau khi xem xét các quyền lợi và nghĩa vụ, bạn có ủng hộ và tuân thủ chính sách mới hiện nay? - HUMAN-OUT1]]</f>
        <v>5</v>
      </c>
      <c r="BH307">
        <f t="shared" si="133"/>
        <v>0.44444444444444442</v>
      </c>
      <c r="BI307" s="32">
        <f t="shared" si="134"/>
        <v>4</v>
      </c>
    </row>
    <row r="308" spans="1:61" x14ac:dyDescent="0.45">
      <c r="A308" s="30">
        <f>step3_validation[[#This Row],[Persona_ID]]</f>
        <v>307</v>
      </c>
      <c r="B308" s="31">
        <f>step3_validation[[#This Row],[Used_Seed]]</f>
        <v>348</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13.709181849834744</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7</v>
      </c>
      <c r="R308">
        <f t="shared" si="108"/>
        <v>0.66666666666666663</v>
      </c>
      <c r="S308">
        <f>survey_responses[[#This Row],[Tôi tin rằng với các quy định quản lý thuế hiện nay, hành vi gian lận hoặc trốn thuế sẽ dễ dàng bị phát hiện và xử lý nghiêm. - HUMAN-ENF1]]</f>
        <v>2</v>
      </c>
      <c r="T308">
        <f t="shared" si="109"/>
        <v>0.1111111111111111</v>
      </c>
      <c r="U308">
        <f>step3_validation[[#This Row],[AI_ENF2]]</f>
        <v>8</v>
      </c>
      <c r="V308">
        <f t="shared" si="110"/>
        <v>0.77777777777777779</v>
      </c>
      <c r="W308">
        <f>survey_responses[[#This Row],[Tôi tin rằng Nhà nước, cơ quan thuế có đủ khả năng và công nghệ để phát hiện, xử lý nghiêm các hành vi trốn thuế. - HUMAN-ENF2]]</f>
        <v>2</v>
      </c>
      <c r="X308">
        <f t="shared" si="111"/>
        <v>0.1111111111111111</v>
      </c>
      <c r="Y308" s="32">
        <f t="shared" si="112"/>
        <v>0.72222222222222221</v>
      </c>
      <c r="Z308" s="32">
        <f t="shared" si="113"/>
        <v>0.1111111111111111</v>
      </c>
      <c r="AA308">
        <f>step3_validation[[#This Row],[AI_FAC1]]</f>
        <v>9</v>
      </c>
      <c r="AB308">
        <f t="shared" si="114"/>
        <v>0.88888888888888884</v>
      </c>
      <c r="AC308">
        <f>survey_responses[[#This Row],[Các thủ tục khai báo thuế VÀ/HOẶC quy trình làm việc với cơ quan thuế đơn giản, tiện lợi, nhanh chóng hơn so với trước đây. - HUMAN-FAC1]]</f>
        <v>2</v>
      </c>
      <c r="AD308">
        <f t="shared" si="115"/>
        <v>0.1111111111111111</v>
      </c>
      <c r="AE308">
        <f>step3_validation[[#This Row],[AI_FAC2]]</f>
        <v>8</v>
      </c>
      <c r="AF308">
        <f t="shared" si="116"/>
        <v>0.77777777777777779</v>
      </c>
      <c r="AG308">
        <f>survey_responses[[#This Row],[So với trước đây, tôi thấy cách tính thuế và các bậc thuế trong phương án mới đơn giản, dễ hiểu và dễ thực hiện hơn. - HUMAN-FAC2]]</f>
        <v>1</v>
      </c>
      <c r="AH308">
        <f t="shared" si="117"/>
        <v>0</v>
      </c>
      <c r="AI308" s="32">
        <f t="shared" si="118"/>
        <v>0.83333333333333326</v>
      </c>
      <c r="AJ308" s="32">
        <f t="shared" si="119"/>
        <v>5.5555555555555552E-2</v>
      </c>
      <c r="AK308">
        <f>step3_validation[[#This Row],[AI_TRU1]]</f>
        <v>9</v>
      </c>
      <c r="AL308">
        <f t="shared" si="120"/>
        <v>0.88888888888888884</v>
      </c>
      <c r="AM308">
        <f>survey_responses[[#This Row],[Tôi tin rằng Nhà nước, cơ quan thuế sẽ thực thi chính sách mới một cách khách quan, công tâm và đối xử bình đẳng với mọi người nộp thuế.  - HUMAN-TRU1]]</f>
        <v>2</v>
      </c>
      <c r="AN308">
        <f t="shared" si="121"/>
        <v>0.1111111111111111</v>
      </c>
      <c r="AO308">
        <f>step3_validation[[#This Row],[AI_TRU2]]</f>
        <v>8</v>
      </c>
      <c r="AP308">
        <f t="shared" si="122"/>
        <v>0.77777777777777779</v>
      </c>
      <c r="AQ308">
        <f>survey_responses[[#This Row],[Tôi thấy mức thuế tôi phải đóng theo phương án mới là công bằng (người thu nhập như tôi đóng mức này là hợp lý). - HUMAN-TRU2]]</f>
        <v>2</v>
      </c>
      <c r="AR308">
        <f t="shared" si="123"/>
        <v>0.1111111111111111</v>
      </c>
      <c r="AS308">
        <f>step3_validation[[#This Row],[AI_TRU3]]</f>
        <v>8</v>
      </c>
      <c r="AT308">
        <f t="shared" si="124"/>
        <v>0.77777777777777779</v>
      </c>
      <c r="AU308">
        <f>survey_responses[[#This Row],[Tôi tin tưởng số tiền thuế tôi đóng sẽ được Nhà nước sử dụng hiệu quả để cải thiện dịch vụ công (y tế, đường xá...). - HUMAN-TRU3]]</f>
        <v>2</v>
      </c>
      <c r="AV308">
        <f t="shared" si="125"/>
        <v>0.1111111111111111</v>
      </c>
      <c r="AW308">
        <f>step3_validation[[#This Row],[AI_TRU4]]</f>
        <v>7</v>
      </c>
      <c r="AX308">
        <f t="shared" si="126"/>
        <v>0.66666666666666663</v>
      </c>
      <c r="AY308">
        <f>survey_responses[[#This Row],[Tôi thấy Nhà nước đã giải thích rõ ràng, minh bạch về lý do và mục tiêu của việc sửa đổi thuế lần này. - HUMAN-TRU4]]</f>
        <v>2</v>
      </c>
      <c r="AZ308">
        <f t="shared" si="127"/>
        <v>0.1111111111111111</v>
      </c>
      <c r="BA308" s="32">
        <f t="shared" si="128"/>
        <v>0.77777777777777768</v>
      </c>
      <c r="BB308" s="32">
        <f t="shared" si="129"/>
        <v>0.1111111111111111</v>
      </c>
      <c r="BC308" s="7">
        <f t="shared" si="130"/>
        <v>0.77777777777777768</v>
      </c>
      <c r="BD308" s="7">
        <f t="shared" si="131"/>
        <v>9.2592592592592601E-2</v>
      </c>
      <c r="BE308">
        <f>step3_validation[[#This Row],[AI_OUT1]]</f>
        <v>9</v>
      </c>
      <c r="BF308">
        <f t="shared" si="132"/>
        <v>0.88888888888888884</v>
      </c>
      <c r="BG308">
        <f>survey_responses[[#This Row],[Sau khi xem xét các quyền lợi và nghĩa vụ, bạn có ủng hộ và tuân thủ chính sách mới hiện nay? - HUMAN-OUT1]]</f>
        <v>2</v>
      </c>
      <c r="BH308">
        <f t="shared" si="133"/>
        <v>0.1111111111111111</v>
      </c>
      <c r="BI308" s="32">
        <f t="shared" si="134"/>
        <v>7</v>
      </c>
    </row>
    <row r="309" spans="1:61" x14ac:dyDescent="0.45">
      <c r="A309" s="30">
        <f>step3_validation[[#This Row],[Persona_ID]]</f>
        <v>308</v>
      </c>
      <c r="B309" s="31">
        <f>step3_validation[[#This Row],[Used_Seed]]</f>
        <v>349</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155.98608401048074</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9</v>
      </c>
      <c r="R309">
        <f t="shared" si="108"/>
        <v>0.88888888888888884</v>
      </c>
      <c r="S309">
        <f>survey_responses[[#This Row],[Tôi tin rằng với các quy định quản lý thuế hiện nay, hành vi gian lận hoặc trốn thuế sẽ dễ dàng bị phát hiện và xử lý nghiêm. - HUMAN-ENF1]]</f>
        <v>10</v>
      </c>
      <c r="T309">
        <f t="shared" si="109"/>
        <v>1</v>
      </c>
      <c r="U309">
        <f>step3_validation[[#This Row],[AI_ENF2]]</f>
        <v>9</v>
      </c>
      <c r="V309">
        <f t="shared" si="110"/>
        <v>0.88888888888888884</v>
      </c>
      <c r="W309">
        <f>survey_responses[[#This Row],[Tôi tin rằng Nhà nước, cơ quan thuế có đủ khả năng và công nghệ để phát hiện, xử lý nghiêm các hành vi trốn thuế. - HUMAN-ENF2]]</f>
        <v>8</v>
      </c>
      <c r="X309">
        <f t="shared" si="111"/>
        <v>0.77777777777777779</v>
      </c>
      <c r="Y309" s="32">
        <f t="shared" si="112"/>
        <v>0.88888888888888884</v>
      </c>
      <c r="Z309" s="32">
        <f t="shared" si="113"/>
        <v>0.88888888888888884</v>
      </c>
      <c r="AA309">
        <f>step3_validation[[#This Row],[AI_FAC1]]</f>
        <v>8</v>
      </c>
      <c r="AB309">
        <f t="shared" si="114"/>
        <v>0.77777777777777779</v>
      </c>
      <c r="AC309">
        <f>survey_responses[[#This Row],[Các thủ tục khai báo thuế VÀ/HOẶC quy trình làm việc với cơ quan thuế đơn giản, tiện lợi, nhanh chóng hơn so với trước đây. - HUMAN-FAC1]]</f>
        <v>8</v>
      </c>
      <c r="AD309">
        <f t="shared" si="115"/>
        <v>0.77777777777777779</v>
      </c>
      <c r="AE309">
        <f>step3_validation[[#This Row],[AI_FAC2]]</f>
        <v>9</v>
      </c>
      <c r="AF309">
        <f t="shared" si="116"/>
        <v>0.88888888888888884</v>
      </c>
      <c r="AG309">
        <f>survey_responses[[#This Row],[So với trước đây, tôi thấy cách tính thuế và các bậc thuế trong phương án mới đơn giản, dễ hiểu và dễ thực hiện hơn. - HUMAN-FAC2]]</f>
        <v>8</v>
      </c>
      <c r="AH309">
        <f t="shared" si="117"/>
        <v>0.77777777777777779</v>
      </c>
      <c r="AI309" s="32">
        <f t="shared" si="118"/>
        <v>0.83333333333333326</v>
      </c>
      <c r="AJ309" s="32">
        <f t="shared" si="119"/>
        <v>0.77777777777777779</v>
      </c>
      <c r="AK309">
        <f>step3_validation[[#This Row],[AI_TRU1]]</f>
        <v>8</v>
      </c>
      <c r="AL309">
        <f t="shared" si="120"/>
        <v>0.77777777777777779</v>
      </c>
      <c r="AM309">
        <f>survey_responses[[#This Row],[Tôi tin rằng Nhà nước, cơ quan thuế sẽ thực thi chính sách mới một cách khách quan, công tâm và đối xử bình đẳng với mọi người nộp thuế.  - HUMAN-TRU1]]</f>
        <v>10</v>
      </c>
      <c r="AN309">
        <f t="shared" si="121"/>
        <v>1</v>
      </c>
      <c r="AO309">
        <f>step3_validation[[#This Row],[AI_TRU2]]</f>
        <v>9</v>
      </c>
      <c r="AP309">
        <f t="shared" si="122"/>
        <v>0.88888888888888884</v>
      </c>
      <c r="AQ309">
        <f>survey_responses[[#This Row],[Tôi thấy mức thuế tôi phải đóng theo phương án mới là công bằng (người thu nhập như tôi đóng mức này là hợp lý). - HUMAN-TRU2]]</f>
        <v>10</v>
      </c>
      <c r="AR309">
        <f t="shared" si="123"/>
        <v>1</v>
      </c>
      <c r="AS309">
        <f>step3_validation[[#This Row],[AI_TRU3]]</f>
        <v>8</v>
      </c>
      <c r="AT309">
        <f t="shared" si="124"/>
        <v>0.77777777777777779</v>
      </c>
      <c r="AU309">
        <f>survey_responses[[#This Row],[Tôi tin tưởng số tiền thuế tôi đóng sẽ được Nhà nước sử dụng hiệu quả để cải thiện dịch vụ công (y tế, đường xá...). - HUMAN-TRU3]]</f>
        <v>6</v>
      </c>
      <c r="AV309">
        <f t="shared" si="125"/>
        <v>0.55555555555555558</v>
      </c>
      <c r="AW309">
        <f>step3_validation[[#This Row],[AI_TRU4]]</f>
        <v>8</v>
      </c>
      <c r="AX309">
        <f t="shared" si="126"/>
        <v>0.77777777777777779</v>
      </c>
      <c r="AY309">
        <f>survey_responses[[#This Row],[Tôi thấy Nhà nước đã giải thích rõ ràng, minh bạch về lý do và mục tiêu của việc sửa đổi thuế lần này. - HUMAN-TRU4]]</f>
        <v>8</v>
      </c>
      <c r="AZ309">
        <f t="shared" si="127"/>
        <v>0.77777777777777779</v>
      </c>
      <c r="BA309" s="32">
        <f t="shared" si="128"/>
        <v>0.80555555555555547</v>
      </c>
      <c r="BB309" s="32">
        <f t="shared" si="129"/>
        <v>0.83333333333333326</v>
      </c>
      <c r="BC309" s="7">
        <f t="shared" si="130"/>
        <v>0.84259259259259256</v>
      </c>
      <c r="BD309" s="7">
        <f t="shared" si="131"/>
        <v>0.83333333333333337</v>
      </c>
      <c r="BE309">
        <f>step3_validation[[#This Row],[AI_OUT1]]</f>
        <v>9</v>
      </c>
      <c r="BF309">
        <f t="shared" si="132"/>
        <v>0.88888888888888884</v>
      </c>
      <c r="BG309">
        <f>survey_responses[[#This Row],[Sau khi xem xét các quyền lợi và nghĩa vụ, bạn có ủng hộ và tuân thủ chính sách mới hiện nay? - HUMAN-OUT1]]</f>
        <v>8</v>
      </c>
      <c r="BH309">
        <f t="shared" si="133"/>
        <v>0.77777777777777779</v>
      </c>
      <c r="BI309" s="32">
        <f t="shared" si="134"/>
        <v>1</v>
      </c>
    </row>
    <row r="310" spans="1:61" x14ac:dyDescent="0.45">
      <c r="A310" s="30">
        <f>step3_validation[[#This Row],[Persona_ID]]</f>
        <v>309</v>
      </c>
      <c r="B310" s="31">
        <f>step3_validation[[#This Row],[Used_Seed]]</f>
        <v>350</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65.45417450884635</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8</v>
      </c>
      <c r="R310">
        <f t="shared" si="108"/>
        <v>0.77777777777777779</v>
      </c>
      <c r="S310">
        <f>survey_responses[[#This Row],[Tôi tin rằng với các quy định quản lý thuế hiện nay, hành vi gian lận hoặc trốn thuế sẽ dễ dàng bị phát hiện và xử lý nghiêm. - HUMAN-ENF1]]</f>
        <v>10</v>
      </c>
      <c r="T310">
        <f t="shared" si="109"/>
        <v>1</v>
      </c>
      <c r="U310">
        <f>step3_validation[[#This Row],[AI_ENF2]]</f>
        <v>7</v>
      </c>
      <c r="V310">
        <f t="shared" si="110"/>
        <v>0.66666666666666663</v>
      </c>
      <c r="W310">
        <f>survey_responses[[#This Row],[Tôi tin rằng Nhà nước, cơ quan thuế có đủ khả năng và công nghệ để phát hiện, xử lý nghiêm các hành vi trốn thuế. - HUMAN-ENF2]]</f>
        <v>10</v>
      </c>
      <c r="X310">
        <f t="shared" si="111"/>
        <v>1</v>
      </c>
      <c r="Y310" s="32">
        <f t="shared" si="112"/>
        <v>0.72222222222222221</v>
      </c>
      <c r="Z310" s="32">
        <f t="shared" si="113"/>
        <v>1</v>
      </c>
      <c r="AA310">
        <f>step3_validation[[#This Row],[AI_FAC1]]</f>
        <v>9</v>
      </c>
      <c r="AB310">
        <f t="shared" si="114"/>
        <v>0.88888888888888884</v>
      </c>
      <c r="AC310">
        <f>survey_responses[[#This Row],[Các thủ tục khai báo thuế VÀ/HOẶC quy trình làm việc với cơ quan thuế đơn giản, tiện lợi, nhanh chóng hơn so với trước đây. - HUMAN-FAC1]]</f>
        <v>10</v>
      </c>
      <c r="AD310">
        <f t="shared" si="115"/>
        <v>1</v>
      </c>
      <c r="AE310">
        <f>step3_validation[[#This Row],[AI_FAC2]]</f>
        <v>8</v>
      </c>
      <c r="AF310">
        <f t="shared" si="116"/>
        <v>0.77777777777777779</v>
      </c>
      <c r="AG310">
        <f>survey_responses[[#This Row],[So với trước đây, tôi thấy cách tính thuế và các bậc thuế trong phương án mới đơn giản, dễ hiểu và dễ thực hiện hơn. - HUMAN-FAC2]]</f>
        <v>10</v>
      </c>
      <c r="AH310">
        <f t="shared" si="117"/>
        <v>1</v>
      </c>
      <c r="AI310" s="32">
        <f t="shared" si="118"/>
        <v>0.83333333333333326</v>
      </c>
      <c r="AJ310" s="32">
        <f t="shared" si="119"/>
        <v>1</v>
      </c>
      <c r="AK310">
        <f>step3_validation[[#This Row],[AI_TRU1]]</f>
        <v>9</v>
      </c>
      <c r="AL310">
        <f t="shared" si="120"/>
        <v>0.88888888888888884</v>
      </c>
      <c r="AM310">
        <f>survey_responses[[#This Row],[Tôi tin rằng Nhà nước, cơ quan thuế sẽ thực thi chính sách mới một cách khách quan, công tâm và đối xử bình đẳng với mọi người nộp thuế.  - HUMAN-TRU1]]</f>
        <v>10</v>
      </c>
      <c r="AN310">
        <f t="shared" si="121"/>
        <v>1</v>
      </c>
      <c r="AO310">
        <f>step3_validation[[#This Row],[AI_TRU2]]</f>
        <v>8</v>
      </c>
      <c r="AP310">
        <f t="shared" si="122"/>
        <v>0.77777777777777779</v>
      </c>
      <c r="AQ310">
        <f>survey_responses[[#This Row],[Tôi thấy mức thuế tôi phải đóng theo phương án mới là công bằng (người thu nhập như tôi đóng mức này là hợp lý). - HUMAN-TRU2]]</f>
        <v>9</v>
      </c>
      <c r="AR310">
        <f t="shared" si="123"/>
        <v>0.88888888888888884</v>
      </c>
      <c r="AS310">
        <f>step3_validation[[#This Row],[AI_TRU3]]</f>
        <v>9</v>
      </c>
      <c r="AT310">
        <f t="shared" si="124"/>
        <v>0.88888888888888884</v>
      </c>
      <c r="AU310">
        <f>survey_responses[[#This Row],[Tôi tin tưởng số tiền thuế tôi đóng sẽ được Nhà nước sử dụng hiệu quả để cải thiện dịch vụ công (y tế, đường xá...). - HUMAN-TRU3]]</f>
        <v>9</v>
      </c>
      <c r="AV310">
        <f t="shared" si="125"/>
        <v>0.88888888888888884</v>
      </c>
      <c r="AW310">
        <f>step3_validation[[#This Row],[AI_TRU4]]</f>
        <v>7</v>
      </c>
      <c r="AX310">
        <f t="shared" si="126"/>
        <v>0.66666666666666663</v>
      </c>
      <c r="AY310">
        <f>survey_responses[[#This Row],[Tôi thấy Nhà nước đã giải thích rõ ràng, minh bạch về lý do và mục tiêu của việc sửa đổi thuế lần này. - HUMAN-TRU4]]</f>
        <v>10</v>
      </c>
      <c r="AZ310">
        <f t="shared" si="127"/>
        <v>1</v>
      </c>
      <c r="BA310" s="32">
        <f t="shared" si="128"/>
        <v>0.80555555555555547</v>
      </c>
      <c r="BB310" s="32">
        <f t="shared" si="129"/>
        <v>0.94444444444444442</v>
      </c>
      <c r="BC310" s="7">
        <f t="shared" si="130"/>
        <v>0.78703703703703687</v>
      </c>
      <c r="BD310" s="7">
        <f t="shared" si="131"/>
        <v>0.98148148148148151</v>
      </c>
      <c r="BE310">
        <f>step3_validation[[#This Row],[AI_OUT1]]</f>
        <v>9</v>
      </c>
      <c r="BF310">
        <f t="shared" si="132"/>
        <v>0.88888888888888884</v>
      </c>
      <c r="BG310">
        <f>survey_responses[[#This Row],[Sau khi xem xét các quyền lợi và nghĩa vụ, bạn có ủng hộ và tuân thủ chính sách mới hiện nay? - HUMAN-OUT1]]</f>
        <v>10</v>
      </c>
      <c r="BH310">
        <f t="shared" si="133"/>
        <v>1</v>
      </c>
      <c r="BI310" s="32">
        <f t="shared" si="134"/>
        <v>1</v>
      </c>
    </row>
    <row r="311" spans="1:61" x14ac:dyDescent="0.45">
      <c r="A311" s="30">
        <f>step3_validation[[#This Row],[Persona_ID]]</f>
        <v>310</v>
      </c>
      <c r="B311" s="31">
        <f>step3_validation[[#This Row],[Used_Seed]]</f>
        <v>351</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20.305435334393543</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f t="shared" si="108"/>
        <v>0.66666666666666663</v>
      </c>
      <c r="S311">
        <f>survey_responses[[#This Row],[Tôi tin rằng với các quy định quản lý thuế hiện nay, hành vi gian lận hoặc trốn thuế sẽ dễ dàng bị phát hiện và xử lý nghiêm. - HUMAN-ENF1]]</f>
        <v>7</v>
      </c>
      <c r="T311">
        <f t="shared" si="109"/>
        <v>0.66666666666666663</v>
      </c>
      <c r="U311">
        <f>step3_validation[[#This Row],[AI_ENF2]]</f>
        <v>6</v>
      </c>
      <c r="V311">
        <f t="shared" si="110"/>
        <v>0.55555555555555558</v>
      </c>
      <c r="W311">
        <f>survey_responses[[#This Row],[Tôi tin rằng Nhà nước, cơ quan thuế có đủ khả năng và công nghệ để phát hiện, xử lý nghiêm các hành vi trốn thuế. - HUMAN-ENF2]]</f>
        <v>7</v>
      </c>
      <c r="X311">
        <f t="shared" si="111"/>
        <v>0.66666666666666663</v>
      </c>
      <c r="Y311" s="32">
        <f t="shared" si="112"/>
        <v>0.61111111111111116</v>
      </c>
      <c r="Z311" s="32">
        <f t="shared" si="113"/>
        <v>0.66666666666666663</v>
      </c>
      <c r="AA311">
        <f>step3_validation[[#This Row],[AI_FAC1]]</f>
        <v>9</v>
      </c>
      <c r="AB311">
        <f t="shared" si="114"/>
        <v>0.88888888888888884</v>
      </c>
      <c r="AC311">
        <f>survey_responses[[#This Row],[Các thủ tục khai báo thuế VÀ/HOẶC quy trình làm việc với cơ quan thuế đơn giản, tiện lợi, nhanh chóng hơn so với trước đây. - HUMAN-FAC1]]</f>
        <v>5</v>
      </c>
      <c r="AD311">
        <f t="shared" si="115"/>
        <v>0.44444444444444442</v>
      </c>
      <c r="AE311">
        <f>step3_validation[[#This Row],[AI_FAC2]]</f>
        <v>10</v>
      </c>
      <c r="AF311">
        <f t="shared" si="116"/>
        <v>1</v>
      </c>
      <c r="AG311">
        <f>survey_responses[[#This Row],[So với trước đây, tôi thấy cách tính thuế và các bậc thuế trong phương án mới đơn giản, dễ hiểu và dễ thực hiện hơn. - HUMAN-FAC2]]</f>
        <v>8</v>
      </c>
      <c r="AH311">
        <f t="shared" si="117"/>
        <v>0.77777777777777779</v>
      </c>
      <c r="AI311" s="32">
        <f t="shared" si="118"/>
        <v>0.94444444444444442</v>
      </c>
      <c r="AJ311" s="32">
        <f t="shared" si="119"/>
        <v>0.61111111111111116</v>
      </c>
      <c r="AK311">
        <f>step3_validation[[#This Row],[AI_TRU1]]</f>
        <v>8</v>
      </c>
      <c r="AL311">
        <f t="shared" si="120"/>
        <v>0.77777777777777779</v>
      </c>
      <c r="AM311">
        <f>survey_responses[[#This Row],[Tôi tin rằng Nhà nước, cơ quan thuế sẽ thực thi chính sách mới một cách khách quan, công tâm và đối xử bình đẳng với mọi người nộp thuế.  - HUMAN-TRU1]]</f>
        <v>8</v>
      </c>
      <c r="AN311">
        <f t="shared" si="121"/>
        <v>0.77777777777777779</v>
      </c>
      <c r="AO311">
        <f>step3_validation[[#This Row],[AI_TRU2]]</f>
        <v>9</v>
      </c>
      <c r="AP311">
        <f t="shared" si="122"/>
        <v>0.88888888888888884</v>
      </c>
      <c r="AQ311">
        <f>survey_responses[[#This Row],[Tôi thấy mức thuế tôi phải đóng theo phương án mới là công bằng (người thu nhập như tôi đóng mức này là hợp lý). - HUMAN-TRU2]]</f>
        <v>9</v>
      </c>
      <c r="AR311">
        <f t="shared" si="123"/>
        <v>0.88888888888888884</v>
      </c>
      <c r="AS311">
        <f>step3_validation[[#This Row],[AI_TRU3]]</f>
        <v>7</v>
      </c>
      <c r="AT311">
        <f t="shared" si="124"/>
        <v>0.66666666666666663</v>
      </c>
      <c r="AU311">
        <f>survey_responses[[#This Row],[Tôi tin tưởng số tiền thuế tôi đóng sẽ được Nhà nước sử dụng hiệu quả để cải thiện dịch vụ công (y tế, đường xá...). - HUMAN-TRU3]]</f>
        <v>9</v>
      </c>
      <c r="AV311">
        <f t="shared" si="125"/>
        <v>0.88888888888888884</v>
      </c>
      <c r="AW311">
        <f>step3_validation[[#This Row],[AI_TRU4]]</f>
        <v>8</v>
      </c>
      <c r="AX311">
        <f t="shared" si="126"/>
        <v>0.77777777777777779</v>
      </c>
      <c r="AY311">
        <f>survey_responses[[#This Row],[Tôi thấy Nhà nước đã giải thích rõ ràng, minh bạch về lý do và mục tiêu của việc sửa đổi thuế lần này. - HUMAN-TRU4]]</f>
        <v>9</v>
      </c>
      <c r="AZ311">
        <f t="shared" si="127"/>
        <v>0.88888888888888884</v>
      </c>
      <c r="BA311" s="32">
        <f t="shared" si="128"/>
        <v>0.77777777777777768</v>
      </c>
      <c r="BB311" s="32">
        <f t="shared" si="129"/>
        <v>0.86111111111111105</v>
      </c>
      <c r="BC311" s="7">
        <f t="shared" si="130"/>
        <v>0.77777777777777768</v>
      </c>
      <c r="BD311" s="7">
        <f t="shared" si="131"/>
        <v>0.71296296296296291</v>
      </c>
      <c r="BE311">
        <f>step3_validation[[#This Row],[AI_OUT1]]</f>
        <v>9</v>
      </c>
      <c r="BF311">
        <f t="shared" si="132"/>
        <v>0.88888888888888884</v>
      </c>
      <c r="BG311">
        <f>survey_responses[[#This Row],[Sau khi xem xét các quyền lợi và nghĩa vụ, bạn có ủng hộ và tuân thủ chính sách mới hiện nay? - HUMAN-OUT1]]</f>
        <v>10</v>
      </c>
      <c r="BH311">
        <f t="shared" si="133"/>
        <v>1</v>
      </c>
      <c r="BI311" s="32">
        <f t="shared" si="134"/>
        <v>1</v>
      </c>
    </row>
    <row r="312" spans="1:61" x14ac:dyDescent="0.45">
      <c r="A312" s="30">
        <f>step3_validation[[#This Row],[Persona_ID]]</f>
        <v>311</v>
      </c>
      <c r="B312" s="31">
        <f>step3_validation[[#This Row],[Used_Seed]]</f>
        <v>352</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12.462036994725276</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7</v>
      </c>
      <c r="R312">
        <f t="shared" si="108"/>
        <v>0.66666666666666663</v>
      </c>
      <c r="S312">
        <f>survey_responses[[#This Row],[Tôi tin rằng với các quy định quản lý thuế hiện nay, hành vi gian lận hoặc trốn thuế sẽ dễ dàng bị phát hiện và xử lý nghiêm. - HUMAN-ENF1]]</f>
        <v>6</v>
      </c>
      <c r="T312">
        <f t="shared" si="109"/>
        <v>0.55555555555555558</v>
      </c>
      <c r="U312">
        <f>step3_validation[[#This Row],[AI_ENF2]]</f>
        <v>6</v>
      </c>
      <c r="V312">
        <f t="shared" si="110"/>
        <v>0.55555555555555558</v>
      </c>
      <c r="W312">
        <f>survey_responses[[#This Row],[Tôi tin rằng Nhà nước, cơ quan thuế có đủ khả năng và công nghệ để phát hiện, xử lý nghiêm các hành vi trốn thuế. - HUMAN-ENF2]]</f>
        <v>5</v>
      </c>
      <c r="X312">
        <f t="shared" si="111"/>
        <v>0.44444444444444442</v>
      </c>
      <c r="Y312" s="32">
        <f t="shared" si="112"/>
        <v>0.61111111111111116</v>
      </c>
      <c r="Z312" s="32">
        <f t="shared" si="113"/>
        <v>0.5</v>
      </c>
      <c r="AA312">
        <f>step3_validation[[#This Row],[AI_FAC1]]</f>
        <v>8</v>
      </c>
      <c r="AB312">
        <f t="shared" si="114"/>
        <v>0.77777777777777779</v>
      </c>
      <c r="AC312">
        <f>survey_responses[[#This Row],[Các thủ tục khai báo thuế VÀ/HOẶC quy trình làm việc với cơ quan thuế đơn giản, tiện lợi, nhanh chóng hơn so với trước đây. - HUMAN-FAC1]]</f>
        <v>4</v>
      </c>
      <c r="AD312">
        <f t="shared" si="115"/>
        <v>0.33333333333333331</v>
      </c>
      <c r="AE312">
        <f>step3_validation[[#This Row],[AI_FAC2]]</f>
        <v>9</v>
      </c>
      <c r="AF312">
        <f t="shared" si="116"/>
        <v>0.88888888888888884</v>
      </c>
      <c r="AG312">
        <f>survey_responses[[#This Row],[So với trước đây, tôi thấy cách tính thuế và các bậc thuế trong phương án mới đơn giản, dễ hiểu và dễ thực hiện hơn. - HUMAN-FAC2]]</f>
        <v>7</v>
      </c>
      <c r="AH312">
        <f t="shared" si="117"/>
        <v>0.66666666666666663</v>
      </c>
      <c r="AI312" s="32">
        <f t="shared" si="118"/>
        <v>0.83333333333333326</v>
      </c>
      <c r="AJ312" s="32">
        <f t="shared" si="119"/>
        <v>0.5</v>
      </c>
      <c r="AK312">
        <f>step3_validation[[#This Row],[AI_TRU1]]</f>
        <v>7</v>
      </c>
      <c r="AL312">
        <f t="shared" si="120"/>
        <v>0.66666666666666663</v>
      </c>
      <c r="AM312">
        <f>survey_responses[[#This Row],[Tôi tin rằng Nhà nước, cơ quan thuế sẽ thực thi chính sách mới một cách khách quan, công tâm và đối xử bình đẳng với mọi người nộp thuế.  - HUMAN-TRU1]]</f>
        <v>5</v>
      </c>
      <c r="AN312">
        <f t="shared" si="121"/>
        <v>0.44444444444444442</v>
      </c>
      <c r="AO312">
        <f>step3_validation[[#This Row],[AI_TRU2]]</f>
        <v>9</v>
      </c>
      <c r="AP312">
        <f t="shared" si="122"/>
        <v>0.88888888888888884</v>
      </c>
      <c r="AQ312">
        <f>survey_responses[[#This Row],[Tôi thấy mức thuế tôi phải đóng theo phương án mới là công bằng (người thu nhập như tôi đóng mức này là hợp lý). - HUMAN-TRU2]]</f>
        <v>6</v>
      </c>
      <c r="AR312">
        <f t="shared" si="123"/>
        <v>0.55555555555555558</v>
      </c>
      <c r="AS312">
        <f>step3_validation[[#This Row],[AI_TRU3]]</f>
        <v>8</v>
      </c>
      <c r="AT312">
        <f t="shared" si="124"/>
        <v>0.77777777777777779</v>
      </c>
      <c r="AU312">
        <f>survey_responses[[#This Row],[Tôi tin tưởng số tiền thuế tôi đóng sẽ được Nhà nước sử dụng hiệu quả để cải thiện dịch vụ công (y tế, đường xá...). - HUMAN-TRU3]]</f>
        <v>6</v>
      </c>
      <c r="AV312">
        <f t="shared" si="125"/>
        <v>0.55555555555555558</v>
      </c>
      <c r="AW312">
        <f>step3_validation[[#This Row],[AI_TRU4]]</f>
        <v>7</v>
      </c>
      <c r="AX312">
        <f t="shared" si="126"/>
        <v>0.66666666666666663</v>
      </c>
      <c r="AY312">
        <f>survey_responses[[#This Row],[Tôi thấy Nhà nước đã giải thích rõ ràng, minh bạch về lý do và mục tiêu của việc sửa đổi thuế lần này. - HUMAN-TRU4]]</f>
        <v>7</v>
      </c>
      <c r="AZ312">
        <f t="shared" si="127"/>
        <v>0.66666666666666663</v>
      </c>
      <c r="BA312" s="32">
        <f t="shared" si="128"/>
        <v>0.74999999999999989</v>
      </c>
      <c r="BB312" s="32">
        <f t="shared" si="129"/>
        <v>0.55555555555555558</v>
      </c>
      <c r="BC312" s="7">
        <f t="shared" si="130"/>
        <v>0.7314814814814814</v>
      </c>
      <c r="BD312" s="7">
        <f t="shared" si="131"/>
        <v>0.51851851851851849</v>
      </c>
      <c r="BE312">
        <f>step3_validation[[#This Row],[AI_OUT1]]</f>
        <v>8</v>
      </c>
      <c r="BF312">
        <f t="shared" si="132"/>
        <v>0.77777777777777779</v>
      </c>
      <c r="BG312">
        <f>survey_responses[[#This Row],[Sau khi xem xét các quyền lợi và nghĩa vụ, bạn có ủng hộ và tuân thủ chính sách mới hiện nay? - HUMAN-OUT1]]</f>
        <v>7</v>
      </c>
      <c r="BH312">
        <f t="shared" si="133"/>
        <v>0.66666666666666663</v>
      </c>
      <c r="BI312" s="32">
        <f t="shared" si="134"/>
        <v>1</v>
      </c>
    </row>
    <row r="313" spans="1:61" x14ac:dyDescent="0.45">
      <c r="A313" s="30">
        <f>step3_validation[[#This Row],[Persona_ID]]</f>
        <v>312</v>
      </c>
      <c r="B313" s="31">
        <f>step3_validation[[#This Row],[Used_Seed]]</f>
        <v>353</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19.905338494533282</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7</v>
      </c>
      <c r="R313">
        <f t="shared" si="108"/>
        <v>0.66666666666666663</v>
      </c>
      <c r="S313">
        <f>survey_responses[[#This Row],[Tôi tin rằng với các quy định quản lý thuế hiện nay, hành vi gian lận hoặc trốn thuế sẽ dễ dàng bị phát hiện và xử lý nghiêm. - HUMAN-ENF1]]</f>
        <v>8</v>
      </c>
      <c r="T313">
        <f t="shared" si="109"/>
        <v>0.77777777777777779</v>
      </c>
      <c r="U313">
        <f>step3_validation[[#This Row],[AI_ENF2]]</f>
        <v>8</v>
      </c>
      <c r="V313">
        <f t="shared" si="110"/>
        <v>0.77777777777777779</v>
      </c>
      <c r="W313">
        <f>survey_responses[[#This Row],[Tôi tin rằng Nhà nước, cơ quan thuế có đủ khả năng và công nghệ để phát hiện, xử lý nghiêm các hành vi trốn thuế. - HUMAN-ENF2]]</f>
        <v>9</v>
      </c>
      <c r="X313">
        <f t="shared" si="111"/>
        <v>0.88888888888888884</v>
      </c>
      <c r="Y313" s="32">
        <f t="shared" si="112"/>
        <v>0.72222222222222221</v>
      </c>
      <c r="Z313" s="32">
        <f t="shared" si="113"/>
        <v>0.83333333333333326</v>
      </c>
      <c r="AA313">
        <f>step3_validation[[#This Row],[AI_FAC1]]</f>
        <v>6</v>
      </c>
      <c r="AB313">
        <f t="shared" si="114"/>
        <v>0.55555555555555558</v>
      </c>
      <c r="AC313">
        <f>survey_responses[[#This Row],[Các thủ tục khai báo thuế VÀ/HOẶC quy trình làm việc với cơ quan thuế đơn giản, tiện lợi, nhanh chóng hơn so với trước đây. - HUMAN-FAC1]]</f>
        <v>10</v>
      </c>
      <c r="AD313">
        <f t="shared" si="115"/>
        <v>1</v>
      </c>
      <c r="AE313">
        <f>step3_validation[[#This Row],[AI_FAC2]]</f>
        <v>7</v>
      </c>
      <c r="AF313">
        <f t="shared" si="116"/>
        <v>0.66666666666666663</v>
      </c>
      <c r="AG313">
        <f>survey_responses[[#This Row],[So với trước đây, tôi thấy cách tính thuế và các bậc thuế trong phương án mới đơn giản, dễ hiểu và dễ thực hiện hơn. - HUMAN-FAC2]]</f>
        <v>10</v>
      </c>
      <c r="AH313">
        <f t="shared" si="117"/>
        <v>1</v>
      </c>
      <c r="AI313" s="32">
        <f t="shared" si="118"/>
        <v>0.61111111111111116</v>
      </c>
      <c r="AJ313" s="32">
        <f t="shared" si="119"/>
        <v>1</v>
      </c>
      <c r="AK313">
        <f>step3_validation[[#This Row],[AI_TRU1]]</f>
        <v>8</v>
      </c>
      <c r="AL313">
        <f t="shared" si="120"/>
        <v>0.77777777777777779</v>
      </c>
      <c r="AM313">
        <f>survey_responses[[#This Row],[Tôi tin rằng Nhà nước, cơ quan thuế sẽ thực thi chính sách mới một cách khách quan, công tâm và đối xử bình đẳng với mọi người nộp thuế.  - HUMAN-TRU1]]</f>
        <v>8</v>
      </c>
      <c r="AN313">
        <f t="shared" si="121"/>
        <v>0.77777777777777779</v>
      </c>
      <c r="AO313">
        <f>step3_validation[[#This Row],[AI_TRU2]]</f>
        <v>9</v>
      </c>
      <c r="AP313">
        <f t="shared" si="122"/>
        <v>0.88888888888888884</v>
      </c>
      <c r="AQ313">
        <f>survey_responses[[#This Row],[Tôi thấy mức thuế tôi phải đóng theo phương án mới là công bằng (người thu nhập như tôi đóng mức này là hợp lý). - HUMAN-TRU2]]</f>
        <v>9</v>
      </c>
      <c r="AR313">
        <f t="shared" si="123"/>
        <v>0.88888888888888884</v>
      </c>
      <c r="AS313">
        <f>step3_validation[[#This Row],[AI_TRU3]]</f>
        <v>7</v>
      </c>
      <c r="AT313">
        <f t="shared" si="124"/>
        <v>0.66666666666666663</v>
      </c>
      <c r="AU313">
        <f>survey_responses[[#This Row],[Tôi tin tưởng số tiền thuế tôi đóng sẽ được Nhà nước sử dụng hiệu quả để cải thiện dịch vụ công (y tế, đường xá...). - HUMAN-TRU3]]</f>
        <v>8</v>
      </c>
      <c r="AV313">
        <f t="shared" si="125"/>
        <v>0.77777777777777779</v>
      </c>
      <c r="AW313">
        <f>step3_validation[[#This Row],[AI_TRU4]]</f>
        <v>8</v>
      </c>
      <c r="AX313">
        <f t="shared" si="126"/>
        <v>0.77777777777777779</v>
      </c>
      <c r="AY313">
        <f>survey_responses[[#This Row],[Tôi thấy Nhà nước đã giải thích rõ ràng, minh bạch về lý do và mục tiêu của việc sửa đổi thuế lần này. - HUMAN-TRU4]]</f>
        <v>8</v>
      </c>
      <c r="AZ313">
        <f t="shared" si="127"/>
        <v>0.77777777777777779</v>
      </c>
      <c r="BA313" s="32">
        <f t="shared" si="128"/>
        <v>0.77777777777777768</v>
      </c>
      <c r="BB313" s="32">
        <f t="shared" si="129"/>
        <v>0.80555555555555547</v>
      </c>
      <c r="BC313" s="7">
        <f t="shared" si="130"/>
        <v>0.70370370370370372</v>
      </c>
      <c r="BD313" s="7">
        <f t="shared" si="131"/>
        <v>0.87962962962962965</v>
      </c>
      <c r="BE313">
        <f>step3_validation[[#This Row],[AI_OUT1]]</f>
        <v>9</v>
      </c>
      <c r="BF313">
        <f t="shared" si="132"/>
        <v>0.88888888888888884</v>
      </c>
      <c r="BG313">
        <f>survey_responses[[#This Row],[Sau khi xem xét các quyền lợi và nghĩa vụ, bạn có ủng hộ và tuân thủ chính sách mới hiện nay? - HUMAN-OUT1]]</f>
        <v>10</v>
      </c>
      <c r="BH313">
        <f t="shared" si="133"/>
        <v>1</v>
      </c>
      <c r="BI313" s="32">
        <f t="shared" si="134"/>
        <v>1</v>
      </c>
    </row>
    <row r="314" spans="1:61" x14ac:dyDescent="0.45">
      <c r="A314" s="30">
        <f>step3_validation[[#This Row],[Persona_ID]]</f>
        <v>313</v>
      </c>
      <c r="B314" s="31">
        <f>step3_validation[[#This Row],[Used_Seed]]</f>
        <v>354</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13.72399501447819</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8</v>
      </c>
      <c r="R314">
        <f t="shared" si="108"/>
        <v>0.77777777777777779</v>
      </c>
      <c r="S314">
        <f>survey_responses[[#This Row],[Tôi tin rằng với các quy định quản lý thuế hiện nay, hành vi gian lận hoặc trốn thuế sẽ dễ dàng bị phát hiện và xử lý nghiêm. - HUMAN-ENF1]]</f>
        <v>6</v>
      </c>
      <c r="T314">
        <f t="shared" si="109"/>
        <v>0.55555555555555558</v>
      </c>
      <c r="U314">
        <f>step3_validation[[#This Row],[AI_ENF2]]</f>
        <v>8</v>
      </c>
      <c r="V314">
        <f t="shared" si="110"/>
        <v>0.77777777777777779</v>
      </c>
      <c r="W314">
        <f>survey_responses[[#This Row],[Tôi tin rằng Nhà nước, cơ quan thuế có đủ khả năng và công nghệ để phát hiện, xử lý nghiêm các hành vi trốn thuế. - HUMAN-ENF2]]</f>
        <v>6</v>
      </c>
      <c r="X314">
        <f t="shared" si="111"/>
        <v>0.55555555555555558</v>
      </c>
      <c r="Y314" s="32">
        <f t="shared" si="112"/>
        <v>0.77777777777777779</v>
      </c>
      <c r="Z314" s="32">
        <f t="shared" si="113"/>
        <v>0.55555555555555558</v>
      </c>
      <c r="AA314">
        <f>step3_validation[[#This Row],[AI_FAC1]]</f>
        <v>9</v>
      </c>
      <c r="AB314">
        <f t="shared" si="114"/>
        <v>0.88888888888888884</v>
      </c>
      <c r="AC314">
        <f>survey_responses[[#This Row],[Các thủ tục khai báo thuế VÀ/HOẶC quy trình làm việc với cơ quan thuế đơn giản, tiện lợi, nhanh chóng hơn so với trước đây. - HUMAN-FAC1]]</f>
        <v>7</v>
      </c>
      <c r="AD314">
        <f t="shared" si="115"/>
        <v>0.66666666666666663</v>
      </c>
      <c r="AE314">
        <f>step3_validation[[#This Row],[AI_FAC2]]</f>
        <v>9</v>
      </c>
      <c r="AF314">
        <f t="shared" si="116"/>
        <v>0.88888888888888884</v>
      </c>
      <c r="AG314">
        <f>survey_responses[[#This Row],[So với trước đây, tôi thấy cách tính thuế và các bậc thuế trong phương án mới đơn giản, dễ hiểu và dễ thực hiện hơn. - HUMAN-FAC2]]</f>
        <v>7</v>
      </c>
      <c r="AH314">
        <f t="shared" si="117"/>
        <v>0.66666666666666663</v>
      </c>
      <c r="AI314" s="32">
        <f t="shared" si="118"/>
        <v>0.88888888888888884</v>
      </c>
      <c r="AJ314" s="32">
        <f t="shared" si="119"/>
        <v>0.66666666666666663</v>
      </c>
      <c r="AK314">
        <f>step3_validation[[#This Row],[AI_TRU1]]</f>
        <v>9</v>
      </c>
      <c r="AL314">
        <f t="shared" si="120"/>
        <v>0.88888888888888884</v>
      </c>
      <c r="AM314">
        <f>survey_responses[[#This Row],[Tôi tin rằng Nhà nước, cơ quan thuế sẽ thực thi chính sách mới một cách khách quan, công tâm và đối xử bình đẳng với mọi người nộp thuế.  - HUMAN-TRU1]]</f>
        <v>7</v>
      </c>
      <c r="AN314">
        <f t="shared" si="121"/>
        <v>0.66666666666666663</v>
      </c>
      <c r="AO314">
        <f>step3_validation[[#This Row],[AI_TRU2]]</f>
        <v>9</v>
      </c>
      <c r="AP314">
        <f t="shared" si="122"/>
        <v>0.88888888888888884</v>
      </c>
      <c r="AQ314">
        <f>survey_responses[[#This Row],[Tôi thấy mức thuế tôi phải đóng theo phương án mới là công bằng (người thu nhập như tôi đóng mức này là hợp lý). - HUMAN-TRU2]]</f>
        <v>8</v>
      </c>
      <c r="AR314">
        <f t="shared" si="123"/>
        <v>0.77777777777777779</v>
      </c>
      <c r="AS314">
        <f>step3_validation[[#This Row],[AI_TRU3]]</f>
        <v>9</v>
      </c>
      <c r="AT314">
        <f t="shared" si="124"/>
        <v>0.88888888888888884</v>
      </c>
      <c r="AU314">
        <f>survey_responses[[#This Row],[Tôi tin tưởng số tiền thuế tôi đóng sẽ được Nhà nước sử dụng hiệu quả để cải thiện dịch vụ công (y tế, đường xá...). - HUMAN-TRU3]]</f>
        <v>5</v>
      </c>
      <c r="AV314">
        <f t="shared" si="125"/>
        <v>0.44444444444444442</v>
      </c>
      <c r="AW314">
        <f>step3_validation[[#This Row],[AI_TRU4]]</f>
        <v>9</v>
      </c>
      <c r="AX314">
        <f t="shared" si="126"/>
        <v>0.88888888888888884</v>
      </c>
      <c r="AY314">
        <f>survey_responses[[#This Row],[Tôi thấy Nhà nước đã giải thích rõ ràng, minh bạch về lý do và mục tiêu của việc sửa đổi thuế lần này. - HUMAN-TRU4]]</f>
        <v>5</v>
      </c>
      <c r="AZ314">
        <f t="shared" si="127"/>
        <v>0.44444444444444442</v>
      </c>
      <c r="BA314" s="32">
        <f t="shared" si="128"/>
        <v>0.88888888888888884</v>
      </c>
      <c r="BB314" s="32">
        <f t="shared" si="129"/>
        <v>0.58333333333333326</v>
      </c>
      <c r="BC314" s="7">
        <f t="shared" si="130"/>
        <v>0.85185185185185175</v>
      </c>
      <c r="BD314" s="7">
        <f t="shared" si="131"/>
        <v>0.60185185185185186</v>
      </c>
      <c r="BE314">
        <f>step3_validation[[#This Row],[AI_OUT1]]</f>
        <v>10</v>
      </c>
      <c r="BF314">
        <f t="shared" si="132"/>
        <v>1</v>
      </c>
      <c r="BG314">
        <f>survey_responses[[#This Row],[Sau khi xem xét các quyền lợi và nghĩa vụ, bạn có ủng hộ và tuân thủ chính sách mới hiện nay? - HUMAN-OUT1]]</f>
        <v>8</v>
      </c>
      <c r="BH314">
        <f t="shared" si="133"/>
        <v>0.77777777777777779</v>
      </c>
      <c r="BI314" s="32">
        <f t="shared" si="134"/>
        <v>2</v>
      </c>
    </row>
    <row r="315" spans="1:61" x14ac:dyDescent="0.45">
      <c r="A315" s="30">
        <f>step3_validation[[#This Row],[Persona_ID]]</f>
        <v>314</v>
      </c>
      <c r="B315" s="31">
        <f>step3_validation[[#This Row],[Used_Seed]]</f>
        <v>355</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14.633948040503883</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6</v>
      </c>
      <c r="R315">
        <f t="shared" si="108"/>
        <v>0.55555555555555558</v>
      </c>
      <c r="S315">
        <f>survey_responses[[#This Row],[Tôi tin rằng với các quy định quản lý thuế hiện nay, hành vi gian lận hoặc trốn thuế sẽ dễ dàng bị phát hiện và xử lý nghiêm. - HUMAN-ENF1]]</f>
        <v>7</v>
      </c>
      <c r="T315">
        <f t="shared" si="109"/>
        <v>0.66666666666666663</v>
      </c>
      <c r="U315">
        <f>step3_validation[[#This Row],[AI_ENF2]]</f>
        <v>7</v>
      </c>
      <c r="V315">
        <f t="shared" si="110"/>
        <v>0.66666666666666663</v>
      </c>
      <c r="W315">
        <f>survey_responses[[#This Row],[Tôi tin rằng Nhà nước, cơ quan thuế có đủ khả năng và công nghệ để phát hiện, xử lý nghiêm các hành vi trốn thuế. - HUMAN-ENF2]]</f>
        <v>8</v>
      </c>
      <c r="X315">
        <f t="shared" si="111"/>
        <v>0.77777777777777779</v>
      </c>
      <c r="Y315" s="32">
        <f t="shared" si="112"/>
        <v>0.61111111111111116</v>
      </c>
      <c r="Z315" s="32">
        <f t="shared" si="113"/>
        <v>0.72222222222222221</v>
      </c>
      <c r="AA315">
        <f>step3_validation[[#This Row],[AI_FAC1]]</f>
        <v>9</v>
      </c>
      <c r="AB315">
        <f t="shared" si="114"/>
        <v>0.88888888888888884</v>
      </c>
      <c r="AC315">
        <f>survey_responses[[#This Row],[Các thủ tục khai báo thuế VÀ/HOẶC quy trình làm việc với cơ quan thuế đơn giản, tiện lợi, nhanh chóng hơn so với trước đây. - HUMAN-FAC1]]</f>
        <v>8</v>
      </c>
      <c r="AD315">
        <f t="shared" si="115"/>
        <v>0.77777777777777779</v>
      </c>
      <c r="AE315">
        <f>step3_validation[[#This Row],[AI_FAC2]]</f>
        <v>8</v>
      </c>
      <c r="AF315">
        <f t="shared" si="116"/>
        <v>0.77777777777777779</v>
      </c>
      <c r="AG315">
        <f>survey_responses[[#This Row],[So với trước đây, tôi thấy cách tính thuế và các bậc thuế trong phương án mới đơn giản, dễ hiểu và dễ thực hiện hơn. - HUMAN-FAC2]]</f>
        <v>8</v>
      </c>
      <c r="AH315">
        <f t="shared" si="117"/>
        <v>0.77777777777777779</v>
      </c>
      <c r="AI315" s="32">
        <f t="shared" si="118"/>
        <v>0.83333333333333326</v>
      </c>
      <c r="AJ315" s="32">
        <f t="shared" si="119"/>
        <v>0.77777777777777779</v>
      </c>
      <c r="AK315">
        <f>step3_validation[[#This Row],[AI_TRU1]]</f>
        <v>9</v>
      </c>
      <c r="AL315">
        <f t="shared" si="120"/>
        <v>0.88888888888888884</v>
      </c>
      <c r="AM315">
        <f>survey_responses[[#This Row],[Tôi tin rằng Nhà nước, cơ quan thuế sẽ thực thi chính sách mới một cách khách quan, công tâm và đối xử bình đẳng với mọi người nộp thuế.  - HUMAN-TRU1]]</f>
        <v>5</v>
      </c>
      <c r="AN315">
        <f t="shared" si="121"/>
        <v>0.44444444444444442</v>
      </c>
      <c r="AO315">
        <f>step3_validation[[#This Row],[AI_TRU2]]</f>
        <v>8</v>
      </c>
      <c r="AP315">
        <f t="shared" si="122"/>
        <v>0.77777777777777779</v>
      </c>
      <c r="AQ315">
        <f>survey_responses[[#This Row],[Tôi thấy mức thuế tôi phải đóng theo phương án mới là công bằng (người thu nhập như tôi đóng mức này là hợp lý). - HUMAN-TRU2]]</f>
        <v>8</v>
      </c>
      <c r="AR315">
        <f t="shared" si="123"/>
        <v>0.77777777777777779</v>
      </c>
      <c r="AS315">
        <f>step3_validation[[#This Row],[AI_TRU3]]</f>
        <v>9</v>
      </c>
      <c r="AT315">
        <f t="shared" si="124"/>
        <v>0.88888888888888884</v>
      </c>
      <c r="AU315">
        <f>survey_responses[[#This Row],[Tôi tin tưởng số tiền thuế tôi đóng sẽ được Nhà nước sử dụng hiệu quả để cải thiện dịch vụ công (y tế, đường xá...). - HUMAN-TRU3]]</f>
        <v>6</v>
      </c>
      <c r="AV315">
        <f t="shared" si="125"/>
        <v>0.55555555555555558</v>
      </c>
      <c r="AW315">
        <f>step3_validation[[#This Row],[AI_TRU4]]</f>
        <v>8</v>
      </c>
      <c r="AX315">
        <f t="shared" si="126"/>
        <v>0.77777777777777779</v>
      </c>
      <c r="AY315">
        <f>survey_responses[[#This Row],[Tôi thấy Nhà nước đã giải thích rõ ràng, minh bạch về lý do và mục tiêu của việc sửa đổi thuế lần này. - HUMAN-TRU4]]</f>
        <v>6</v>
      </c>
      <c r="AZ315">
        <f t="shared" si="127"/>
        <v>0.55555555555555558</v>
      </c>
      <c r="BA315" s="32">
        <f t="shared" si="128"/>
        <v>0.83333333333333326</v>
      </c>
      <c r="BB315" s="32">
        <f t="shared" si="129"/>
        <v>0.58333333333333337</v>
      </c>
      <c r="BC315" s="7">
        <f t="shared" si="130"/>
        <v>0.75925925925925919</v>
      </c>
      <c r="BD315" s="7">
        <f t="shared" si="131"/>
        <v>0.69444444444444453</v>
      </c>
      <c r="BE315">
        <f>step3_validation[[#This Row],[AI_OUT1]]</f>
        <v>9</v>
      </c>
      <c r="BF315">
        <f t="shared" si="132"/>
        <v>0.88888888888888884</v>
      </c>
      <c r="BG315">
        <f>survey_responses[[#This Row],[Sau khi xem xét các quyền lợi và nghĩa vụ, bạn có ủng hộ và tuân thủ chính sách mới hiện nay? - HUMAN-OUT1]]</f>
        <v>8</v>
      </c>
      <c r="BH315">
        <f t="shared" si="133"/>
        <v>0.77777777777777779</v>
      </c>
      <c r="BI315" s="32">
        <f t="shared" si="134"/>
        <v>1</v>
      </c>
    </row>
    <row r="316" spans="1:61" x14ac:dyDescent="0.45">
      <c r="A316" s="30">
        <f>step3_validation[[#This Row],[Persona_ID]]</f>
        <v>315</v>
      </c>
      <c r="B316" s="31">
        <f>step3_validation[[#This Row],[Used_Seed]]</f>
        <v>356</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21.627386207887497</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f t="shared" si="108"/>
        <v>0.66666666666666663</v>
      </c>
      <c r="S316">
        <f>survey_responses[[#This Row],[Tôi tin rằng với các quy định quản lý thuế hiện nay, hành vi gian lận hoặc trốn thuế sẽ dễ dàng bị phát hiện và xử lý nghiêm. - HUMAN-ENF1]]</f>
        <v>4</v>
      </c>
      <c r="T316">
        <f t="shared" si="109"/>
        <v>0.33333333333333331</v>
      </c>
      <c r="U316">
        <f>step3_validation[[#This Row],[AI_ENF2]]</f>
        <v>6</v>
      </c>
      <c r="V316">
        <f t="shared" si="110"/>
        <v>0.55555555555555558</v>
      </c>
      <c r="W316">
        <f>survey_responses[[#This Row],[Tôi tin rằng Nhà nước, cơ quan thuế có đủ khả năng và công nghệ để phát hiện, xử lý nghiêm các hành vi trốn thuế. - HUMAN-ENF2]]</f>
        <v>5</v>
      </c>
      <c r="X316">
        <f t="shared" si="111"/>
        <v>0.44444444444444442</v>
      </c>
      <c r="Y316" s="32">
        <f t="shared" si="112"/>
        <v>0.61111111111111116</v>
      </c>
      <c r="Z316" s="32">
        <f t="shared" si="113"/>
        <v>0.38888888888888884</v>
      </c>
      <c r="AA316">
        <f>step3_validation[[#This Row],[AI_FAC1]]</f>
        <v>5</v>
      </c>
      <c r="AB316">
        <f t="shared" si="114"/>
        <v>0.44444444444444442</v>
      </c>
      <c r="AC316">
        <f>survey_responses[[#This Row],[Các thủ tục khai báo thuế VÀ/HOẶC quy trình làm việc với cơ quan thuế đơn giản, tiện lợi, nhanh chóng hơn so với trước đây. - HUMAN-FAC1]]</f>
        <v>5</v>
      </c>
      <c r="AD316">
        <f t="shared" si="115"/>
        <v>0.44444444444444442</v>
      </c>
      <c r="AE316">
        <f>step3_validation[[#This Row],[AI_FAC2]]</f>
        <v>9</v>
      </c>
      <c r="AF316">
        <f t="shared" si="116"/>
        <v>0.88888888888888884</v>
      </c>
      <c r="AG316">
        <f>survey_responses[[#This Row],[So với trước đây, tôi thấy cách tính thuế và các bậc thuế trong phương án mới đơn giản, dễ hiểu và dễ thực hiện hơn. - HUMAN-FAC2]]</f>
        <v>7</v>
      </c>
      <c r="AH316">
        <f t="shared" si="117"/>
        <v>0.66666666666666663</v>
      </c>
      <c r="AI316" s="32">
        <f t="shared" si="118"/>
        <v>0.66666666666666663</v>
      </c>
      <c r="AJ316" s="32">
        <f t="shared" si="119"/>
        <v>0.55555555555555558</v>
      </c>
      <c r="AK316">
        <f>step3_validation[[#This Row],[AI_TRU1]]</f>
        <v>8</v>
      </c>
      <c r="AL316">
        <f t="shared" si="120"/>
        <v>0.77777777777777779</v>
      </c>
      <c r="AM316">
        <f>survey_responses[[#This Row],[Tôi tin rằng Nhà nước, cơ quan thuế sẽ thực thi chính sách mới một cách khách quan, công tâm và đối xử bình đẳng với mọi người nộp thuế.  - HUMAN-TRU1]]</f>
        <v>5</v>
      </c>
      <c r="AN316">
        <f t="shared" si="121"/>
        <v>0.44444444444444442</v>
      </c>
      <c r="AO316">
        <f>step3_validation[[#This Row],[AI_TRU2]]</f>
        <v>9</v>
      </c>
      <c r="AP316">
        <f t="shared" si="122"/>
        <v>0.88888888888888884</v>
      </c>
      <c r="AQ316">
        <f>survey_responses[[#This Row],[Tôi thấy mức thuế tôi phải đóng theo phương án mới là công bằng (người thu nhập như tôi đóng mức này là hợp lý). - HUMAN-TRU2]]</f>
        <v>8</v>
      </c>
      <c r="AR316">
        <f t="shared" si="123"/>
        <v>0.77777777777777779</v>
      </c>
      <c r="AS316">
        <f>step3_validation[[#This Row],[AI_TRU3]]</f>
        <v>7</v>
      </c>
      <c r="AT316">
        <f t="shared" si="124"/>
        <v>0.66666666666666663</v>
      </c>
      <c r="AU316">
        <f>survey_responses[[#This Row],[Tôi tin tưởng số tiền thuế tôi đóng sẽ được Nhà nước sử dụng hiệu quả để cải thiện dịch vụ công (y tế, đường xá...). - HUMAN-TRU3]]</f>
        <v>5</v>
      </c>
      <c r="AV316">
        <f t="shared" si="125"/>
        <v>0.44444444444444442</v>
      </c>
      <c r="AW316">
        <f>step3_validation[[#This Row],[AI_TRU4]]</f>
        <v>8</v>
      </c>
      <c r="AX316">
        <f t="shared" si="126"/>
        <v>0.77777777777777779</v>
      </c>
      <c r="AY316">
        <f>survey_responses[[#This Row],[Tôi thấy Nhà nước đã giải thích rõ ràng, minh bạch về lý do và mục tiêu của việc sửa đổi thuế lần này. - HUMAN-TRU4]]</f>
        <v>6</v>
      </c>
      <c r="AZ316">
        <f t="shared" si="127"/>
        <v>0.55555555555555558</v>
      </c>
      <c r="BA316" s="32">
        <f t="shared" si="128"/>
        <v>0.77777777777777768</v>
      </c>
      <c r="BB316" s="32">
        <f t="shared" si="129"/>
        <v>0.55555555555555558</v>
      </c>
      <c r="BC316" s="7">
        <f t="shared" si="130"/>
        <v>0.68518518518518512</v>
      </c>
      <c r="BD316" s="7">
        <f t="shared" si="131"/>
        <v>0.5</v>
      </c>
      <c r="BE316">
        <f>step3_validation[[#This Row],[AI_OUT1]]</f>
        <v>9</v>
      </c>
      <c r="BF316">
        <f t="shared" si="132"/>
        <v>0.88888888888888884</v>
      </c>
      <c r="BG316">
        <f>survey_responses[[#This Row],[Sau khi xem xét các quyền lợi và nghĩa vụ, bạn có ủng hộ và tuân thủ chính sách mới hiện nay? - HUMAN-OUT1]]</f>
        <v>8</v>
      </c>
      <c r="BH316">
        <f t="shared" si="133"/>
        <v>0.77777777777777779</v>
      </c>
      <c r="BI316" s="32">
        <f t="shared" si="134"/>
        <v>1</v>
      </c>
    </row>
    <row r="317" spans="1:61" x14ac:dyDescent="0.45">
      <c r="A317" s="30">
        <f>step3_validation[[#This Row],[Persona_ID]]</f>
        <v>316</v>
      </c>
      <c r="B317" s="31">
        <f>step3_validation[[#This Row],[Used_Seed]]</f>
        <v>357</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23.151042359194257</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6</v>
      </c>
      <c r="R317">
        <f t="shared" si="108"/>
        <v>0.55555555555555558</v>
      </c>
      <c r="S317">
        <f>survey_responses[[#This Row],[Tôi tin rằng với các quy định quản lý thuế hiện nay, hành vi gian lận hoặc trốn thuế sẽ dễ dàng bị phát hiện và xử lý nghiêm. - HUMAN-ENF1]]</f>
        <v>6</v>
      </c>
      <c r="T317">
        <f t="shared" si="109"/>
        <v>0.55555555555555558</v>
      </c>
      <c r="U317">
        <f>step3_validation[[#This Row],[AI_ENF2]]</f>
        <v>7</v>
      </c>
      <c r="V317">
        <f t="shared" si="110"/>
        <v>0.66666666666666663</v>
      </c>
      <c r="W317">
        <f>survey_responses[[#This Row],[Tôi tin rằng Nhà nước, cơ quan thuế có đủ khả năng và công nghệ để phát hiện, xử lý nghiêm các hành vi trốn thuế. - HUMAN-ENF2]]</f>
        <v>8</v>
      </c>
      <c r="X317">
        <f t="shared" si="111"/>
        <v>0.77777777777777779</v>
      </c>
      <c r="Y317" s="32">
        <f t="shared" si="112"/>
        <v>0.61111111111111116</v>
      </c>
      <c r="Z317" s="32">
        <f t="shared" si="113"/>
        <v>0.66666666666666674</v>
      </c>
      <c r="AA317">
        <f>step3_validation[[#This Row],[AI_FAC1]]</f>
        <v>9</v>
      </c>
      <c r="AB317">
        <f t="shared" si="114"/>
        <v>0.88888888888888884</v>
      </c>
      <c r="AC317">
        <f>survey_responses[[#This Row],[Các thủ tục khai báo thuế VÀ/HOẶC quy trình làm việc với cơ quan thuế đơn giản, tiện lợi, nhanh chóng hơn so với trước đây. - HUMAN-FAC1]]</f>
        <v>5</v>
      </c>
      <c r="AD317">
        <f t="shared" si="115"/>
        <v>0.44444444444444442</v>
      </c>
      <c r="AE317">
        <f>step3_validation[[#This Row],[AI_FAC2]]</f>
        <v>9</v>
      </c>
      <c r="AF317">
        <f t="shared" si="116"/>
        <v>0.88888888888888884</v>
      </c>
      <c r="AG317">
        <f>survey_responses[[#This Row],[So với trước đây, tôi thấy cách tính thuế và các bậc thuế trong phương án mới đơn giản, dễ hiểu và dễ thực hiện hơn. - HUMAN-FAC2]]</f>
        <v>6</v>
      </c>
      <c r="AH317">
        <f t="shared" si="117"/>
        <v>0.55555555555555558</v>
      </c>
      <c r="AI317" s="32">
        <f t="shared" si="118"/>
        <v>0.88888888888888884</v>
      </c>
      <c r="AJ317" s="32">
        <f t="shared" si="119"/>
        <v>0.5</v>
      </c>
      <c r="AK317">
        <f>step3_validation[[#This Row],[AI_TRU1]]</f>
        <v>7</v>
      </c>
      <c r="AL317">
        <f t="shared" si="120"/>
        <v>0.66666666666666663</v>
      </c>
      <c r="AM317">
        <f>survey_responses[[#This Row],[Tôi tin rằng Nhà nước, cơ quan thuế sẽ thực thi chính sách mới một cách khách quan, công tâm và đối xử bình đẳng với mọi người nộp thuế.  - HUMAN-TRU1]]</f>
        <v>6</v>
      </c>
      <c r="AN317">
        <f t="shared" si="121"/>
        <v>0.55555555555555558</v>
      </c>
      <c r="AO317">
        <f>step3_validation[[#This Row],[AI_TRU2]]</f>
        <v>8</v>
      </c>
      <c r="AP317">
        <f t="shared" si="122"/>
        <v>0.77777777777777779</v>
      </c>
      <c r="AQ317">
        <f>survey_responses[[#This Row],[Tôi thấy mức thuế tôi phải đóng theo phương án mới là công bằng (người thu nhập như tôi đóng mức này là hợp lý). - HUMAN-TRU2]]</f>
        <v>7</v>
      </c>
      <c r="AR317">
        <f t="shared" si="123"/>
        <v>0.66666666666666663</v>
      </c>
      <c r="AS317">
        <f>step3_validation[[#This Row],[AI_TRU3]]</f>
        <v>7</v>
      </c>
      <c r="AT317">
        <f t="shared" si="124"/>
        <v>0.66666666666666663</v>
      </c>
      <c r="AU317">
        <f>survey_responses[[#This Row],[Tôi tin tưởng số tiền thuế tôi đóng sẽ được Nhà nước sử dụng hiệu quả để cải thiện dịch vụ công (y tế, đường xá...). - HUMAN-TRU3]]</f>
        <v>6</v>
      </c>
      <c r="AV317">
        <f t="shared" si="125"/>
        <v>0.55555555555555558</v>
      </c>
      <c r="AW317">
        <f>step3_validation[[#This Row],[AI_TRU4]]</f>
        <v>6</v>
      </c>
      <c r="AX317">
        <f t="shared" si="126"/>
        <v>0.55555555555555558</v>
      </c>
      <c r="AY317">
        <f>survey_responses[[#This Row],[Tôi thấy Nhà nước đã giải thích rõ ràng, minh bạch về lý do và mục tiêu của việc sửa đổi thuế lần này. - HUMAN-TRU4]]</f>
        <v>7</v>
      </c>
      <c r="AZ317">
        <f t="shared" si="127"/>
        <v>0.66666666666666663</v>
      </c>
      <c r="BA317" s="32">
        <f t="shared" si="128"/>
        <v>0.66666666666666674</v>
      </c>
      <c r="BB317" s="32">
        <f t="shared" si="129"/>
        <v>0.61111111111111116</v>
      </c>
      <c r="BC317" s="7">
        <f t="shared" si="130"/>
        <v>0.72222222222222232</v>
      </c>
      <c r="BD317" s="7">
        <f t="shared" si="131"/>
        <v>0.59259259259259267</v>
      </c>
      <c r="BE317">
        <f>step3_validation[[#This Row],[AI_OUT1]]</f>
        <v>8</v>
      </c>
      <c r="BF317">
        <f t="shared" si="132"/>
        <v>0.77777777777777779</v>
      </c>
      <c r="BG317">
        <f>survey_responses[[#This Row],[Sau khi xem xét các quyền lợi và nghĩa vụ, bạn có ủng hộ và tuân thủ chính sách mới hiện nay? - HUMAN-OUT1]]</f>
        <v>7</v>
      </c>
      <c r="BH317">
        <f t="shared" si="133"/>
        <v>0.66666666666666663</v>
      </c>
      <c r="BI317" s="32">
        <f t="shared" si="134"/>
        <v>1</v>
      </c>
    </row>
    <row r="318" spans="1:61" x14ac:dyDescent="0.45">
      <c r="A318" s="30">
        <f>step3_validation[[#This Row],[Persona_ID]]</f>
        <v>317</v>
      </c>
      <c r="B318" s="31">
        <f>step3_validation[[#This Row],[Used_Seed]]</f>
        <v>358</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13.622190609633545</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f t="shared" si="108"/>
        <v>0.77777777777777779</v>
      </c>
      <c r="S318">
        <f>survey_responses[[#This Row],[Tôi tin rằng với các quy định quản lý thuế hiện nay, hành vi gian lận hoặc trốn thuế sẽ dễ dàng bị phát hiện và xử lý nghiêm. - HUMAN-ENF1]]</f>
        <v>7</v>
      </c>
      <c r="T318">
        <f t="shared" si="109"/>
        <v>0.66666666666666663</v>
      </c>
      <c r="U318">
        <f>step3_validation[[#This Row],[AI_ENF2]]</f>
        <v>9</v>
      </c>
      <c r="V318">
        <f t="shared" si="110"/>
        <v>0.88888888888888884</v>
      </c>
      <c r="W318">
        <f>survey_responses[[#This Row],[Tôi tin rằng Nhà nước, cơ quan thuế có đủ khả năng và công nghệ để phát hiện, xử lý nghiêm các hành vi trốn thuế. - HUMAN-ENF2]]</f>
        <v>7</v>
      </c>
      <c r="X318">
        <f t="shared" si="111"/>
        <v>0.66666666666666663</v>
      </c>
      <c r="Y318" s="32">
        <f t="shared" si="112"/>
        <v>0.83333333333333326</v>
      </c>
      <c r="Z318" s="32">
        <f t="shared" si="113"/>
        <v>0.66666666666666663</v>
      </c>
      <c r="AA318">
        <f>step3_validation[[#This Row],[AI_FAC1]]</f>
        <v>8</v>
      </c>
      <c r="AB318">
        <f t="shared" si="114"/>
        <v>0.77777777777777779</v>
      </c>
      <c r="AC318">
        <f>survey_responses[[#This Row],[Các thủ tục khai báo thuế VÀ/HOẶC quy trình làm việc với cơ quan thuế đơn giản, tiện lợi, nhanh chóng hơn so với trước đây. - HUMAN-FAC1]]</f>
        <v>5</v>
      </c>
      <c r="AD318">
        <f t="shared" si="115"/>
        <v>0.44444444444444442</v>
      </c>
      <c r="AE318">
        <f>step3_validation[[#This Row],[AI_FAC2]]</f>
        <v>9</v>
      </c>
      <c r="AF318">
        <f t="shared" si="116"/>
        <v>0.88888888888888884</v>
      </c>
      <c r="AG318">
        <f>survey_responses[[#This Row],[So với trước đây, tôi thấy cách tính thuế và các bậc thuế trong phương án mới đơn giản, dễ hiểu và dễ thực hiện hơn. - HUMAN-FAC2]]</f>
        <v>8</v>
      </c>
      <c r="AH318">
        <f t="shared" si="117"/>
        <v>0.77777777777777779</v>
      </c>
      <c r="AI318" s="32">
        <f t="shared" si="118"/>
        <v>0.83333333333333326</v>
      </c>
      <c r="AJ318" s="32">
        <f t="shared" si="119"/>
        <v>0.61111111111111116</v>
      </c>
      <c r="AK318">
        <f>step3_validation[[#This Row],[AI_TRU1]]</f>
        <v>8</v>
      </c>
      <c r="AL318">
        <f t="shared" si="120"/>
        <v>0.77777777777777779</v>
      </c>
      <c r="AM318">
        <f>survey_responses[[#This Row],[Tôi tin rằng Nhà nước, cơ quan thuế sẽ thực thi chính sách mới một cách khách quan, công tâm và đối xử bình đẳng với mọi người nộp thuế.  - HUMAN-TRU1]]</f>
        <v>5</v>
      </c>
      <c r="AN318">
        <f t="shared" si="121"/>
        <v>0.44444444444444442</v>
      </c>
      <c r="AO318">
        <f>step3_validation[[#This Row],[AI_TRU2]]</f>
        <v>9</v>
      </c>
      <c r="AP318">
        <f t="shared" si="122"/>
        <v>0.88888888888888884</v>
      </c>
      <c r="AQ318">
        <f>survey_responses[[#This Row],[Tôi thấy mức thuế tôi phải đóng theo phương án mới là công bằng (người thu nhập như tôi đóng mức này là hợp lý). - HUMAN-TRU2]]</f>
        <v>8</v>
      </c>
      <c r="AR318">
        <f t="shared" si="123"/>
        <v>0.77777777777777779</v>
      </c>
      <c r="AS318">
        <f>step3_validation[[#This Row],[AI_TRU3]]</f>
        <v>8</v>
      </c>
      <c r="AT318">
        <f t="shared" si="124"/>
        <v>0.77777777777777779</v>
      </c>
      <c r="AU318">
        <f>survey_responses[[#This Row],[Tôi tin tưởng số tiền thuế tôi đóng sẽ được Nhà nước sử dụng hiệu quả để cải thiện dịch vụ công (y tế, đường xá...). - HUMAN-TRU3]]</f>
        <v>5</v>
      </c>
      <c r="AV318">
        <f t="shared" si="125"/>
        <v>0.44444444444444442</v>
      </c>
      <c r="AW318">
        <f>step3_validation[[#This Row],[AI_TRU4]]</f>
        <v>9</v>
      </c>
      <c r="AX318">
        <f t="shared" si="126"/>
        <v>0.88888888888888884</v>
      </c>
      <c r="AY318">
        <f>survey_responses[[#This Row],[Tôi thấy Nhà nước đã giải thích rõ ràng, minh bạch về lý do và mục tiêu của việc sửa đổi thuế lần này. - HUMAN-TRU4]]</f>
        <v>7</v>
      </c>
      <c r="AZ318">
        <f t="shared" si="127"/>
        <v>0.66666666666666663</v>
      </c>
      <c r="BA318" s="32">
        <f t="shared" si="128"/>
        <v>0.83333333333333326</v>
      </c>
      <c r="BB318" s="32">
        <f t="shared" si="129"/>
        <v>0.58333333333333337</v>
      </c>
      <c r="BC318" s="7">
        <f t="shared" si="130"/>
        <v>0.83333333333333337</v>
      </c>
      <c r="BD318" s="7">
        <f t="shared" si="131"/>
        <v>0.62037037037037035</v>
      </c>
      <c r="BE318">
        <f>step3_validation[[#This Row],[AI_OUT1]]</f>
        <v>8</v>
      </c>
      <c r="BF318">
        <f t="shared" si="132"/>
        <v>0.77777777777777779</v>
      </c>
      <c r="BG318">
        <f>survey_responses[[#This Row],[Sau khi xem xét các quyền lợi và nghĩa vụ, bạn có ủng hộ và tuân thủ chính sách mới hiện nay? - HUMAN-OUT1]]</f>
        <v>8</v>
      </c>
      <c r="BH318">
        <f t="shared" si="133"/>
        <v>0.77777777777777779</v>
      </c>
      <c r="BI318" s="32">
        <f t="shared" si="134"/>
        <v>0</v>
      </c>
    </row>
    <row r="319" spans="1:61" x14ac:dyDescent="0.45">
      <c r="A319" s="30">
        <f>step3_validation[[#This Row],[Persona_ID]]</f>
        <v>318</v>
      </c>
      <c r="B319" s="31">
        <f>step3_validation[[#This Row],[Used_Seed]]</f>
        <v>359</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21.623019653793847</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8</v>
      </c>
      <c r="R319">
        <f t="shared" si="108"/>
        <v>0.77777777777777779</v>
      </c>
      <c r="S319">
        <f>survey_responses[[#This Row],[Tôi tin rằng với các quy định quản lý thuế hiện nay, hành vi gian lận hoặc trốn thuế sẽ dễ dàng bị phát hiện và xử lý nghiêm. - HUMAN-ENF1]]</f>
        <v>4</v>
      </c>
      <c r="T319">
        <f t="shared" si="109"/>
        <v>0.33333333333333331</v>
      </c>
      <c r="U319">
        <f>step3_validation[[#This Row],[AI_ENF2]]</f>
        <v>9</v>
      </c>
      <c r="V319">
        <f t="shared" si="110"/>
        <v>0.88888888888888884</v>
      </c>
      <c r="W319">
        <f>survey_responses[[#This Row],[Tôi tin rằng Nhà nước, cơ quan thuế có đủ khả năng và công nghệ để phát hiện, xử lý nghiêm các hành vi trốn thuế. - HUMAN-ENF2]]</f>
        <v>4</v>
      </c>
      <c r="X319">
        <f t="shared" si="111"/>
        <v>0.33333333333333331</v>
      </c>
      <c r="Y319" s="32">
        <f t="shared" si="112"/>
        <v>0.83333333333333326</v>
      </c>
      <c r="Z319" s="32">
        <f t="shared" si="113"/>
        <v>0.33333333333333331</v>
      </c>
      <c r="AA319">
        <f>step3_validation[[#This Row],[AI_FAC1]]</f>
        <v>7</v>
      </c>
      <c r="AB319">
        <f t="shared" si="114"/>
        <v>0.66666666666666663</v>
      </c>
      <c r="AC319">
        <f>survey_responses[[#This Row],[Các thủ tục khai báo thuế VÀ/HOẶC quy trình làm việc với cơ quan thuế đơn giản, tiện lợi, nhanh chóng hơn so với trước đây. - HUMAN-FAC1]]</f>
        <v>6</v>
      </c>
      <c r="AD319">
        <f t="shared" si="115"/>
        <v>0.55555555555555558</v>
      </c>
      <c r="AE319">
        <f>step3_validation[[#This Row],[AI_FAC2]]</f>
        <v>9</v>
      </c>
      <c r="AF319">
        <f t="shared" si="116"/>
        <v>0.88888888888888884</v>
      </c>
      <c r="AG319">
        <f>survey_responses[[#This Row],[So với trước đây, tôi thấy cách tính thuế và các bậc thuế trong phương án mới đơn giản, dễ hiểu và dễ thực hiện hơn. - HUMAN-FAC2]]</f>
        <v>7</v>
      </c>
      <c r="AH319">
        <f t="shared" si="117"/>
        <v>0.66666666666666663</v>
      </c>
      <c r="AI319" s="32">
        <f t="shared" si="118"/>
        <v>0.77777777777777768</v>
      </c>
      <c r="AJ319" s="32">
        <f t="shared" si="119"/>
        <v>0.61111111111111116</v>
      </c>
      <c r="AK319">
        <f>step3_validation[[#This Row],[AI_TRU1]]</f>
        <v>8</v>
      </c>
      <c r="AL319">
        <f t="shared" si="120"/>
        <v>0.77777777777777779</v>
      </c>
      <c r="AM319">
        <f>survey_responses[[#This Row],[Tôi tin rằng Nhà nước, cơ quan thuế sẽ thực thi chính sách mới một cách khách quan, công tâm và đối xử bình đẳng với mọi người nộp thuế.  - HUMAN-TRU1]]</f>
        <v>5</v>
      </c>
      <c r="AN319">
        <f t="shared" si="121"/>
        <v>0.44444444444444442</v>
      </c>
      <c r="AO319">
        <f>step3_validation[[#This Row],[AI_TRU2]]</f>
        <v>9</v>
      </c>
      <c r="AP319">
        <f t="shared" si="122"/>
        <v>0.88888888888888884</v>
      </c>
      <c r="AQ319">
        <f>survey_responses[[#This Row],[Tôi thấy mức thuế tôi phải đóng theo phương án mới là công bằng (người thu nhập như tôi đóng mức này là hợp lý). - HUMAN-TRU2]]</f>
        <v>8</v>
      </c>
      <c r="AR319">
        <f t="shared" si="123"/>
        <v>0.77777777777777779</v>
      </c>
      <c r="AS319">
        <f>step3_validation[[#This Row],[AI_TRU3]]</f>
        <v>8</v>
      </c>
      <c r="AT319">
        <f t="shared" si="124"/>
        <v>0.77777777777777779</v>
      </c>
      <c r="AU319">
        <f>survey_responses[[#This Row],[Tôi tin tưởng số tiền thuế tôi đóng sẽ được Nhà nước sử dụng hiệu quả để cải thiện dịch vụ công (y tế, đường xá...). - HUMAN-TRU3]]</f>
        <v>5</v>
      </c>
      <c r="AV319">
        <f t="shared" si="125"/>
        <v>0.44444444444444442</v>
      </c>
      <c r="AW319">
        <f>step3_validation[[#This Row],[AI_TRU4]]</f>
        <v>9</v>
      </c>
      <c r="AX319">
        <f t="shared" si="126"/>
        <v>0.88888888888888884</v>
      </c>
      <c r="AY319">
        <f>survey_responses[[#This Row],[Tôi thấy Nhà nước đã giải thích rõ ràng, minh bạch về lý do và mục tiêu của việc sửa đổi thuế lần này. - HUMAN-TRU4]]</f>
        <v>5</v>
      </c>
      <c r="AZ319">
        <f t="shared" si="127"/>
        <v>0.44444444444444442</v>
      </c>
      <c r="BA319" s="32">
        <f t="shared" si="128"/>
        <v>0.83333333333333326</v>
      </c>
      <c r="BB319" s="32">
        <f t="shared" si="129"/>
        <v>0.52777777777777779</v>
      </c>
      <c r="BC319" s="7">
        <f t="shared" si="130"/>
        <v>0.81481481481481477</v>
      </c>
      <c r="BD319" s="7">
        <f t="shared" si="131"/>
        <v>0.49074074074074076</v>
      </c>
      <c r="BE319">
        <f>step3_validation[[#This Row],[AI_OUT1]]</f>
        <v>9</v>
      </c>
      <c r="BF319">
        <f t="shared" si="132"/>
        <v>0.88888888888888884</v>
      </c>
      <c r="BG319">
        <f>survey_responses[[#This Row],[Sau khi xem xét các quyền lợi và nghĩa vụ, bạn có ủng hộ và tuân thủ chính sách mới hiện nay? - HUMAN-OUT1]]</f>
        <v>8</v>
      </c>
      <c r="BH319">
        <f t="shared" si="133"/>
        <v>0.77777777777777779</v>
      </c>
      <c r="BI319" s="32">
        <f t="shared" si="134"/>
        <v>1</v>
      </c>
    </row>
    <row r="320" spans="1:61" x14ac:dyDescent="0.45">
      <c r="A320" s="30">
        <f>step3_validation[[#This Row],[Persona_ID]]</f>
        <v>319</v>
      </c>
      <c r="B320" s="31">
        <f>step3_validation[[#This Row],[Used_Seed]]</f>
        <v>360</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14.393982380616608</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7</v>
      </c>
      <c r="R320">
        <f t="shared" si="108"/>
        <v>0.66666666666666663</v>
      </c>
      <c r="S320">
        <f>survey_responses[[#This Row],[Tôi tin rằng với các quy định quản lý thuế hiện nay, hành vi gian lận hoặc trốn thuế sẽ dễ dàng bị phát hiện và xử lý nghiêm. - HUMAN-ENF1]]</f>
        <v>8</v>
      </c>
      <c r="T320">
        <f t="shared" si="109"/>
        <v>0.77777777777777779</v>
      </c>
      <c r="U320">
        <f>step3_validation[[#This Row],[AI_ENF2]]</f>
        <v>6</v>
      </c>
      <c r="V320">
        <f t="shared" si="110"/>
        <v>0.55555555555555558</v>
      </c>
      <c r="W320">
        <f>survey_responses[[#This Row],[Tôi tin rằng Nhà nước, cơ quan thuế có đủ khả năng và công nghệ để phát hiện, xử lý nghiêm các hành vi trốn thuế. - HUMAN-ENF2]]</f>
        <v>8</v>
      </c>
      <c r="X320">
        <f t="shared" si="111"/>
        <v>0.77777777777777779</v>
      </c>
      <c r="Y320" s="32">
        <f t="shared" si="112"/>
        <v>0.61111111111111116</v>
      </c>
      <c r="Z320" s="32">
        <f t="shared" si="113"/>
        <v>0.77777777777777779</v>
      </c>
      <c r="AA320">
        <f>step3_validation[[#This Row],[AI_FAC1]]</f>
        <v>9</v>
      </c>
      <c r="AB320">
        <f t="shared" si="114"/>
        <v>0.88888888888888884</v>
      </c>
      <c r="AC320">
        <f>survey_responses[[#This Row],[Các thủ tục khai báo thuế VÀ/HOẶC quy trình làm việc với cơ quan thuế đơn giản, tiện lợi, nhanh chóng hơn so với trước đây. - HUMAN-FAC1]]</f>
        <v>10</v>
      </c>
      <c r="AD320">
        <f t="shared" si="115"/>
        <v>1</v>
      </c>
      <c r="AE320">
        <f>step3_validation[[#This Row],[AI_FAC2]]</f>
        <v>9</v>
      </c>
      <c r="AF320">
        <f t="shared" si="116"/>
        <v>0.88888888888888884</v>
      </c>
      <c r="AG320">
        <f>survey_responses[[#This Row],[So với trước đây, tôi thấy cách tính thuế và các bậc thuế trong phương án mới đơn giản, dễ hiểu và dễ thực hiện hơn. - HUMAN-FAC2]]</f>
        <v>10</v>
      </c>
      <c r="AH320">
        <f t="shared" si="117"/>
        <v>1</v>
      </c>
      <c r="AI320" s="32">
        <f t="shared" si="118"/>
        <v>0.88888888888888884</v>
      </c>
      <c r="AJ320" s="32">
        <f t="shared" si="119"/>
        <v>1</v>
      </c>
      <c r="AK320">
        <f>step3_validation[[#This Row],[AI_TRU1]]</f>
        <v>8</v>
      </c>
      <c r="AL320">
        <f t="shared" si="120"/>
        <v>0.77777777777777779</v>
      </c>
      <c r="AM320">
        <f>survey_responses[[#This Row],[Tôi tin rằng Nhà nước, cơ quan thuế sẽ thực thi chính sách mới một cách khách quan, công tâm và đối xử bình đẳng với mọi người nộp thuế.  - HUMAN-TRU1]]</f>
        <v>9</v>
      </c>
      <c r="AN320">
        <f t="shared" si="121"/>
        <v>0.88888888888888884</v>
      </c>
      <c r="AO320">
        <f>step3_validation[[#This Row],[AI_TRU2]]</f>
        <v>9</v>
      </c>
      <c r="AP320">
        <f t="shared" si="122"/>
        <v>0.88888888888888884</v>
      </c>
      <c r="AQ320">
        <f>survey_responses[[#This Row],[Tôi thấy mức thuế tôi phải đóng theo phương án mới là công bằng (người thu nhập như tôi đóng mức này là hợp lý). - HUMAN-TRU2]]</f>
        <v>10</v>
      </c>
      <c r="AR320">
        <f t="shared" si="123"/>
        <v>1</v>
      </c>
      <c r="AS320">
        <f>step3_validation[[#This Row],[AI_TRU3]]</f>
        <v>7</v>
      </c>
      <c r="AT320">
        <f t="shared" si="124"/>
        <v>0.66666666666666663</v>
      </c>
      <c r="AU320">
        <f>survey_responses[[#This Row],[Tôi tin tưởng số tiền thuế tôi đóng sẽ được Nhà nước sử dụng hiệu quả để cải thiện dịch vụ công (y tế, đường xá...). - HUMAN-TRU3]]</f>
        <v>8</v>
      </c>
      <c r="AV320">
        <f t="shared" si="125"/>
        <v>0.77777777777777779</v>
      </c>
      <c r="AW320">
        <f>step3_validation[[#This Row],[AI_TRU4]]</f>
        <v>8</v>
      </c>
      <c r="AX320">
        <f t="shared" si="126"/>
        <v>0.77777777777777779</v>
      </c>
      <c r="AY320">
        <f>survey_responses[[#This Row],[Tôi thấy Nhà nước đã giải thích rõ ràng, minh bạch về lý do và mục tiêu của việc sửa đổi thuế lần này. - HUMAN-TRU4]]</f>
        <v>8</v>
      </c>
      <c r="AZ320">
        <f t="shared" si="127"/>
        <v>0.77777777777777779</v>
      </c>
      <c r="BA320" s="32">
        <f t="shared" si="128"/>
        <v>0.77777777777777768</v>
      </c>
      <c r="BB320" s="32">
        <f t="shared" si="129"/>
        <v>0.86111111111111105</v>
      </c>
      <c r="BC320" s="7">
        <f t="shared" si="130"/>
        <v>0.75925925925925919</v>
      </c>
      <c r="BD320" s="7">
        <f t="shared" si="131"/>
        <v>0.87962962962962965</v>
      </c>
      <c r="BE320">
        <f>step3_validation[[#This Row],[AI_OUT1]]</f>
        <v>9</v>
      </c>
      <c r="BF320">
        <f t="shared" si="132"/>
        <v>0.88888888888888884</v>
      </c>
      <c r="BG320">
        <f>survey_responses[[#This Row],[Sau khi xem xét các quyền lợi và nghĩa vụ, bạn có ủng hộ và tuân thủ chính sách mới hiện nay? - HUMAN-OUT1]]</f>
        <v>10</v>
      </c>
      <c r="BH320">
        <f t="shared" si="133"/>
        <v>1</v>
      </c>
      <c r="BI320" s="32">
        <f t="shared" si="134"/>
        <v>1</v>
      </c>
    </row>
    <row r="321" spans="1:61" x14ac:dyDescent="0.45">
      <c r="A321" s="30">
        <f>step3_validation[[#This Row],[Persona_ID]]</f>
        <v>320</v>
      </c>
      <c r="B321" s="31">
        <f>step3_validation[[#This Row],[Used_Seed]]</f>
        <v>361</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26.708093965814665</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6</v>
      </c>
      <c r="R321">
        <f t="shared" si="108"/>
        <v>0.55555555555555558</v>
      </c>
      <c r="S321">
        <f>survey_responses[[#This Row],[Tôi tin rằng với các quy định quản lý thuế hiện nay, hành vi gian lận hoặc trốn thuế sẽ dễ dàng bị phát hiện và xử lý nghiêm. - HUMAN-ENF1]]</f>
        <v>5</v>
      </c>
      <c r="T321">
        <f t="shared" si="109"/>
        <v>0.44444444444444442</v>
      </c>
      <c r="U321">
        <f>step3_validation[[#This Row],[AI_ENF2]]</f>
        <v>7</v>
      </c>
      <c r="V321">
        <f t="shared" si="110"/>
        <v>0.66666666666666663</v>
      </c>
      <c r="W321">
        <f>survey_responses[[#This Row],[Tôi tin rằng Nhà nước, cơ quan thuế có đủ khả năng và công nghệ để phát hiện, xử lý nghiêm các hành vi trốn thuế. - HUMAN-ENF2]]</f>
        <v>7</v>
      </c>
      <c r="X321">
        <f t="shared" si="111"/>
        <v>0.66666666666666663</v>
      </c>
      <c r="Y321" s="32">
        <f t="shared" si="112"/>
        <v>0.61111111111111116</v>
      </c>
      <c r="Z321" s="32">
        <f t="shared" si="113"/>
        <v>0.55555555555555558</v>
      </c>
      <c r="AA321">
        <f>step3_validation[[#This Row],[AI_FAC1]]</f>
        <v>9</v>
      </c>
      <c r="AB321">
        <f t="shared" si="114"/>
        <v>0.88888888888888884</v>
      </c>
      <c r="AC321">
        <f>survey_responses[[#This Row],[Các thủ tục khai báo thuế VÀ/HOẶC quy trình làm việc với cơ quan thuế đơn giản, tiện lợi, nhanh chóng hơn so với trước đây. - HUMAN-FAC1]]</f>
        <v>7</v>
      </c>
      <c r="AD321">
        <f t="shared" si="115"/>
        <v>0.66666666666666663</v>
      </c>
      <c r="AE321">
        <f>step3_validation[[#This Row],[AI_FAC2]]</f>
        <v>8</v>
      </c>
      <c r="AF321">
        <f t="shared" si="116"/>
        <v>0.77777777777777779</v>
      </c>
      <c r="AG321">
        <f>survey_responses[[#This Row],[So với trước đây, tôi thấy cách tính thuế và các bậc thuế trong phương án mới đơn giản, dễ hiểu và dễ thực hiện hơn. - HUMAN-FAC2]]</f>
        <v>9</v>
      </c>
      <c r="AH321">
        <f t="shared" si="117"/>
        <v>0.88888888888888884</v>
      </c>
      <c r="AI321" s="32">
        <f t="shared" si="118"/>
        <v>0.83333333333333326</v>
      </c>
      <c r="AJ321" s="32">
        <f t="shared" si="119"/>
        <v>0.77777777777777768</v>
      </c>
      <c r="AK321">
        <f>step3_validation[[#This Row],[AI_TRU1]]</f>
        <v>7</v>
      </c>
      <c r="AL321">
        <f t="shared" si="120"/>
        <v>0.66666666666666663</v>
      </c>
      <c r="AM321">
        <f>survey_responses[[#This Row],[Tôi tin rằng Nhà nước, cơ quan thuế sẽ thực thi chính sách mới một cách khách quan, công tâm và đối xử bình đẳng với mọi người nộp thuế.  - HUMAN-TRU1]]</f>
        <v>5</v>
      </c>
      <c r="AN321">
        <f t="shared" si="121"/>
        <v>0.44444444444444442</v>
      </c>
      <c r="AO321">
        <f>step3_validation[[#This Row],[AI_TRU2]]</f>
        <v>9</v>
      </c>
      <c r="AP321">
        <f t="shared" si="122"/>
        <v>0.88888888888888884</v>
      </c>
      <c r="AQ321">
        <f>survey_responses[[#This Row],[Tôi thấy mức thuế tôi phải đóng theo phương án mới là công bằng (người thu nhập như tôi đóng mức này là hợp lý). - HUMAN-TRU2]]</f>
        <v>6</v>
      </c>
      <c r="AR321">
        <f t="shared" si="123"/>
        <v>0.55555555555555558</v>
      </c>
      <c r="AS321">
        <f>step3_validation[[#This Row],[AI_TRU3]]</f>
        <v>8</v>
      </c>
      <c r="AT321">
        <f t="shared" si="124"/>
        <v>0.77777777777777779</v>
      </c>
      <c r="AU321">
        <f>survey_responses[[#This Row],[Tôi tin tưởng số tiền thuế tôi đóng sẽ được Nhà nước sử dụng hiệu quả để cải thiện dịch vụ công (y tế, đường xá...). - HUMAN-TRU3]]</f>
        <v>5</v>
      </c>
      <c r="AV321">
        <f t="shared" si="125"/>
        <v>0.44444444444444442</v>
      </c>
      <c r="AW321">
        <f>step3_validation[[#This Row],[AI_TRU4]]</f>
        <v>7</v>
      </c>
      <c r="AX321">
        <f t="shared" si="126"/>
        <v>0.66666666666666663</v>
      </c>
      <c r="AY321">
        <f>survey_responses[[#This Row],[Tôi thấy Nhà nước đã giải thích rõ ràng, minh bạch về lý do và mục tiêu của việc sửa đổi thuế lần này. - HUMAN-TRU4]]</f>
        <v>7</v>
      </c>
      <c r="AZ321">
        <f t="shared" si="127"/>
        <v>0.66666666666666663</v>
      </c>
      <c r="BA321" s="32">
        <f t="shared" si="128"/>
        <v>0.74999999999999989</v>
      </c>
      <c r="BB321" s="32">
        <f t="shared" si="129"/>
        <v>0.52777777777777779</v>
      </c>
      <c r="BC321" s="7">
        <f t="shared" si="130"/>
        <v>0.7314814814814814</v>
      </c>
      <c r="BD321" s="7">
        <f t="shared" si="131"/>
        <v>0.62037037037037035</v>
      </c>
      <c r="BE321">
        <f>step3_validation[[#This Row],[AI_OUT1]]</f>
        <v>9</v>
      </c>
      <c r="BF321">
        <f t="shared" si="132"/>
        <v>0.88888888888888884</v>
      </c>
      <c r="BG321">
        <f>survey_responses[[#This Row],[Sau khi xem xét các quyền lợi và nghĩa vụ, bạn có ủng hộ và tuân thủ chính sách mới hiện nay? - HUMAN-OUT1]]</f>
        <v>7</v>
      </c>
      <c r="BH321">
        <f t="shared" si="133"/>
        <v>0.66666666666666663</v>
      </c>
      <c r="BI321" s="32">
        <f t="shared" si="134"/>
        <v>2</v>
      </c>
    </row>
    <row r="322" spans="1:61" x14ac:dyDescent="0.45">
      <c r="A322" s="30">
        <f>step3_validation[[#This Row],[Persona_ID]]</f>
        <v>321</v>
      </c>
      <c r="B322" s="31">
        <f>step3_validation[[#This Row],[Used_Seed]]</f>
        <v>362</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14.498736186192334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6</v>
      </c>
      <c r="R322">
        <f t="shared" si="108"/>
        <v>0.55555555555555558</v>
      </c>
      <c r="S322">
        <f>survey_responses[[#This Row],[Tôi tin rằng với các quy định quản lý thuế hiện nay, hành vi gian lận hoặc trốn thuế sẽ dễ dàng bị phát hiện và xử lý nghiêm. - HUMAN-ENF1]]</f>
        <v>8</v>
      </c>
      <c r="T322">
        <f t="shared" si="109"/>
        <v>0.77777777777777779</v>
      </c>
      <c r="U322">
        <f>step3_validation[[#This Row],[AI_ENF2]]</f>
        <v>6</v>
      </c>
      <c r="V322">
        <f t="shared" si="110"/>
        <v>0.55555555555555558</v>
      </c>
      <c r="W322">
        <f>survey_responses[[#This Row],[Tôi tin rằng Nhà nước, cơ quan thuế có đủ khả năng và công nghệ để phát hiện, xử lý nghiêm các hành vi trốn thuế. - HUMAN-ENF2]]</f>
        <v>8</v>
      </c>
      <c r="X322">
        <f t="shared" si="111"/>
        <v>0.77777777777777779</v>
      </c>
      <c r="Y322" s="32">
        <f t="shared" si="112"/>
        <v>0.55555555555555558</v>
      </c>
      <c r="Z322" s="32">
        <f t="shared" si="113"/>
        <v>0.77777777777777779</v>
      </c>
      <c r="AA322">
        <f>step3_validation[[#This Row],[AI_FAC1]]</f>
        <v>8</v>
      </c>
      <c r="AB322">
        <f t="shared" si="114"/>
        <v>0.77777777777777779</v>
      </c>
      <c r="AC322">
        <f>survey_responses[[#This Row],[Các thủ tục khai báo thuế VÀ/HOẶC quy trình làm việc với cơ quan thuế đơn giản, tiện lợi, nhanh chóng hơn so với trước đây. - HUMAN-FAC1]]</f>
        <v>7</v>
      </c>
      <c r="AD322">
        <f t="shared" si="115"/>
        <v>0.66666666666666663</v>
      </c>
      <c r="AE322">
        <f>step3_validation[[#This Row],[AI_FAC2]]</f>
        <v>9</v>
      </c>
      <c r="AF322">
        <f t="shared" si="116"/>
        <v>0.88888888888888884</v>
      </c>
      <c r="AG322">
        <f>survey_responses[[#This Row],[So với trước đây, tôi thấy cách tính thuế và các bậc thuế trong phương án mới đơn giản, dễ hiểu và dễ thực hiện hơn. - HUMAN-FAC2]]</f>
        <v>9</v>
      </c>
      <c r="AH322">
        <f t="shared" si="117"/>
        <v>0.88888888888888884</v>
      </c>
      <c r="AI322" s="32">
        <f t="shared" si="118"/>
        <v>0.83333333333333326</v>
      </c>
      <c r="AJ322" s="32">
        <f t="shared" si="119"/>
        <v>0.77777777777777768</v>
      </c>
      <c r="AK322">
        <f>step3_validation[[#This Row],[AI_TRU1]]</f>
        <v>7</v>
      </c>
      <c r="AL322">
        <f t="shared" si="120"/>
        <v>0.66666666666666663</v>
      </c>
      <c r="AM322">
        <f>survey_responses[[#This Row],[Tôi tin rằng Nhà nước, cơ quan thuế sẽ thực thi chính sách mới một cách khách quan, công tâm và đối xử bình đẳng với mọi người nộp thuế.  - HUMAN-TRU1]]</f>
        <v>9</v>
      </c>
      <c r="AN322">
        <f t="shared" si="121"/>
        <v>0.88888888888888884</v>
      </c>
      <c r="AO322">
        <f>step3_validation[[#This Row],[AI_TRU2]]</f>
        <v>9</v>
      </c>
      <c r="AP322">
        <f t="shared" si="122"/>
        <v>0.88888888888888884</v>
      </c>
      <c r="AQ322">
        <f>survey_responses[[#This Row],[Tôi thấy mức thuế tôi phải đóng theo phương án mới là công bằng (người thu nhập như tôi đóng mức này là hợp lý). - HUMAN-TRU2]]</f>
        <v>9</v>
      </c>
      <c r="AR322">
        <f t="shared" si="123"/>
        <v>0.88888888888888884</v>
      </c>
      <c r="AS322">
        <f>step3_validation[[#This Row],[AI_TRU3]]</f>
        <v>8</v>
      </c>
      <c r="AT322">
        <f t="shared" si="124"/>
        <v>0.77777777777777779</v>
      </c>
      <c r="AU322">
        <f>survey_responses[[#This Row],[Tôi tin tưởng số tiền thuế tôi đóng sẽ được Nhà nước sử dụng hiệu quả để cải thiện dịch vụ công (y tế, đường xá...). - HUMAN-TRU3]]</f>
        <v>7</v>
      </c>
      <c r="AV322">
        <f t="shared" si="125"/>
        <v>0.66666666666666663</v>
      </c>
      <c r="AW322">
        <f>step3_validation[[#This Row],[AI_TRU4]]</f>
        <v>7</v>
      </c>
      <c r="AX322">
        <f t="shared" si="126"/>
        <v>0.66666666666666663</v>
      </c>
      <c r="AY322">
        <f>survey_responses[[#This Row],[Tôi thấy Nhà nước đã giải thích rõ ràng, minh bạch về lý do và mục tiêu của việc sửa đổi thuế lần này. - HUMAN-TRU4]]</f>
        <v>9</v>
      </c>
      <c r="AZ322">
        <f t="shared" si="127"/>
        <v>0.88888888888888884</v>
      </c>
      <c r="BA322" s="32">
        <f t="shared" si="128"/>
        <v>0.74999999999999989</v>
      </c>
      <c r="BB322" s="32">
        <f t="shared" si="129"/>
        <v>0.83333333333333326</v>
      </c>
      <c r="BC322" s="7">
        <f t="shared" si="130"/>
        <v>0.71296296296296291</v>
      </c>
      <c r="BD322" s="7">
        <f t="shared" si="131"/>
        <v>0.79629629629629617</v>
      </c>
      <c r="BE322">
        <f>step3_validation[[#This Row],[AI_OUT1]]</f>
        <v>9</v>
      </c>
      <c r="BF322">
        <f t="shared" si="132"/>
        <v>0.88888888888888884</v>
      </c>
      <c r="BG322">
        <f>survey_responses[[#This Row],[Sau khi xem xét các quyền lợi và nghĩa vụ, bạn có ủng hộ và tuân thủ chính sách mới hiện nay? - HUMAN-OUT1]]</f>
        <v>9</v>
      </c>
      <c r="BH322">
        <f t="shared" si="133"/>
        <v>0.88888888888888884</v>
      </c>
      <c r="BI322" s="32">
        <f t="shared" si="134"/>
        <v>0</v>
      </c>
    </row>
    <row r="323" spans="1:61" x14ac:dyDescent="0.45">
      <c r="A323" s="30">
        <f>step3_validation[[#This Row],[Persona_ID]]</f>
        <v>322</v>
      </c>
      <c r="B323" s="31">
        <f>step3_validation[[#This Row],[Used_Seed]]</f>
        <v>363</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24.581841060527552</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f t="shared" ref="R323:R386" si="135">(Q323-1)/9</f>
        <v>0.66666666666666663</v>
      </c>
      <c r="S323">
        <f>survey_responses[[#This Row],[Tôi tin rằng với các quy định quản lý thuế hiện nay, hành vi gian lận hoặc trốn thuế sẽ dễ dàng bị phát hiện và xử lý nghiêm. - HUMAN-ENF1]]</f>
        <v>5</v>
      </c>
      <c r="T323">
        <f t="shared" ref="T323:T386" si="136">(S323-1)/9</f>
        <v>0.44444444444444442</v>
      </c>
      <c r="U323">
        <f>step3_validation[[#This Row],[AI_ENF2]]</f>
        <v>8</v>
      </c>
      <c r="V323">
        <f t="shared" ref="V323:V386" si="137">(U323-1)/9</f>
        <v>0.77777777777777779</v>
      </c>
      <c r="W323">
        <f>survey_responses[[#This Row],[Tôi tin rằng Nhà nước, cơ quan thuế có đủ khả năng và công nghệ để phát hiện, xử lý nghiêm các hành vi trốn thuế. - HUMAN-ENF2]]</f>
        <v>5</v>
      </c>
      <c r="X323">
        <f t="shared" ref="X323:X386" si="138">(W323-1)/9</f>
        <v>0.44444444444444442</v>
      </c>
      <c r="Y323" s="32">
        <f t="shared" ref="Y323:Y386" si="139">AVERAGE(R323,V323)</f>
        <v>0.72222222222222221</v>
      </c>
      <c r="Z323" s="32">
        <f t="shared" ref="Z323:Z386" si="140">AVERAGE(T323,X323)</f>
        <v>0.44444444444444442</v>
      </c>
      <c r="AA323">
        <f>step3_validation[[#This Row],[AI_FAC1]]</f>
        <v>6</v>
      </c>
      <c r="AB323">
        <f t="shared" ref="AB323:AB386" si="141">(AA323-1)/9</f>
        <v>0.55555555555555558</v>
      </c>
      <c r="AC323">
        <f>survey_responses[[#This Row],[Các thủ tục khai báo thuế VÀ/HOẶC quy trình làm việc với cơ quan thuế đơn giản, tiện lợi, nhanh chóng hơn so với trước đây. - HUMAN-FAC1]]</f>
        <v>5</v>
      </c>
      <c r="AD323">
        <f t="shared" ref="AD323:AD386" si="142">(AC323-1)/9</f>
        <v>0.44444444444444442</v>
      </c>
      <c r="AE323">
        <f>step3_validation[[#This Row],[AI_FAC2]]</f>
        <v>9</v>
      </c>
      <c r="AF323">
        <f t="shared" ref="AF323:AF386" si="143">(AE323-1)/9</f>
        <v>0.88888888888888884</v>
      </c>
      <c r="AG323">
        <f>survey_responses[[#This Row],[So với trước đây, tôi thấy cách tính thuế và các bậc thuế trong phương án mới đơn giản, dễ hiểu và dễ thực hiện hơn. - HUMAN-FAC2]]</f>
        <v>7</v>
      </c>
      <c r="AH323">
        <f t="shared" ref="AH323:AH386" si="144">(AG323-1)/9</f>
        <v>0.66666666666666663</v>
      </c>
      <c r="AI323" s="32">
        <f t="shared" ref="AI323:AI386" si="145">AVERAGE(AB323,AF323)</f>
        <v>0.72222222222222221</v>
      </c>
      <c r="AJ323" s="32">
        <f t="shared" ref="AJ323:AJ386" si="146">AVERAGE(AD323,AH323)</f>
        <v>0.55555555555555558</v>
      </c>
      <c r="AK323">
        <f>step3_validation[[#This Row],[AI_TRU1]]</f>
        <v>8</v>
      </c>
      <c r="AL323">
        <f t="shared" ref="AL323:AL386" si="147">(AK323-1)/9</f>
        <v>0.77777777777777779</v>
      </c>
      <c r="AM323">
        <f>survey_responses[[#This Row],[Tôi tin rằng Nhà nước, cơ quan thuế sẽ thực thi chính sách mới một cách khách quan, công tâm và đối xử bình đẳng với mọi người nộp thuế.  - HUMAN-TRU1]]</f>
        <v>5</v>
      </c>
      <c r="AN323">
        <f t="shared" ref="AN323:AN386" si="148">(AM323-1)/9</f>
        <v>0.44444444444444442</v>
      </c>
      <c r="AO323">
        <f>step3_validation[[#This Row],[AI_TRU2]]</f>
        <v>9</v>
      </c>
      <c r="AP323">
        <f t="shared" ref="AP323:AP386" si="149">(AO323-1)/9</f>
        <v>0.88888888888888884</v>
      </c>
      <c r="AQ323">
        <f>survey_responses[[#This Row],[Tôi thấy mức thuế tôi phải đóng theo phương án mới là công bằng (người thu nhập như tôi đóng mức này là hợp lý). - HUMAN-TRU2]]</f>
        <v>7</v>
      </c>
      <c r="AR323">
        <f t="shared" ref="AR323:AR386" si="150">(AQ323-1)/9</f>
        <v>0.66666666666666663</v>
      </c>
      <c r="AS323">
        <f>step3_validation[[#This Row],[AI_TRU3]]</f>
        <v>8</v>
      </c>
      <c r="AT323">
        <f t="shared" ref="AT323:AT386" si="151">(AS323-1)/9</f>
        <v>0.77777777777777779</v>
      </c>
      <c r="AU323">
        <f>survey_responses[[#This Row],[Tôi tin tưởng số tiền thuế tôi đóng sẽ được Nhà nước sử dụng hiệu quả để cải thiện dịch vụ công (y tế, đường xá...). - HUMAN-TRU3]]</f>
        <v>5</v>
      </c>
      <c r="AV323">
        <f t="shared" ref="AV323:AV386" si="152">(AU323-1)/9</f>
        <v>0.44444444444444442</v>
      </c>
      <c r="AW323">
        <f>step3_validation[[#This Row],[AI_TRU4]]</f>
        <v>7</v>
      </c>
      <c r="AX323">
        <f t="shared" ref="AX323:AX386" si="153">(AW323-1)/9</f>
        <v>0.66666666666666663</v>
      </c>
      <c r="AY323">
        <f>survey_responses[[#This Row],[Tôi thấy Nhà nước đã giải thích rõ ràng, minh bạch về lý do và mục tiêu của việc sửa đổi thuế lần này. - HUMAN-TRU4]]</f>
        <v>5</v>
      </c>
      <c r="AZ323">
        <f t="shared" ref="AZ323:AZ386" si="154">(AY323-1)/9</f>
        <v>0.44444444444444442</v>
      </c>
      <c r="BA323" s="32">
        <f t="shared" ref="BA323:BA386" si="155">AVERAGE(AL323,AP323,AT323,AX323)</f>
        <v>0.77777777777777768</v>
      </c>
      <c r="BB323" s="32">
        <f t="shared" ref="BB323:BB386" si="156">AVERAGE(AN323,AR323,AV323,AZ323)</f>
        <v>0.5</v>
      </c>
      <c r="BC323" s="7">
        <f t="shared" ref="BC323:BC386" si="157">(Y323+AI323+BA323)/3</f>
        <v>0.74074074074074081</v>
      </c>
      <c r="BD323" s="7">
        <f t="shared" ref="BD323:BD386" si="158">(Z323+AJ323+BB323)/3</f>
        <v>0.5</v>
      </c>
      <c r="BE323">
        <f>step3_validation[[#This Row],[AI_OUT1]]</f>
        <v>9</v>
      </c>
      <c r="BF323">
        <f t="shared" ref="BF323:BF386" si="159">(BE323-1)/9</f>
        <v>0.88888888888888884</v>
      </c>
      <c r="BG323">
        <f>survey_responses[[#This Row],[Sau khi xem xét các quyền lợi và nghĩa vụ, bạn có ủng hộ và tuân thủ chính sách mới hiện nay? - HUMAN-OUT1]]</f>
        <v>7</v>
      </c>
      <c r="BH323">
        <f t="shared" ref="BH323:BH386" si="160">(BG323-1)/9</f>
        <v>0.66666666666666663</v>
      </c>
      <c r="BI323" s="32">
        <f t="shared" ref="BI323:BI386" si="161">ABS(BG323-BE323)</f>
        <v>2</v>
      </c>
    </row>
    <row r="324" spans="1:61" x14ac:dyDescent="0.45">
      <c r="A324" s="30">
        <f>step3_validation[[#This Row],[Persona_ID]]</f>
        <v>323</v>
      </c>
      <c r="B324" s="31">
        <f>step3_validation[[#This Row],[Used_Seed]]</f>
        <v>364</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25.254576399845785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6</v>
      </c>
      <c r="R324">
        <f t="shared" si="135"/>
        <v>0.55555555555555558</v>
      </c>
      <c r="S324">
        <f>survey_responses[[#This Row],[Tôi tin rằng với các quy định quản lý thuế hiện nay, hành vi gian lận hoặc trốn thuế sẽ dễ dàng bị phát hiện và xử lý nghiêm. - HUMAN-ENF1]]</f>
        <v>7</v>
      </c>
      <c r="T324">
        <f t="shared" si="136"/>
        <v>0.66666666666666663</v>
      </c>
      <c r="U324">
        <f>step3_validation[[#This Row],[AI_ENF2]]</f>
        <v>8</v>
      </c>
      <c r="V324">
        <f t="shared" si="137"/>
        <v>0.77777777777777779</v>
      </c>
      <c r="W324">
        <f>survey_responses[[#This Row],[Tôi tin rằng Nhà nước, cơ quan thuế có đủ khả năng và công nghệ để phát hiện, xử lý nghiêm các hành vi trốn thuế. - HUMAN-ENF2]]</f>
        <v>7</v>
      </c>
      <c r="X324">
        <f t="shared" si="138"/>
        <v>0.66666666666666663</v>
      </c>
      <c r="Y324" s="32">
        <f t="shared" si="139"/>
        <v>0.66666666666666674</v>
      </c>
      <c r="Z324" s="32">
        <f t="shared" si="140"/>
        <v>0.66666666666666663</v>
      </c>
      <c r="AA324">
        <f>step3_validation[[#This Row],[AI_FAC1]]</f>
        <v>9</v>
      </c>
      <c r="AB324">
        <f t="shared" si="141"/>
        <v>0.88888888888888884</v>
      </c>
      <c r="AC324">
        <f>survey_responses[[#This Row],[Các thủ tục khai báo thuế VÀ/HOẶC quy trình làm việc với cơ quan thuế đơn giản, tiện lợi, nhanh chóng hơn so với trước đây. - HUMAN-FAC1]]</f>
        <v>8</v>
      </c>
      <c r="AD324">
        <f t="shared" si="142"/>
        <v>0.77777777777777779</v>
      </c>
      <c r="AE324">
        <f>step3_validation[[#This Row],[AI_FAC2]]</f>
        <v>9</v>
      </c>
      <c r="AF324">
        <f t="shared" si="143"/>
        <v>0.88888888888888884</v>
      </c>
      <c r="AG324">
        <f>survey_responses[[#This Row],[So với trước đây, tôi thấy cách tính thuế và các bậc thuế trong phương án mới đơn giản, dễ hiểu và dễ thực hiện hơn. - HUMAN-FAC2]]</f>
        <v>8</v>
      </c>
      <c r="AH324">
        <f t="shared" si="144"/>
        <v>0.77777777777777779</v>
      </c>
      <c r="AI324" s="32">
        <f t="shared" si="145"/>
        <v>0.88888888888888884</v>
      </c>
      <c r="AJ324" s="32">
        <f t="shared" si="146"/>
        <v>0.77777777777777779</v>
      </c>
      <c r="AK324">
        <f>step3_validation[[#This Row],[AI_TRU1]]</f>
        <v>7</v>
      </c>
      <c r="AL324">
        <f t="shared" si="147"/>
        <v>0.66666666666666663</v>
      </c>
      <c r="AM324">
        <f>survey_responses[[#This Row],[Tôi tin rằng Nhà nước, cơ quan thuế sẽ thực thi chính sách mới một cách khách quan, công tâm và đối xử bình đẳng với mọi người nộp thuế.  - HUMAN-TRU1]]</f>
        <v>6</v>
      </c>
      <c r="AN324">
        <f t="shared" si="148"/>
        <v>0.55555555555555558</v>
      </c>
      <c r="AO324">
        <f>step3_validation[[#This Row],[AI_TRU2]]</f>
        <v>9</v>
      </c>
      <c r="AP324">
        <f t="shared" si="149"/>
        <v>0.88888888888888884</v>
      </c>
      <c r="AQ324">
        <f>survey_responses[[#This Row],[Tôi thấy mức thuế tôi phải đóng theo phương án mới là công bằng (người thu nhập như tôi đóng mức này là hợp lý). - HUMAN-TRU2]]</f>
        <v>7</v>
      </c>
      <c r="AR324">
        <f t="shared" si="150"/>
        <v>0.66666666666666663</v>
      </c>
      <c r="AS324">
        <f>step3_validation[[#This Row],[AI_TRU3]]</f>
        <v>8</v>
      </c>
      <c r="AT324">
        <f t="shared" si="151"/>
        <v>0.77777777777777779</v>
      </c>
      <c r="AU324">
        <f>survey_responses[[#This Row],[Tôi tin tưởng số tiền thuế tôi đóng sẽ được Nhà nước sử dụng hiệu quả để cải thiện dịch vụ công (y tế, đường xá...). - HUMAN-TRU3]]</f>
        <v>6</v>
      </c>
      <c r="AV324">
        <f t="shared" si="152"/>
        <v>0.55555555555555558</v>
      </c>
      <c r="AW324">
        <f>step3_validation[[#This Row],[AI_TRU4]]</f>
        <v>9</v>
      </c>
      <c r="AX324">
        <f t="shared" si="153"/>
        <v>0.88888888888888884</v>
      </c>
      <c r="AY324">
        <f>survey_responses[[#This Row],[Tôi thấy Nhà nước đã giải thích rõ ràng, minh bạch về lý do và mục tiêu của việc sửa đổi thuế lần này. - HUMAN-TRU4]]</f>
        <v>7</v>
      </c>
      <c r="AZ324">
        <f t="shared" si="154"/>
        <v>0.66666666666666663</v>
      </c>
      <c r="BA324" s="32">
        <f t="shared" si="155"/>
        <v>0.80555555555555547</v>
      </c>
      <c r="BB324" s="32">
        <f t="shared" si="156"/>
        <v>0.61111111111111116</v>
      </c>
      <c r="BC324" s="7">
        <f t="shared" si="157"/>
        <v>0.78703703703703709</v>
      </c>
      <c r="BD324" s="7">
        <f t="shared" si="158"/>
        <v>0.68518518518518512</v>
      </c>
      <c r="BE324">
        <f>step3_validation[[#This Row],[AI_OUT1]]</f>
        <v>8</v>
      </c>
      <c r="BF324">
        <f t="shared" si="159"/>
        <v>0.77777777777777779</v>
      </c>
      <c r="BG324">
        <f>survey_responses[[#This Row],[Sau khi xem xét các quyền lợi và nghĩa vụ, bạn có ủng hộ và tuân thủ chính sách mới hiện nay? - HUMAN-OUT1]]</f>
        <v>7</v>
      </c>
      <c r="BH324">
        <f t="shared" si="160"/>
        <v>0.66666666666666663</v>
      </c>
      <c r="BI324" s="32">
        <f t="shared" si="161"/>
        <v>1</v>
      </c>
    </row>
    <row r="325" spans="1:61" x14ac:dyDescent="0.45">
      <c r="A325" s="30">
        <f>step3_validation[[#This Row],[Persona_ID]]</f>
        <v>324</v>
      </c>
      <c r="B325" s="31">
        <f>step3_validation[[#This Row],[Used_Seed]]</f>
        <v>365</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f t="shared" si="135"/>
        <v>0.66666666666666663</v>
      </c>
      <c r="S325">
        <f>survey_responses[[#This Row],[Tôi tin rằng với các quy định quản lý thuế hiện nay, hành vi gian lận hoặc trốn thuế sẽ dễ dàng bị phát hiện và xử lý nghiêm. - HUMAN-ENF1]]</f>
        <v>7</v>
      </c>
      <c r="T325">
        <f t="shared" si="136"/>
        <v>0.66666666666666663</v>
      </c>
      <c r="U325">
        <f>step3_validation[[#This Row],[AI_ENF2]]</f>
        <v>6</v>
      </c>
      <c r="V325">
        <f t="shared" si="137"/>
        <v>0.55555555555555558</v>
      </c>
      <c r="W325">
        <f>survey_responses[[#This Row],[Tôi tin rằng Nhà nước, cơ quan thuế có đủ khả năng và công nghệ để phát hiện, xử lý nghiêm các hành vi trốn thuế. - HUMAN-ENF2]]</f>
        <v>7</v>
      </c>
      <c r="X325">
        <f t="shared" si="138"/>
        <v>0.66666666666666663</v>
      </c>
      <c r="Y325" s="32">
        <f t="shared" si="139"/>
        <v>0.61111111111111116</v>
      </c>
      <c r="Z325" s="32">
        <f t="shared" si="140"/>
        <v>0.66666666666666663</v>
      </c>
      <c r="AA325">
        <f>step3_validation[[#This Row],[AI_FAC1]]</f>
        <v>8</v>
      </c>
      <c r="AB325">
        <f t="shared" si="141"/>
        <v>0.77777777777777779</v>
      </c>
      <c r="AC325">
        <f>survey_responses[[#This Row],[Các thủ tục khai báo thuế VÀ/HOẶC quy trình làm việc với cơ quan thuế đơn giản, tiện lợi, nhanh chóng hơn so với trước đây. - HUMAN-FAC1]]</f>
        <v>5</v>
      </c>
      <c r="AD325">
        <f t="shared" si="142"/>
        <v>0.44444444444444442</v>
      </c>
      <c r="AE325">
        <f>step3_validation[[#This Row],[AI_FAC2]]</f>
        <v>9</v>
      </c>
      <c r="AF325">
        <f t="shared" si="143"/>
        <v>0.88888888888888884</v>
      </c>
      <c r="AG325">
        <f>survey_responses[[#This Row],[So với trước đây, tôi thấy cách tính thuế và các bậc thuế trong phương án mới đơn giản, dễ hiểu và dễ thực hiện hơn. - HUMAN-FAC2]]</f>
        <v>7</v>
      </c>
      <c r="AH325">
        <f t="shared" si="144"/>
        <v>0.66666666666666663</v>
      </c>
      <c r="AI325" s="32">
        <f t="shared" si="145"/>
        <v>0.83333333333333326</v>
      </c>
      <c r="AJ325" s="32">
        <f t="shared" si="146"/>
        <v>0.55555555555555558</v>
      </c>
      <c r="AK325">
        <f>step3_validation[[#This Row],[AI_TRU1]]</f>
        <v>7</v>
      </c>
      <c r="AL325">
        <f t="shared" si="147"/>
        <v>0.66666666666666663</v>
      </c>
      <c r="AM325">
        <f>survey_responses[[#This Row],[Tôi tin rằng Nhà nước, cơ quan thuế sẽ thực thi chính sách mới một cách khách quan, công tâm và đối xử bình đẳng với mọi người nộp thuế.  - HUMAN-TRU1]]</f>
        <v>7</v>
      </c>
      <c r="AN325">
        <f t="shared" si="148"/>
        <v>0.66666666666666663</v>
      </c>
      <c r="AO325">
        <f>step3_validation[[#This Row],[AI_TRU2]]</f>
        <v>8</v>
      </c>
      <c r="AP325">
        <f t="shared" si="149"/>
        <v>0.77777777777777779</v>
      </c>
      <c r="AQ325">
        <f>survey_responses[[#This Row],[Tôi thấy mức thuế tôi phải đóng theo phương án mới là công bằng (người thu nhập như tôi đóng mức này là hợp lý). - HUMAN-TRU2]]</f>
        <v>7</v>
      </c>
      <c r="AR325">
        <f t="shared" si="150"/>
        <v>0.66666666666666663</v>
      </c>
      <c r="AS325">
        <f>step3_validation[[#This Row],[AI_TRU3]]</f>
        <v>7</v>
      </c>
      <c r="AT325">
        <f t="shared" si="151"/>
        <v>0.66666666666666663</v>
      </c>
      <c r="AU325">
        <f>survey_responses[[#This Row],[Tôi tin tưởng số tiền thuế tôi đóng sẽ được Nhà nước sử dụng hiệu quả để cải thiện dịch vụ công (y tế, đường xá...). - HUMAN-TRU3]]</f>
        <v>5</v>
      </c>
      <c r="AV325">
        <f t="shared" si="152"/>
        <v>0.44444444444444442</v>
      </c>
      <c r="AW325">
        <f>step3_validation[[#This Row],[AI_TRU4]]</f>
        <v>8</v>
      </c>
      <c r="AX325">
        <f t="shared" si="153"/>
        <v>0.77777777777777779</v>
      </c>
      <c r="AY325">
        <f>survey_responses[[#This Row],[Tôi thấy Nhà nước đã giải thích rõ ràng, minh bạch về lý do và mục tiêu của việc sửa đổi thuế lần này. - HUMAN-TRU4]]</f>
        <v>5</v>
      </c>
      <c r="AZ325">
        <f t="shared" si="154"/>
        <v>0.44444444444444442</v>
      </c>
      <c r="BA325" s="32">
        <f t="shared" si="155"/>
        <v>0.72222222222222221</v>
      </c>
      <c r="BB325" s="32">
        <f t="shared" si="156"/>
        <v>0.55555555555555558</v>
      </c>
      <c r="BC325" s="7">
        <f t="shared" si="157"/>
        <v>0.72222222222222221</v>
      </c>
      <c r="BD325" s="7">
        <f t="shared" si="158"/>
        <v>0.59259259259259267</v>
      </c>
      <c r="BE325">
        <f>step3_validation[[#This Row],[AI_OUT1]]</f>
        <v>9</v>
      </c>
      <c r="BF325">
        <f t="shared" si="159"/>
        <v>0.88888888888888884</v>
      </c>
      <c r="BG325">
        <f>survey_responses[[#This Row],[Sau khi xem xét các quyền lợi và nghĩa vụ, bạn có ủng hộ và tuân thủ chính sách mới hiện nay? - HUMAN-OUT1]]</f>
        <v>8</v>
      </c>
      <c r="BH325">
        <f t="shared" si="160"/>
        <v>0.77777777777777779</v>
      </c>
      <c r="BI325" s="32">
        <f t="shared" si="161"/>
        <v>1</v>
      </c>
    </row>
    <row r="326" spans="1:61" x14ac:dyDescent="0.45">
      <c r="A326" s="30">
        <f>step3_validation[[#This Row],[Persona_ID]]</f>
        <v>325</v>
      </c>
      <c r="B326" s="31">
        <f>step3_validation[[#This Row],[Used_Seed]]</f>
        <v>366</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37.765270489529698</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7</v>
      </c>
      <c r="R326">
        <f t="shared" si="135"/>
        <v>0.66666666666666663</v>
      </c>
      <c r="S326">
        <f>survey_responses[[#This Row],[Tôi tin rằng với các quy định quản lý thuế hiện nay, hành vi gian lận hoặc trốn thuế sẽ dễ dàng bị phát hiện và xử lý nghiêm. - HUMAN-ENF1]]</f>
        <v>2</v>
      </c>
      <c r="T326">
        <f t="shared" si="136"/>
        <v>0.1111111111111111</v>
      </c>
      <c r="U326">
        <f>step3_validation[[#This Row],[AI_ENF2]]</f>
        <v>6</v>
      </c>
      <c r="V326">
        <f t="shared" si="137"/>
        <v>0.55555555555555558</v>
      </c>
      <c r="W326">
        <f>survey_responses[[#This Row],[Tôi tin rằng Nhà nước, cơ quan thuế có đủ khả năng và công nghệ để phát hiện, xử lý nghiêm các hành vi trốn thuế. - HUMAN-ENF2]]</f>
        <v>2</v>
      </c>
      <c r="X326">
        <f t="shared" si="138"/>
        <v>0.1111111111111111</v>
      </c>
      <c r="Y326" s="32">
        <f t="shared" si="139"/>
        <v>0.61111111111111116</v>
      </c>
      <c r="Z326" s="32">
        <f t="shared" si="140"/>
        <v>0.1111111111111111</v>
      </c>
      <c r="AA326">
        <f>step3_validation[[#This Row],[AI_FAC1]]</f>
        <v>9</v>
      </c>
      <c r="AB326">
        <f t="shared" si="141"/>
        <v>0.88888888888888884</v>
      </c>
      <c r="AC326">
        <f>survey_responses[[#This Row],[Các thủ tục khai báo thuế VÀ/HOẶC quy trình làm việc với cơ quan thuế đơn giản, tiện lợi, nhanh chóng hơn so với trước đây. - HUMAN-FAC1]]</f>
        <v>6</v>
      </c>
      <c r="AD326">
        <f t="shared" si="142"/>
        <v>0.55555555555555558</v>
      </c>
      <c r="AE326">
        <f>step3_validation[[#This Row],[AI_FAC2]]</f>
        <v>10</v>
      </c>
      <c r="AF326">
        <f t="shared" si="143"/>
        <v>1</v>
      </c>
      <c r="AG326">
        <f>survey_responses[[#This Row],[So với trước đây, tôi thấy cách tính thuế và các bậc thuế trong phương án mới đơn giản, dễ hiểu và dễ thực hiện hơn. - HUMAN-FAC2]]</f>
        <v>7</v>
      </c>
      <c r="AH326">
        <f t="shared" si="144"/>
        <v>0.66666666666666663</v>
      </c>
      <c r="AI326" s="32">
        <f t="shared" si="145"/>
        <v>0.94444444444444442</v>
      </c>
      <c r="AJ326" s="32">
        <f t="shared" si="146"/>
        <v>0.61111111111111116</v>
      </c>
      <c r="AK326">
        <f>step3_validation[[#This Row],[AI_TRU1]]</f>
        <v>8</v>
      </c>
      <c r="AL326">
        <f t="shared" si="147"/>
        <v>0.77777777777777779</v>
      </c>
      <c r="AM326">
        <f>survey_responses[[#This Row],[Tôi tin rằng Nhà nước, cơ quan thuế sẽ thực thi chính sách mới một cách khách quan, công tâm và đối xử bình đẳng với mọi người nộp thuế.  - HUMAN-TRU1]]</f>
        <v>2</v>
      </c>
      <c r="AN326">
        <f t="shared" si="148"/>
        <v>0.1111111111111111</v>
      </c>
      <c r="AO326">
        <f>step3_validation[[#This Row],[AI_TRU2]]</f>
        <v>9</v>
      </c>
      <c r="AP326">
        <f t="shared" si="149"/>
        <v>0.88888888888888884</v>
      </c>
      <c r="AQ326">
        <f>survey_responses[[#This Row],[Tôi thấy mức thuế tôi phải đóng theo phương án mới là công bằng (người thu nhập như tôi đóng mức này là hợp lý). - HUMAN-TRU2]]</f>
        <v>5</v>
      </c>
      <c r="AR326">
        <f t="shared" si="150"/>
        <v>0.44444444444444442</v>
      </c>
      <c r="AS326">
        <f>step3_validation[[#This Row],[AI_TRU3]]</f>
        <v>8</v>
      </c>
      <c r="AT326">
        <f t="shared" si="151"/>
        <v>0.77777777777777779</v>
      </c>
      <c r="AU326">
        <f>survey_responses[[#This Row],[Tôi tin tưởng số tiền thuế tôi đóng sẽ được Nhà nước sử dụng hiệu quả để cải thiện dịch vụ công (y tế, đường xá...). - HUMAN-TRU3]]</f>
        <v>5</v>
      </c>
      <c r="AV326">
        <f t="shared" si="152"/>
        <v>0.44444444444444442</v>
      </c>
      <c r="AW326">
        <f>step3_validation[[#This Row],[AI_TRU4]]</f>
        <v>9</v>
      </c>
      <c r="AX326">
        <f t="shared" si="153"/>
        <v>0.88888888888888884</v>
      </c>
      <c r="AY326">
        <f>survey_responses[[#This Row],[Tôi thấy Nhà nước đã giải thích rõ ràng, minh bạch về lý do và mục tiêu của việc sửa đổi thuế lần này. - HUMAN-TRU4]]</f>
        <v>6</v>
      </c>
      <c r="AZ326">
        <f t="shared" si="154"/>
        <v>0.55555555555555558</v>
      </c>
      <c r="BA326" s="32">
        <f t="shared" si="155"/>
        <v>0.83333333333333326</v>
      </c>
      <c r="BB326" s="32">
        <f t="shared" si="156"/>
        <v>0.3888888888888889</v>
      </c>
      <c r="BC326" s="7">
        <f t="shared" si="157"/>
        <v>0.79629629629629628</v>
      </c>
      <c r="BD326" s="7">
        <f t="shared" si="158"/>
        <v>0.37037037037037041</v>
      </c>
      <c r="BE326">
        <f>step3_validation[[#This Row],[AI_OUT1]]</f>
        <v>10</v>
      </c>
      <c r="BF326">
        <f t="shared" si="159"/>
        <v>1</v>
      </c>
      <c r="BG326">
        <f>survey_responses[[#This Row],[Sau khi xem xét các quyền lợi và nghĩa vụ, bạn có ủng hộ và tuân thủ chính sách mới hiện nay? - HUMAN-OUT1]]</f>
        <v>5</v>
      </c>
      <c r="BH326">
        <f t="shared" si="160"/>
        <v>0.44444444444444442</v>
      </c>
      <c r="BI326" s="32">
        <f t="shared" si="161"/>
        <v>5</v>
      </c>
    </row>
    <row r="327" spans="1:61" x14ac:dyDescent="0.45">
      <c r="A327" s="30">
        <f>step3_validation[[#This Row],[Persona_ID]]</f>
        <v>326</v>
      </c>
      <c r="B327" s="31">
        <f>step3_validation[[#This Row],[Used_Seed]]</f>
        <v>367</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50.484651179719123</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6</v>
      </c>
      <c r="R327">
        <f t="shared" si="135"/>
        <v>0.55555555555555558</v>
      </c>
      <c r="S327">
        <f>survey_responses[[#This Row],[Tôi tin rằng với các quy định quản lý thuế hiện nay, hành vi gian lận hoặc trốn thuế sẽ dễ dàng bị phát hiện và xử lý nghiêm. - HUMAN-ENF1]]</f>
        <v>8</v>
      </c>
      <c r="T327">
        <f t="shared" si="136"/>
        <v>0.77777777777777779</v>
      </c>
      <c r="U327">
        <f>step3_validation[[#This Row],[AI_ENF2]]</f>
        <v>7</v>
      </c>
      <c r="V327">
        <f t="shared" si="137"/>
        <v>0.66666666666666663</v>
      </c>
      <c r="W327">
        <f>survey_responses[[#This Row],[Tôi tin rằng Nhà nước, cơ quan thuế có đủ khả năng và công nghệ để phát hiện, xử lý nghiêm các hành vi trốn thuế. - HUMAN-ENF2]]</f>
        <v>9</v>
      </c>
      <c r="X327">
        <f t="shared" si="138"/>
        <v>0.88888888888888884</v>
      </c>
      <c r="Y327" s="32">
        <f t="shared" si="139"/>
        <v>0.61111111111111116</v>
      </c>
      <c r="Z327" s="32">
        <f t="shared" si="140"/>
        <v>0.83333333333333326</v>
      </c>
      <c r="AA327">
        <f>step3_validation[[#This Row],[AI_FAC1]]</f>
        <v>6</v>
      </c>
      <c r="AB327">
        <f t="shared" si="141"/>
        <v>0.55555555555555558</v>
      </c>
      <c r="AC327">
        <f>survey_responses[[#This Row],[Các thủ tục khai báo thuế VÀ/HOẶC quy trình làm việc với cơ quan thuế đơn giản, tiện lợi, nhanh chóng hơn so với trước đây. - HUMAN-FAC1]]</f>
        <v>9</v>
      </c>
      <c r="AD327">
        <f t="shared" si="142"/>
        <v>0.88888888888888884</v>
      </c>
      <c r="AE327">
        <f>step3_validation[[#This Row],[AI_FAC2]]</f>
        <v>7</v>
      </c>
      <c r="AF327">
        <f t="shared" si="143"/>
        <v>0.66666666666666663</v>
      </c>
      <c r="AG327">
        <f>survey_responses[[#This Row],[So với trước đây, tôi thấy cách tính thuế và các bậc thuế trong phương án mới đơn giản, dễ hiểu và dễ thực hiện hơn. - HUMAN-FAC2]]</f>
        <v>10</v>
      </c>
      <c r="AH327">
        <f t="shared" si="144"/>
        <v>1</v>
      </c>
      <c r="AI327" s="32">
        <f t="shared" si="145"/>
        <v>0.61111111111111116</v>
      </c>
      <c r="AJ327" s="32">
        <f t="shared" si="146"/>
        <v>0.94444444444444442</v>
      </c>
      <c r="AK327">
        <f>step3_validation[[#This Row],[AI_TRU1]]</f>
        <v>6</v>
      </c>
      <c r="AL327">
        <f t="shared" si="147"/>
        <v>0.55555555555555558</v>
      </c>
      <c r="AM327">
        <f>survey_responses[[#This Row],[Tôi tin rằng Nhà nước, cơ quan thuế sẽ thực thi chính sách mới một cách khách quan, công tâm và đối xử bình đẳng với mọi người nộp thuế.  - HUMAN-TRU1]]</f>
        <v>8</v>
      </c>
      <c r="AN327">
        <f t="shared" si="148"/>
        <v>0.77777777777777779</v>
      </c>
      <c r="AO327">
        <f>step3_validation[[#This Row],[AI_TRU2]]</f>
        <v>7</v>
      </c>
      <c r="AP327">
        <f t="shared" si="149"/>
        <v>0.66666666666666663</v>
      </c>
      <c r="AQ327">
        <f>survey_responses[[#This Row],[Tôi thấy mức thuế tôi phải đóng theo phương án mới là công bằng (người thu nhập như tôi đóng mức này là hợp lý). - HUMAN-TRU2]]</f>
        <v>10</v>
      </c>
      <c r="AR327">
        <f t="shared" si="150"/>
        <v>1</v>
      </c>
      <c r="AS327">
        <f>step3_validation[[#This Row],[AI_TRU3]]</f>
        <v>6</v>
      </c>
      <c r="AT327">
        <f t="shared" si="151"/>
        <v>0.55555555555555558</v>
      </c>
      <c r="AU327">
        <f>survey_responses[[#This Row],[Tôi tin tưởng số tiền thuế tôi đóng sẽ được Nhà nước sử dụng hiệu quả để cải thiện dịch vụ công (y tế, đường xá...). - HUMAN-TRU3]]</f>
        <v>9</v>
      </c>
      <c r="AV327">
        <f t="shared" si="152"/>
        <v>0.88888888888888884</v>
      </c>
      <c r="AW327">
        <f>step3_validation[[#This Row],[AI_TRU4]]</f>
        <v>7</v>
      </c>
      <c r="AX327">
        <f t="shared" si="153"/>
        <v>0.66666666666666663</v>
      </c>
      <c r="AY327">
        <f>survey_responses[[#This Row],[Tôi thấy Nhà nước đã giải thích rõ ràng, minh bạch về lý do và mục tiêu của việc sửa đổi thuế lần này. - HUMAN-TRU4]]</f>
        <v>9</v>
      </c>
      <c r="AZ327">
        <f t="shared" si="154"/>
        <v>0.88888888888888884</v>
      </c>
      <c r="BA327" s="32">
        <f t="shared" si="155"/>
        <v>0.61111111111111116</v>
      </c>
      <c r="BB327" s="32">
        <f t="shared" si="156"/>
        <v>0.88888888888888884</v>
      </c>
      <c r="BC327" s="7">
        <f t="shared" si="157"/>
        <v>0.61111111111111116</v>
      </c>
      <c r="BD327" s="7">
        <f t="shared" si="158"/>
        <v>0.88888888888888884</v>
      </c>
      <c r="BE327">
        <f>step3_validation[[#This Row],[AI_OUT1]]</f>
        <v>6</v>
      </c>
      <c r="BF327">
        <f t="shared" si="159"/>
        <v>0.55555555555555558</v>
      </c>
      <c r="BG327">
        <f>survey_responses[[#This Row],[Sau khi xem xét các quyền lợi và nghĩa vụ, bạn có ủng hộ và tuân thủ chính sách mới hiện nay? - HUMAN-OUT1]]</f>
        <v>10</v>
      </c>
      <c r="BH327">
        <f t="shared" si="160"/>
        <v>1</v>
      </c>
      <c r="BI327" s="32">
        <f t="shared" si="161"/>
        <v>4</v>
      </c>
    </row>
    <row r="328" spans="1:61" x14ac:dyDescent="0.45">
      <c r="A328" s="30">
        <f>step3_validation[[#This Row],[Persona_ID]]</f>
        <v>327</v>
      </c>
      <c r="B328" s="31">
        <f>step3_validation[[#This Row],[Used_Seed]]</f>
        <v>368</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21.137777265822383</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6</v>
      </c>
      <c r="R328">
        <f t="shared" si="135"/>
        <v>0.55555555555555558</v>
      </c>
      <c r="S328">
        <f>survey_responses[[#This Row],[Tôi tin rằng với các quy định quản lý thuế hiện nay, hành vi gian lận hoặc trốn thuế sẽ dễ dàng bị phát hiện và xử lý nghiêm. - HUMAN-ENF1]]</f>
        <v>7</v>
      </c>
      <c r="T328">
        <f t="shared" si="136"/>
        <v>0.66666666666666663</v>
      </c>
      <c r="U328">
        <f>step3_validation[[#This Row],[AI_ENF2]]</f>
        <v>7</v>
      </c>
      <c r="V328">
        <f t="shared" si="137"/>
        <v>0.66666666666666663</v>
      </c>
      <c r="W328">
        <f>survey_responses[[#This Row],[Tôi tin rằng Nhà nước, cơ quan thuế có đủ khả năng và công nghệ để phát hiện, xử lý nghiêm các hành vi trốn thuế. - HUMAN-ENF2]]</f>
        <v>7</v>
      </c>
      <c r="X328">
        <f t="shared" si="138"/>
        <v>0.66666666666666663</v>
      </c>
      <c r="Y328" s="32">
        <f t="shared" si="139"/>
        <v>0.61111111111111116</v>
      </c>
      <c r="Z328" s="32">
        <f t="shared" si="140"/>
        <v>0.66666666666666663</v>
      </c>
      <c r="AA328">
        <f>step3_validation[[#This Row],[AI_FAC1]]</f>
        <v>8</v>
      </c>
      <c r="AB328">
        <f t="shared" si="141"/>
        <v>0.77777777777777779</v>
      </c>
      <c r="AC328">
        <f>survey_responses[[#This Row],[Các thủ tục khai báo thuế VÀ/HOẶC quy trình làm việc với cơ quan thuế đơn giản, tiện lợi, nhanh chóng hơn so với trước đây. - HUMAN-FAC1]]</f>
        <v>7</v>
      </c>
      <c r="AD328">
        <f t="shared" si="142"/>
        <v>0.66666666666666663</v>
      </c>
      <c r="AE328">
        <f>step3_validation[[#This Row],[AI_FAC2]]</f>
        <v>9</v>
      </c>
      <c r="AF328">
        <f t="shared" si="143"/>
        <v>0.88888888888888884</v>
      </c>
      <c r="AG328">
        <f>survey_responses[[#This Row],[So với trước đây, tôi thấy cách tính thuế và các bậc thuế trong phương án mới đơn giản, dễ hiểu và dễ thực hiện hơn. - HUMAN-FAC2]]</f>
        <v>9</v>
      </c>
      <c r="AH328">
        <f t="shared" si="144"/>
        <v>0.88888888888888884</v>
      </c>
      <c r="AI328" s="32">
        <f t="shared" si="145"/>
        <v>0.83333333333333326</v>
      </c>
      <c r="AJ328" s="32">
        <f t="shared" si="146"/>
        <v>0.77777777777777768</v>
      </c>
      <c r="AK328">
        <f>step3_validation[[#This Row],[AI_TRU1]]</f>
        <v>7</v>
      </c>
      <c r="AL328">
        <f t="shared" si="147"/>
        <v>0.66666666666666663</v>
      </c>
      <c r="AM328">
        <f>survey_responses[[#This Row],[Tôi tin rằng Nhà nước, cơ quan thuế sẽ thực thi chính sách mới một cách khách quan, công tâm và đối xử bình đẳng với mọi người nộp thuế.  - HUMAN-TRU1]]</f>
        <v>7</v>
      </c>
      <c r="AN328">
        <f t="shared" si="148"/>
        <v>0.66666666666666663</v>
      </c>
      <c r="AO328">
        <f>step3_validation[[#This Row],[AI_TRU2]]</f>
        <v>9</v>
      </c>
      <c r="AP328">
        <f t="shared" si="149"/>
        <v>0.88888888888888884</v>
      </c>
      <c r="AQ328">
        <f>survey_responses[[#This Row],[Tôi thấy mức thuế tôi phải đóng theo phương án mới là công bằng (người thu nhập như tôi đóng mức này là hợp lý). - HUMAN-TRU2]]</f>
        <v>8</v>
      </c>
      <c r="AR328">
        <f t="shared" si="150"/>
        <v>0.77777777777777779</v>
      </c>
      <c r="AS328">
        <f>step3_validation[[#This Row],[AI_TRU3]]</f>
        <v>8</v>
      </c>
      <c r="AT328">
        <f t="shared" si="151"/>
        <v>0.77777777777777779</v>
      </c>
      <c r="AU328">
        <f>survey_responses[[#This Row],[Tôi tin tưởng số tiền thuế tôi đóng sẽ được Nhà nước sử dụng hiệu quả để cải thiện dịch vụ công (y tế, đường xá...). - HUMAN-TRU3]]</f>
        <v>5</v>
      </c>
      <c r="AV328">
        <f t="shared" si="152"/>
        <v>0.44444444444444442</v>
      </c>
      <c r="AW328">
        <f>step3_validation[[#This Row],[AI_TRU4]]</f>
        <v>7</v>
      </c>
      <c r="AX328">
        <f t="shared" si="153"/>
        <v>0.66666666666666663</v>
      </c>
      <c r="AY328">
        <f>survey_responses[[#This Row],[Tôi thấy Nhà nước đã giải thích rõ ràng, minh bạch về lý do và mục tiêu của việc sửa đổi thuế lần này. - HUMAN-TRU4]]</f>
        <v>7</v>
      </c>
      <c r="AZ328">
        <f t="shared" si="154"/>
        <v>0.66666666666666663</v>
      </c>
      <c r="BA328" s="32">
        <f t="shared" si="155"/>
        <v>0.74999999999999989</v>
      </c>
      <c r="BB328" s="32">
        <f t="shared" si="156"/>
        <v>0.63888888888888884</v>
      </c>
      <c r="BC328" s="7">
        <f t="shared" si="157"/>
        <v>0.7314814814814814</v>
      </c>
      <c r="BD328" s="7">
        <f t="shared" si="158"/>
        <v>0.69444444444444431</v>
      </c>
      <c r="BE328">
        <f>step3_validation[[#This Row],[AI_OUT1]]</f>
        <v>9</v>
      </c>
      <c r="BF328">
        <f t="shared" si="159"/>
        <v>0.88888888888888884</v>
      </c>
      <c r="BG328">
        <f>survey_responses[[#This Row],[Sau khi xem xét các quyền lợi và nghĩa vụ, bạn có ủng hộ và tuân thủ chính sách mới hiện nay? - HUMAN-OUT1]]</f>
        <v>8</v>
      </c>
      <c r="BH328">
        <f t="shared" si="160"/>
        <v>0.77777777777777779</v>
      </c>
      <c r="BI328" s="32">
        <f t="shared" si="161"/>
        <v>1</v>
      </c>
    </row>
    <row r="329" spans="1:61" x14ac:dyDescent="0.45">
      <c r="A329" s="30">
        <f>step3_validation[[#This Row],[Persona_ID]]</f>
        <v>328</v>
      </c>
      <c r="B329" s="31">
        <f>step3_validation[[#This Row],[Used_Seed]]</f>
        <v>369</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86.712170908790966</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9</v>
      </c>
      <c r="R329">
        <f t="shared" si="135"/>
        <v>0.88888888888888884</v>
      </c>
      <c r="S329">
        <f>survey_responses[[#This Row],[Tôi tin rằng với các quy định quản lý thuế hiện nay, hành vi gian lận hoặc trốn thuế sẽ dễ dàng bị phát hiện và xử lý nghiêm. - HUMAN-ENF1]]</f>
        <v>7</v>
      </c>
      <c r="T329">
        <f t="shared" si="136"/>
        <v>0.66666666666666663</v>
      </c>
      <c r="U329">
        <f>step3_validation[[#This Row],[AI_ENF2]]</f>
        <v>8</v>
      </c>
      <c r="V329">
        <f t="shared" si="137"/>
        <v>0.77777777777777779</v>
      </c>
      <c r="W329">
        <f>survey_responses[[#This Row],[Tôi tin rằng Nhà nước, cơ quan thuế có đủ khả năng và công nghệ để phát hiện, xử lý nghiêm các hành vi trốn thuế. - HUMAN-ENF2]]</f>
        <v>8</v>
      </c>
      <c r="X329">
        <f t="shared" si="138"/>
        <v>0.77777777777777779</v>
      </c>
      <c r="Y329" s="32">
        <f t="shared" si="139"/>
        <v>0.83333333333333326</v>
      </c>
      <c r="Z329" s="32">
        <f t="shared" si="140"/>
        <v>0.72222222222222221</v>
      </c>
      <c r="AA329">
        <f>step3_validation[[#This Row],[AI_FAC1]]</f>
        <v>9</v>
      </c>
      <c r="AB329">
        <f t="shared" si="141"/>
        <v>0.88888888888888884</v>
      </c>
      <c r="AC329">
        <f>survey_responses[[#This Row],[Các thủ tục khai báo thuế VÀ/HOẶC quy trình làm việc với cơ quan thuế đơn giản, tiện lợi, nhanh chóng hơn so với trước đây. - HUMAN-FAC1]]</f>
        <v>9</v>
      </c>
      <c r="AD329">
        <f t="shared" si="142"/>
        <v>0.88888888888888884</v>
      </c>
      <c r="AE329">
        <f>step3_validation[[#This Row],[AI_FAC2]]</f>
        <v>10</v>
      </c>
      <c r="AF329">
        <f t="shared" si="143"/>
        <v>1</v>
      </c>
      <c r="AG329">
        <f>survey_responses[[#This Row],[So với trước đây, tôi thấy cách tính thuế và các bậc thuế trong phương án mới đơn giản, dễ hiểu và dễ thực hiện hơn. - HUMAN-FAC2]]</f>
        <v>9</v>
      </c>
      <c r="AH329">
        <f t="shared" si="144"/>
        <v>0.88888888888888884</v>
      </c>
      <c r="AI329" s="32">
        <f t="shared" si="145"/>
        <v>0.94444444444444442</v>
      </c>
      <c r="AJ329" s="32">
        <f t="shared" si="146"/>
        <v>0.88888888888888884</v>
      </c>
      <c r="AK329">
        <f>step3_validation[[#This Row],[AI_TRU1]]</f>
        <v>8</v>
      </c>
      <c r="AL329">
        <f t="shared" si="147"/>
        <v>0.77777777777777779</v>
      </c>
      <c r="AM329">
        <f>survey_responses[[#This Row],[Tôi tin rằng Nhà nước, cơ quan thuế sẽ thực thi chính sách mới một cách khách quan, công tâm và đối xử bình đẳng với mọi người nộp thuế.  - HUMAN-TRU1]]</f>
        <v>9</v>
      </c>
      <c r="AN329">
        <f t="shared" si="148"/>
        <v>0.88888888888888884</v>
      </c>
      <c r="AO329">
        <f>step3_validation[[#This Row],[AI_TRU2]]</f>
        <v>9</v>
      </c>
      <c r="AP329">
        <f t="shared" si="149"/>
        <v>0.88888888888888884</v>
      </c>
      <c r="AQ329">
        <f>survey_responses[[#This Row],[Tôi thấy mức thuế tôi phải đóng theo phương án mới là công bằng (người thu nhập như tôi đóng mức này là hợp lý). - HUMAN-TRU2]]</f>
        <v>8</v>
      </c>
      <c r="AR329">
        <f t="shared" si="150"/>
        <v>0.77777777777777779</v>
      </c>
      <c r="AS329">
        <f>step3_validation[[#This Row],[AI_TRU3]]</f>
        <v>8</v>
      </c>
      <c r="AT329">
        <f t="shared" si="151"/>
        <v>0.77777777777777779</v>
      </c>
      <c r="AU329">
        <f>survey_responses[[#This Row],[Tôi tin tưởng số tiền thuế tôi đóng sẽ được Nhà nước sử dụng hiệu quả để cải thiện dịch vụ công (y tế, đường xá...). - HUMAN-TRU3]]</f>
        <v>7</v>
      </c>
      <c r="AV329">
        <f t="shared" si="152"/>
        <v>0.66666666666666663</v>
      </c>
      <c r="AW329">
        <f>step3_validation[[#This Row],[AI_TRU4]]</f>
        <v>9</v>
      </c>
      <c r="AX329">
        <f t="shared" si="153"/>
        <v>0.88888888888888884</v>
      </c>
      <c r="AY329">
        <f>survey_responses[[#This Row],[Tôi thấy Nhà nước đã giải thích rõ ràng, minh bạch về lý do và mục tiêu của việc sửa đổi thuế lần này. - HUMAN-TRU4]]</f>
        <v>7</v>
      </c>
      <c r="AZ329">
        <f t="shared" si="154"/>
        <v>0.66666666666666663</v>
      </c>
      <c r="BA329" s="32">
        <f t="shared" si="155"/>
        <v>0.83333333333333326</v>
      </c>
      <c r="BB329" s="32">
        <f t="shared" si="156"/>
        <v>0.74999999999999989</v>
      </c>
      <c r="BC329" s="7">
        <f t="shared" si="157"/>
        <v>0.87037037037037024</v>
      </c>
      <c r="BD329" s="7">
        <f t="shared" si="158"/>
        <v>0.78703703703703709</v>
      </c>
      <c r="BE329">
        <f>step3_validation[[#This Row],[AI_OUT1]]</f>
        <v>8</v>
      </c>
      <c r="BF329">
        <f t="shared" si="159"/>
        <v>0.77777777777777779</v>
      </c>
      <c r="BG329">
        <f>survey_responses[[#This Row],[Sau khi xem xét các quyền lợi và nghĩa vụ, bạn có ủng hộ và tuân thủ chính sách mới hiện nay? - HUMAN-OUT1]]</f>
        <v>9</v>
      </c>
      <c r="BH329">
        <f t="shared" si="160"/>
        <v>0.88888888888888884</v>
      </c>
      <c r="BI329" s="32">
        <f t="shared" si="161"/>
        <v>1</v>
      </c>
    </row>
    <row r="330" spans="1:61" x14ac:dyDescent="0.45">
      <c r="A330" s="30">
        <f>step3_validation[[#This Row],[Persona_ID]]</f>
        <v>329</v>
      </c>
      <c r="B330" s="31">
        <f>step3_validation[[#This Row],[Used_Seed]]</f>
        <v>370</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13.163817633558187</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8</v>
      </c>
      <c r="R330">
        <f t="shared" si="135"/>
        <v>0.77777777777777779</v>
      </c>
      <c r="S330">
        <f>survey_responses[[#This Row],[Tôi tin rằng với các quy định quản lý thuế hiện nay, hành vi gian lận hoặc trốn thuế sẽ dễ dàng bị phát hiện và xử lý nghiêm. - HUMAN-ENF1]]</f>
        <v>7</v>
      </c>
      <c r="T330">
        <f t="shared" si="136"/>
        <v>0.66666666666666663</v>
      </c>
      <c r="U330">
        <f>step3_validation[[#This Row],[AI_ENF2]]</f>
        <v>9</v>
      </c>
      <c r="V330">
        <f t="shared" si="137"/>
        <v>0.88888888888888884</v>
      </c>
      <c r="W330">
        <f>survey_responses[[#This Row],[Tôi tin rằng Nhà nước, cơ quan thuế có đủ khả năng và công nghệ để phát hiện, xử lý nghiêm các hành vi trốn thuế. - HUMAN-ENF2]]</f>
        <v>7</v>
      </c>
      <c r="X330">
        <f t="shared" si="138"/>
        <v>0.66666666666666663</v>
      </c>
      <c r="Y330" s="32">
        <f t="shared" si="139"/>
        <v>0.83333333333333326</v>
      </c>
      <c r="Z330" s="32">
        <f t="shared" si="140"/>
        <v>0.66666666666666663</v>
      </c>
      <c r="AA330">
        <f>step3_validation[[#This Row],[AI_FAC1]]</f>
        <v>8</v>
      </c>
      <c r="AB330">
        <f t="shared" si="141"/>
        <v>0.77777777777777779</v>
      </c>
      <c r="AC330">
        <f>survey_responses[[#This Row],[Các thủ tục khai báo thuế VÀ/HOẶC quy trình làm việc với cơ quan thuế đơn giản, tiện lợi, nhanh chóng hơn so với trước đây. - HUMAN-FAC1]]</f>
        <v>9</v>
      </c>
      <c r="AD330">
        <f t="shared" si="142"/>
        <v>0.88888888888888884</v>
      </c>
      <c r="AE330">
        <f>step3_validation[[#This Row],[AI_FAC2]]</f>
        <v>9</v>
      </c>
      <c r="AF330">
        <f t="shared" si="143"/>
        <v>0.88888888888888884</v>
      </c>
      <c r="AG330">
        <f>survey_responses[[#This Row],[So với trước đây, tôi thấy cách tính thuế và các bậc thuế trong phương án mới đơn giản, dễ hiểu và dễ thực hiện hơn. - HUMAN-FAC2]]</f>
        <v>9</v>
      </c>
      <c r="AH330">
        <f t="shared" si="144"/>
        <v>0.88888888888888884</v>
      </c>
      <c r="AI330" s="32">
        <f t="shared" si="145"/>
        <v>0.83333333333333326</v>
      </c>
      <c r="AJ330" s="32">
        <f t="shared" si="146"/>
        <v>0.88888888888888884</v>
      </c>
      <c r="AK330">
        <f>step3_validation[[#This Row],[AI_TRU1]]</f>
        <v>8</v>
      </c>
      <c r="AL330">
        <f t="shared" si="147"/>
        <v>0.77777777777777779</v>
      </c>
      <c r="AM330">
        <f>survey_responses[[#This Row],[Tôi tin rằng Nhà nước, cơ quan thuế sẽ thực thi chính sách mới một cách khách quan, công tâm và đối xử bình đẳng với mọi người nộp thuế.  - HUMAN-TRU1]]</f>
        <v>9</v>
      </c>
      <c r="AN330">
        <f t="shared" si="148"/>
        <v>0.88888888888888884</v>
      </c>
      <c r="AO330">
        <f>step3_validation[[#This Row],[AI_TRU2]]</f>
        <v>9</v>
      </c>
      <c r="AP330">
        <f t="shared" si="149"/>
        <v>0.88888888888888884</v>
      </c>
      <c r="AQ330">
        <f>survey_responses[[#This Row],[Tôi thấy mức thuế tôi phải đóng theo phương án mới là công bằng (người thu nhập như tôi đóng mức này là hợp lý). - HUMAN-TRU2]]</f>
        <v>9</v>
      </c>
      <c r="AR330">
        <f t="shared" si="150"/>
        <v>0.88888888888888884</v>
      </c>
      <c r="AS330">
        <f>step3_validation[[#This Row],[AI_TRU3]]</f>
        <v>8</v>
      </c>
      <c r="AT330">
        <f t="shared" si="151"/>
        <v>0.77777777777777779</v>
      </c>
      <c r="AU330">
        <f>survey_responses[[#This Row],[Tôi tin tưởng số tiền thuế tôi đóng sẽ được Nhà nước sử dụng hiệu quả để cải thiện dịch vụ công (y tế, đường xá...). - HUMAN-TRU3]]</f>
        <v>5</v>
      </c>
      <c r="AV330">
        <f t="shared" si="152"/>
        <v>0.44444444444444442</v>
      </c>
      <c r="AW330">
        <f>step3_validation[[#This Row],[AI_TRU4]]</f>
        <v>9</v>
      </c>
      <c r="AX330">
        <f t="shared" si="153"/>
        <v>0.88888888888888884</v>
      </c>
      <c r="AY330">
        <f>survey_responses[[#This Row],[Tôi thấy Nhà nước đã giải thích rõ ràng, minh bạch về lý do và mục tiêu của việc sửa đổi thuế lần này. - HUMAN-TRU4]]</f>
        <v>6</v>
      </c>
      <c r="AZ330">
        <f t="shared" si="154"/>
        <v>0.55555555555555558</v>
      </c>
      <c r="BA330" s="32">
        <f t="shared" si="155"/>
        <v>0.83333333333333326</v>
      </c>
      <c r="BB330" s="32">
        <f t="shared" si="156"/>
        <v>0.69444444444444442</v>
      </c>
      <c r="BC330" s="7">
        <f t="shared" si="157"/>
        <v>0.83333333333333337</v>
      </c>
      <c r="BD330" s="7">
        <f t="shared" si="158"/>
        <v>0.75</v>
      </c>
      <c r="BE330">
        <f>step3_validation[[#This Row],[AI_OUT1]]</f>
        <v>9</v>
      </c>
      <c r="BF330">
        <f t="shared" si="159"/>
        <v>0.88888888888888884</v>
      </c>
      <c r="BG330">
        <f>survey_responses[[#This Row],[Sau khi xem xét các quyền lợi và nghĩa vụ, bạn có ủng hộ và tuân thủ chính sách mới hiện nay? - HUMAN-OUT1]]</f>
        <v>9</v>
      </c>
      <c r="BH330">
        <f t="shared" si="160"/>
        <v>0.88888888888888884</v>
      </c>
      <c r="BI330" s="32">
        <f t="shared" si="161"/>
        <v>0</v>
      </c>
    </row>
    <row r="331" spans="1:61" x14ac:dyDescent="0.45">
      <c r="A331" s="30">
        <f>step3_validation[[#This Row],[Persona_ID]]</f>
        <v>330</v>
      </c>
      <c r="B331" s="31">
        <f>step3_validation[[#This Row],[Used_Seed]]</f>
        <v>371</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15.081158510371475</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f t="shared" si="135"/>
        <v>0.66666666666666663</v>
      </c>
      <c r="S331">
        <f>survey_responses[[#This Row],[Tôi tin rằng với các quy định quản lý thuế hiện nay, hành vi gian lận hoặc trốn thuế sẽ dễ dàng bị phát hiện và xử lý nghiêm. - HUMAN-ENF1]]</f>
        <v>3</v>
      </c>
      <c r="T331">
        <f t="shared" si="136"/>
        <v>0.22222222222222221</v>
      </c>
      <c r="U331">
        <f>step3_validation[[#This Row],[AI_ENF2]]</f>
        <v>8</v>
      </c>
      <c r="V331">
        <f t="shared" si="137"/>
        <v>0.77777777777777779</v>
      </c>
      <c r="W331">
        <f>survey_responses[[#This Row],[Tôi tin rằng Nhà nước, cơ quan thuế có đủ khả năng và công nghệ để phát hiện, xử lý nghiêm các hành vi trốn thuế. - HUMAN-ENF2]]</f>
        <v>3</v>
      </c>
      <c r="X331">
        <f t="shared" si="138"/>
        <v>0.22222222222222221</v>
      </c>
      <c r="Y331" s="32">
        <f t="shared" si="139"/>
        <v>0.72222222222222221</v>
      </c>
      <c r="Z331" s="32">
        <f t="shared" si="140"/>
        <v>0.22222222222222221</v>
      </c>
      <c r="AA331">
        <f>step3_validation[[#This Row],[AI_FAC1]]</f>
        <v>9</v>
      </c>
      <c r="AB331">
        <f t="shared" si="141"/>
        <v>0.88888888888888884</v>
      </c>
      <c r="AC331">
        <f>survey_responses[[#This Row],[Các thủ tục khai báo thuế VÀ/HOẶC quy trình làm việc với cơ quan thuế đơn giản, tiện lợi, nhanh chóng hơn so với trước đây. - HUMAN-FAC1]]</f>
        <v>5</v>
      </c>
      <c r="AD331">
        <f t="shared" si="142"/>
        <v>0.44444444444444442</v>
      </c>
      <c r="AE331">
        <f>step3_validation[[#This Row],[AI_FAC2]]</f>
        <v>10</v>
      </c>
      <c r="AF331">
        <f t="shared" si="143"/>
        <v>1</v>
      </c>
      <c r="AG331">
        <f>survey_responses[[#This Row],[So với trước đây, tôi thấy cách tính thuế và các bậc thuế trong phương án mới đơn giản, dễ hiểu và dễ thực hiện hơn. - HUMAN-FAC2]]</f>
        <v>6</v>
      </c>
      <c r="AH331">
        <f t="shared" si="144"/>
        <v>0.55555555555555558</v>
      </c>
      <c r="AI331" s="32">
        <f t="shared" si="145"/>
        <v>0.94444444444444442</v>
      </c>
      <c r="AJ331" s="32">
        <f t="shared" si="146"/>
        <v>0.5</v>
      </c>
      <c r="AK331">
        <f>step3_validation[[#This Row],[AI_TRU1]]</f>
        <v>9</v>
      </c>
      <c r="AL331">
        <f t="shared" si="147"/>
        <v>0.88888888888888884</v>
      </c>
      <c r="AM331">
        <f>survey_responses[[#This Row],[Tôi tin rằng Nhà nước, cơ quan thuế sẽ thực thi chính sách mới một cách khách quan, công tâm và đối xử bình đẳng với mọi người nộp thuế.  - HUMAN-TRU1]]</f>
        <v>4</v>
      </c>
      <c r="AN331">
        <f t="shared" si="148"/>
        <v>0.33333333333333331</v>
      </c>
      <c r="AO331">
        <f>step3_validation[[#This Row],[AI_TRU2]]</f>
        <v>9</v>
      </c>
      <c r="AP331">
        <f t="shared" si="149"/>
        <v>0.88888888888888884</v>
      </c>
      <c r="AQ331">
        <f>survey_responses[[#This Row],[Tôi thấy mức thuế tôi phải đóng theo phương án mới là công bằng (người thu nhập như tôi đóng mức này là hợp lý). - HUMAN-TRU2]]</f>
        <v>5</v>
      </c>
      <c r="AR331">
        <f t="shared" si="150"/>
        <v>0.44444444444444442</v>
      </c>
      <c r="AS331">
        <f>step3_validation[[#This Row],[AI_TRU3]]</f>
        <v>8</v>
      </c>
      <c r="AT331">
        <f t="shared" si="151"/>
        <v>0.77777777777777779</v>
      </c>
      <c r="AU331">
        <f>survey_responses[[#This Row],[Tôi tin tưởng số tiền thuế tôi đóng sẽ được Nhà nước sử dụng hiệu quả để cải thiện dịch vụ công (y tế, đường xá...). - HUMAN-TRU3]]</f>
        <v>5</v>
      </c>
      <c r="AV331">
        <f t="shared" si="152"/>
        <v>0.44444444444444442</v>
      </c>
      <c r="AW331">
        <f>step3_validation[[#This Row],[AI_TRU4]]</f>
        <v>9</v>
      </c>
      <c r="AX331">
        <f t="shared" si="153"/>
        <v>0.88888888888888884</v>
      </c>
      <c r="AY331">
        <f>survey_responses[[#This Row],[Tôi thấy Nhà nước đã giải thích rõ ràng, minh bạch về lý do và mục tiêu của việc sửa đổi thuế lần này. - HUMAN-TRU4]]</f>
        <v>5</v>
      </c>
      <c r="AZ331">
        <f t="shared" si="154"/>
        <v>0.44444444444444442</v>
      </c>
      <c r="BA331" s="32">
        <f t="shared" si="155"/>
        <v>0.86111111111111105</v>
      </c>
      <c r="BB331" s="32">
        <f t="shared" si="156"/>
        <v>0.41666666666666663</v>
      </c>
      <c r="BC331" s="7">
        <f t="shared" si="157"/>
        <v>0.84259259259259256</v>
      </c>
      <c r="BD331" s="7">
        <f t="shared" si="158"/>
        <v>0.37962962962962959</v>
      </c>
      <c r="BE331">
        <f>step3_validation[[#This Row],[AI_OUT1]]</f>
        <v>9</v>
      </c>
      <c r="BF331">
        <f t="shared" si="159"/>
        <v>0.88888888888888884</v>
      </c>
      <c r="BG331">
        <f>survey_responses[[#This Row],[Sau khi xem xét các quyền lợi và nghĩa vụ, bạn có ủng hộ và tuân thủ chính sách mới hiện nay? - HUMAN-OUT1]]</f>
        <v>5</v>
      </c>
      <c r="BH331">
        <f t="shared" si="160"/>
        <v>0.44444444444444442</v>
      </c>
      <c r="BI331" s="32">
        <f t="shared" si="161"/>
        <v>4</v>
      </c>
    </row>
    <row r="332" spans="1:61" x14ac:dyDescent="0.45">
      <c r="A332" s="30">
        <f>step3_validation[[#This Row],[Persona_ID]]</f>
        <v>331</v>
      </c>
      <c r="B332" s="31">
        <f>step3_validation[[#This Row],[Used_Seed]]</f>
        <v>372</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28.060003082582007</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f t="shared" si="135"/>
        <v>0.77777777777777779</v>
      </c>
      <c r="S332">
        <f>survey_responses[[#This Row],[Tôi tin rằng với các quy định quản lý thuế hiện nay, hành vi gian lận hoặc trốn thuế sẽ dễ dàng bị phát hiện và xử lý nghiêm. - HUMAN-ENF1]]</f>
        <v>4</v>
      </c>
      <c r="T332">
        <f t="shared" si="136"/>
        <v>0.33333333333333331</v>
      </c>
      <c r="U332">
        <f>step3_validation[[#This Row],[AI_ENF2]]</f>
        <v>9</v>
      </c>
      <c r="V332">
        <f t="shared" si="137"/>
        <v>0.88888888888888884</v>
      </c>
      <c r="W332">
        <f>survey_responses[[#This Row],[Tôi tin rằng Nhà nước, cơ quan thuế có đủ khả năng và công nghệ để phát hiện, xử lý nghiêm các hành vi trốn thuế. - HUMAN-ENF2]]</f>
        <v>4</v>
      </c>
      <c r="X332">
        <f t="shared" si="138"/>
        <v>0.33333333333333331</v>
      </c>
      <c r="Y332" s="32">
        <f t="shared" si="139"/>
        <v>0.83333333333333326</v>
      </c>
      <c r="Z332" s="32">
        <f t="shared" si="140"/>
        <v>0.33333333333333331</v>
      </c>
      <c r="AA332">
        <f>step3_validation[[#This Row],[AI_FAC1]]</f>
        <v>7</v>
      </c>
      <c r="AB332">
        <f t="shared" si="141"/>
        <v>0.66666666666666663</v>
      </c>
      <c r="AC332">
        <f>survey_responses[[#This Row],[Các thủ tục khai báo thuế VÀ/HOẶC quy trình làm việc với cơ quan thuế đơn giản, tiện lợi, nhanh chóng hơn so với trước đây. - HUMAN-FAC1]]</f>
        <v>5</v>
      </c>
      <c r="AD332">
        <f t="shared" si="142"/>
        <v>0.44444444444444442</v>
      </c>
      <c r="AE332">
        <f>step3_validation[[#This Row],[AI_FAC2]]</f>
        <v>9</v>
      </c>
      <c r="AF332">
        <f t="shared" si="143"/>
        <v>0.88888888888888884</v>
      </c>
      <c r="AG332">
        <f>survey_responses[[#This Row],[So với trước đây, tôi thấy cách tính thuế và các bậc thuế trong phương án mới đơn giản, dễ hiểu và dễ thực hiện hơn. - HUMAN-FAC2]]</f>
        <v>6</v>
      </c>
      <c r="AH332">
        <f t="shared" si="144"/>
        <v>0.55555555555555558</v>
      </c>
      <c r="AI332" s="32">
        <f t="shared" si="145"/>
        <v>0.77777777777777768</v>
      </c>
      <c r="AJ332" s="32">
        <f t="shared" si="146"/>
        <v>0.5</v>
      </c>
      <c r="AK332">
        <f>step3_validation[[#This Row],[AI_TRU1]]</f>
        <v>7</v>
      </c>
      <c r="AL332">
        <f t="shared" si="147"/>
        <v>0.66666666666666663</v>
      </c>
      <c r="AM332">
        <f>survey_responses[[#This Row],[Tôi tin rằng Nhà nước, cơ quan thuế sẽ thực thi chính sách mới một cách khách quan, công tâm và đối xử bình đẳng với mọi người nộp thuế.  - HUMAN-TRU1]]</f>
        <v>4</v>
      </c>
      <c r="AN332">
        <f t="shared" si="148"/>
        <v>0.33333333333333331</v>
      </c>
      <c r="AO332">
        <f>step3_validation[[#This Row],[AI_TRU2]]</f>
        <v>9</v>
      </c>
      <c r="AP332">
        <f t="shared" si="149"/>
        <v>0.88888888888888884</v>
      </c>
      <c r="AQ332">
        <f>survey_responses[[#This Row],[Tôi thấy mức thuế tôi phải đóng theo phương án mới là công bằng (người thu nhập như tôi đóng mức này là hợp lý). - HUMAN-TRU2]]</f>
        <v>5</v>
      </c>
      <c r="AR332">
        <f t="shared" si="150"/>
        <v>0.44444444444444442</v>
      </c>
      <c r="AS332">
        <f>step3_validation[[#This Row],[AI_TRU3]]</f>
        <v>8</v>
      </c>
      <c r="AT332">
        <f t="shared" si="151"/>
        <v>0.77777777777777779</v>
      </c>
      <c r="AU332">
        <f>survey_responses[[#This Row],[Tôi tin tưởng số tiền thuế tôi đóng sẽ được Nhà nước sử dụng hiệu quả để cải thiện dịch vụ công (y tế, đường xá...). - HUMAN-TRU3]]</f>
        <v>3</v>
      </c>
      <c r="AV332">
        <f t="shared" si="152"/>
        <v>0.22222222222222221</v>
      </c>
      <c r="AW332">
        <f>step3_validation[[#This Row],[AI_TRU4]]</f>
        <v>7</v>
      </c>
      <c r="AX332">
        <f t="shared" si="153"/>
        <v>0.66666666666666663</v>
      </c>
      <c r="AY332">
        <f>survey_responses[[#This Row],[Tôi thấy Nhà nước đã giải thích rõ ràng, minh bạch về lý do và mục tiêu của việc sửa đổi thuế lần này. - HUMAN-TRU4]]</f>
        <v>4</v>
      </c>
      <c r="AZ332">
        <f t="shared" si="154"/>
        <v>0.33333333333333331</v>
      </c>
      <c r="BA332" s="32">
        <f t="shared" si="155"/>
        <v>0.74999999999999989</v>
      </c>
      <c r="BB332" s="32">
        <f t="shared" si="156"/>
        <v>0.33333333333333331</v>
      </c>
      <c r="BC332" s="7">
        <f t="shared" si="157"/>
        <v>0.78703703703703687</v>
      </c>
      <c r="BD332" s="7">
        <f t="shared" si="158"/>
        <v>0.38888888888888884</v>
      </c>
      <c r="BE332">
        <f>step3_validation[[#This Row],[AI_OUT1]]</f>
        <v>9</v>
      </c>
      <c r="BF332">
        <f t="shared" si="159"/>
        <v>0.88888888888888884</v>
      </c>
      <c r="BG332">
        <f>survey_responses[[#This Row],[Sau khi xem xét các quyền lợi và nghĩa vụ, bạn có ủng hộ và tuân thủ chính sách mới hiện nay? - HUMAN-OUT1]]</f>
        <v>5</v>
      </c>
      <c r="BH332">
        <f t="shared" si="160"/>
        <v>0.44444444444444442</v>
      </c>
      <c r="BI332" s="32">
        <f t="shared" si="161"/>
        <v>4</v>
      </c>
    </row>
    <row r="333" spans="1:61" x14ac:dyDescent="0.45">
      <c r="A333" s="30">
        <f>step3_validation[[#This Row],[Persona_ID]]</f>
        <v>332</v>
      </c>
      <c r="B333" s="31">
        <f>step3_validation[[#This Row],[Used_Seed]]</f>
        <v>373</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19.229504179534565</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6</v>
      </c>
      <c r="R333">
        <f t="shared" si="135"/>
        <v>0.55555555555555558</v>
      </c>
      <c r="S333">
        <f>survey_responses[[#This Row],[Tôi tin rằng với các quy định quản lý thuế hiện nay, hành vi gian lận hoặc trốn thuế sẽ dễ dàng bị phát hiện và xử lý nghiêm. - HUMAN-ENF1]]</f>
        <v>7</v>
      </c>
      <c r="T333">
        <f t="shared" si="136"/>
        <v>0.66666666666666663</v>
      </c>
      <c r="U333">
        <f>step3_validation[[#This Row],[AI_ENF2]]</f>
        <v>6</v>
      </c>
      <c r="V333">
        <f t="shared" si="137"/>
        <v>0.55555555555555558</v>
      </c>
      <c r="W333">
        <f>survey_responses[[#This Row],[Tôi tin rằng Nhà nước, cơ quan thuế có đủ khả năng và công nghệ để phát hiện, xử lý nghiêm các hành vi trốn thuế. - HUMAN-ENF2]]</f>
        <v>7</v>
      </c>
      <c r="X333">
        <f t="shared" si="138"/>
        <v>0.66666666666666663</v>
      </c>
      <c r="Y333" s="32">
        <f t="shared" si="139"/>
        <v>0.55555555555555558</v>
      </c>
      <c r="Z333" s="32">
        <f t="shared" si="140"/>
        <v>0.66666666666666663</v>
      </c>
      <c r="AA333">
        <f>step3_validation[[#This Row],[AI_FAC1]]</f>
        <v>7</v>
      </c>
      <c r="AB333">
        <f t="shared" si="141"/>
        <v>0.66666666666666663</v>
      </c>
      <c r="AC333">
        <f>survey_responses[[#This Row],[Các thủ tục khai báo thuế VÀ/HOẶC quy trình làm việc với cơ quan thuế đơn giản, tiện lợi, nhanh chóng hơn so với trước đây. - HUMAN-FAC1]]</f>
        <v>9</v>
      </c>
      <c r="AD333">
        <f t="shared" si="142"/>
        <v>0.88888888888888884</v>
      </c>
      <c r="AE333">
        <f>step3_validation[[#This Row],[AI_FAC2]]</f>
        <v>8</v>
      </c>
      <c r="AF333">
        <f t="shared" si="143"/>
        <v>0.77777777777777779</v>
      </c>
      <c r="AG333">
        <f>survey_responses[[#This Row],[So với trước đây, tôi thấy cách tính thuế và các bậc thuế trong phương án mới đơn giản, dễ hiểu và dễ thực hiện hơn. - HUMAN-FAC2]]</f>
        <v>9</v>
      </c>
      <c r="AH333">
        <f t="shared" si="144"/>
        <v>0.88888888888888884</v>
      </c>
      <c r="AI333" s="32">
        <f t="shared" si="145"/>
        <v>0.72222222222222221</v>
      </c>
      <c r="AJ333" s="32">
        <f t="shared" si="146"/>
        <v>0.88888888888888884</v>
      </c>
      <c r="AK333">
        <f>step3_validation[[#This Row],[AI_TRU1]]</f>
        <v>6</v>
      </c>
      <c r="AL333">
        <f t="shared" si="147"/>
        <v>0.55555555555555558</v>
      </c>
      <c r="AM333">
        <f>survey_responses[[#This Row],[Tôi tin rằng Nhà nước, cơ quan thuế sẽ thực thi chính sách mới một cách khách quan, công tâm và đối xử bình đẳng với mọi người nộp thuế.  - HUMAN-TRU1]]</f>
        <v>8</v>
      </c>
      <c r="AN333">
        <f t="shared" si="148"/>
        <v>0.77777777777777779</v>
      </c>
      <c r="AO333">
        <f>step3_validation[[#This Row],[AI_TRU2]]</f>
        <v>8</v>
      </c>
      <c r="AP333">
        <f t="shared" si="149"/>
        <v>0.77777777777777779</v>
      </c>
      <c r="AQ333">
        <f>survey_responses[[#This Row],[Tôi thấy mức thuế tôi phải đóng theo phương án mới là công bằng (người thu nhập như tôi đóng mức này là hợp lý). - HUMAN-TRU2]]</f>
        <v>9</v>
      </c>
      <c r="AR333">
        <f t="shared" si="150"/>
        <v>0.88888888888888884</v>
      </c>
      <c r="AS333">
        <f>step3_validation[[#This Row],[AI_TRU3]]</f>
        <v>6</v>
      </c>
      <c r="AT333">
        <f t="shared" si="151"/>
        <v>0.55555555555555558</v>
      </c>
      <c r="AU333">
        <f>survey_responses[[#This Row],[Tôi tin tưởng số tiền thuế tôi đóng sẽ được Nhà nước sử dụng hiệu quả để cải thiện dịch vụ công (y tế, đường xá...). - HUMAN-TRU3]]</f>
        <v>7</v>
      </c>
      <c r="AV333">
        <f t="shared" si="152"/>
        <v>0.66666666666666663</v>
      </c>
      <c r="AW333">
        <f>step3_validation[[#This Row],[AI_TRU4]]</f>
        <v>7</v>
      </c>
      <c r="AX333">
        <f t="shared" si="153"/>
        <v>0.66666666666666663</v>
      </c>
      <c r="AY333">
        <f>survey_responses[[#This Row],[Tôi thấy Nhà nước đã giải thích rõ ràng, minh bạch về lý do và mục tiêu của việc sửa đổi thuế lần này. - HUMAN-TRU4]]</f>
        <v>9</v>
      </c>
      <c r="AZ333">
        <f t="shared" si="154"/>
        <v>0.88888888888888884</v>
      </c>
      <c r="BA333" s="32">
        <f t="shared" si="155"/>
        <v>0.63888888888888895</v>
      </c>
      <c r="BB333" s="32">
        <f t="shared" si="156"/>
        <v>0.80555555555555547</v>
      </c>
      <c r="BC333" s="7">
        <f t="shared" si="157"/>
        <v>0.63888888888888884</v>
      </c>
      <c r="BD333" s="7">
        <f t="shared" si="158"/>
        <v>0.78703703703703687</v>
      </c>
      <c r="BE333">
        <f>step3_validation[[#This Row],[AI_OUT1]]</f>
        <v>8</v>
      </c>
      <c r="BF333">
        <f t="shared" si="159"/>
        <v>0.77777777777777779</v>
      </c>
      <c r="BG333">
        <f>survey_responses[[#This Row],[Sau khi xem xét các quyền lợi và nghĩa vụ, bạn có ủng hộ và tuân thủ chính sách mới hiện nay? - HUMAN-OUT1]]</f>
        <v>9</v>
      </c>
      <c r="BH333">
        <f t="shared" si="160"/>
        <v>0.88888888888888884</v>
      </c>
      <c r="BI333" s="32">
        <f t="shared" si="161"/>
        <v>1</v>
      </c>
    </row>
    <row r="334" spans="1:61" x14ac:dyDescent="0.45">
      <c r="A334" s="30">
        <f>step3_validation[[#This Row],[Persona_ID]]</f>
        <v>333</v>
      </c>
      <c r="B334" s="31">
        <f>step3_validation[[#This Row],[Used_Seed]]</f>
        <v>374</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72.905025546684229</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7</v>
      </c>
      <c r="R334">
        <f t="shared" si="135"/>
        <v>0.66666666666666663</v>
      </c>
      <c r="S334">
        <f>survey_responses[[#This Row],[Tôi tin rằng với các quy định quản lý thuế hiện nay, hành vi gian lận hoặc trốn thuế sẽ dễ dàng bị phát hiện và xử lý nghiêm. - HUMAN-ENF1]]</f>
        <v>6</v>
      </c>
      <c r="T334">
        <f t="shared" si="136"/>
        <v>0.55555555555555558</v>
      </c>
      <c r="U334">
        <f>step3_validation[[#This Row],[AI_ENF2]]</f>
        <v>8</v>
      </c>
      <c r="V334">
        <f t="shared" si="137"/>
        <v>0.77777777777777779</v>
      </c>
      <c r="W334">
        <f>survey_responses[[#This Row],[Tôi tin rằng Nhà nước, cơ quan thuế có đủ khả năng và công nghệ để phát hiện, xử lý nghiêm các hành vi trốn thuế. - HUMAN-ENF2]]</f>
        <v>6</v>
      </c>
      <c r="X334">
        <f t="shared" si="138"/>
        <v>0.55555555555555558</v>
      </c>
      <c r="Y334" s="32">
        <f t="shared" si="139"/>
        <v>0.72222222222222221</v>
      </c>
      <c r="Z334" s="32">
        <f t="shared" si="140"/>
        <v>0.55555555555555558</v>
      </c>
      <c r="AA334">
        <f>step3_validation[[#This Row],[AI_FAC1]]</f>
        <v>9</v>
      </c>
      <c r="AB334">
        <f t="shared" si="141"/>
        <v>0.88888888888888884</v>
      </c>
      <c r="AC334">
        <f>survey_responses[[#This Row],[Các thủ tục khai báo thuế VÀ/HOẶC quy trình làm việc với cơ quan thuế đơn giản, tiện lợi, nhanh chóng hơn so với trước đây. - HUMAN-FAC1]]</f>
        <v>8</v>
      </c>
      <c r="AD334">
        <f t="shared" si="142"/>
        <v>0.77777777777777779</v>
      </c>
      <c r="AE334">
        <f>step3_validation[[#This Row],[AI_FAC2]]</f>
        <v>8</v>
      </c>
      <c r="AF334">
        <f t="shared" si="143"/>
        <v>0.77777777777777779</v>
      </c>
      <c r="AG334">
        <f>survey_responses[[#This Row],[So với trước đây, tôi thấy cách tính thuế và các bậc thuế trong phương án mới đơn giản, dễ hiểu và dễ thực hiện hơn. - HUMAN-FAC2]]</f>
        <v>8</v>
      </c>
      <c r="AH334">
        <f t="shared" si="144"/>
        <v>0.77777777777777779</v>
      </c>
      <c r="AI334" s="32">
        <f t="shared" si="145"/>
        <v>0.83333333333333326</v>
      </c>
      <c r="AJ334" s="32">
        <f t="shared" si="146"/>
        <v>0.77777777777777779</v>
      </c>
      <c r="AK334">
        <f>step3_validation[[#This Row],[AI_TRU1]]</f>
        <v>9</v>
      </c>
      <c r="AL334">
        <f t="shared" si="147"/>
        <v>0.88888888888888884</v>
      </c>
      <c r="AM334">
        <f>survey_responses[[#This Row],[Tôi tin rằng Nhà nước, cơ quan thuế sẽ thực thi chính sách mới một cách khách quan, công tâm và đối xử bình đẳng với mọi người nộp thuế.  - HUMAN-TRU1]]</f>
        <v>6</v>
      </c>
      <c r="AN334">
        <f t="shared" si="148"/>
        <v>0.55555555555555558</v>
      </c>
      <c r="AO334">
        <f>step3_validation[[#This Row],[AI_TRU2]]</f>
        <v>8</v>
      </c>
      <c r="AP334">
        <f t="shared" si="149"/>
        <v>0.77777777777777779</v>
      </c>
      <c r="AQ334">
        <f>survey_responses[[#This Row],[Tôi thấy mức thuế tôi phải đóng theo phương án mới là công bằng (người thu nhập như tôi đóng mức này là hợp lý). - HUMAN-TRU2]]</f>
        <v>7</v>
      </c>
      <c r="AR334">
        <f t="shared" si="150"/>
        <v>0.66666666666666663</v>
      </c>
      <c r="AS334">
        <f>step3_validation[[#This Row],[AI_TRU3]]</f>
        <v>9</v>
      </c>
      <c r="AT334">
        <f t="shared" si="151"/>
        <v>0.88888888888888884</v>
      </c>
      <c r="AU334">
        <f>survey_responses[[#This Row],[Tôi tin tưởng số tiền thuế tôi đóng sẽ được Nhà nước sử dụng hiệu quả để cải thiện dịch vụ công (y tế, đường xá...). - HUMAN-TRU3]]</f>
        <v>6</v>
      </c>
      <c r="AV334">
        <f t="shared" si="152"/>
        <v>0.55555555555555558</v>
      </c>
      <c r="AW334">
        <f>step3_validation[[#This Row],[AI_TRU4]]</f>
        <v>8</v>
      </c>
      <c r="AX334">
        <f t="shared" si="153"/>
        <v>0.77777777777777779</v>
      </c>
      <c r="AY334">
        <f>survey_responses[[#This Row],[Tôi thấy Nhà nước đã giải thích rõ ràng, minh bạch về lý do và mục tiêu của việc sửa đổi thuế lần này. - HUMAN-TRU4]]</f>
        <v>7</v>
      </c>
      <c r="AZ334">
        <f t="shared" si="154"/>
        <v>0.66666666666666663</v>
      </c>
      <c r="BA334" s="32">
        <f t="shared" si="155"/>
        <v>0.83333333333333326</v>
      </c>
      <c r="BB334" s="32">
        <f t="shared" si="156"/>
        <v>0.61111111111111116</v>
      </c>
      <c r="BC334" s="7">
        <f t="shared" si="157"/>
        <v>0.79629629629629617</v>
      </c>
      <c r="BD334" s="7">
        <f t="shared" si="158"/>
        <v>0.64814814814814825</v>
      </c>
      <c r="BE334">
        <f>step3_validation[[#This Row],[AI_OUT1]]</f>
        <v>9</v>
      </c>
      <c r="BF334">
        <f t="shared" si="159"/>
        <v>0.88888888888888884</v>
      </c>
      <c r="BG334">
        <f>survey_responses[[#This Row],[Sau khi xem xét các quyền lợi và nghĩa vụ, bạn có ủng hộ và tuân thủ chính sách mới hiện nay? - HUMAN-OUT1]]</f>
        <v>7</v>
      </c>
      <c r="BH334">
        <f t="shared" si="160"/>
        <v>0.66666666666666663</v>
      </c>
      <c r="BI334" s="32">
        <f t="shared" si="161"/>
        <v>2</v>
      </c>
    </row>
    <row r="335" spans="1:61" x14ac:dyDescent="0.45">
      <c r="A335" s="30">
        <f>step3_validation[[#This Row],[Persona_ID]]</f>
        <v>334</v>
      </c>
      <c r="B335" s="31">
        <f>step3_validation[[#This Row],[Used_Seed]]</f>
        <v>375</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108.82670681025888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8</v>
      </c>
      <c r="R335">
        <f t="shared" si="135"/>
        <v>0.77777777777777779</v>
      </c>
      <c r="S335">
        <f>survey_responses[[#This Row],[Tôi tin rằng với các quy định quản lý thuế hiện nay, hành vi gian lận hoặc trốn thuế sẽ dễ dàng bị phát hiện và xử lý nghiêm. - HUMAN-ENF1]]</f>
        <v>2</v>
      </c>
      <c r="T335">
        <f t="shared" si="136"/>
        <v>0.1111111111111111</v>
      </c>
      <c r="U335">
        <f>step3_validation[[#This Row],[AI_ENF2]]</f>
        <v>9</v>
      </c>
      <c r="V335">
        <f t="shared" si="137"/>
        <v>0.88888888888888884</v>
      </c>
      <c r="W335">
        <f>survey_responses[[#This Row],[Tôi tin rằng Nhà nước, cơ quan thuế có đủ khả năng và công nghệ để phát hiện, xử lý nghiêm các hành vi trốn thuế. - HUMAN-ENF2]]</f>
        <v>2</v>
      </c>
      <c r="X335">
        <f t="shared" si="138"/>
        <v>0.1111111111111111</v>
      </c>
      <c r="Y335" s="32">
        <f t="shared" si="139"/>
        <v>0.83333333333333326</v>
      </c>
      <c r="Z335" s="32">
        <f t="shared" si="140"/>
        <v>0.1111111111111111</v>
      </c>
      <c r="AA335">
        <f>step3_validation[[#This Row],[AI_FAC1]]</f>
        <v>7</v>
      </c>
      <c r="AB335">
        <f t="shared" si="141"/>
        <v>0.66666666666666663</v>
      </c>
      <c r="AC335">
        <f>survey_responses[[#This Row],[Các thủ tục khai báo thuế VÀ/HOẶC quy trình làm việc với cơ quan thuế đơn giản, tiện lợi, nhanh chóng hơn so với trước đây. - HUMAN-FAC1]]</f>
        <v>3</v>
      </c>
      <c r="AD335">
        <f t="shared" si="142"/>
        <v>0.22222222222222221</v>
      </c>
      <c r="AE335">
        <f>step3_validation[[#This Row],[AI_FAC2]]</f>
        <v>9</v>
      </c>
      <c r="AF335">
        <f t="shared" si="143"/>
        <v>0.88888888888888884</v>
      </c>
      <c r="AG335">
        <f>survey_responses[[#This Row],[So với trước đây, tôi thấy cách tính thuế và các bậc thuế trong phương án mới đơn giản, dễ hiểu và dễ thực hiện hơn. - HUMAN-FAC2]]</f>
        <v>5</v>
      </c>
      <c r="AH335">
        <f t="shared" si="144"/>
        <v>0.44444444444444442</v>
      </c>
      <c r="AI335" s="32">
        <f t="shared" si="145"/>
        <v>0.77777777777777768</v>
      </c>
      <c r="AJ335" s="32">
        <f t="shared" si="146"/>
        <v>0.33333333333333331</v>
      </c>
      <c r="AK335">
        <f>step3_validation[[#This Row],[AI_TRU1]]</f>
        <v>8</v>
      </c>
      <c r="AL335">
        <f t="shared" si="147"/>
        <v>0.77777777777777779</v>
      </c>
      <c r="AM335">
        <f>survey_responses[[#This Row],[Tôi tin rằng Nhà nước, cơ quan thuế sẽ thực thi chính sách mới một cách khách quan, công tâm và đối xử bình đẳng với mọi người nộp thuế.  - HUMAN-TRU1]]</f>
        <v>1</v>
      </c>
      <c r="AN335">
        <f t="shared" si="148"/>
        <v>0</v>
      </c>
      <c r="AO335">
        <f>step3_validation[[#This Row],[AI_TRU2]]</f>
        <v>9</v>
      </c>
      <c r="AP335">
        <f t="shared" si="149"/>
        <v>0.88888888888888884</v>
      </c>
      <c r="AQ335">
        <f>survey_responses[[#This Row],[Tôi thấy mức thuế tôi phải đóng theo phương án mới là công bằng (người thu nhập như tôi đóng mức này là hợp lý). - HUMAN-TRU2]]</f>
        <v>1</v>
      </c>
      <c r="AR335">
        <f t="shared" si="150"/>
        <v>0</v>
      </c>
      <c r="AS335">
        <f>step3_validation[[#This Row],[AI_TRU3]]</f>
        <v>8</v>
      </c>
      <c r="AT335">
        <f t="shared" si="151"/>
        <v>0.77777777777777779</v>
      </c>
      <c r="AU335">
        <f>survey_responses[[#This Row],[Tôi tin tưởng số tiền thuế tôi đóng sẽ được Nhà nước sử dụng hiệu quả để cải thiện dịch vụ công (y tế, đường xá...). - HUMAN-TRU3]]</f>
        <v>1</v>
      </c>
      <c r="AV335">
        <f t="shared" si="152"/>
        <v>0</v>
      </c>
      <c r="AW335">
        <f>step3_validation[[#This Row],[AI_TRU4]]</f>
        <v>9</v>
      </c>
      <c r="AX335">
        <f t="shared" si="153"/>
        <v>0.88888888888888884</v>
      </c>
      <c r="AY335">
        <f>survey_responses[[#This Row],[Tôi thấy Nhà nước đã giải thích rõ ràng, minh bạch về lý do và mục tiêu của việc sửa đổi thuế lần này. - HUMAN-TRU4]]</f>
        <v>3</v>
      </c>
      <c r="AZ335">
        <f t="shared" si="154"/>
        <v>0.22222222222222221</v>
      </c>
      <c r="BA335" s="32">
        <f t="shared" si="155"/>
        <v>0.83333333333333326</v>
      </c>
      <c r="BB335" s="32">
        <f t="shared" si="156"/>
        <v>5.5555555555555552E-2</v>
      </c>
      <c r="BC335" s="7">
        <f t="shared" si="157"/>
        <v>0.81481481481481477</v>
      </c>
      <c r="BD335" s="7">
        <f t="shared" si="158"/>
        <v>0.16666666666666666</v>
      </c>
      <c r="BE335">
        <f>step3_validation[[#This Row],[AI_OUT1]]</f>
        <v>10</v>
      </c>
      <c r="BF335">
        <f t="shared" si="159"/>
        <v>1</v>
      </c>
      <c r="BG335">
        <f>survey_responses[[#This Row],[Sau khi xem xét các quyền lợi và nghĩa vụ, bạn có ủng hộ và tuân thủ chính sách mới hiện nay? - HUMAN-OUT1]]</f>
        <v>1</v>
      </c>
      <c r="BH335">
        <f t="shared" si="160"/>
        <v>0</v>
      </c>
      <c r="BI335" s="32">
        <f t="shared" si="161"/>
        <v>9</v>
      </c>
    </row>
    <row r="336" spans="1:61" x14ac:dyDescent="0.45">
      <c r="A336" s="30">
        <f>step3_validation[[#This Row],[Persona_ID]]</f>
        <v>335</v>
      </c>
      <c r="B336" s="31">
        <f>step3_validation[[#This Row],[Used_Seed]]</f>
        <v>376</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14.724893700157214</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f t="shared" si="135"/>
        <v>0.66666666666666663</v>
      </c>
      <c r="S336">
        <f>survey_responses[[#This Row],[Tôi tin rằng với các quy định quản lý thuế hiện nay, hành vi gian lận hoặc trốn thuế sẽ dễ dàng bị phát hiện và xử lý nghiêm. - HUMAN-ENF1]]</f>
        <v>7</v>
      </c>
      <c r="T336">
        <f t="shared" si="136"/>
        <v>0.66666666666666663</v>
      </c>
      <c r="U336">
        <f>step3_validation[[#This Row],[AI_ENF2]]</f>
        <v>6</v>
      </c>
      <c r="V336">
        <f t="shared" si="137"/>
        <v>0.55555555555555558</v>
      </c>
      <c r="W336">
        <f>survey_responses[[#This Row],[Tôi tin rằng Nhà nước, cơ quan thuế có đủ khả năng và công nghệ để phát hiện, xử lý nghiêm các hành vi trốn thuế. - HUMAN-ENF2]]</f>
        <v>7</v>
      </c>
      <c r="X336">
        <f t="shared" si="138"/>
        <v>0.66666666666666663</v>
      </c>
      <c r="Y336" s="32">
        <f t="shared" si="139"/>
        <v>0.61111111111111116</v>
      </c>
      <c r="Z336" s="32">
        <f t="shared" si="140"/>
        <v>0.66666666666666663</v>
      </c>
      <c r="AA336">
        <f>step3_validation[[#This Row],[AI_FAC1]]</f>
        <v>8</v>
      </c>
      <c r="AB336">
        <f t="shared" si="141"/>
        <v>0.77777777777777779</v>
      </c>
      <c r="AC336">
        <f>survey_responses[[#This Row],[Các thủ tục khai báo thuế VÀ/HOẶC quy trình làm việc với cơ quan thuế đơn giản, tiện lợi, nhanh chóng hơn so với trước đây. - HUMAN-FAC1]]</f>
        <v>8</v>
      </c>
      <c r="AD336">
        <f t="shared" si="142"/>
        <v>0.77777777777777779</v>
      </c>
      <c r="AE336">
        <f>step3_validation[[#This Row],[AI_FAC2]]</f>
        <v>9</v>
      </c>
      <c r="AF336">
        <f t="shared" si="143"/>
        <v>0.88888888888888884</v>
      </c>
      <c r="AG336">
        <f>survey_responses[[#This Row],[So với trước đây, tôi thấy cách tính thuế và các bậc thuế trong phương án mới đơn giản, dễ hiểu và dễ thực hiện hơn. - HUMAN-FAC2]]</f>
        <v>10</v>
      </c>
      <c r="AH336">
        <f t="shared" si="144"/>
        <v>1</v>
      </c>
      <c r="AI336" s="32">
        <f t="shared" si="145"/>
        <v>0.83333333333333326</v>
      </c>
      <c r="AJ336" s="32">
        <f t="shared" si="146"/>
        <v>0.88888888888888884</v>
      </c>
      <c r="AK336">
        <f>step3_validation[[#This Row],[AI_TRU1]]</f>
        <v>7</v>
      </c>
      <c r="AL336">
        <f t="shared" si="147"/>
        <v>0.66666666666666663</v>
      </c>
      <c r="AM336">
        <f>survey_responses[[#This Row],[Tôi tin rằng Nhà nước, cơ quan thuế sẽ thực thi chính sách mới một cách khách quan, công tâm và đối xử bình đẳng với mọi người nộp thuế.  - HUMAN-TRU1]]</f>
        <v>9</v>
      </c>
      <c r="AN336">
        <f t="shared" si="148"/>
        <v>0.88888888888888884</v>
      </c>
      <c r="AO336">
        <f>step3_validation[[#This Row],[AI_TRU2]]</f>
        <v>8</v>
      </c>
      <c r="AP336">
        <f t="shared" si="149"/>
        <v>0.77777777777777779</v>
      </c>
      <c r="AQ336">
        <f>survey_responses[[#This Row],[Tôi thấy mức thuế tôi phải đóng theo phương án mới là công bằng (người thu nhập như tôi đóng mức này là hợp lý). - HUMAN-TRU2]]</f>
        <v>10</v>
      </c>
      <c r="AR336">
        <f t="shared" si="150"/>
        <v>1</v>
      </c>
      <c r="AS336">
        <f>step3_validation[[#This Row],[AI_TRU3]]</f>
        <v>7</v>
      </c>
      <c r="AT336">
        <f t="shared" si="151"/>
        <v>0.66666666666666663</v>
      </c>
      <c r="AU336">
        <f>survey_responses[[#This Row],[Tôi tin tưởng số tiền thuế tôi đóng sẽ được Nhà nước sử dụng hiệu quả để cải thiện dịch vụ công (y tế, đường xá...). - HUMAN-TRU3]]</f>
        <v>8</v>
      </c>
      <c r="AV336">
        <f t="shared" si="152"/>
        <v>0.77777777777777779</v>
      </c>
      <c r="AW336">
        <f>step3_validation[[#This Row],[AI_TRU4]]</f>
        <v>8</v>
      </c>
      <c r="AX336">
        <f t="shared" si="153"/>
        <v>0.77777777777777779</v>
      </c>
      <c r="AY336">
        <f>survey_responses[[#This Row],[Tôi thấy Nhà nước đã giải thích rõ ràng, minh bạch về lý do và mục tiêu của việc sửa đổi thuế lần này. - HUMAN-TRU4]]</f>
        <v>8</v>
      </c>
      <c r="AZ336">
        <f t="shared" si="154"/>
        <v>0.77777777777777779</v>
      </c>
      <c r="BA336" s="32">
        <f t="shared" si="155"/>
        <v>0.72222222222222221</v>
      </c>
      <c r="BB336" s="32">
        <f t="shared" si="156"/>
        <v>0.86111111111111105</v>
      </c>
      <c r="BC336" s="7">
        <f t="shared" si="157"/>
        <v>0.72222222222222221</v>
      </c>
      <c r="BD336" s="7">
        <f t="shared" si="158"/>
        <v>0.80555555555555547</v>
      </c>
      <c r="BE336">
        <f>step3_validation[[#This Row],[AI_OUT1]]</f>
        <v>9</v>
      </c>
      <c r="BF336">
        <f t="shared" si="159"/>
        <v>0.88888888888888884</v>
      </c>
      <c r="BG336">
        <f>survey_responses[[#This Row],[Sau khi xem xét các quyền lợi và nghĩa vụ, bạn có ủng hộ và tuân thủ chính sách mới hiện nay? - HUMAN-OUT1]]</f>
        <v>10</v>
      </c>
      <c r="BH336">
        <f t="shared" si="160"/>
        <v>1</v>
      </c>
      <c r="BI336" s="32">
        <f t="shared" si="161"/>
        <v>1</v>
      </c>
    </row>
    <row r="337" spans="1:61" x14ac:dyDescent="0.45">
      <c r="A337" s="30">
        <f>step3_validation[[#This Row],[Persona_ID]]</f>
        <v>336</v>
      </c>
      <c r="B337" s="31">
        <f>step3_validation[[#This Row],[Used_Seed]]</f>
        <v>377</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20.268198988321885</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9</v>
      </c>
      <c r="R337">
        <f t="shared" si="135"/>
        <v>0.88888888888888884</v>
      </c>
      <c r="S337">
        <f>survey_responses[[#This Row],[Tôi tin rằng với các quy định quản lý thuế hiện nay, hành vi gian lận hoặc trốn thuế sẽ dễ dàng bị phát hiện và xử lý nghiêm. - HUMAN-ENF1]]</f>
        <v>4</v>
      </c>
      <c r="T337">
        <f t="shared" si="136"/>
        <v>0.33333333333333331</v>
      </c>
      <c r="U337">
        <f>step3_validation[[#This Row],[AI_ENF2]]</f>
        <v>8</v>
      </c>
      <c r="V337">
        <f t="shared" si="137"/>
        <v>0.77777777777777779</v>
      </c>
      <c r="W337">
        <f>survey_responses[[#This Row],[Tôi tin rằng Nhà nước, cơ quan thuế có đủ khả năng và công nghệ để phát hiện, xử lý nghiêm các hành vi trốn thuế. - HUMAN-ENF2]]</f>
        <v>5</v>
      </c>
      <c r="X337">
        <f t="shared" si="138"/>
        <v>0.44444444444444442</v>
      </c>
      <c r="Y337" s="32">
        <f t="shared" si="139"/>
        <v>0.83333333333333326</v>
      </c>
      <c r="Z337" s="32">
        <f t="shared" si="140"/>
        <v>0.38888888888888884</v>
      </c>
      <c r="AA337">
        <f>step3_validation[[#This Row],[AI_FAC1]]</f>
        <v>9</v>
      </c>
      <c r="AB337">
        <f t="shared" si="141"/>
        <v>0.88888888888888884</v>
      </c>
      <c r="AC337">
        <f>survey_responses[[#This Row],[Các thủ tục khai báo thuế VÀ/HOẶC quy trình làm việc với cơ quan thuế đơn giản, tiện lợi, nhanh chóng hơn so với trước đây. - HUMAN-FAC1]]</f>
        <v>5</v>
      </c>
      <c r="AD337">
        <f t="shared" si="142"/>
        <v>0.44444444444444442</v>
      </c>
      <c r="AE337">
        <f>step3_validation[[#This Row],[AI_FAC2]]</f>
        <v>8</v>
      </c>
      <c r="AF337">
        <f t="shared" si="143"/>
        <v>0.77777777777777779</v>
      </c>
      <c r="AG337">
        <f>survey_responses[[#This Row],[So với trước đây, tôi thấy cách tính thuế và các bậc thuế trong phương án mới đơn giản, dễ hiểu và dễ thực hiện hơn. - HUMAN-FAC2]]</f>
        <v>6</v>
      </c>
      <c r="AH337">
        <f t="shared" si="144"/>
        <v>0.55555555555555558</v>
      </c>
      <c r="AI337" s="32">
        <f t="shared" si="145"/>
        <v>0.83333333333333326</v>
      </c>
      <c r="AJ337" s="32">
        <f t="shared" si="146"/>
        <v>0.5</v>
      </c>
      <c r="AK337">
        <f>step3_validation[[#This Row],[AI_TRU1]]</f>
        <v>9</v>
      </c>
      <c r="AL337">
        <f t="shared" si="147"/>
        <v>0.88888888888888884</v>
      </c>
      <c r="AM337">
        <f>survey_responses[[#This Row],[Tôi tin rằng Nhà nước, cơ quan thuế sẽ thực thi chính sách mới một cách khách quan, công tâm và đối xử bình đẳng với mọi người nộp thuế.  - HUMAN-TRU1]]</f>
        <v>5</v>
      </c>
      <c r="AN337">
        <f t="shared" si="148"/>
        <v>0.44444444444444442</v>
      </c>
      <c r="AO337">
        <f>step3_validation[[#This Row],[AI_TRU2]]</f>
        <v>8</v>
      </c>
      <c r="AP337">
        <f t="shared" si="149"/>
        <v>0.77777777777777779</v>
      </c>
      <c r="AQ337">
        <f>survey_responses[[#This Row],[Tôi thấy mức thuế tôi phải đóng theo phương án mới là công bằng (người thu nhập như tôi đóng mức này là hợp lý). - HUMAN-TRU2]]</f>
        <v>6</v>
      </c>
      <c r="AR337">
        <f t="shared" si="150"/>
        <v>0.55555555555555558</v>
      </c>
      <c r="AS337">
        <f>step3_validation[[#This Row],[AI_TRU3]]</f>
        <v>8</v>
      </c>
      <c r="AT337">
        <f t="shared" si="151"/>
        <v>0.77777777777777779</v>
      </c>
      <c r="AU337">
        <f>survey_responses[[#This Row],[Tôi tin tưởng số tiền thuế tôi đóng sẽ được Nhà nước sử dụng hiệu quả để cải thiện dịch vụ công (y tế, đường xá...). - HUMAN-TRU3]]</f>
        <v>5</v>
      </c>
      <c r="AV337">
        <f t="shared" si="152"/>
        <v>0.44444444444444442</v>
      </c>
      <c r="AW337">
        <f>step3_validation[[#This Row],[AI_TRU4]]</f>
        <v>9</v>
      </c>
      <c r="AX337">
        <f t="shared" si="153"/>
        <v>0.88888888888888884</v>
      </c>
      <c r="AY337">
        <f>survey_responses[[#This Row],[Tôi thấy Nhà nước đã giải thích rõ ràng, minh bạch về lý do và mục tiêu của việc sửa đổi thuế lần này. - HUMAN-TRU4]]</f>
        <v>5</v>
      </c>
      <c r="AZ337">
        <f t="shared" si="154"/>
        <v>0.44444444444444442</v>
      </c>
      <c r="BA337" s="32">
        <f t="shared" si="155"/>
        <v>0.83333333333333326</v>
      </c>
      <c r="BB337" s="32">
        <f t="shared" si="156"/>
        <v>0.47222222222222221</v>
      </c>
      <c r="BC337" s="7">
        <f t="shared" si="157"/>
        <v>0.83333333333333337</v>
      </c>
      <c r="BD337" s="7">
        <f t="shared" si="158"/>
        <v>0.45370370370370372</v>
      </c>
      <c r="BE337">
        <f>step3_validation[[#This Row],[AI_OUT1]]</f>
        <v>9</v>
      </c>
      <c r="BF337">
        <f t="shared" si="159"/>
        <v>0.88888888888888884</v>
      </c>
      <c r="BG337">
        <f>survey_responses[[#This Row],[Sau khi xem xét các quyền lợi và nghĩa vụ, bạn có ủng hộ và tuân thủ chính sách mới hiện nay? - HUMAN-OUT1]]</f>
        <v>6</v>
      </c>
      <c r="BH337">
        <f t="shared" si="160"/>
        <v>0.55555555555555558</v>
      </c>
      <c r="BI337" s="32">
        <f t="shared" si="161"/>
        <v>3</v>
      </c>
    </row>
    <row r="338" spans="1:61" x14ac:dyDescent="0.45">
      <c r="A338" s="30">
        <f>step3_validation[[#This Row],[Persona_ID]]</f>
        <v>337</v>
      </c>
      <c r="B338" s="31">
        <f>step3_validation[[#This Row],[Used_Seed]]</f>
        <v>378</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23.930932802166915</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8</v>
      </c>
      <c r="R338">
        <f t="shared" si="135"/>
        <v>0.77777777777777779</v>
      </c>
      <c r="S338">
        <f>survey_responses[[#This Row],[Tôi tin rằng với các quy định quản lý thuế hiện nay, hành vi gian lận hoặc trốn thuế sẽ dễ dàng bị phát hiện và xử lý nghiêm. - HUMAN-ENF1]]</f>
        <v>7</v>
      </c>
      <c r="T338">
        <f t="shared" si="136"/>
        <v>0.66666666666666663</v>
      </c>
      <c r="U338">
        <f>step3_validation[[#This Row],[AI_ENF2]]</f>
        <v>9</v>
      </c>
      <c r="V338">
        <f t="shared" si="137"/>
        <v>0.88888888888888884</v>
      </c>
      <c r="W338">
        <f>survey_responses[[#This Row],[Tôi tin rằng Nhà nước, cơ quan thuế có đủ khả năng và công nghệ để phát hiện, xử lý nghiêm các hành vi trốn thuế. - HUMAN-ENF2]]</f>
        <v>8</v>
      </c>
      <c r="X338">
        <f t="shared" si="138"/>
        <v>0.77777777777777779</v>
      </c>
      <c r="Y338" s="32">
        <f t="shared" si="139"/>
        <v>0.83333333333333326</v>
      </c>
      <c r="Z338" s="32">
        <f t="shared" si="140"/>
        <v>0.72222222222222221</v>
      </c>
      <c r="AA338">
        <f>step3_validation[[#This Row],[AI_FAC1]]</f>
        <v>8</v>
      </c>
      <c r="AB338">
        <f t="shared" si="141"/>
        <v>0.77777777777777779</v>
      </c>
      <c r="AC338">
        <f>survey_responses[[#This Row],[Các thủ tục khai báo thuế VÀ/HOẶC quy trình làm việc với cơ quan thuế đơn giản, tiện lợi, nhanh chóng hơn so với trước đây. - HUMAN-FAC1]]</f>
        <v>7</v>
      </c>
      <c r="AD338">
        <f t="shared" si="142"/>
        <v>0.66666666666666663</v>
      </c>
      <c r="AE338">
        <f>step3_validation[[#This Row],[AI_FAC2]]</f>
        <v>9</v>
      </c>
      <c r="AF338">
        <f t="shared" si="143"/>
        <v>0.88888888888888884</v>
      </c>
      <c r="AG338">
        <f>survey_responses[[#This Row],[So với trước đây, tôi thấy cách tính thuế và các bậc thuế trong phương án mới đơn giản, dễ hiểu và dễ thực hiện hơn. - HUMAN-FAC2]]</f>
        <v>7</v>
      </c>
      <c r="AH338">
        <f t="shared" si="144"/>
        <v>0.66666666666666663</v>
      </c>
      <c r="AI338" s="32">
        <f t="shared" si="145"/>
        <v>0.83333333333333326</v>
      </c>
      <c r="AJ338" s="32">
        <f t="shared" si="146"/>
        <v>0.66666666666666663</v>
      </c>
      <c r="AK338">
        <f>step3_validation[[#This Row],[AI_TRU1]]</f>
        <v>7</v>
      </c>
      <c r="AL338">
        <f t="shared" si="147"/>
        <v>0.66666666666666663</v>
      </c>
      <c r="AM338">
        <f>survey_responses[[#This Row],[Tôi tin rằng Nhà nước, cơ quan thuế sẽ thực thi chính sách mới một cách khách quan, công tâm và đối xử bình đẳng với mọi người nộp thuế.  - HUMAN-TRU1]]</f>
        <v>6</v>
      </c>
      <c r="AN338">
        <f t="shared" si="148"/>
        <v>0.55555555555555558</v>
      </c>
      <c r="AO338">
        <f>step3_validation[[#This Row],[AI_TRU2]]</f>
        <v>8</v>
      </c>
      <c r="AP338">
        <f t="shared" si="149"/>
        <v>0.77777777777777779</v>
      </c>
      <c r="AQ338">
        <f>survey_responses[[#This Row],[Tôi thấy mức thuế tôi phải đóng theo phương án mới là công bằng (người thu nhập như tôi đóng mức này là hợp lý). - HUMAN-TRU2]]</f>
        <v>8</v>
      </c>
      <c r="AR338">
        <f t="shared" si="150"/>
        <v>0.77777777777777779</v>
      </c>
      <c r="AS338">
        <f>step3_validation[[#This Row],[AI_TRU3]]</f>
        <v>9</v>
      </c>
      <c r="AT338">
        <f t="shared" si="151"/>
        <v>0.88888888888888884</v>
      </c>
      <c r="AU338">
        <f>survey_responses[[#This Row],[Tôi tin tưởng số tiền thuế tôi đóng sẽ được Nhà nước sử dụng hiệu quả để cải thiện dịch vụ công (y tế, đường xá...). - HUMAN-TRU3]]</f>
        <v>6</v>
      </c>
      <c r="AV338">
        <f t="shared" si="152"/>
        <v>0.55555555555555558</v>
      </c>
      <c r="AW338">
        <f>step3_validation[[#This Row],[AI_TRU4]]</f>
        <v>8</v>
      </c>
      <c r="AX338">
        <f t="shared" si="153"/>
        <v>0.77777777777777779</v>
      </c>
      <c r="AY338">
        <f>survey_responses[[#This Row],[Tôi thấy Nhà nước đã giải thích rõ ràng, minh bạch về lý do và mục tiêu của việc sửa đổi thuế lần này. - HUMAN-TRU4]]</f>
        <v>8</v>
      </c>
      <c r="AZ338">
        <f t="shared" si="154"/>
        <v>0.77777777777777779</v>
      </c>
      <c r="BA338" s="32">
        <f t="shared" si="155"/>
        <v>0.77777777777777768</v>
      </c>
      <c r="BB338" s="32">
        <f t="shared" si="156"/>
        <v>0.66666666666666674</v>
      </c>
      <c r="BC338" s="7">
        <f t="shared" si="157"/>
        <v>0.81481481481481477</v>
      </c>
      <c r="BD338" s="7">
        <f t="shared" si="158"/>
        <v>0.68518518518518512</v>
      </c>
      <c r="BE338">
        <f>step3_validation[[#This Row],[AI_OUT1]]</f>
        <v>9</v>
      </c>
      <c r="BF338">
        <f t="shared" si="159"/>
        <v>0.88888888888888884</v>
      </c>
      <c r="BG338">
        <f>survey_responses[[#This Row],[Sau khi xem xét các quyền lợi và nghĩa vụ, bạn có ủng hộ và tuân thủ chính sách mới hiện nay? - HUMAN-OUT1]]</f>
        <v>8</v>
      </c>
      <c r="BH338">
        <f t="shared" si="160"/>
        <v>0.77777777777777779</v>
      </c>
      <c r="BI338" s="32">
        <f t="shared" si="161"/>
        <v>1</v>
      </c>
    </row>
    <row r="339" spans="1:61" x14ac:dyDescent="0.45">
      <c r="A339" s="30">
        <f>step3_validation[[#This Row],[Persona_ID]]</f>
        <v>338</v>
      </c>
      <c r="B339" s="31">
        <f>step3_validation[[#This Row],[Used_Seed]]</f>
        <v>379</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15.800376650805926</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f t="shared" si="135"/>
        <v>0.66666666666666663</v>
      </c>
      <c r="S339">
        <f>survey_responses[[#This Row],[Tôi tin rằng với các quy định quản lý thuế hiện nay, hành vi gian lận hoặc trốn thuế sẽ dễ dàng bị phát hiện và xử lý nghiêm. - HUMAN-ENF1]]</f>
        <v>8</v>
      </c>
      <c r="T339">
        <f t="shared" si="136"/>
        <v>0.77777777777777779</v>
      </c>
      <c r="U339">
        <f>step3_validation[[#This Row],[AI_ENF2]]</f>
        <v>6</v>
      </c>
      <c r="V339">
        <f t="shared" si="137"/>
        <v>0.55555555555555558</v>
      </c>
      <c r="W339">
        <f>survey_responses[[#This Row],[Tôi tin rằng Nhà nước, cơ quan thuế có đủ khả năng và công nghệ để phát hiện, xử lý nghiêm các hành vi trốn thuế. - HUMAN-ENF2]]</f>
        <v>8</v>
      </c>
      <c r="X339">
        <f t="shared" si="138"/>
        <v>0.77777777777777779</v>
      </c>
      <c r="Y339" s="32">
        <f t="shared" si="139"/>
        <v>0.61111111111111116</v>
      </c>
      <c r="Z339" s="32">
        <f t="shared" si="140"/>
        <v>0.77777777777777779</v>
      </c>
      <c r="AA339">
        <f>step3_validation[[#This Row],[AI_FAC1]]</f>
        <v>8</v>
      </c>
      <c r="AB339">
        <f t="shared" si="141"/>
        <v>0.77777777777777779</v>
      </c>
      <c r="AC339">
        <f>survey_responses[[#This Row],[Các thủ tục khai báo thuế VÀ/HOẶC quy trình làm việc với cơ quan thuế đơn giản, tiện lợi, nhanh chóng hơn so với trước đây. - HUMAN-FAC1]]</f>
        <v>9</v>
      </c>
      <c r="AD339">
        <f t="shared" si="142"/>
        <v>0.88888888888888884</v>
      </c>
      <c r="AE339">
        <f>step3_validation[[#This Row],[AI_FAC2]]</f>
        <v>9</v>
      </c>
      <c r="AF339">
        <f t="shared" si="143"/>
        <v>0.88888888888888884</v>
      </c>
      <c r="AG339">
        <f>survey_responses[[#This Row],[So với trước đây, tôi thấy cách tính thuế và các bậc thuế trong phương án mới đơn giản, dễ hiểu và dễ thực hiện hơn. - HUMAN-FAC2]]</f>
        <v>9</v>
      </c>
      <c r="AH339">
        <f t="shared" si="144"/>
        <v>0.88888888888888884</v>
      </c>
      <c r="AI339" s="32">
        <f t="shared" si="145"/>
        <v>0.83333333333333326</v>
      </c>
      <c r="AJ339" s="32">
        <f t="shared" si="146"/>
        <v>0.88888888888888884</v>
      </c>
      <c r="AK339">
        <f>step3_validation[[#This Row],[AI_TRU1]]</f>
        <v>6</v>
      </c>
      <c r="AL339">
        <f t="shared" si="147"/>
        <v>0.55555555555555558</v>
      </c>
      <c r="AM339">
        <f>survey_responses[[#This Row],[Tôi tin rằng Nhà nước, cơ quan thuế sẽ thực thi chính sách mới một cách khách quan, công tâm và đối xử bình đẳng với mọi người nộp thuế.  - HUMAN-TRU1]]</f>
        <v>8</v>
      </c>
      <c r="AN339">
        <f t="shared" si="148"/>
        <v>0.77777777777777779</v>
      </c>
      <c r="AO339">
        <f>step3_validation[[#This Row],[AI_TRU2]]</f>
        <v>9</v>
      </c>
      <c r="AP339">
        <f t="shared" si="149"/>
        <v>0.88888888888888884</v>
      </c>
      <c r="AQ339">
        <f>survey_responses[[#This Row],[Tôi thấy mức thuế tôi phải đóng theo phương án mới là công bằng (người thu nhập như tôi đóng mức này là hợp lý). - HUMAN-TRU2]]</f>
        <v>9</v>
      </c>
      <c r="AR339">
        <f t="shared" si="150"/>
        <v>0.88888888888888884</v>
      </c>
      <c r="AS339">
        <f>step3_validation[[#This Row],[AI_TRU3]]</f>
        <v>7</v>
      </c>
      <c r="AT339">
        <f t="shared" si="151"/>
        <v>0.66666666666666663</v>
      </c>
      <c r="AU339">
        <f>survey_responses[[#This Row],[Tôi tin tưởng số tiền thuế tôi đóng sẽ được Nhà nước sử dụng hiệu quả để cải thiện dịch vụ công (y tế, đường xá...). - HUMAN-TRU3]]</f>
        <v>10</v>
      </c>
      <c r="AV339">
        <f t="shared" si="152"/>
        <v>1</v>
      </c>
      <c r="AW339">
        <f>step3_validation[[#This Row],[AI_TRU4]]</f>
        <v>8</v>
      </c>
      <c r="AX339">
        <f t="shared" si="153"/>
        <v>0.77777777777777779</v>
      </c>
      <c r="AY339">
        <f>survey_responses[[#This Row],[Tôi thấy Nhà nước đã giải thích rõ ràng, minh bạch về lý do và mục tiêu của việc sửa đổi thuế lần này. - HUMAN-TRU4]]</f>
        <v>9</v>
      </c>
      <c r="AZ339">
        <f t="shared" si="154"/>
        <v>0.88888888888888884</v>
      </c>
      <c r="BA339" s="32">
        <f t="shared" si="155"/>
        <v>0.72222222222222221</v>
      </c>
      <c r="BB339" s="32">
        <f t="shared" si="156"/>
        <v>0.88888888888888884</v>
      </c>
      <c r="BC339" s="7">
        <f t="shared" si="157"/>
        <v>0.72222222222222221</v>
      </c>
      <c r="BD339" s="7">
        <f t="shared" si="158"/>
        <v>0.85185185185185175</v>
      </c>
      <c r="BE339">
        <f>step3_validation[[#This Row],[AI_OUT1]]</f>
        <v>9</v>
      </c>
      <c r="BF339">
        <f t="shared" si="159"/>
        <v>0.88888888888888884</v>
      </c>
      <c r="BG339">
        <f>survey_responses[[#This Row],[Sau khi xem xét các quyền lợi và nghĩa vụ, bạn có ủng hộ và tuân thủ chính sách mới hiện nay? - HUMAN-OUT1]]</f>
        <v>10</v>
      </c>
      <c r="BH339">
        <f t="shared" si="160"/>
        <v>1</v>
      </c>
      <c r="BI339" s="32">
        <f t="shared" si="161"/>
        <v>1</v>
      </c>
    </row>
    <row r="340" spans="1:61" x14ac:dyDescent="0.45">
      <c r="A340" s="30">
        <f>step3_validation[[#This Row],[Persona_ID]]</f>
        <v>339</v>
      </c>
      <c r="B340" s="31">
        <f>step3_validation[[#This Row],[Used_Seed]]</f>
        <v>380</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16.735042580295506</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5</v>
      </c>
      <c r="R340">
        <f t="shared" si="135"/>
        <v>0.44444444444444442</v>
      </c>
      <c r="S340">
        <f>survey_responses[[#This Row],[Tôi tin rằng với các quy định quản lý thuế hiện nay, hành vi gian lận hoặc trốn thuế sẽ dễ dàng bị phát hiện và xử lý nghiêm. - HUMAN-ENF1]]</f>
        <v>7</v>
      </c>
      <c r="T340">
        <f t="shared" si="136"/>
        <v>0.66666666666666663</v>
      </c>
      <c r="U340">
        <f>step3_validation[[#This Row],[AI_ENF2]]</f>
        <v>6</v>
      </c>
      <c r="V340">
        <f t="shared" si="137"/>
        <v>0.55555555555555558</v>
      </c>
      <c r="W340">
        <f>survey_responses[[#This Row],[Tôi tin rằng Nhà nước, cơ quan thuế có đủ khả năng và công nghệ để phát hiện, xử lý nghiêm các hành vi trốn thuế. - HUMAN-ENF2]]</f>
        <v>7</v>
      </c>
      <c r="X340">
        <f t="shared" si="138"/>
        <v>0.66666666666666663</v>
      </c>
      <c r="Y340" s="32">
        <f t="shared" si="139"/>
        <v>0.5</v>
      </c>
      <c r="Z340" s="32">
        <f t="shared" si="140"/>
        <v>0.66666666666666663</v>
      </c>
      <c r="AA340">
        <f>step3_validation[[#This Row],[AI_FAC1]]</f>
        <v>9</v>
      </c>
      <c r="AB340">
        <f t="shared" si="141"/>
        <v>0.88888888888888884</v>
      </c>
      <c r="AC340">
        <f>survey_responses[[#This Row],[Các thủ tục khai báo thuế VÀ/HOẶC quy trình làm việc với cơ quan thuế đơn giản, tiện lợi, nhanh chóng hơn so với trước đây. - HUMAN-FAC1]]</f>
        <v>8</v>
      </c>
      <c r="AD340">
        <f t="shared" si="142"/>
        <v>0.77777777777777779</v>
      </c>
      <c r="AE340">
        <f>step3_validation[[#This Row],[AI_FAC2]]</f>
        <v>8</v>
      </c>
      <c r="AF340">
        <f t="shared" si="143"/>
        <v>0.77777777777777779</v>
      </c>
      <c r="AG340">
        <f>survey_responses[[#This Row],[So với trước đây, tôi thấy cách tính thuế và các bậc thuế trong phương án mới đơn giản, dễ hiểu và dễ thực hiện hơn. - HUMAN-FAC2]]</f>
        <v>8</v>
      </c>
      <c r="AH340">
        <f t="shared" si="144"/>
        <v>0.77777777777777779</v>
      </c>
      <c r="AI340" s="32">
        <f t="shared" si="145"/>
        <v>0.83333333333333326</v>
      </c>
      <c r="AJ340" s="32">
        <f t="shared" si="146"/>
        <v>0.77777777777777779</v>
      </c>
      <c r="AK340">
        <f>step3_validation[[#This Row],[AI_TRU1]]</f>
        <v>7</v>
      </c>
      <c r="AL340">
        <f t="shared" si="147"/>
        <v>0.66666666666666663</v>
      </c>
      <c r="AM340">
        <f>survey_responses[[#This Row],[Tôi tin rằng Nhà nước, cơ quan thuế sẽ thực thi chính sách mới một cách khách quan, công tâm và đối xử bình đẳng với mọi người nộp thuế.  - HUMAN-TRU1]]</f>
        <v>6</v>
      </c>
      <c r="AN340">
        <f t="shared" si="148"/>
        <v>0.55555555555555558</v>
      </c>
      <c r="AO340">
        <f>step3_validation[[#This Row],[AI_TRU2]]</f>
        <v>8</v>
      </c>
      <c r="AP340">
        <f t="shared" si="149"/>
        <v>0.77777777777777779</v>
      </c>
      <c r="AQ340">
        <f>survey_responses[[#This Row],[Tôi thấy mức thuế tôi phải đóng theo phương án mới là công bằng (người thu nhập như tôi đóng mức này là hợp lý). - HUMAN-TRU2]]</f>
        <v>7</v>
      </c>
      <c r="AR340">
        <f t="shared" si="150"/>
        <v>0.66666666666666663</v>
      </c>
      <c r="AS340">
        <f>step3_validation[[#This Row],[AI_TRU3]]</f>
        <v>7</v>
      </c>
      <c r="AT340">
        <f t="shared" si="151"/>
        <v>0.66666666666666663</v>
      </c>
      <c r="AU340">
        <f>survey_responses[[#This Row],[Tôi tin tưởng số tiền thuế tôi đóng sẽ được Nhà nước sử dụng hiệu quả để cải thiện dịch vụ công (y tế, đường xá...). - HUMAN-TRU3]]</f>
        <v>6</v>
      </c>
      <c r="AV340">
        <f t="shared" si="152"/>
        <v>0.55555555555555558</v>
      </c>
      <c r="AW340">
        <f>step3_validation[[#This Row],[AI_TRU4]]</f>
        <v>6</v>
      </c>
      <c r="AX340">
        <f t="shared" si="153"/>
        <v>0.55555555555555558</v>
      </c>
      <c r="AY340">
        <f>survey_responses[[#This Row],[Tôi thấy Nhà nước đã giải thích rõ ràng, minh bạch về lý do và mục tiêu của việc sửa đổi thuế lần này. - HUMAN-TRU4]]</f>
        <v>6</v>
      </c>
      <c r="AZ340">
        <f t="shared" si="154"/>
        <v>0.55555555555555558</v>
      </c>
      <c r="BA340" s="32">
        <f t="shared" si="155"/>
        <v>0.66666666666666674</v>
      </c>
      <c r="BB340" s="32">
        <f t="shared" si="156"/>
        <v>0.58333333333333337</v>
      </c>
      <c r="BC340" s="7">
        <f t="shared" si="157"/>
        <v>0.66666666666666663</v>
      </c>
      <c r="BD340" s="7">
        <f t="shared" si="158"/>
        <v>0.67592592592592593</v>
      </c>
      <c r="BE340">
        <f>step3_validation[[#This Row],[AI_OUT1]]</f>
        <v>8</v>
      </c>
      <c r="BF340">
        <f t="shared" si="159"/>
        <v>0.77777777777777779</v>
      </c>
      <c r="BG340">
        <f>survey_responses[[#This Row],[Sau khi xem xét các quyền lợi và nghĩa vụ, bạn có ủng hộ và tuân thủ chính sách mới hiện nay? - HUMAN-OUT1]]</f>
        <v>7</v>
      </c>
      <c r="BH340">
        <f t="shared" si="160"/>
        <v>0.66666666666666663</v>
      </c>
      <c r="BI340" s="32">
        <f t="shared" si="161"/>
        <v>1</v>
      </c>
    </row>
    <row r="341" spans="1:61" x14ac:dyDescent="0.45">
      <c r="A341" s="30">
        <f>step3_validation[[#This Row],[Persona_ID]]</f>
        <v>340</v>
      </c>
      <c r="B341" s="31">
        <f>step3_validation[[#This Row],[Used_Seed]]</f>
        <v>381</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13.160067555007622</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6</v>
      </c>
      <c r="R341">
        <f t="shared" si="135"/>
        <v>0.55555555555555558</v>
      </c>
      <c r="S341">
        <f>survey_responses[[#This Row],[Tôi tin rằng với các quy định quản lý thuế hiện nay, hành vi gian lận hoặc trốn thuế sẽ dễ dàng bị phát hiện và xử lý nghiêm. - HUMAN-ENF1]]</f>
        <v>7</v>
      </c>
      <c r="T341">
        <f t="shared" si="136"/>
        <v>0.66666666666666663</v>
      </c>
      <c r="U341">
        <f>step3_validation[[#This Row],[AI_ENF2]]</f>
        <v>7</v>
      </c>
      <c r="V341">
        <f t="shared" si="137"/>
        <v>0.66666666666666663</v>
      </c>
      <c r="W341">
        <f>survey_responses[[#This Row],[Tôi tin rằng Nhà nước, cơ quan thuế có đủ khả năng và công nghệ để phát hiện, xử lý nghiêm các hành vi trốn thuế. - HUMAN-ENF2]]</f>
        <v>8</v>
      </c>
      <c r="X341">
        <f t="shared" si="138"/>
        <v>0.77777777777777779</v>
      </c>
      <c r="Y341" s="32">
        <f t="shared" si="139"/>
        <v>0.61111111111111116</v>
      </c>
      <c r="Z341" s="32">
        <f t="shared" si="140"/>
        <v>0.72222222222222221</v>
      </c>
      <c r="AA341">
        <f>step3_validation[[#This Row],[AI_FAC1]]</f>
        <v>9</v>
      </c>
      <c r="AB341">
        <f t="shared" si="141"/>
        <v>0.88888888888888884</v>
      </c>
      <c r="AC341">
        <f>survey_responses[[#This Row],[Các thủ tục khai báo thuế VÀ/HOẶC quy trình làm việc với cơ quan thuế đơn giản, tiện lợi, nhanh chóng hơn so với trước đây. - HUMAN-FAC1]]</f>
        <v>8</v>
      </c>
      <c r="AD341">
        <f t="shared" si="142"/>
        <v>0.77777777777777779</v>
      </c>
      <c r="AE341">
        <f>step3_validation[[#This Row],[AI_FAC2]]</f>
        <v>8</v>
      </c>
      <c r="AF341">
        <f t="shared" si="143"/>
        <v>0.77777777777777779</v>
      </c>
      <c r="AG341">
        <f>survey_responses[[#This Row],[So với trước đây, tôi thấy cách tính thuế và các bậc thuế trong phương án mới đơn giản, dễ hiểu và dễ thực hiện hơn. - HUMAN-FAC2]]</f>
        <v>8</v>
      </c>
      <c r="AH341">
        <f t="shared" si="144"/>
        <v>0.77777777777777779</v>
      </c>
      <c r="AI341" s="32">
        <f t="shared" si="145"/>
        <v>0.83333333333333326</v>
      </c>
      <c r="AJ341" s="32">
        <f t="shared" si="146"/>
        <v>0.77777777777777779</v>
      </c>
      <c r="AK341">
        <f>step3_validation[[#This Row],[AI_TRU1]]</f>
        <v>7</v>
      </c>
      <c r="AL341">
        <f t="shared" si="147"/>
        <v>0.66666666666666663</v>
      </c>
      <c r="AM341">
        <f>survey_responses[[#This Row],[Tôi tin rằng Nhà nước, cơ quan thuế sẽ thực thi chính sách mới một cách khách quan, công tâm và đối xử bình đẳng với mọi người nộp thuế.  - HUMAN-TRU1]]</f>
        <v>5</v>
      </c>
      <c r="AN341">
        <f t="shared" si="148"/>
        <v>0.44444444444444442</v>
      </c>
      <c r="AO341">
        <f>step3_validation[[#This Row],[AI_TRU2]]</f>
        <v>8</v>
      </c>
      <c r="AP341">
        <f t="shared" si="149"/>
        <v>0.77777777777777779</v>
      </c>
      <c r="AQ341">
        <f>survey_responses[[#This Row],[Tôi thấy mức thuế tôi phải đóng theo phương án mới là công bằng (người thu nhập như tôi đóng mức này là hợp lý). - HUMAN-TRU2]]</f>
        <v>8</v>
      </c>
      <c r="AR341">
        <f t="shared" si="150"/>
        <v>0.77777777777777779</v>
      </c>
      <c r="AS341">
        <f>step3_validation[[#This Row],[AI_TRU3]]</f>
        <v>6</v>
      </c>
      <c r="AT341">
        <f t="shared" si="151"/>
        <v>0.55555555555555558</v>
      </c>
      <c r="AU341">
        <f>survey_responses[[#This Row],[Tôi tin tưởng số tiền thuế tôi đóng sẽ được Nhà nước sử dụng hiệu quả để cải thiện dịch vụ công (y tế, đường xá...). - HUMAN-TRU3]]</f>
        <v>5</v>
      </c>
      <c r="AV341">
        <f t="shared" si="152"/>
        <v>0.44444444444444442</v>
      </c>
      <c r="AW341">
        <f>step3_validation[[#This Row],[AI_TRU4]]</f>
        <v>8</v>
      </c>
      <c r="AX341">
        <f t="shared" si="153"/>
        <v>0.77777777777777779</v>
      </c>
      <c r="AY341">
        <f>survey_responses[[#This Row],[Tôi thấy Nhà nước đã giải thích rõ ràng, minh bạch về lý do và mục tiêu của việc sửa đổi thuế lần này. - HUMAN-TRU4]]</f>
        <v>8</v>
      </c>
      <c r="AZ341">
        <f t="shared" si="154"/>
        <v>0.77777777777777779</v>
      </c>
      <c r="BA341" s="32">
        <f t="shared" si="155"/>
        <v>0.69444444444444442</v>
      </c>
      <c r="BB341" s="32">
        <f t="shared" si="156"/>
        <v>0.61111111111111116</v>
      </c>
      <c r="BC341" s="7">
        <f t="shared" si="157"/>
        <v>0.71296296296296291</v>
      </c>
      <c r="BD341" s="7">
        <f t="shared" si="158"/>
        <v>0.70370370370370372</v>
      </c>
      <c r="BE341">
        <f>step3_validation[[#This Row],[AI_OUT1]]</f>
        <v>9</v>
      </c>
      <c r="BF341">
        <f t="shared" si="159"/>
        <v>0.88888888888888884</v>
      </c>
      <c r="BG341">
        <f>survey_responses[[#This Row],[Sau khi xem xét các quyền lợi và nghĩa vụ, bạn có ủng hộ và tuân thủ chính sách mới hiện nay? - HUMAN-OUT1]]</f>
        <v>8</v>
      </c>
      <c r="BH341">
        <f t="shared" si="160"/>
        <v>0.77777777777777779</v>
      </c>
      <c r="BI341" s="32">
        <f t="shared" si="161"/>
        <v>1</v>
      </c>
    </row>
    <row r="342" spans="1:61" x14ac:dyDescent="0.45">
      <c r="A342" s="30">
        <f>step3_validation[[#This Row],[Persona_ID]]</f>
        <v>341</v>
      </c>
      <c r="B342" s="31">
        <f>step3_validation[[#This Row],[Used_Seed]]</f>
        <v>382</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f t="shared" si="135"/>
        <v>0.77777777777777779</v>
      </c>
      <c r="S342">
        <f>survey_responses[[#This Row],[Tôi tin rằng với các quy định quản lý thuế hiện nay, hành vi gian lận hoặc trốn thuế sẽ dễ dàng bị phát hiện và xử lý nghiêm. - HUMAN-ENF1]]</f>
        <v>8</v>
      </c>
      <c r="T342">
        <f t="shared" si="136"/>
        <v>0.77777777777777779</v>
      </c>
      <c r="U342">
        <f>step3_validation[[#This Row],[AI_ENF2]]</f>
        <v>9</v>
      </c>
      <c r="V342">
        <f t="shared" si="137"/>
        <v>0.88888888888888884</v>
      </c>
      <c r="W342">
        <f>survey_responses[[#This Row],[Tôi tin rằng Nhà nước, cơ quan thuế có đủ khả năng và công nghệ để phát hiện, xử lý nghiêm các hành vi trốn thuế. - HUMAN-ENF2]]</f>
        <v>8</v>
      </c>
      <c r="X342">
        <f t="shared" si="138"/>
        <v>0.77777777777777779</v>
      </c>
      <c r="Y342" s="32">
        <f t="shared" si="139"/>
        <v>0.83333333333333326</v>
      </c>
      <c r="Z342" s="32">
        <f t="shared" si="140"/>
        <v>0.77777777777777779</v>
      </c>
      <c r="AA342">
        <f>step3_validation[[#This Row],[AI_FAC1]]</f>
        <v>9</v>
      </c>
      <c r="AB342">
        <f t="shared" si="141"/>
        <v>0.88888888888888884</v>
      </c>
      <c r="AC342">
        <f>survey_responses[[#This Row],[Các thủ tục khai báo thuế VÀ/HOẶC quy trình làm việc với cơ quan thuế đơn giản, tiện lợi, nhanh chóng hơn so với trước đây. - HUMAN-FAC1]]</f>
        <v>8</v>
      </c>
      <c r="AD342">
        <f t="shared" si="142"/>
        <v>0.77777777777777779</v>
      </c>
      <c r="AE342">
        <f>step3_validation[[#This Row],[AI_FAC2]]</f>
        <v>10</v>
      </c>
      <c r="AF342">
        <f t="shared" si="143"/>
        <v>1</v>
      </c>
      <c r="AG342">
        <f>survey_responses[[#This Row],[So với trước đây, tôi thấy cách tính thuế và các bậc thuế trong phương án mới đơn giản, dễ hiểu và dễ thực hiện hơn. - HUMAN-FAC2]]</f>
        <v>9</v>
      </c>
      <c r="AH342">
        <f t="shared" si="144"/>
        <v>0.88888888888888884</v>
      </c>
      <c r="AI342" s="32">
        <f t="shared" si="145"/>
        <v>0.94444444444444442</v>
      </c>
      <c r="AJ342" s="32">
        <f t="shared" si="146"/>
        <v>0.83333333333333326</v>
      </c>
      <c r="AK342">
        <f>step3_validation[[#This Row],[AI_TRU1]]</f>
        <v>8</v>
      </c>
      <c r="AL342">
        <f t="shared" si="147"/>
        <v>0.77777777777777779</v>
      </c>
      <c r="AM342">
        <f>survey_responses[[#This Row],[Tôi tin rằng Nhà nước, cơ quan thuế sẽ thực thi chính sách mới một cách khách quan, công tâm và đối xử bình đẳng với mọi người nộp thuế.  - HUMAN-TRU1]]</f>
        <v>8</v>
      </c>
      <c r="AN342">
        <f t="shared" si="148"/>
        <v>0.77777777777777779</v>
      </c>
      <c r="AO342">
        <f>step3_validation[[#This Row],[AI_TRU2]]</f>
        <v>9</v>
      </c>
      <c r="AP342">
        <f t="shared" si="149"/>
        <v>0.88888888888888884</v>
      </c>
      <c r="AQ342">
        <f>survey_responses[[#This Row],[Tôi thấy mức thuế tôi phải đóng theo phương án mới là công bằng (người thu nhập như tôi đóng mức này là hợp lý). - HUMAN-TRU2]]</f>
        <v>8</v>
      </c>
      <c r="AR342">
        <f t="shared" si="150"/>
        <v>0.77777777777777779</v>
      </c>
      <c r="AS342">
        <f>step3_validation[[#This Row],[AI_TRU3]]</f>
        <v>8</v>
      </c>
      <c r="AT342">
        <f t="shared" si="151"/>
        <v>0.77777777777777779</v>
      </c>
      <c r="AU342">
        <f>survey_responses[[#This Row],[Tôi tin tưởng số tiền thuế tôi đóng sẽ được Nhà nước sử dụng hiệu quả để cải thiện dịch vụ công (y tế, đường xá...). - HUMAN-TRU3]]</f>
        <v>7</v>
      </c>
      <c r="AV342">
        <f t="shared" si="152"/>
        <v>0.66666666666666663</v>
      </c>
      <c r="AW342">
        <f>step3_validation[[#This Row],[AI_TRU4]]</f>
        <v>9</v>
      </c>
      <c r="AX342">
        <f t="shared" si="153"/>
        <v>0.88888888888888884</v>
      </c>
      <c r="AY342">
        <f>survey_responses[[#This Row],[Tôi thấy Nhà nước đã giải thích rõ ràng, minh bạch về lý do và mục tiêu của việc sửa đổi thuế lần này. - HUMAN-TRU4]]</f>
        <v>7</v>
      </c>
      <c r="AZ342">
        <f t="shared" si="154"/>
        <v>0.66666666666666663</v>
      </c>
      <c r="BA342" s="32">
        <f t="shared" si="155"/>
        <v>0.83333333333333326</v>
      </c>
      <c r="BB342" s="32">
        <f t="shared" si="156"/>
        <v>0.72222222222222221</v>
      </c>
      <c r="BC342" s="7">
        <f t="shared" si="157"/>
        <v>0.87037037037037024</v>
      </c>
      <c r="BD342" s="7">
        <f t="shared" si="158"/>
        <v>0.77777777777777779</v>
      </c>
      <c r="BE342">
        <f>step3_validation[[#This Row],[AI_OUT1]]</f>
        <v>8</v>
      </c>
      <c r="BF342">
        <f t="shared" si="159"/>
        <v>0.77777777777777779</v>
      </c>
      <c r="BG342">
        <f>survey_responses[[#This Row],[Sau khi xem xét các quyền lợi và nghĩa vụ, bạn có ủng hộ và tuân thủ chính sách mới hiện nay? - HUMAN-OUT1]]</f>
        <v>8</v>
      </c>
      <c r="BH342">
        <f t="shared" si="160"/>
        <v>0.77777777777777779</v>
      </c>
      <c r="BI342" s="32">
        <f t="shared" si="161"/>
        <v>0</v>
      </c>
    </row>
    <row r="343" spans="1:61" x14ac:dyDescent="0.45">
      <c r="A343" s="30">
        <f>step3_validation[[#This Row],[Persona_ID]]</f>
        <v>342</v>
      </c>
      <c r="B343" s="31">
        <f>step3_validation[[#This Row],[Used_Seed]]</f>
        <v>383</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f t="shared" si="135"/>
        <v>0.66666666666666663</v>
      </c>
      <c r="S343">
        <f>survey_responses[[#This Row],[Tôi tin rằng với các quy định quản lý thuế hiện nay, hành vi gian lận hoặc trốn thuế sẽ dễ dàng bị phát hiện và xử lý nghiêm. - HUMAN-ENF1]]</f>
        <v>5</v>
      </c>
      <c r="T343">
        <f t="shared" si="136"/>
        <v>0.44444444444444442</v>
      </c>
      <c r="U343">
        <f>step3_validation[[#This Row],[AI_ENF2]]</f>
        <v>9</v>
      </c>
      <c r="V343">
        <f t="shared" si="137"/>
        <v>0.88888888888888884</v>
      </c>
      <c r="W343">
        <f>survey_responses[[#This Row],[Tôi tin rằng Nhà nước, cơ quan thuế có đủ khả năng và công nghệ để phát hiện, xử lý nghiêm các hành vi trốn thuế. - HUMAN-ENF2]]</f>
        <v>5</v>
      </c>
      <c r="X343">
        <f t="shared" si="138"/>
        <v>0.44444444444444442</v>
      </c>
      <c r="Y343" s="32">
        <f t="shared" si="139"/>
        <v>0.77777777777777768</v>
      </c>
      <c r="Z343" s="32">
        <f t="shared" si="140"/>
        <v>0.44444444444444442</v>
      </c>
      <c r="AA343">
        <f>step3_validation[[#This Row],[AI_FAC1]]</f>
        <v>8</v>
      </c>
      <c r="AB343">
        <f t="shared" si="141"/>
        <v>0.77777777777777779</v>
      </c>
      <c r="AC343">
        <f>survey_responses[[#This Row],[Các thủ tục khai báo thuế VÀ/HOẶC quy trình làm việc với cơ quan thuế đơn giản, tiện lợi, nhanh chóng hơn so với trước đây. - HUMAN-FAC1]]</f>
        <v>6</v>
      </c>
      <c r="AD343">
        <f t="shared" si="142"/>
        <v>0.55555555555555558</v>
      </c>
      <c r="AE343">
        <f>step3_validation[[#This Row],[AI_FAC2]]</f>
        <v>9</v>
      </c>
      <c r="AF343">
        <f t="shared" si="143"/>
        <v>0.88888888888888884</v>
      </c>
      <c r="AG343">
        <f>survey_responses[[#This Row],[So với trước đây, tôi thấy cách tính thuế và các bậc thuế trong phương án mới đơn giản, dễ hiểu và dễ thực hiện hơn. - HUMAN-FAC2]]</f>
        <v>7</v>
      </c>
      <c r="AH343">
        <f t="shared" si="144"/>
        <v>0.66666666666666663</v>
      </c>
      <c r="AI343" s="32">
        <f t="shared" si="145"/>
        <v>0.83333333333333326</v>
      </c>
      <c r="AJ343" s="32">
        <f t="shared" si="146"/>
        <v>0.61111111111111116</v>
      </c>
      <c r="AK343">
        <f>step3_validation[[#This Row],[AI_TRU1]]</f>
        <v>8</v>
      </c>
      <c r="AL343">
        <f t="shared" si="147"/>
        <v>0.77777777777777779</v>
      </c>
      <c r="AM343">
        <f>survey_responses[[#This Row],[Tôi tin rằng Nhà nước, cơ quan thuế sẽ thực thi chính sách mới một cách khách quan, công tâm và đối xử bình đẳng với mọi người nộp thuế.  - HUMAN-TRU1]]</f>
        <v>5</v>
      </c>
      <c r="AN343">
        <f t="shared" si="148"/>
        <v>0.44444444444444442</v>
      </c>
      <c r="AO343">
        <f>step3_validation[[#This Row],[AI_TRU2]]</f>
        <v>9</v>
      </c>
      <c r="AP343">
        <f t="shared" si="149"/>
        <v>0.88888888888888884</v>
      </c>
      <c r="AQ343">
        <f>survey_responses[[#This Row],[Tôi thấy mức thuế tôi phải đóng theo phương án mới là công bằng (người thu nhập như tôi đóng mức này là hợp lý). - HUMAN-TRU2]]</f>
        <v>8</v>
      </c>
      <c r="AR343">
        <f t="shared" si="150"/>
        <v>0.77777777777777779</v>
      </c>
      <c r="AS343">
        <f>step3_validation[[#This Row],[AI_TRU3]]</f>
        <v>8</v>
      </c>
      <c r="AT343">
        <f t="shared" si="151"/>
        <v>0.77777777777777779</v>
      </c>
      <c r="AU343">
        <f>survey_responses[[#This Row],[Tôi tin tưởng số tiền thuế tôi đóng sẽ được Nhà nước sử dụng hiệu quả để cải thiện dịch vụ công (y tế, đường xá...). - HUMAN-TRU3]]</f>
        <v>6</v>
      </c>
      <c r="AV343">
        <f t="shared" si="152"/>
        <v>0.55555555555555558</v>
      </c>
      <c r="AW343">
        <f>step3_validation[[#This Row],[AI_TRU4]]</f>
        <v>7</v>
      </c>
      <c r="AX343">
        <f t="shared" si="153"/>
        <v>0.66666666666666663</v>
      </c>
      <c r="AY343">
        <f>survey_responses[[#This Row],[Tôi thấy Nhà nước đã giải thích rõ ràng, minh bạch về lý do và mục tiêu của việc sửa đổi thuế lần này. - HUMAN-TRU4]]</f>
        <v>6</v>
      </c>
      <c r="AZ343">
        <f t="shared" si="154"/>
        <v>0.55555555555555558</v>
      </c>
      <c r="BA343" s="32">
        <f t="shared" si="155"/>
        <v>0.77777777777777768</v>
      </c>
      <c r="BB343" s="32">
        <f t="shared" si="156"/>
        <v>0.58333333333333337</v>
      </c>
      <c r="BC343" s="7">
        <f t="shared" si="157"/>
        <v>0.79629629629629617</v>
      </c>
      <c r="BD343" s="7">
        <f t="shared" si="158"/>
        <v>0.54629629629629628</v>
      </c>
      <c r="BE343">
        <f>step3_validation[[#This Row],[AI_OUT1]]</f>
        <v>9</v>
      </c>
      <c r="BF343">
        <f t="shared" si="159"/>
        <v>0.88888888888888884</v>
      </c>
      <c r="BG343">
        <f>survey_responses[[#This Row],[Sau khi xem xét các quyền lợi và nghĩa vụ, bạn có ủng hộ và tuân thủ chính sách mới hiện nay? - HUMAN-OUT1]]</f>
        <v>7</v>
      </c>
      <c r="BH343">
        <f t="shared" si="160"/>
        <v>0.66666666666666663</v>
      </c>
      <c r="BI343" s="32">
        <f t="shared" si="161"/>
        <v>2</v>
      </c>
    </row>
    <row r="344" spans="1:61" x14ac:dyDescent="0.45">
      <c r="A344" s="30">
        <f>step3_validation[[#This Row],[Persona_ID]]</f>
        <v>343</v>
      </c>
      <c r="B344" s="31">
        <f>step3_validation[[#This Row],[Used_Seed]]</f>
        <v>384</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12.517941053446794</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6</v>
      </c>
      <c r="R344">
        <f t="shared" si="135"/>
        <v>0.55555555555555558</v>
      </c>
      <c r="S344">
        <f>survey_responses[[#This Row],[Tôi tin rằng với các quy định quản lý thuế hiện nay, hành vi gian lận hoặc trốn thuế sẽ dễ dàng bị phát hiện và xử lý nghiêm. - HUMAN-ENF1]]</f>
        <v>7</v>
      </c>
      <c r="T344">
        <f t="shared" si="136"/>
        <v>0.66666666666666663</v>
      </c>
      <c r="U344">
        <f>step3_validation[[#This Row],[AI_ENF2]]</f>
        <v>7</v>
      </c>
      <c r="V344">
        <f t="shared" si="137"/>
        <v>0.66666666666666663</v>
      </c>
      <c r="W344">
        <f>survey_responses[[#This Row],[Tôi tin rằng Nhà nước, cơ quan thuế có đủ khả năng và công nghệ để phát hiện, xử lý nghiêm các hành vi trốn thuế. - HUMAN-ENF2]]</f>
        <v>7</v>
      </c>
      <c r="X344">
        <f t="shared" si="138"/>
        <v>0.66666666666666663</v>
      </c>
      <c r="Y344" s="32">
        <f t="shared" si="139"/>
        <v>0.61111111111111116</v>
      </c>
      <c r="Z344" s="32">
        <f t="shared" si="140"/>
        <v>0.66666666666666663</v>
      </c>
      <c r="AA344">
        <f>step3_validation[[#This Row],[AI_FAC1]]</f>
        <v>9</v>
      </c>
      <c r="AB344">
        <f t="shared" si="141"/>
        <v>0.88888888888888884</v>
      </c>
      <c r="AC344">
        <f>survey_responses[[#This Row],[Các thủ tục khai báo thuế VÀ/HOẶC quy trình làm việc với cơ quan thuế đơn giản, tiện lợi, nhanh chóng hơn so với trước đây. - HUMAN-FAC1]]</f>
        <v>8</v>
      </c>
      <c r="AD344">
        <f t="shared" si="142"/>
        <v>0.77777777777777779</v>
      </c>
      <c r="AE344">
        <f>step3_validation[[#This Row],[AI_FAC2]]</f>
        <v>8</v>
      </c>
      <c r="AF344">
        <f t="shared" si="143"/>
        <v>0.77777777777777779</v>
      </c>
      <c r="AG344">
        <f>survey_responses[[#This Row],[So với trước đây, tôi thấy cách tính thuế và các bậc thuế trong phương án mới đơn giản, dễ hiểu và dễ thực hiện hơn. - HUMAN-FAC2]]</f>
        <v>7</v>
      </c>
      <c r="AH344">
        <f t="shared" si="144"/>
        <v>0.66666666666666663</v>
      </c>
      <c r="AI344" s="32">
        <f t="shared" si="145"/>
        <v>0.83333333333333326</v>
      </c>
      <c r="AJ344" s="32">
        <f t="shared" si="146"/>
        <v>0.72222222222222221</v>
      </c>
      <c r="AK344">
        <f>step3_validation[[#This Row],[AI_TRU1]]</f>
        <v>7</v>
      </c>
      <c r="AL344">
        <f t="shared" si="147"/>
        <v>0.66666666666666663</v>
      </c>
      <c r="AM344">
        <f>survey_responses[[#This Row],[Tôi tin rằng Nhà nước, cơ quan thuế sẽ thực thi chính sách mới một cách khách quan, công tâm và đối xử bình đẳng với mọi người nộp thuế.  - HUMAN-TRU1]]</f>
        <v>8</v>
      </c>
      <c r="AN344">
        <f t="shared" si="148"/>
        <v>0.77777777777777779</v>
      </c>
      <c r="AO344">
        <f>step3_validation[[#This Row],[AI_TRU2]]</f>
        <v>9</v>
      </c>
      <c r="AP344">
        <f t="shared" si="149"/>
        <v>0.88888888888888884</v>
      </c>
      <c r="AQ344">
        <f>survey_responses[[#This Row],[Tôi thấy mức thuế tôi phải đóng theo phương án mới là công bằng (người thu nhập như tôi đóng mức này là hợp lý). - HUMAN-TRU2]]</f>
        <v>8</v>
      </c>
      <c r="AR344">
        <f t="shared" si="150"/>
        <v>0.77777777777777779</v>
      </c>
      <c r="AS344">
        <f>step3_validation[[#This Row],[AI_TRU3]]</f>
        <v>8</v>
      </c>
      <c r="AT344">
        <f t="shared" si="151"/>
        <v>0.77777777777777779</v>
      </c>
      <c r="AU344">
        <f>survey_responses[[#This Row],[Tôi tin tưởng số tiền thuế tôi đóng sẽ được Nhà nước sử dụng hiệu quả để cải thiện dịch vụ công (y tế, đường xá...). - HUMAN-TRU3]]</f>
        <v>8</v>
      </c>
      <c r="AV344">
        <f t="shared" si="152"/>
        <v>0.77777777777777779</v>
      </c>
      <c r="AW344">
        <f>step3_validation[[#This Row],[AI_TRU4]]</f>
        <v>9</v>
      </c>
      <c r="AX344">
        <f t="shared" si="153"/>
        <v>0.88888888888888884</v>
      </c>
      <c r="AY344">
        <f>survey_responses[[#This Row],[Tôi thấy Nhà nước đã giải thích rõ ràng, minh bạch về lý do và mục tiêu của việc sửa đổi thuế lần này. - HUMAN-TRU4]]</f>
        <v>7</v>
      </c>
      <c r="AZ344">
        <f t="shared" si="154"/>
        <v>0.66666666666666663</v>
      </c>
      <c r="BA344" s="32">
        <f t="shared" si="155"/>
        <v>0.80555555555555547</v>
      </c>
      <c r="BB344" s="32">
        <f t="shared" si="156"/>
        <v>0.75</v>
      </c>
      <c r="BC344" s="7">
        <f t="shared" si="157"/>
        <v>0.75</v>
      </c>
      <c r="BD344" s="7">
        <f t="shared" si="158"/>
        <v>0.71296296296296291</v>
      </c>
      <c r="BE344">
        <f>step3_validation[[#This Row],[AI_OUT1]]</f>
        <v>8</v>
      </c>
      <c r="BF344">
        <f t="shared" si="159"/>
        <v>0.77777777777777779</v>
      </c>
      <c r="BG344">
        <f>survey_responses[[#This Row],[Sau khi xem xét các quyền lợi và nghĩa vụ, bạn có ủng hộ và tuân thủ chính sách mới hiện nay? - HUMAN-OUT1]]</f>
        <v>8</v>
      </c>
      <c r="BH344">
        <f t="shared" si="160"/>
        <v>0.77777777777777779</v>
      </c>
      <c r="BI344" s="32">
        <f t="shared" si="161"/>
        <v>0</v>
      </c>
    </row>
    <row r="345" spans="1:61" x14ac:dyDescent="0.45">
      <c r="A345" s="30">
        <f>step3_validation[[#This Row],[Persona_ID]]</f>
        <v>344</v>
      </c>
      <c r="B345" s="31">
        <f>step3_validation[[#This Row],[Used_Seed]]</f>
        <v>385</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68.446766351546984</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8</v>
      </c>
      <c r="R345">
        <f t="shared" si="135"/>
        <v>0.77777777777777779</v>
      </c>
      <c r="S345">
        <f>survey_responses[[#This Row],[Tôi tin rằng với các quy định quản lý thuế hiện nay, hành vi gian lận hoặc trốn thuế sẽ dễ dàng bị phát hiện và xử lý nghiêm. - HUMAN-ENF1]]</f>
        <v>7</v>
      </c>
      <c r="T345">
        <f t="shared" si="136"/>
        <v>0.66666666666666663</v>
      </c>
      <c r="U345">
        <f>step3_validation[[#This Row],[AI_ENF2]]</f>
        <v>7</v>
      </c>
      <c r="V345">
        <f t="shared" si="137"/>
        <v>0.66666666666666663</v>
      </c>
      <c r="W345">
        <f>survey_responses[[#This Row],[Tôi tin rằng Nhà nước, cơ quan thuế có đủ khả năng và công nghệ để phát hiện, xử lý nghiêm các hành vi trốn thuế. - HUMAN-ENF2]]</f>
        <v>7</v>
      </c>
      <c r="X345">
        <f t="shared" si="138"/>
        <v>0.66666666666666663</v>
      </c>
      <c r="Y345" s="32">
        <f t="shared" si="139"/>
        <v>0.72222222222222221</v>
      </c>
      <c r="Z345" s="32">
        <f t="shared" si="140"/>
        <v>0.66666666666666663</v>
      </c>
      <c r="AA345">
        <f>step3_validation[[#This Row],[AI_FAC1]]</f>
        <v>9</v>
      </c>
      <c r="AB345">
        <f t="shared" si="141"/>
        <v>0.88888888888888884</v>
      </c>
      <c r="AC345">
        <f>survey_responses[[#This Row],[Các thủ tục khai báo thuế VÀ/HOẶC quy trình làm việc với cơ quan thuế đơn giản, tiện lợi, nhanh chóng hơn so với trước đây. - HUMAN-FAC1]]</f>
        <v>5</v>
      </c>
      <c r="AD345">
        <f t="shared" si="142"/>
        <v>0.44444444444444442</v>
      </c>
      <c r="AE345">
        <f>step3_validation[[#This Row],[AI_FAC2]]</f>
        <v>8</v>
      </c>
      <c r="AF345">
        <f t="shared" si="143"/>
        <v>0.77777777777777779</v>
      </c>
      <c r="AG345">
        <f>survey_responses[[#This Row],[So với trước đây, tôi thấy cách tính thuế và các bậc thuế trong phương án mới đơn giản, dễ hiểu và dễ thực hiện hơn. - HUMAN-FAC2]]</f>
        <v>8</v>
      </c>
      <c r="AH345">
        <f t="shared" si="144"/>
        <v>0.77777777777777779</v>
      </c>
      <c r="AI345" s="32">
        <f t="shared" si="145"/>
        <v>0.83333333333333326</v>
      </c>
      <c r="AJ345" s="32">
        <f t="shared" si="146"/>
        <v>0.61111111111111116</v>
      </c>
      <c r="AK345">
        <f>step3_validation[[#This Row],[AI_TRU1]]</f>
        <v>9</v>
      </c>
      <c r="AL345">
        <f t="shared" si="147"/>
        <v>0.88888888888888884</v>
      </c>
      <c r="AM345">
        <f>survey_responses[[#This Row],[Tôi tin rằng Nhà nước, cơ quan thuế sẽ thực thi chính sách mới một cách khách quan, công tâm và đối xử bình đẳng với mọi người nộp thuế.  - HUMAN-TRU1]]</f>
        <v>6</v>
      </c>
      <c r="AN345">
        <f t="shared" si="148"/>
        <v>0.55555555555555558</v>
      </c>
      <c r="AO345">
        <f>step3_validation[[#This Row],[AI_TRU2]]</f>
        <v>8</v>
      </c>
      <c r="AP345">
        <f t="shared" si="149"/>
        <v>0.77777777777777779</v>
      </c>
      <c r="AQ345">
        <f>survey_responses[[#This Row],[Tôi thấy mức thuế tôi phải đóng theo phương án mới là công bằng (người thu nhập như tôi đóng mức này là hợp lý). - HUMAN-TRU2]]</f>
        <v>5</v>
      </c>
      <c r="AR345">
        <f t="shared" si="150"/>
        <v>0.44444444444444442</v>
      </c>
      <c r="AS345">
        <f>step3_validation[[#This Row],[AI_TRU3]]</f>
        <v>9</v>
      </c>
      <c r="AT345">
        <f t="shared" si="151"/>
        <v>0.88888888888888884</v>
      </c>
      <c r="AU345">
        <f>survey_responses[[#This Row],[Tôi tin tưởng số tiền thuế tôi đóng sẽ được Nhà nước sử dụng hiệu quả để cải thiện dịch vụ công (y tế, đường xá...). - HUMAN-TRU3]]</f>
        <v>5</v>
      </c>
      <c r="AV345">
        <f t="shared" si="152"/>
        <v>0.44444444444444442</v>
      </c>
      <c r="AW345">
        <f>step3_validation[[#This Row],[AI_TRU4]]</f>
        <v>8</v>
      </c>
      <c r="AX345">
        <f t="shared" si="153"/>
        <v>0.77777777777777779</v>
      </c>
      <c r="AY345">
        <f>survey_responses[[#This Row],[Tôi thấy Nhà nước đã giải thích rõ ràng, minh bạch về lý do và mục tiêu của việc sửa đổi thuế lần này. - HUMAN-TRU4]]</f>
        <v>6</v>
      </c>
      <c r="AZ345">
        <f t="shared" si="154"/>
        <v>0.55555555555555558</v>
      </c>
      <c r="BA345" s="32">
        <f t="shared" si="155"/>
        <v>0.83333333333333326</v>
      </c>
      <c r="BB345" s="32">
        <f t="shared" si="156"/>
        <v>0.5</v>
      </c>
      <c r="BC345" s="7">
        <f t="shared" si="157"/>
        <v>0.79629629629629617</v>
      </c>
      <c r="BD345" s="7">
        <f t="shared" si="158"/>
        <v>0.59259259259259256</v>
      </c>
      <c r="BE345">
        <f>step3_validation[[#This Row],[AI_OUT1]]</f>
        <v>9</v>
      </c>
      <c r="BF345">
        <f t="shared" si="159"/>
        <v>0.88888888888888884</v>
      </c>
      <c r="BG345">
        <f>survey_responses[[#This Row],[Sau khi xem xét các quyền lợi và nghĩa vụ, bạn có ủng hộ và tuân thủ chính sách mới hiện nay? - HUMAN-OUT1]]</f>
        <v>5</v>
      </c>
      <c r="BH345">
        <f t="shared" si="160"/>
        <v>0.44444444444444442</v>
      </c>
      <c r="BI345" s="32">
        <f t="shared" si="161"/>
        <v>4</v>
      </c>
    </row>
    <row r="346" spans="1:61" x14ac:dyDescent="0.45">
      <c r="A346" s="30">
        <f>step3_validation[[#This Row],[Persona_ID]]</f>
        <v>345</v>
      </c>
      <c r="B346" s="31">
        <f>step3_validation[[#This Row],[Used_Seed]]</f>
        <v>386</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14.742170915188529</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6</v>
      </c>
      <c r="R346">
        <f t="shared" si="135"/>
        <v>0.55555555555555558</v>
      </c>
      <c r="S346">
        <f>survey_responses[[#This Row],[Tôi tin rằng với các quy định quản lý thuế hiện nay, hành vi gian lận hoặc trốn thuế sẽ dễ dàng bị phát hiện và xử lý nghiêm. - HUMAN-ENF1]]</f>
        <v>7</v>
      </c>
      <c r="T346">
        <f t="shared" si="136"/>
        <v>0.66666666666666663</v>
      </c>
      <c r="U346">
        <f>step3_validation[[#This Row],[AI_ENF2]]</f>
        <v>7</v>
      </c>
      <c r="V346">
        <f t="shared" si="137"/>
        <v>0.66666666666666663</v>
      </c>
      <c r="W346">
        <f>survey_responses[[#This Row],[Tôi tin rằng Nhà nước, cơ quan thuế có đủ khả năng và công nghệ để phát hiện, xử lý nghiêm các hành vi trốn thuế. - HUMAN-ENF2]]</f>
        <v>7</v>
      </c>
      <c r="X346">
        <f t="shared" si="138"/>
        <v>0.66666666666666663</v>
      </c>
      <c r="Y346" s="32">
        <f t="shared" si="139"/>
        <v>0.61111111111111116</v>
      </c>
      <c r="Z346" s="32">
        <f t="shared" si="140"/>
        <v>0.66666666666666663</v>
      </c>
      <c r="AA346">
        <f>step3_validation[[#This Row],[AI_FAC1]]</f>
        <v>9</v>
      </c>
      <c r="AB346">
        <f t="shared" si="141"/>
        <v>0.88888888888888884</v>
      </c>
      <c r="AC346">
        <f>survey_responses[[#This Row],[Các thủ tục khai báo thuế VÀ/HOẶC quy trình làm việc với cơ quan thuế đơn giản, tiện lợi, nhanh chóng hơn so với trước đây. - HUMAN-FAC1]]</f>
        <v>5</v>
      </c>
      <c r="AD346">
        <f t="shared" si="142"/>
        <v>0.44444444444444442</v>
      </c>
      <c r="AE346">
        <f>step3_validation[[#This Row],[AI_FAC2]]</f>
        <v>9</v>
      </c>
      <c r="AF346">
        <f t="shared" si="143"/>
        <v>0.88888888888888884</v>
      </c>
      <c r="AG346">
        <f>survey_responses[[#This Row],[So với trước đây, tôi thấy cách tính thuế và các bậc thuế trong phương án mới đơn giản, dễ hiểu và dễ thực hiện hơn. - HUMAN-FAC2]]</f>
        <v>8</v>
      </c>
      <c r="AH346">
        <f t="shared" si="144"/>
        <v>0.77777777777777779</v>
      </c>
      <c r="AI346" s="32">
        <f t="shared" si="145"/>
        <v>0.88888888888888884</v>
      </c>
      <c r="AJ346" s="32">
        <f t="shared" si="146"/>
        <v>0.61111111111111116</v>
      </c>
      <c r="AK346">
        <f>step3_validation[[#This Row],[AI_TRU1]]</f>
        <v>7</v>
      </c>
      <c r="AL346">
        <f t="shared" si="147"/>
        <v>0.66666666666666663</v>
      </c>
      <c r="AM346">
        <f>survey_responses[[#This Row],[Tôi tin rằng Nhà nước, cơ quan thuế sẽ thực thi chính sách mới một cách khách quan, công tâm và đối xử bình đẳng với mọi người nộp thuế.  - HUMAN-TRU1]]</f>
        <v>7</v>
      </c>
      <c r="AN346">
        <f t="shared" si="148"/>
        <v>0.66666666666666663</v>
      </c>
      <c r="AO346">
        <f>step3_validation[[#This Row],[AI_TRU2]]</f>
        <v>8</v>
      </c>
      <c r="AP346">
        <f t="shared" si="149"/>
        <v>0.77777777777777779</v>
      </c>
      <c r="AQ346">
        <f>survey_responses[[#This Row],[Tôi thấy mức thuế tôi phải đóng theo phương án mới là công bằng (người thu nhập như tôi đóng mức này là hợp lý). - HUMAN-TRU2]]</f>
        <v>7</v>
      </c>
      <c r="AR346">
        <f t="shared" si="150"/>
        <v>0.66666666666666663</v>
      </c>
      <c r="AS346">
        <f>step3_validation[[#This Row],[AI_TRU3]]</f>
        <v>7</v>
      </c>
      <c r="AT346">
        <f t="shared" si="151"/>
        <v>0.66666666666666663</v>
      </c>
      <c r="AU346">
        <f>survey_responses[[#This Row],[Tôi tin tưởng số tiền thuế tôi đóng sẽ được Nhà nước sử dụng hiệu quả để cải thiện dịch vụ công (y tế, đường xá...). - HUMAN-TRU3]]</f>
        <v>6</v>
      </c>
      <c r="AV346">
        <f t="shared" si="152"/>
        <v>0.55555555555555558</v>
      </c>
      <c r="AW346">
        <f>step3_validation[[#This Row],[AI_TRU4]]</f>
        <v>6</v>
      </c>
      <c r="AX346">
        <f t="shared" si="153"/>
        <v>0.55555555555555558</v>
      </c>
      <c r="AY346">
        <f>survey_responses[[#This Row],[Tôi thấy Nhà nước đã giải thích rõ ràng, minh bạch về lý do và mục tiêu của việc sửa đổi thuế lần này. - HUMAN-TRU4]]</f>
        <v>7</v>
      </c>
      <c r="AZ346">
        <f t="shared" si="154"/>
        <v>0.66666666666666663</v>
      </c>
      <c r="BA346" s="32">
        <f t="shared" si="155"/>
        <v>0.66666666666666674</v>
      </c>
      <c r="BB346" s="32">
        <f t="shared" si="156"/>
        <v>0.63888888888888884</v>
      </c>
      <c r="BC346" s="7">
        <f t="shared" si="157"/>
        <v>0.72222222222222232</v>
      </c>
      <c r="BD346" s="7">
        <f t="shared" si="158"/>
        <v>0.63888888888888884</v>
      </c>
      <c r="BE346">
        <f>step3_validation[[#This Row],[AI_OUT1]]</f>
        <v>8</v>
      </c>
      <c r="BF346">
        <f t="shared" si="159"/>
        <v>0.77777777777777779</v>
      </c>
      <c r="BG346">
        <f>survey_responses[[#This Row],[Sau khi xem xét các quyền lợi và nghĩa vụ, bạn có ủng hộ và tuân thủ chính sách mới hiện nay? - HUMAN-OUT1]]</f>
        <v>7</v>
      </c>
      <c r="BH346">
        <f t="shared" si="160"/>
        <v>0.66666666666666663</v>
      </c>
      <c r="BI346" s="32">
        <f t="shared" si="161"/>
        <v>1</v>
      </c>
    </row>
    <row r="347" spans="1:61" x14ac:dyDescent="0.45">
      <c r="A347" s="30">
        <f>step3_validation[[#This Row],[Persona_ID]]</f>
        <v>346</v>
      </c>
      <c r="B347" s="31">
        <f>step3_validation[[#This Row],[Used_Seed]]</f>
        <v>387</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30.473814925475196</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5</v>
      </c>
      <c r="R347">
        <f t="shared" si="135"/>
        <v>0.44444444444444442</v>
      </c>
      <c r="S347">
        <f>survey_responses[[#This Row],[Tôi tin rằng với các quy định quản lý thuế hiện nay, hành vi gian lận hoặc trốn thuế sẽ dễ dàng bị phát hiện và xử lý nghiêm. - HUMAN-ENF1]]</f>
        <v>9</v>
      </c>
      <c r="T347">
        <f t="shared" si="136"/>
        <v>0.88888888888888884</v>
      </c>
      <c r="U347">
        <f>step3_validation[[#This Row],[AI_ENF2]]</f>
        <v>6</v>
      </c>
      <c r="V347">
        <f t="shared" si="137"/>
        <v>0.55555555555555558</v>
      </c>
      <c r="W347">
        <f>survey_responses[[#This Row],[Tôi tin rằng Nhà nước, cơ quan thuế có đủ khả năng và công nghệ để phát hiện, xử lý nghiêm các hành vi trốn thuế. - HUMAN-ENF2]]</f>
        <v>8</v>
      </c>
      <c r="X347">
        <f t="shared" si="138"/>
        <v>0.77777777777777779</v>
      </c>
      <c r="Y347" s="32">
        <f t="shared" si="139"/>
        <v>0.5</v>
      </c>
      <c r="Z347" s="32">
        <f t="shared" si="140"/>
        <v>0.83333333333333326</v>
      </c>
      <c r="AA347">
        <f>step3_validation[[#This Row],[AI_FAC1]]</f>
        <v>7</v>
      </c>
      <c r="AB347">
        <f t="shared" si="141"/>
        <v>0.66666666666666663</v>
      </c>
      <c r="AC347">
        <f>survey_responses[[#This Row],[Các thủ tục khai báo thuế VÀ/HOẶC quy trình làm việc với cơ quan thuế đơn giản, tiện lợi, nhanh chóng hơn so với trước đây. - HUMAN-FAC1]]</f>
        <v>8</v>
      </c>
      <c r="AD347">
        <f t="shared" si="142"/>
        <v>0.77777777777777779</v>
      </c>
      <c r="AE347">
        <f>step3_validation[[#This Row],[AI_FAC2]]</f>
        <v>9</v>
      </c>
      <c r="AF347">
        <f t="shared" si="143"/>
        <v>0.88888888888888884</v>
      </c>
      <c r="AG347">
        <f>survey_responses[[#This Row],[So với trước đây, tôi thấy cách tính thuế và các bậc thuế trong phương án mới đơn giản, dễ hiểu và dễ thực hiện hơn. - HUMAN-FAC2]]</f>
        <v>9</v>
      </c>
      <c r="AH347">
        <f t="shared" si="144"/>
        <v>0.88888888888888884</v>
      </c>
      <c r="AI347" s="32">
        <f t="shared" si="145"/>
        <v>0.77777777777777768</v>
      </c>
      <c r="AJ347" s="32">
        <f t="shared" si="146"/>
        <v>0.83333333333333326</v>
      </c>
      <c r="AK347">
        <f>step3_validation[[#This Row],[AI_TRU1]]</f>
        <v>8</v>
      </c>
      <c r="AL347">
        <f t="shared" si="147"/>
        <v>0.77777777777777779</v>
      </c>
      <c r="AM347">
        <f>survey_responses[[#This Row],[Tôi tin rằng Nhà nước, cơ quan thuế sẽ thực thi chính sách mới một cách khách quan, công tâm và đối xử bình đẳng với mọi người nộp thuế.  - HUMAN-TRU1]]</f>
        <v>7</v>
      </c>
      <c r="AN347">
        <f t="shared" si="148"/>
        <v>0.66666666666666663</v>
      </c>
      <c r="AO347">
        <f>step3_validation[[#This Row],[AI_TRU2]]</f>
        <v>9</v>
      </c>
      <c r="AP347">
        <f t="shared" si="149"/>
        <v>0.88888888888888884</v>
      </c>
      <c r="AQ347">
        <f>survey_responses[[#This Row],[Tôi thấy mức thuế tôi phải đóng theo phương án mới là công bằng (người thu nhập như tôi đóng mức này là hợp lý). - HUMAN-TRU2]]</f>
        <v>8</v>
      </c>
      <c r="AR347">
        <f t="shared" si="150"/>
        <v>0.77777777777777779</v>
      </c>
      <c r="AS347">
        <f>step3_validation[[#This Row],[AI_TRU3]]</f>
        <v>7</v>
      </c>
      <c r="AT347">
        <f t="shared" si="151"/>
        <v>0.66666666666666663</v>
      </c>
      <c r="AU347">
        <f>survey_responses[[#This Row],[Tôi tin tưởng số tiền thuế tôi đóng sẽ được Nhà nước sử dụng hiệu quả để cải thiện dịch vụ công (y tế, đường xá...). - HUMAN-TRU3]]</f>
        <v>7</v>
      </c>
      <c r="AV347">
        <f t="shared" si="152"/>
        <v>0.66666666666666663</v>
      </c>
      <c r="AW347">
        <f>step3_validation[[#This Row],[AI_TRU4]]</f>
        <v>6</v>
      </c>
      <c r="AX347">
        <f t="shared" si="153"/>
        <v>0.55555555555555558</v>
      </c>
      <c r="AY347">
        <f>survey_responses[[#This Row],[Tôi thấy Nhà nước đã giải thích rõ ràng, minh bạch về lý do và mục tiêu của việc sửa đổi thuế lần này. - HUMAN-TRU4]]</f>
        <v>7</v>
      </c>
      <c r="AZ347">
        <f t="shared" si="154"/>
        <v>0.66666666666666663</v>
      </c>
      <c r="BA347" s="32">
        <f t="shared" si="155"/>
        <v>0.7222222222222221</v>
      </c>
      <c r="BB347" s="32">
        <f t="shared" si="156"/>
        <v>0.69444444444444442</v>
      </c>
      <c r="BC347" s="7">
        <f t="shared" si="157"/>
        <v>0.66666666666666663</v>
      </c>
      <c r="BD347" s="7">
        <f t="shared" si="158"/>
        <v>0.78703703703703687</v>
      </c>
      <c r="BE347">
        <f>step3_validation[[#This Row],[AI_OUT1]]</f>
        <v>8</v>
      </c>
      <c r="BF347">
        <f t="shared" si="159"/>
        <v>0.77777777777777779</v>
      </c>
      <c r="BG347">
        <f>survey_responses[[#This Row],[Sau khi xem xét các quyền lợi và nghĩa vụ, bạn có ủng hộ và tuân thủ chính sách mới hiện nay? - HUMAN-OUT1]]</f>
        <v>8</v>
      </c>
      <c r="BH347">
        <f t="shared" si="160"/>
        <v>0.77777777777777779</v>
      </c>
      <c r="BI347" s="32">
        <f t="shared" si="161"/>
        <v>0</v>
      </c>
    </row>
    <row r="348" spans="1:61" x14ac:dyDescent="0.45">
      <c r="A348" s="30">
        <f>step3_validation[[#This Row],[Persona_ID]]</f>
        <v>347</v>
      </c>
      <c r="B348" s="31">
        <f>step3_validation[[#This Row],[Used_Seed]]</f>
        <v>388</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19.324542032528335</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8</v>
      </c>
      <c r="R348">
        <f t="shared" si="135"/>
        <v>0.77777777777777779</v>
      </c>
      <c r="S348">
        <f>survey_responses[[#This Row],[Tôi tin rằng với các quy định quản lý thuế hiện nay, hành vi gian lận hoặc trốn thuế sẽ dễ dàng bị phát hiện và xử lý nghiêm. - HUMAN-ENF1]]</f>
        <v>8</v>
      </c>
      <c r="T348">
        <f t="shared" si="136"/>
        <v>0.77777777777777779</v>
      </c>
      <c r="U348">
        <f>step3_validation[[#This Row],[AI_ENF2]]</f>
        <v>9</v>
      </c>
      <c r="V348">
        <f t="shared" si="137"/>
        <v>0.88888888888888884</v>
      </c>
      <c r="W348">
        <f>survey_responses[[#This Row],[Tôi tin rằng Nhà nước, cơ quan thuế có đủ khả năng và công nghệ để phát hiện, xử lý nghiêm các hành vi trốn thuế. - HUMAN-ENF2]]</f>
        <v>8</v>
      </c>
      <c r="X348">
        <f t="shared" si="138"/>
        <v>0.77777777777777779</v>
      </c>
      <c r="Y348" s="32">
        <f t="shared" si="139"/>
        <v>0.83333333333333326</v>
      </c>
      <c r="Z348" s="32">
        <f t="shared" si="140"/>
        <v>0.77777777777777779</v>
      </c>
      <c r="AA348">
        <f>step3_validation[[#This Row],[AI_FAC1]]</f>
        <v>8</v>
      </c>
      <c r="AB348">
        <f t="shared" si="141"/>
        <v>0.77777777777777779</v>
      </c>
      <c r="AC348">
        <f>survey_responses[[#This Row],[Các thủ tục khai báo thuế VÀ/HOẶC quy trình làm việc với cơ quan thuế đơn giản, tiện lợi, nhanh chóng hơn so với trước đây. - HUMAN-FAC1]]</f>
        <v>7</v>
      </c>
      <c r="AD348">
        <f t="shared" si="142"/>
        <v>0.66666666666666663</v>
      </c>
      <c r="AE348">
        <f>step3_validation[[#This Row],[AI_FAC2]]</f>
        <v>9</v>
      </c>
      <c r="AF348">
        <f t="shared" si="143"/>
        <v>0.88888888888888884</v>
      </c>
      <c r="AG348">
        <f>survey_responses[[#This Row],[So với trước đây, tôi thấy cách tính thuế và các bậc thuế trong phương án mới đơn giản, dễ hiểu và dễ thực hiện hơn. - HUMAN-FAC2]]</f>
        <v>8</v>
      </c>
      <c r="AH348">
        <f t="shared" si="144"/>
        <v>0.77777777777777779</v>
      </c>
      <c r="AI348" s="32">
        <f t="shared" si="145"/>
        <v>0.83333333333333326</v>
      </c>
      <c r="AJ348" s="32">
        <f t="shared" si="146"/>
        <v>0.72222222222222221</v>
      </c>
      <c r="AK348">
        <f>step3_validation[[#This Row],[AI_TRU1]]</f>
        <v>8</v>
      </c>
      <c r="AL348">
        <f t="shared" si="147"/>
        <v>0.77777777777777779</v>
      </c>
      <c r="AM348">
        <f>survey_responses[[#This Row],[Tôi tin rằng Nhà nước, cơ quan thuế sẽ thực thi chính sách mới một cách khách quan, công tâm và đối xử bình đẳng với mọi người nộp thuế.  - HUMAN-TRU1]]</f>
        <v>6</v>
      </c>
      <c r="AN348">
        <f t="shared" si="148"/>
        <v>0.55555555555555558</v>
      </c>
      <c r="AO348">
        <f>step3_validation[[#This Row],[AI_TRU2]]</f>
        <v>9</v>
      </c>
      <c r="AP348">
        <f t="shared" si="149"/>
        <v>0.88888888888888884</v>
      </c>
      <c r="AQ348">
        <f>survey_responses[[#This Row],[Tôi thấy mức thuế tôi phải đóng theo phương án mới là công bằng (người thu nhập như tôi đóng mức này là hợp lý). - HUMAN-TRU2]]</f>
        <v>8</v>
      </c>
      <c r="AR348">
        <f t="shared" si="150"/>
        <v>0.77777777777777779</v>
      </c>
      <c r="AS348">
        <f>step3_validation[[#This Row],[AI_TRU3]]</f>
        <v>8</v>
      </c>
      <c r="AT348">
        <f t="shared" si="151"/>
        <v>0.77777777777777779</v>
      </c>
      <c r="AU348">
        <f>survey_responses[[#This Row],[Tôi tin tưởng số tiền thuế tôi đóng sẽ được Nhà nước sử dụng hiệu quả để cải thiện dịch vụ công (y tế, đường xá...). - HUMAN-TRU3]]</f>
        <v>6</v>
      </c>
      <c r="AV348">
        <f t="shared" si="152"/>
        <v>0.55555555555555558</v>
      </c>
      <c r="AW348">
        <f>step3_validation[[#This Row],[AI_TRU4]]</f>
        <v>7</v>
      </c>
      <c r="AX348">
        <f t="shared" si="153"/>
        <v>0.66666666666666663</v>
      </c>
      <c r="AY348">
        <f>survey_responses[[#This Row],[Tôi thấy Nhà nước đã giải thích rõ ràng, minh bạch về lý do và mục tiêu của việc sửa đổi thuế lần này. - HUMAN-TRU4]]</f>
        <v>6</v>
      </c>
      <c r="AZ348">
        <f t="shared" si="154"/>
        <v>0.55555555555555558</v>
      </c>
      <c r="BA348" s="32">
        <f t="shared" si="155"/>
        <v>0.77777777777777768</v>
      </c>
      <c r="BB348" s="32">
        <f t="shared" si="156"/>
        <v>0.61111111111111116</v>
      </c>
      <c r="BC348" s="7">
        <f t="shared" si="157"/>
        <v>0.81481481481481477</v>
      </c>
      <c r="BD348" s="7">
        <f t="shared" si="158"/>
        <v>0.70370370370370372</v>
      </c>
      <c r="BE348">
        <f>step3_validation[[#This Row],[AI_OUT1]]</f>
        <v>9</v>
      </c>
      <c r="BF348">
        <f t="shared" si="159"/>
        <v>0.88888888888888884</v>
      </c>
      <c r="BG348">
        <f>survey_responses[[#This Row],[Sau khi xem xét các quyền lợi và nghĩa vụ, bạn có ủng hộ và tuân thủ chính sách mới hiện nay? - HUMAN-OUT1]]</f>
        <v>8</v>
      </c>
      <c r="BH348">
        <f t="shared" si="160"/>
        <v>0.77777777777777779</v>
      </c>
      <c r="BI348" s="32">
        <f t="shared" si="161"/>
        <v>1</v>
      </c>
    </row>
    <row r="349" spans="1:61" x14ac:dyDescent="0.45">
      <c r="A349" s="30">
        <f>step3_validation[[#This Row],[Persona_ID]]</f>
        <v>348</v>
      </c>
      <c r="B349" s="31">
        <f>step3_validation[[#This Row],[Used_Seed]]</f>
        <v>389</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21.332563164475857</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6</v>
      </c>
      <c r="R349">
        <f t="shared" si="135"/>
        <v>0.55555555555555558</v>
      </c>
      <c r="S349">
        <f>survey_responses[[#This Row],[Tôi tin rằng với các quy định quản lý thuế hiện nay, hành vi gian lận hoặc trốn thuế sẽ dễ dàng bị phát hiện và xử lý nghiêm. - HUMAN-ENF1]]</f>
        <v>8</v>
      </c>
      <c r="T349">
        <f t="shared" si="136"/>
        <v>0.77777777777777779</v>
      </c>
      <c r="U349">
        <f>step3_validation[[#This Row],[AI_ENF2]]</f>
        <v>6</v>
      </c>
      <c r="V349">
        <f t="shared" si="137"/>
        <v>0.55555555555555558</v>
      </c>
      <c r="W349">
        <f>survey_responses[[#This Row],[Tôi tin rằng Nhà nước, cơ quan thuế có đủ khả năng và công nghệ để phát hiện, xử lý nghiêm các hành vi trốn thuế. - HUMAN-ENF2]]</f>
        <v>8</v>
      </c>
      <c r="X349">
        <f t="shared" si="138"/>
        <v>0.77777777777777779</v>
      </c>
      <c r="Y349" s="32">
        <f t="shared" si="139"/>
        <v>0.55555555555555558</v>
      </c>
      <c r="Z349" s="32">
        <f t="shared" si="140"/>
        <v>0.77777777777777779</v>
      </c>
      <c r="AA349">
        <f>step3_validation[[#This Row],[AI_FAC1]]</f>
        <v>7</v>
      </c>
      <c r="AB349">
        <f t="shared" si="141"/>
        <v>0.66666666666666663</v>
      </c>
      <c r="AC349">
        <f>survey_responses[[#This Row],[Các thủ tục khai báo thuế VÀ/HOẶC quy trình làm việc với cơ quan thuế đơn giản, tiện lợi, nhanh chóng hơn so với trước đây. - HUMAN-FAC1]]</f>
        <v>7</v>
      </c>
      <c r="AD349">
        <f t="shared" si="142"/>
        <v>0.66666666666666663</v>
      </c>
      <c r="AE349">
        <f>step3_validation[[#This Row],[AI_FAC2]]</f>
        <v>9</v>
      </c>
      <c r="AF349">
        <f t="shared" si="143"/>
        <v>0.88888888888888884</v>
      </c>
      <c r="AG349">
        <f>survey_responses[[#This Row],[So với trước đây, tôi thấy cách tính thuế và các bậc thuế trong phương án mới đơn giản, dễ hiểu và dễ thực hiện hơn. - HUMAN-FAC2]]</f>
        <v>7</v>
      </c>
      <c r="AH349">
        <f t="shared" si="144"/>
        <v>0.66666666666666663</v>
      </c>
      <c r="AI349" s="32">
        <f t="shared" si="145"/>
        <v>0.77777777777777768</v>
      </c>
      <c r="AJ349" s="32">
        <f t="shared" si="146"/>
        <v>0.66666666666666663</v>
      </c>
      <c r="AK349">
        <f>step3_validation[[#This Row],[AI_TRU1]]</f>
        <v>7</v>
      </c>
      <c r="AL349">
        <f t="shared" si="147"/>
        <v>0.66666666666666663</v>
      </c>
      <c r="AM349">
        <f>survey_responses[[#This Row],[Tôi tin rằng Nhà nước, cơ quan thuế sẽ thực thi chính sách mới một cách khách quan, công tâm và đối xử bình đẳng với mọi người nộp thuế.  - HUMAN-TRU1]]</f>
        <v>6</v>
      </c>
      <c r="AN349">
        <f t="shared" si="148"/>
        <v>0.55555555555555558</v>
      </c>
      <c r="AO349">
        <f>step3_validation[[#This Row],[AI_TRU2]]</f>
        <v>8</v>
      </c>
      <c r="AP349">
        <f t="shared" si="149"/>
        <v>0.77777777777777779</v>
      </c>
      <c r="AQ349">
        <f>survey_responses[[#This Row],[Tôi thấy mức thuế tôi phải đóng theo phương án mới là công bằng (người thu nhập như tôi đóng mức này là hợp lý). - HUMAN-TRU2]]</f>
        <v>7</v>
      </c>
      <c r="AR349">
        <f t="shared" si="150"/>
        <v>0.66666666666666663</v>
      </c>
      <c r="AS349">
        <f>step3_validation[[#This Row],[AI_TRU3]]</f>
        <v>7</v>
      </c>
      <c r="AT349">
        <f t="shared" si="151"/>
        <v>0.66666666666666663</v>
      </c>
      <c r="AU349">
        <f>survey_responses[[#This Row],[Tôi tin tưởng số tiền thuế tôi đóng sẽ được Nhà nước sử dụng hiệu quả để cải thiện dịch vụ công (y tế, đường xá...). - HUMAN-TRU3]]</f>
        <v>6</v>
      </c>
      <c r="AV349">
        <f t="shared" si="152"/>
        <v>0.55555555555555558</v>
      </c>
      <c r="AW349">
        <f>step3_validation[[#This Row],[AI_TRU4]]</f>
        <v>8</v>
      </c>
      <c r="AX349">
        <f t="shared" si="153"/>
        <v>0.77777777777777779</v>
      </c>
      <c r="AY349">
        <f>survey_responses[[#This Row],[Tôi thấy Nhà nước đã giải thích rõ ràng, minh bạch về lý do và mục tiêu của việc sửa đổi thuế lần này. - HUMAN-TRU4]]</f>
        <v>6</v>
      </c>
      <c r="AZ349">
        <f t="shared" si="154"/>
        <v>0.55555555555555558</v>
      </c>
      <c r="BA349" s="32">
        <f t="shared" si="155"/>
        <v>0.72222222222222221</v>
      </c>
      <c r="BB349" s="32">
        <f t="shared" si="156"/>
        <v>0.58333333333333337</v>
      </c>
      <c r="BC349" s="7">
        <f t="shared" si="157"/>
        <v>0.68518518518518512</v>
      </c>
      <c r="BD349" s="7">
        <f t="shared" si="158"/>
        <v>0.67592592592592593</v>
      </c>
      <c r="BE349">
        <f>step3_validation[[#This Row],[AI_OUT1]]</f>
        <v>7</v>
      </c>
      <c r="BF349">
        <f t="shared" si="159"/>
        <v>0.66666666666666663</v>
      </c>
      <c r="BG349">
        <f>survey_responses[[#This Row],[Sau khi xem xét các quyền lợi và nghĩa vụ, bạn có ủng hộ và tuân thủ chính sách mới hiện nay? - HUMAN-OUT1]]</f>
        <v>7</v>
      </c>
      <c r="BH349">
        <f t="shared" si="160"/>
        <v>0.66666666666666663</v>
      </c>
      <c r="BI349" s="32">
        <f t="shared" si="161"/>
        <v>0</v>
      </c>
    </row>
    <row r="350" spans="1:61" x14ac:dyDescent="0.45">
      <c r="A350" s="30">
        <f>step3_validation[[#This Row],[Persona_ID]]</f>
        <v>349</v>
      </c>
      <c r="B350" s="31">
        <f>step3_validation[[#This Row],[Used_Seed]]</f>
        <v>390</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20.550255734505967</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8</v>
      </c>
      <c r="R350">
        <f t="shared" si="135"/>
        <v>0.77777777777777779</v>
      </c>
      <c r="S350">
        <f>survey_responses[[#This Row],[Tôi tin rằng với các quy định quản lý thuế hiện nay, hành vi gian lận hoặc trốn thuế sẽ dễ dàng bị phát hiện và xử lý nghiêm. - HUMAN-ENF1]]</f>
        <v>4</v>
      </c>
      <c r="T350">
        <f t="shared" si="136"/>
        <v>0.33333333333333331</v>
      </c>
      <c r="U350">
        <f>step3_validation[[#This Row],[AI_ENF2]]</f>
        <v>6</v>
      </c>
      <c r="V350">
        <f t="shared" si="137"/>
        <v>0.55555555555555558</v>
      </c>
      <c r="W350">
        <f>survey_responses[[#This Row],[Tôi tin rằng Nhà nước, cơ quan thuế có đủ khả năng và công nghệ để phát hiện, xử lý nghiêm các hành vi trốn thuế. - HUMAN-ENF2]]</f>
        <v>4</v>
      </c>
      <c r="X350">
        <f t="shared" si="138"/>
        <v>0.33333333333333331</v>
      </c>
      <c r="Y350" s="32">
        <f t="shared" si="139"/>
        <v>0.66666666666666674</v>
      </c>
      <c r="Z350" s="32">
        <f t="shared" si="140"/>
        <v>0.33333333333333331</v>
      </c>
      <c r="AA350">
        <f>step3_validation[[#This Row],[AI_FAC1]]</f>
        <v>9</v>
      </c>
      <c r="AB350">
        <f t="shared" si="141"/>
        <v>0.88888888888888884</v>
      </c>
      <c r="AC350">
        <f>survey_responses[[#This Row],[Các thủ tục khai báo thuế VÀ/HOẶC quy trình làm việc với cơ quan thuế đơn giản, tiện lợi, nhanh chóng hơn so với trước đây. - HUMAN-FAC1]]</f>
        <v>5</v>
      </c>
      <c r="AD350">
        <f t="shared" si="142"/>
        <v>0.44444444444444442</v>
      </c>
      <c r="AE350">
        <f>step3_validation[[#This Row],[AI_FAC2]]</f>
        <v>8</v>
      </c>
      <c r="AF350">
        <f t="shared" si="143"/>
        <v>0.77777777777777779</v>
      </c>
      <c r="AG350">
        <f>survey_responses[[#This Row],[So với trước đây, tôi thấy cách tính thuế và các bậc thuế trong phương án mới đơn giản, dễ hiểu và dễ thực hiện hơn. - HUMAN-FAC2]]</f>
        <v>7</v>
      </c>
      <c r="AH350">
        <f t="shared" si="144"/>
        <v>0.66666666666666663</v>
      </c>
      <c r="AI350" s="32">
        <f t="shared" si="145"/>
        <v>0.83333333333333326</v>
      </c>
      <c r="AJ350" s="32">
        <f t="shared" si="146"/>
        <v>0.55555555555555558</v>
      </c>
      <c r="AK350">
        <f>step3_validation[[#This Row],[AI_TRU1]]</f>
        <v>9</v>
      </c>
      <c r="AL350">
        <f t="shared" si="147"/>
        <v>0.88888888888888884</v>
      </c>
      <c r="AM350">
        <f>survey_responses[[#This Row],[Tôi tin rằng Nhà nước, cơ quan thuế sẽ thực thi chính sách mới một cách khách quan, công tâm và đối xử bình đẳng với mọi người nộp thuế.  - HUMAN-TRU1]]</f>
        <v>5</v>
      </c>
      <c r="AN350">
        <f t="shared" si="148"/>
        <v>0.44444444444444442</v>
      </c>
      <c r="AO350">
        <f>step3_validation[[#This Row],[AI_TRU2]]</f>
        <v>8</v>
      </c>
      <c r="AP350">
        <f t="shared" si="149"/>
        <v>0.77777777777777779</v>
      </c>
      <c r="AQ350">
        <f>survey_responses[[#This Row],[Tôi thấy mức thuế tôi phải đóng theo phương án mới là công bằng (người thu nhập như tôi đóng mức này là hợp lý). - HUMAN-TRU2]]</f>
        <v>6</v>
      </c>
      <c r="AR350">
        <f t="shared" si="150"/>
        <v>0.55555555555555558</v>
      </c>
      <c r="AS350">
        <f>step3_validation[[#This Row],[AI_TRU3]]</f>
        <v>9</v>
      </c>
      <c r="AT350">
        <f t="shared" si="151"/>
        <v>0.88888888888888884</v>
      </c>
      <c r="AU350">
        <f>survey_responses[[#This Row],[Tôi tin tưởng số tiền thuế tôi đóng sẽ được Nhà nước sử dụng hiệu quả để cải thiện dịch vụ công (y tế, đường xá...). - HUMAN-TRU3]]</f>
        <v>6</v>
      </c>
      <c r="AV350">
        <f t="shared" si="152"/>
        <v>0.55555555555555558</v>
      </c>
      <c r="AW350">
        <f>step3_validation[[#This Row],[AI_TRU4]]</f>
        <v>7</v>
      </c>
      <c r="AX350">
        <f t="shared" si="153"/>
        <v>0.66666666666666663</v>
      </c>
      <c r="AY350">
        <f>survey_responses[[#This Row],[Tôi thấy Nhà nước đã giải thích rõ ràng, minh bạch về lý do và mục tiêu của việc sửa đổi thuế lần này. - HUMAN-TRU4]]</f>
        <v>6</v>
      </c>
      <c r="AZ350">
        <f t="shared" si="154"/>
        <v>0.55555555555555558</v>
      </c>
      <c r="BA350" s="32">
        <f t="shared" si="155"/>
        <v>0.80555555555555547</v>
      </c>
      <c r="BB350" s="32">
        <f t="shared" si="156"/>
        <v>0.52777777777777779</v>
      </c>
      <c r="BC350" s="7">
        <f t="shared" si="157"/>
        <v>0.76851851851851849</v>
      </c>
      <c r="BD350" s="7">
        <f t="shared" si="158"/>
        <v>0.47222222222222215</v>
      </c>
      <c r="BE350">
        <f>step3_validation[[#This Row],[AI_OUT1]]</f>
        <v>9</v>
      </c>
      <c r="BF350">
        <f t="shared" si="159"/>
        <v>0.88888888888888884</v>
      </c>
      <c r="BG350">
        <f>survey_responses[[#This Row],[Sau khi xem xét các quyền lợi và nghĩa vụ, bạn có ủng hộ và tuân thủ chính sách mới hiện nay? - HUMAN-OUT1]]</f>
        <v>6</v>
      </c>
      <c r="BH350">
        <f t="shared" si="160"/>
        <v>0.55555555555555558</v>
      </c>
      <c r="BI350" s="32">
        <f t="shared" si="161"/>
        <v>3</v>
      </c>
    </row>
    <row r="351" spans="1:61" x14ac:dyDescent="0.45">
      <c r="A351" s="30">
        <f>step3_validation[[#This Row],[Persona_ID]]</f>
        <v>350</v>
      </c>
      <c r="B351" s="31">
        <f>step3_validation[[#This Row],[Used_Seed]]</f>
        <v>391</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27.443779539967906</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6</v>
      </c>
      <c r="R351">
        <f t="shared" si="135"/>
        <v>0.55555555555555558</v>
      </c>
      <c r="S351">
        <f>survey_responses[[#This Row],[Tôi tin rằng với các quy định quản lý thuế hiện nay, hành vi gian lận hoặc trốn thuế sẽ dễ dàng bị phát hiện và xử lý nghiêm. - HUMAN-ENF1]]</f>
        <v>7</v>
      </c>
      <c r="T351">
        <f t="shared" si="136"/>
        <v>0.66666666666666663</v>
      </c>
      <c r="U351">
        <f>step3_validation[[#This Row],[AI_ENF2]]</f>
        <v>6</v>
      </c>
      <c r="V351">
        <f t="shared" si="137"/>
        <v>0.55555555555555558</v>
      </c>
      <c r="W351">
        <f>survey_responses[[#This Row],[Tôi tin rằng Nhà nước, cơ quan thuế có đủ khả năng và công nghệ để phát hiện, xử lý nghiêm các hành vi trốn thuế. - HUMAN-ENF2]]</f>
        <v>7</v>
      </c>
      <c r="X351">
        <f t="shared" si="138"/>
        <v>0.66666666666666663</v>
      </c>
      <c r="Y351" s="32">
        <f t="shared" si="139"/>
        <v>0.55555555555555558</v>
      </c>
      <c r="Z351" s="32">
        <f t="shared" si="140"/>
        <v>0.66666666666666663</v>
      </c>
      <c r="AA351">
        <f>step3_validation[[#This Row],[AI_FAC1]]</f>
        <v>9</v>
      </c>
      <c r="AB351">
        <f t="shared" si="141"/>
        <v>0.88888888888888884</v>
      </c>
      <c r="AC351">
        <f>survey_responses[[#This Row],[Các thủ tục khai báo thuế VÀ/HOẶC quy trình làm việc với cơ quan thuế đơn giản, tiện lợi, nhanh chóng hơn so với trước đây. - HUMAN-FAC1]]</f>
        <v>8</v>
      </c>
      <c r="AD351">
        <f t="shared" si="142"/>
        <v>0.77777777777777779</v>
      </c>
      <c r="AE351">
        <f>step3_validation[[#This Row],[AI_FAC2]]</f>
        <v>9</v>
      </c>
      <c r="AF351">
        <f t="shared" si="143"/>
        <v>0.88888888888888884</v>
      </c>
      <c r="AG351">
        <f>survey_responses[[#This Row],[So với trước đây, tôi thấy cách tính thuế và các bậc thuế trong phương án mới đơn giản, dễ hiểu và dễ thực hiện hơn. - HUMAN-FAC2]]</f>
        <v>8</v>
      </c>
      <c r="AH351">
        <f t="shared" si="144"/>
        <v>0.77777777777777779</v>
      </c>
      <c r="AI351" s="32">
        <f t="shared" si="145"/>
        <v>0.88888888888888884</v>
      </c>
      <c r="AJ351" s="32">
        <f t="shared" si="146"/>
        <v>0.77777777777777779</v>
      </c>
      <c r="AK351">
        <f>step3_validation[[#This Row],[AI_TRU1]]</f>
        <v>7</v>
      </c>
      <c r="AL351">
        <f t="shared" si="147"/>
        <v>0.66666666666666663</v>
      </c>
      <c r="AM351">
        <f>survey_responses[[#This Row],[Tôi tin rằng Nhà nước, cơ quan thuế sẽ thực thi chính sách mới một cách khách quan, công tâm và đối xử bình đẳng với mọi người nộp thuế.  - HUMAN-TRU1]]</f>
        <v>7</v>
      </c>
      <c r="AN351">
        <f t="shared" si="148"/>
        <v>0.66666666666666663</v>
      </c>
      <c r="AO351">
        <f>step3_validation[[#This Row],[AI_TRU2]]</f>
        <v>8</v>
      </c>
      <c r="AP351">
        <f t="shared" si="149"/>
        <v>0.77777777777777779</v>
      </c>
      <c r="AQ351">
        <f>survey_responses[[#This Row],[Tôi thấy mức thuế tôi phải đóng theo phương án mới là công bằng (người thu nhập như tôi đóng mức này là hợp lý). - HUMAN-TRU2]]</f>
        <v>7</v>
      </c>
      <c r="AR351">
        <f t="shared" si="150"/>
        <v>0.66666666666666663</v>
      </c>
      <c r="AS351">
        <f>step3_validation[[#This Row],[AI_TRU3]]</f>
        <v>7</v>
      </c>
      <c r="AT351">
        <f t="shared" si="151"/>
        <v>0.66666666666666663</v>
      </c>
      <c r="AU351">
        <f>survey_responses[[#This Row],[Tôi tin tưởng số tiền thuế tôi đóng sẽ được Nhà nước sử dụng hiệu quả để cải thiện dịch vụ công (y tế, đường xá...). - HUMAN-TRU3]]</f>
        <v>8</v>
      </c>
      <c r="AV351">
        <f t="shared" si="152"/>
        <v>0.77777777777777779</v>
      </c>
      <c r="AW351">
        <f>step3_validation[[#This Row],[AI_TRU4]]</f>
        <v>6</v>
      </c>
      <c r="AX351">
        <f t="shared" si="153"/>
        <v>0.55555555555555558</v>
      </c>
      <c r="AY351">
        <f>survey_responses[[#This Row],[Tôi thấy Nhà nước đã giải thích rõ ràng, minh bạch về lý do và mục tiêu của việc sửa đổi thuế lần này. - HUMAN-TRU4]]</f>
        <v>7</v>
      </c>
      <c r="AZ351">
        <f t="shared" si="154"/>
        <v>0.66666666666666663</v>
      </c>
      <c r="BA351" s="32">
        <f t="shared" si="155"/>
        <v>0.66666666666666674</v>
      </c>
      <c r="BB351" s="32">
        <f t="shared" si="156"/>
        <v>0.69444444444444442</v>
      </c>
      <c r="BC351" s="7">
        <f t="shared" si="157"/>
        <v>0.70370370370370372</v>
      </c>
      <c r="BD351" s="7">
        <f t="shared" si="158"/>
        <v>0.71296296296296291</v>
      </c>
      <c r="BE351">
        <f>step3_validation[[#This Row],[AI_OUT1]]</f>
        <v>8</v>
      </c>
      <c r="BF351">
        <f t="shared" si="159"/>
        <v>0.77777777777777779</v>
      </c>
      <c r="BG351">
        <f>survey_responses[[#This Row],[Sau khi xem xét các quyền lợi và nghĩa vụ, bạn có ủng hộ và tuân thủ chính sách mới hiện nay? - HUMAN-OUT1]]</f>
        <v>8</v>
      </c>
      <c r="BH351">
        <f t="shared" si="160"/>
        <v>0.77777777777777779</v>
      </c>
      <c r="BI351" s="32">
        <f t="shared" si="161"/>
        <v>0</v>
      </c>
    </row>
    <row r="352" spans="1:61" x14ac:dyDescent="0.45">
      <c r="A352" s="30">
        <f>step3_validation[[#This Row],[Persona_ID]]</f>
        <v>351</v>
      </c>
      <c r="B352" s="31">
        <f>step3_validation[[#This Row],[Used_Seed]]</f>
        <v>392</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45.217165741187266</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f t="shared" si="135"/>
        <v>0.66666666666666663</v>
      </c>
      <c r="S352">
        <f>survey_responses[[#This Row],[Tôi tin rằng với các quy định quản lý thuế hiện nay, hành vi gian lận hoặc trốn thuế sẽ dễ dàng bị phát hiện và xử lý nghiêm. - HUMAN-ENF1]]</f>
        <v>8</v>
      </c>
      <c r="T352">
        <f t="shared" si="136"/>
        <v>0.77777777777777779</v>
      </c>
      <c r="U352">
        <f>step3_validation[[#This Row],[AI_ENF2]]</f>
        <v>8</v>
      </c>
      <c r="V352">
        <f t="shared" si="137"/>
        <v>0.77777777777777779</v>
      </c>
      <c r="W352">
        <f>survey_responses[[#This Row],[Tôi tin rằng Nhà nước, cơ quan thuế có đủ khả năng và công nghệ để phát hiện, xử lý nghiêm các hành vi trốn thuế. - HUMAN-ENF2]]</f>
        <v>8</v>
      </c>
      <c r="X352">
        <f t="shared" si="138"/>
        <v>0.77777777777777779</v>
      </c>
      <c r="Y352" s="32">
        <f t="shared" si="139"/>
        <v>0.72222222222222221</v>
      </c>
      <c r="Z352" s="32">
        <f t="shared" si="140"/>
        <v>0.77777777777777779</v>
      </c>
      <c r="AA352">
        <f>step3_validation[[#This Row],[AI_FAC1]]</f>
        <v>9</v>
      </c>
      <c r="AB352">
        <f t="shared" si="141"/>
        <v>0.88888888888888884</v>
      </c>
      <c r="AC352">
        <f>survey_responses[[#This Row],[Các thủ tục khai báo thuế VÀ/HOẶC quy trình làm việc với cơ quan thuế đơn giản, tiện lợi, nhanh chóng hơn so với trước đây. - HUMAN-FAC1]]</f>
        <v>6</v>
      </c>
      <c r="AD352">
        <f t="shared" si="142"/>
        <v>0.55555555555555558</v>
      </c>
      <c r="AE352">
        <f>step3_validation[[#This Row],[AI_FAC2]]</f>
        <v>10</v>
      </c>
      <c r="AF352">
        <f t="shared" si="143"/>
        <v>1</v>
      </c>
      <c r="AG352">
        <f>survey_responses[[#This Row],[So với trước đây, tôi thấy cách tính thuế và các bậc thuế trong phương án mới đơn giản, dễ hiểu và dễ thực hiện hơn. - HUMAN-FAC2]]</f>
        <v>7</v>
      </c>
      <c r="AH352">
        <f t="shared" si="144"/>
        <v>0.66666666666666663</v>
      </c>
      <c r="AI352" s="32">
        <f t="shared" si="145"/>
        <v>0.94444444444444442</v>
      </c>
      <c r="AJ352" s="32">
        <f t="shared" si="146"/>
        <v>0.61111111111111116</v>
      </c>
      <c r="AK352">
        <f>step3_validation[[#This Row],[AI_TRU1]]</f>
        <v>7</v>
      </c>
      <c r="AL352">
        <f t="shared" si="147"/>
        <v>0.66666666666666663</v>
      </c>
      <c r="AM352">
        <f>survey_responses[[#This Row],[Tôi tin rằng Nhà nước, cơ quan thuế sẽ thực thi chính sách mới một cách khách quan, công tâm và đối xử bình đẳng với mọi người nộp thuế.  - HUMAN-TRU1]]</f>
        <v>6</v>
      </c>
      <c r="AN352">
        <f t="shared" si="148"/>
        <v>0.55555555555555558</v>
      </c>
      <c r="AO352">
        <f>step3_validation[[#This Row],[AI_TRU2]]</f>
        <v>9</v>
      </c>
      <c r="AP352">
        <f t="shared" si="149"/>
        <v>0.88888888888888884</v>
      </c>
      <c r="AQ352">
        <f>survey_responses[[#This Row],[Tôi thấy mức thuế tôi phải đóng theo phương án mới là công bằng (người thu nhập như tôi đóng mức này là hợp lý). - HUMAN-TRU2]]</f>
        <v>7</v>
      </c>
      <c r="AR352">
        <f t="shared" si="150"/>
        <v>0.66666666666666663</v>
      </c>
      <c r="AS352">
        <f>step3_validation[[#This Row],[AI_TRU3]]</f>
        <v>8</v>
      </c>
      <c r="AT352">
        <f t="shared" si="151"/>
        <v>0.77777777777777779</v>
      </c>
      <c r="AU352">
        <f>survey_responses[[#This Row],[Tôi tin tưởng số tiền thuế tôi đóng sẽ được Nhà nước sử dụng hiệu quả để cải thiện dịch vụ công (y tế, đường xá...). - HUMAN-TRU3]]</f>
        <v>5</v>
      </c>
      <c r="AV352">
        <f t="shared" si="152"/>
        <v>0.44444444444444442</v>
      </c>
      <c r="AW352">
        <f>step3_validation[[#This Row],[AI_TRU4]]</f>
        <v>9</v>
      </c>
      <c r="AX352">
        <f t="shared" si="153"/>
        <v>0.88888888888888884</v>
      </c>
      <c r="AY352">
        <f>survey_responses[[#This Row],[Tôi thấy Nhà nước đã giải thích rõ ràng, minh bạch về lý do và mục tiêu của việc sửa đổi thuế lần này. - HUMAN-TRU4]]</f>
        <v>7</v>
      </c>
      <c r="AZ352">
        <f t="shared" si="154"/>
        <v>0.66666666666666663</v>
      </c>
      <c r="BA352" s="32">
        <f t="shared" si="155"/>
        <v>0.80555555555555547</v>
      </c>
      <c r="BB352" s="32">
        <f t="shared" si="156"/>
        <v>0.58333333333333337</v>
      </c>
      <c r="BC352" s="7">
        <f t="shared" si="157"/>
        <v>0.82407407407407396</v>
      </c>
      <c r="BD352" s="7">
        <f t="shared" si="158"/>
        <v>0.65740740740740744</v>
      </c>
      <c r="BE352">
        <f>step3_validation[[#This Row],[AI_OUT1]]</f>
        <v>10</v>
      </c>
      <c r="BF352">
        <f t="shared" si="159"/>
        <v>1</v>
      </c>
      <c r="BG352">
        <f>survey_responses[[#This Row],[Sau khi xem xét các quyền lợi và nghĩa vụ, bạn có ủng hộ và tuân thủ chính sách mới hiện nay? - HUMAN-OUT1]]</f>
        <v>7</v>
      </c>
      <c r="BH352">
        <f t="shared" si="160"/>
        <v>0.66666666666666663</v>
      </c>
      <c r="BI352" s="32">
        <f t="shared" si="161"/>
        <v>3</v>
      </c>
    </row>
    <row r="353" spans="1:61" x14ac:dyDescent="0.45">
      <c r="A353" s="30">
        <f>step3_validation[[#This Row],[Persona_ID]]</f>
        <v>352</v>
      </c>
      <c r="B353" s="31">
        <f>step3_validation[[#This Row],[Used_Seed]]</f>
        <v>393</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25.400215426678194</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5</v>
      </c>
      <c r="R353">
        <f t="shared" si="135"/>
        <v>0.44444444444444442</v>
      </c>
      <c r="S353">
        <f>survey_responses[[#This Row],[Tôi tin rằng với các quy định quản lý thuế hiện nay, hành vi gian lận hoặc trốn thuế sẽ dễ dàng bị phát hiện và xử lý nghiêm. - HUMAN-ENF1]]</f>
        <v>6</v>
      </c>
      <c r="T353">
        <f t="shared" si="136"/>
        <v>0.55555555555555558</v>
      </c>
      <c r="U353">
        <f>step3_validation[[#This Row],[AI_ENF2]]</f>
        <v>6</v>
      </c>
      <c r="V353">
        <f t="shared" si="137"/>
        <v>0.55555555555555558</v>
      </c>
      <c r="W353">
        <f>survey_responses[[#This Row],[Tôi tin rằng Nhà nước, cơ quan thuế có đủ khả năng và công nghệ để phát hiện, xử lý nghiêm các hành vi trốn thuế. - HUMAN-ENF2]]</f>
        <v>6</v>
      </c>
      <c r="X353">
        <f t="shared" si="138"/>
        <v>0.55555555555555558</v>
      </c>
      <c r="Y353" s="32">
        <f t="shared" si="139"/>
        <v>0.5</v>
      </c>
      <c r="Z353" s="32">
        <f t="shared" si="140"/>
        <v>0.55555555555555558</v>
      </c>
      <c r="AA353">
        <f>step3_validation[[#This Row],[AI_FAC1]]</f>
        <v>8</v>
      </c>
      <c r="AB353">
        <f t="shared" si="141"/>
        <v>0.77777777777777779</v>
      </c>
      <c r="AC353">
        <f>survey_responses[[#This Row],[Các thủ tục khai báo thuế VÀ/HOẶC quy trình làm việc với cơ quan thuế đơn giản, tiện lợi, nhanh chóng hơn so với trước đây. - HUMAN-FAC1]]</f>
        <v>8</v>
      </c>
      <c r="AD353">
        <f t="shared" si="142"/>
        <v>0.77777777777777779</v>
      </c>
      <c r="AE353">
        <f>step3_validation[[#This Row],[AI_FAC2]]</f>
        <v>9</v>
      </c>
      <c r="AF353">
        <f t="shared" si="143"/>
        <v>0.88888888888888884</v>
      </c>
      <c r="AG353">
        <f>survey_responses[[#This Row],[So với trước đây, tôi thấy cách tính thuế và các bậc thuế trong phương án mới đơn giản, dễ hiểu và dễ thực hiện hơn. - HUMAN-FAC2]]</f>
        <v>7</v>
      </c>
      <c r="AH353">
        <f t="shared" si="144"/>
        <v>0.66666666666666663</v>
      </c>
      <c r="AI353" s="32">
        <f t="shared" si="145"/>
        <v>0.83333333333333326</v>
      </c>
      <c r="AJ353" s="32">
        <f t="shared" si="146"/>
        <v>0.72222222222222221</v>
      </c>
      <c r="AK353">
        <f>step3_validation[[#This Row],[AI_TRU1]]</f>
        <v>7</v>
      </c>
      <c r="AL353">
        <f t="shared" si="147"/>
        <v>0.66666666666666663</v>
      </c>
      <c r="AM353">
        <f>survey_responses[[#This Row],[Tôi tin rằng Nhà nước, cơ quan thuế sẽ thực thi chính sách mới một cách khách quan, công tâm và đối xử bình đẳng với mọi người nộp thuế.  - HUMAN-TRU1]]</f>
        <v>7</v>
      </c>
      <c r="AN353">
        <f t="shared" si="148"/>
        <v>0.66666666666666663</v>
      </c>
      <c r="AO353">
        <f>step3_validation[[#This Row],[AI_TRU2]]</f>
        <v>8</v>
      </c>
      <c r="AP353">
        <f t="shared" si="149"/>
        <v>0.77777777777777779</v>
      </c>
      <c r="AQ353">
        <f>survey_responses[[#This Row],[Tôi thấy mức thuế tôi phải đóng theo phương án mới là công bằng (người thu nhập như tôi đóng mức này là hợp lý). - HUMAN-TRU2]]</f>
        <v>7</v>
      </c>
      <c r="AR353">
        <f t="shared" si="150"/>
        <v>0.66666666666666663</v>
      </c>
      <c r="AS353">
        <f>step3_validation[[#This Row],[AI_TRU3]]</f>
        <v>7</v>
      </c>
      <c r="AT353">
        <f t="shared" si="151"/>
        <v>0.66666666666666663</v>
      </c>
      <c r="AU353">
        <f>survey_responses[[#This Row],[Tôi tin tưởng số tiền thuế tôi đóng sẽ được Nhà nước sử dụng hiệu quả để cải thiện dịch vụ công (y tế, đường xá...). - HUMAN-TRU3]]</f>
        <v>5</v>
      </c>
      <c r="AV353">
        <f t="shared" si="152"/>
        <v>0.44444444444444442</v>
      </c>
      <c r="AW353">
        <f>step3_validation[[#This Row],[AI_TRU4]]</f>
        <v>6</v>
      </c>
      <c r="AX353">
        <f t="shared" si="153"/>
        <v>0.55555555555555558</v>
      </c>
      <c r="AY353">
        <f>survey_responses[[#This Row],[Tôi thấy Nhà nước đã giải thích rõ ràng, minh bạch về lý do và mục tiêu của việc sửa đổi thuế lần này. - HUMAN-TRU4]]</f>
        <v>6</v>
      </c>
      <c r="AZ353">
        <f t="shared" si="154"/>
        <v>0.55555555555555558</v>
      </c>
      <c r="BA353" s="32">
        <f t="shared" si="155"/>
        <v>0.66666666666666674</v>
      </c>
      <c r="BB353" s="32">
        <f t="shared" si="156"/>
        <v>0.58333333333333326</v>
      </c>
      <c r="BC353" s="7">
        <f t="shared" si="157"/>
        <v>0.66666666666666663</v>
      </c>
      <c r="BD353" s="7">
        <f t="shared" si="158"/>
        <v>0.62037037037037035</v>
      </c>
      <c r="BE353">
        <f>step3_validation[[#This Row],[AI_OUT1]]</f>
        <v>9</v>
      </c>
      <c r="BF353">
        <f t="shared" si="159"/>
        <v>0.88888888888888884</v>
      </c>
      <c r="BG353">
        <f>survey_responses[[#This Row],[Sau khi xem xét các quyền lợi và nghĩa vụ, bạn có ủng hộ và tuân thủ chính sách mới hiện nay? - HUMAN-OUT1]]</f>
        <v>7</v>
      </c>
      <c r="BH353">
        <f t="shared" si="160"/>
        <v>0.66666666666666663</v>
      </c>
      <c r="BI353" s="32">
        <f t="shared" si="161"/>
        <v>2</v>
      </c>
    </row>
    <row r="354" spans="1:61" x14ac:dyDescent="0.45">
      <c r="A354" s="30">
        <f>step3_validation[[#This Row],[Persona_ID]]</f>
        <v>353</v>
      </c>
      <c r="B354" s="31">
        <f>step3_validation[[#This Row],[Used_Seed]]</f>
        <v>394</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96.175741142293276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f t="shared" si="135"/>
        <v>0.66666666666666663</v>
      </c>
      <c r="S354">
        <f>survey_responses[[#This Row],[Tôi tin rằng với các quy định quản lý thuế hiện nay, hành vi gian lận hoặc trốn thuế sẽ dễ dàng bị phát hiện và xử lý nghiêm. - HUMAN-ENF1]]</f>
        <v>7</v>
      </c>
      <c r="T354">
        <f t="shared" si="136"/>
        <v>0.66666666666666663</v>
      </c>
      <c r="U354">
        <f>step3_validation[[#This Row],[AI_ENF2]]</f>
        <v>8</v>
      </c>
      <c r="V354">
        <f t="shared" si="137"/>
        <v>0.77777777777777779</v>
      </c>
      <c r="W354">
        <f>survey_responses[[#This Row],[Tôi tin rằng Nhà nước, cơ quan thuế có đủ khả năng và công nghệ để phát hiện, xử lý nghiêm các hành vi trốn thuế. - HUMAN-ENF2]]</f>
        <v>7</v>
      </c>
      <c r="X354">
        <f t="shared" si="138"/>
        <v>0.66666666666666663</v>
      </c>
      <c r="Y354" s="32">
        <f t="shared" si="139"/>
        <v>0.72222222222222221</v>
      </c>
      <c r="Z354" s="32">
        <f t="shared" si="140"/>
        <v>0.66666666666666663</v>
      </c>
      <c r="AA354">
        <f>step3_validation[[#This Row],[AI_FAC1]]</f>
        <v>9</v>
      </c>
      <c r="AB354">
        <f t="shared" si="141"/>
        <v>0.88888888888888884</v>
      </c>
      <c r="AC354">
        <f>survey_responses[[#This Row],[Các thủ tục khai báo thuế VÀ/HOẶC quy trình làm việc với cơ quan thuế đơn giản, tiện lợi, nhanh chóng hơn so với trước đây. - HUMAN-FAC1]]</f>
        <v>8</v>
      </c>
      <c r="AD354">
        <f t="shared" si="142"/>
        <v>0.77777777777777779</v>
      </c>
      <c r="AE354">
        <f>step3_validation[[#This Row],[AI_FAC2]]</f>
        <v>9</v>
      </c>
      <c r="AF354">
        <f t="shared" si="143"/>
        <v>0.88888888888888884</v>
      </c>
      <c r="AG354">
        <f>survey_responses[[#This Row],[So với trước đây, tôi thấy cách tính thuế và các bậc thuế trong phương án mới đơn giản, dễ hiểu và dễ thực hiện hơn. - HUMAN-FAC2]]</f>
        <v>8</v>
      </c>
      <c r="AH354">
        <f t="shared" si="144"/>
        <v>0.77777777777777779</v>
      </c>
      <c r="AI354" s="32">
        <f t="shared" si="145"/>
        <v>0.88888888888888884</v>
      </c>
      <c r="AJ354" s="32">
        <f t="shared" si="146"/>
        <v>0.77777777777777779</v>
      </c>
      <c r="AK354">
        <f>step3_validation[[#This Row],[AI_TRU1]]</f>
        <v>7</v>
      </c>
      <c r="AL354">
        <f t="shared" si="147"/>
        <v>0.66666666666666663</v>
      </c>
      <c r="AM354">
        <f>survey_responses[[#This Row],[Tôi tin rằng Nhà nước, cơ quan thuế sẽ thực thi chính sách mới một cách khách quan, công tâm và đối xử bình đẳng với mọi người nộp thuế.  - HUMAN-TRU1]]</f>
        <v>6</v>
      </c>
      <c r="AN354">
        <f t="shared" si="148"/>
        <v>0.55555555555555558</v>
      </c>
      <c r="AO354">
        <f>step3_validation[[#This Row],[AI_TRU2]]</f>
        <v>9</v>
      </c>
      <c r="AP354">
        <f t="shared" si="149"/>
        <v>0.88888888888888884</v>
      </c>
      <c r="AQ354">
        <f>survey_responses[[#This Row],[Tôi thấy mức thuế tôi phải đóng theo phương án mới là công bằng (người thu nhập như tôi đóng mức này là hợp lý). - HUMAN-TRU2]]</f>
        <v>7</v>
      </c>
      <c r="AR354">
        <f t="shared" si="150"/>
        <v>0.66666666666666663</v>
      </c>
      <c r="AS354">
        <f>step3_validation[[#This Row],[AI_TRU3]]</f>
        <v>8</v>
      </c>
      <c r="AT354">
        <f t="shared" si="151"/>
        <v>0.77777777777777779</v>
      </c>
      <c r="AU354">
        <f>survey_responses[[#This Row],[Tôi tin tưởng số tiền thuế tôi đóng sẽ được Nhà nước sử dụng hiệu quả để cải thiện dịch vụ công (y tế, đường xá...). - HUMAN-TRU3]]</f>
        <v>5</v>
      </c>
      <c r="AV354">
        <f t="shared" si="152"/>
        <v>0.44444444444444442</v>
      </c>
      <c r="AW354">
        <f>step3_validation[[#This Row],[AI_TRU4]]</f>
        <v>9</v>
      </c>
      <c r="AX354">
        <f t="shared" si="153"/>
        <v>0.88888888888888884</v>
      </c>
      <c r="AY354">
        <f>survey_responses[[#This Row],[Tôi thấy Nhà nước đã giải thích rõ ràng, minh bạch về lý do và mục tiêu của việc sửa đổi thuế lần này. - HUMAN-TRU4]]</f>
        <v>7</v>
      </c>
      <c r="AZ354">
        <f t="shared" si="154"/>
        <v>0.66666666666666663</v>
      </c>
      <c r="BA354" s="32">
        <f t="shared" si="155"/>
        <v>0.80555555555555547</v>
      </c>
      <c r="BB354" s="32">
        <f t="shared" si="156"/>
        <v>0.58333333333333337</v>
      </c>
      <c r="BC354" s="7">
        <f t="shared" si="157"/>
        <v>0.80555555555555547</v>
      </c>
      <c r="BD354" s="7">
        <f t="shared" si="158"/>
        <v>0.67592592592592593</v>
      </c>
      <c r="BE354">
        <f>step3_validation[[#This Row],[AI_OUT1]]</f>
        <v>10</v>
      </c>
      <c r="BF354">
        <f t="shared" si="159"/>
        <v>1</v>
      </c>
      <c r="BG354">
        <f>survey_responses[[#This Row],[Sau khi xem xét các quyền lợi và nghĩa vụ, bạn có ủng hộ và tuân thủ chính sách mới hiện nay? - HUMAN-OUT1]]</f>
        <v>7</v>
      </c>
      <c r="BH354">
        <f t="shared" si="160"/>
        <v>0.66666666666666663</v>
      </c>
      <c r="BI354" s="32">
        <f t="shared" si="161"/>
        <v>3</v>
      </c>
    </row>
    <row r="355" spans="1:61" x14ac:dyDescent="0.45">
      <c r="A355" s="30">
        <f>step3_validation[[#This Row],[Persona_ID]]</f>
        <v>354</v>
      </c>
      <c r="B355" s="31">
        <f>step3_validation[[#This Row],[Used_Seed]]</f>
        <v>395</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16.334482128975615</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6</v>
      </c>
      <c r="R355">
        <f t="shared" si="135"/>
        <v>0.55555555555555558</v>
      </c>
      <c r="S355">
        <f>survey_responses[[#This Row],[Tôi tin rằng với các quy định quản lý thuế hiện nay, hành vi gian lận hoặc trốn thuế sẽ dễ dàng bị phát hiện và xử lý nghiêm. - HUMAN-ENF1]]</f>
        <v>9</v>
      </c>
      <c r="T355">
        <f t="shared" si="136"/>
        <v>0.88888888888888884</v>
      </c>
      <c r="U355">
        <f>step3_validation[[#This Row],[AI_ENF2]]</f>
        <v>7</v>
      </c>
      <c r="V355">
        <f t="shared" si="137"/>
        <v>0.66666666666666663</v>
      </c>
      <c r="W355">
        <f>survey_responses[[#This Row],[Tôi tin rằng Nhà nước, cơ quan thuế có đủ khả năng và công nghệ để phát hiện, xử lý nghiêm các hành vi trốn thuế. - HUMAN-ENF2]]</f>
        <v>9</v>
      </c>
      <c r="X355">
        <f t="shared" si="138"/>
        <v>0.88888888888888884</v>
      </c>
      <c r="Y355" s="32">
        <f t="shared" si="139"/>
        <v>0.61111111111111116</v>
      </c>
      <c r="Z355" s="32">
        <f t="shared" si="140"/>
        <v>0.88888888888888884</v>
      </c>
      <c r="AA355">
        <f>step3_validation[[#This Row],[AI_FAC1]]</f>
        <v>9</v>
      </c>
      <c r="AB355">
        <f t="shared" si="141"/>
        <v>0.88888888888888884</v>
      </c>
      <c r="AC355">
        <f>survey_responses[[#This Row],[Các thủ tục khai báo thuế VÀ/HOẶC quy trình làm việc với cơ quan thuế đơn giản, tiện lợi, nhanh chóng hơn so với trước đây. - HUMAN-FAC1]]</f>
        <v>10</v>
      </c>
      <c r="AD355">
        <f t="shared" si="142"/>
        <v>1</v>
      </c>
      <c r="AE355">
        <f>step3_validation[[#This Row],[AI_FAC2]]</f>
        <v>8</v>
      </c>
      <c r="AF355">
        <f t="shared" si="143"/>
        <v>0.77777777777777779</v>
      </c>
      <c r="AG355">
        <f>survey_responses[[#This Row],[So với trước đây, tôi thấy cách tính thuế và các bậc thuế trong phương án mới đơn giản, dễ hiểu và dễ thực hiện hơn. - HUMAN-FAC2]]</f>
        <v>10</v>
      </c>
      <c r="AH355">
        <f t="shared" si="144"/>
        <v>1</v>
      </c>
      <c r="AI355" s="32">
        <f t="shared" si="145"/>
        <v>0.83333333333333326</v>
      </c>
      <c r="AJ355" s="32">
        <f t="shared" si="146"/>
        <v>1</v>
      </c>
      <c r="AK355">
        <f>step3_validation[[#This Row],[AI_TRU1]]</f>
        <v>7</v>
      </c>
      <c r="AL355">
        <f t="shared" si="147"/>
        <v>0.66666666666666663</v>
      </c>
      <c r="AM355">
        <f>survey_responses[[#This Row],[Tôi tin rằng Nhà nước, cơ quan thuế sẽ thực thi chính sách mới một cách khách quan, công tâm và đối xử bình đẳng với mọi người nộp thuế.  - HUMAN-TRU1]]</f>
        <v>9</v>
      </c>
      <c r="AN355">
        <f t="shared" si="148"/>
        <v>0.88888888888888884</v>
      </c>
      <c r="AO355">
        <f>step3_validation[[#This Row],[AI_TRU2]]</f>
        <v>9</v>
      </c>
      <c r="AP355">
        <f t="shared" si="149"/>
        <v>0.88888888888888884</v>
      </c>
      <c r="AQ355">
        <f>survey_responses[[#This Row],[Tôi thấy mức thuế tôi phải đóng theo phương án mới là công bằng (người thu nhập như tôi đóng mức này là hợp lý). - HUMAN-TRU2]]</f>
        <v>10</v>
      </c>
      <c r="AR355">
        <f t="shared" si="150"/>
        <v>1</v>
      </c>
      <c r="AS355">
        <f>step3_validation[[#This Row],[AI_TRU3]]</f>
        <v>8</v>
      </c>
      <c r="AT355">
        <f t="shared" si="151"/>
        <v>0.77777777777777779</v>
      </c>
      <c r="AU355">
        <f>survey_responses[[#This Row],[Tôi tin tưởng số tiền thuế tôi đóng sẽ được Nhà nước sử dụng hiệu quả để cải thiện dịch vụ công (y tế, đường xá...). - HUMAN-TRU3]]</f>
        <v>8</v>
      </c>
      <c r="AV355">
        <f t="shared" si="152"/>
        <v>0.77777777777777779</v>
      </c>
      <c r="AW355">
        <f>step3_validation[[#This Row],[AI_TRU4]]</f>
        <v>9</v>
      </c>
      <c r="AX355">
        <f t="shared" si="153"/>
        <v>0.88888888888888884</v>
      </c>
      <c r="AY355">
        <f>survey_responses[[#This Row],[Tôi thấy Nhà nước đã giải thích rõ ràng, minh bạch về lý do và mục tiêu của việc sửa đổi thuế lần này. - HUMAN-TRU4]]</f>
        <v>8</v>
      </c>
      <c r="AZ355">
        <f t="shared" si="154"/>
        <v>0.77777777777777779</v>
      </c>
      <c r="BA355" s="32">
        <f t="shared" si="155"/>
        <v>0.80555555555555547</v>
      </c>
      <c r="BB355" s="32">
        <f t="shared" si="156"/>
        <v>0.86111111111111105</v>
      </c>
      <c r="BC355" s="7">
        <f t="shared" si="157"/>
        <v>0.75</v>
      </c>
      <c r="BD355" s="7">
        <f t="shared" si="158"/>
        <v>0.91666666666666663</v>
      </c>
      <c r="BE355">
        <f>step3_validation[[#This Row],[AI_OUT1]]</f>
        <v>8</v>
      </c>
      <c r="BF355">
        <f t="shared" si="159"/>
        <v>0.77777777777777779</v>
      </c>
      <c r="BG355">
        <f>survey_responses[[#This Row],[Sau khi xem xét các quyền lợi và nghĩa vụ, bạn có ủng hộ và tuân thủ chính sách mới hiện nay? - HUMAN-OUT1]]</f>
        <v>9</v>
      </c>
      <c r="BH355">
        <f t="shared" si="160"/>
        <v>0.88888888888888884</v>
      </c>
      <c r="BI355" s="32">
        <f t="shared" si="161"/>
        <v>1</v>
      </c>
    </row>
    <row r="356" spans="1:61" x14ac:dyDescent="0.45">
      <c r="A356" s="30">
        <f>step3_validation[[#This Row],[Persona_ID]]</f>
        <v>355</v>
      </c>
      <c r="B356" s="31">
        <f>step3_validation[[#This Row],[Used_Seed]]</f>
        <v>396</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12.946648626423238</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f t="shared" si="135"/>
        <v>0.66666666666666663</v>
      </c>
      <c r="S356">
        <f>survey_responses[[#This Row],[Tôi tin rằng với các quy định quản lý thuế hiện nay, hành vi gian lận hoặc trốn thuế sẽ dễ dàng bị phát hiện và xử lý nghiêm. - HUMAN-ENF1]]</f>
        <v>7</v>
      </c>
      <c r="T356">
        <f t="shared" si="136"/>
        <v>0.66666666666666663</v>
      </c>
      <c r="U356">
        <f>step3_validation[[#This Row],[AI_ENF2]]</f>
        <v>7</v>
      </c>
      <c r="V356">
        <f t="shared" si="137"/>
        <v>0.66666666666666663</v>
      </c>
      <c r="W356">
        <f>survey_responses[[#This Row],[Tôi tin rằng Nhà nước, cơ quan thuế có đủ khả năng và công nghệ để phát hiện, xử lý nghiêm các hành vi trốn thuế. - HUMAN-ENF2]]</f>
        <v>8</v>
      </c>
      <c r="X356">
        <f t="shared" si="138"/>
        <v>0.77777777777777779</v>
      </c>
      <c r="Y356" s="32">
        <f t="shared" si="139"/>
        <v>0.66666666666666663</v>
      </c>
      <c r="Z356" s="32">
        <f t="shared" si="140"/>
        <v>0.72222222222222221</v>
      </c>
      <c r="AA356">
        <f>step3_validation[[#This Row],[AI_FAC1]]</f>
        <v>9</v>
      </c>
      <c r="AB356">
        <f t="shared" si="141"/>
        <v>0.88888888888888884</v>
      </c>
      <c r="AC356">
        <f>survey_responses[[#This Row],[Các thủ tục khai báo thuế VÀ/HOẶC quy trình làm việc với cơ quan thuế đơn giản, tiện lợi, nhanh chóng hơn so với trước đây. - HUMAN-FAC1]]</f>
        <v>8</v>
      </c>
      <c r="AD356">
        <f t="shared" si="142"/>
        <v>0.77777777777777779</v>
      </c>
      <c r="AE356">
        <f>step3_validation[[#This Row],[AI_FAC2]]</f>
        <v>8</v>
      </c>
      <c r="AF356">
        <f t="shared" si="143"/>
        <v>0.77777777777777779</v>
      </c>
      <c r="AG356">
        <f>survey_responses[[#This Row],[So với trước đây, tôi thấy cách tính thuế và các bậc thuế trong phương án mới đơn giản, dễ hiểu và dễ thực hiện hơn. - HUMAN-FAC2]]</f>
        <v>9</v>
      </c>
      <c r="AH356">
        <f t="shared" si="144"/>
        <v>0.88888888888888884</v>
      </c>
      <c r="AI356" s="32">
        <f t="shared" si="145"/>
        <v>0.83333333333333326</v>
      </c>
      <c r="AJ356" s="32">
        <f t="shared" si="146"/>
        <v>0.83333333333333326</v>
      </c>
      <c r="AK356">
        <f>step3_validation[[#This Row],[AI_TRU1]]</f>
        <v>9</v>
      </c>
      <c r="AL356">
        <f t="shared" si="147"/>
        <v>0.88888888888888884</v>
      </c>
      <c r="AM356">
        <f>survey_responses[[#This Row],[Tôi tin rằng Nhà nước, cơ quan thuế sẽ thực thi chính sách mới một cách khách quan, công tâm và đối xử bình đẳng với mọi người nộp thuế.  - HUMAN-TRU1]]</f>
        <v>8</v>
      </c>
      <c r="AN356">
        <f t="shared" si="148"/>
        <v>0.77777777777777779</v>
      </c>
      <c r="AO356">
        <f>step3_validation[[#This Row],[AI_TRU2]]</f>
        <v>8</v>
      </c>
      <c r="AP356">
        <f t="shared" si="149"/>
        <v>0.77777777777777779</v>
      </c>
      <c r="AQ356">
        <f>survey_responses[[#This Row],[Tôi thấy mức thuế tôi phải đóng theo phương án mới là công bằng (người thu nhập như tôi đóng mức này là hợp lý). - HUMAN-TRU2]]</f>
        <v>10</v>
      </c>
      <c r="AR356">
        <f t="shared" si="150"/>
        <v>1</v>
      </c>
      <c r="AS356">
        <f>step3_validation[[#This Row],[AI_TRU3]]</f>
        <v>9</v>
      </c>
      <c r="AT356">
        <f t="shared" si="151"/>
        <v>0.88888888888888884</v>
      </c>
      <c r="AU356">
        <f>survey_responses[[#This Row],[Tôi tin tưởng số tiền thuế tôi đóng sẽ được Nhà nước sử dụng hiệu quả để cải thiện dịch vụ công (y tế, đường xá...). - HUMAN-TRU3]]</f>
        <v>8</v>
      </c>
      <c r="AV356">
        <f t="shared" si="152"/>
        <v>0.77777777777777779</v>
      </c>
      <c r="AW356">
        <f>step3_validation[[#This Row],[AI_TRU4]]</f>
        <v>7</v>
      </c>
      <c r="AX356">
        <f t="shared" si="153"/>
        <v>0.66666666666666663</v>
      </c>
      <c r="AY356">
        <f>survey_responses[[#This Row],[Tôi thấy Nhà nước đã giải thích rõ ràng, minh bạch về lý do và mục tiêu của việc sửa đổi thuế lần này. - HUMAN-TRU4]]</f>
        <v>8</v>
      </c>
      <c r="AZ356">
        <f t="shared" si="154"/>
        <v>0.77777777777777779</v>
      </c>
      <c r="BA356" s="32">
        <f t="shared" si="155"/>
        <v>0.80555555555555547</v>
      </c>
      <c r="BB356" s="32">
        <f t="shared" si="156"/>
        <v>0.83333333333333326</v>
      </c>
      <c r="BC356" s="7">
        <f t="shared" si="157"/>
        <v>0.76851851851851849</v>
      </c>
      <c r="BD356" s="7">
        <f t="shared" si="158"/>
        <v>0.79629629629629617</v>
      </c>
      <c r="BE356">
        <f>step3_validation[[#This Row],[AI_OUT1]]</f>
        <v>8</v>
      </c>
      <c r="BF356">
        <f t="shared" si="159"/>
        <v>0.77777777777777779</v>
      </c>
      <c r="BG356">
        <f>survey_responses[[#This Row],[Sau khi xem xét các quyền lợi và nghĩa vụ, bạn có ủng hộ và tuân thủ chính sách mới hiện nay? - HUMAN-OUT1]]</f>
        <v>9</v>
      </c>
      <c r="BH356">
        <f t="shared" si="160"/>
        <v>0.88888888888888884</v>
      </c>
      <c r="BI356" s="32">
        <f t="shared" si="161"/>
        <v>1</v>
      </c>
    </row>
    <row r="357" spans="1:61" x14ac:dyDescent="0.45">
      <c r="A357" s="30">
        <f>step3_validation[[#This Row],[Persona_ID]]</f>
        <v>356</v>
      </c>
      <c r="B357" s="31">
        <f>step3_validation[[#This Row],[Used_Seed]]</f>
        <v>397</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16.375265889761035</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8</v>
      </c>
      <c r="R357">
        <f t="shared" si="135"/>
        <v>0.77777777777777779</v>
      </c>
      <c r="S357">
        <f>survey_responses[[#This Row],[Tôi tin rằng với các quy định quản lý thuế hiện nay, hành vi gian lận hoặc trốn thuế sẽ dễ dàng bị phát hiện và xử lý nghiêm. - HUMAN-ENF1]]</f>
        <v>7</v>
      </c>
      <c r="T357">
        <f t="shared" si="136"/>
        <v>0.66666666666666663</v>
      </c>
      <c r="U357">
        <f>step3_validation[[#This Row],[AI_ENF2]]</f>
        <v>8</v>
      </c>
      <c r="V357">
        <f t="shared" si="137"/>
        <v>0.77777777777777779</v>
      </c>
      <c r="W357">
        <f>survey_responses[[#This Row],[Tôi tin rằng Nhà nước, cơ quan thuế có đủ khả năng và công nghệ để phát hiện, xử lý nghiêm các hành vi trốn thuế. - HUMAN-ENF2]]</f>
        <v>7</v>
      </c>
      <c r="X357">
        <f t="shared" si="138"/>
        <v>0.66666666666666663</v>
      </c>
      <c r="Y357" s="32">
        <f t="shared" si="139"/>
        <v>0.77777777777777779</v>
      </c>
      <c r="Z357" s="32">
        <f t="shared" si="140"/>
        <v>0.66666666666666663</v>
      </c>
      <c r="AA357">
        <f>step3_validation[[#This Row],[AI_FAC1]]</f>
        <v>7</v>
      </c>
      <c r="AB357">
        <f t="shared" si="141"/>
        <v>0.66666666666666663</v>
      </c>
      <c r="AC357">
        <f>survey_responses[[#This Row],[Các thủ tục khai báo thuế VÀ/HOẶC quy trình làm việc với cơ quan thuế đơn giản, tiện lợi, nhanh chóng hơn so với trước đây. - HUMAN-FAC1]]</f>
        <v>8</v>
      </c>
      <c r="AD357">
        <f t="shared" si="142"/>
        <v>0.77777777777777779</v>
      </c>
      <c r="AE357">
        <f>step3_validation[[#This Row],[AI_FAC2]]</f>
        <v>9</v>
      </c>
      <c r="AF357">
        <f t="shared" si="143"/>
        <v>0.88888888888888884</v>
      </c>
      <c r="AG357">
        <f>survey_responses[[#This Row],[So với trước đây, tôi thấy cách tính thuế và các bậc thuế trong phương án mới đơn giản, dễ hiểu và dễ thực hiện hơn. - HUMAN-FAC2]]</f>
        <v>10</v>
      </c>
      <c r="AH357">
        <f t="shared" si="144"/>
        <v>1</v>
      </c>
      <c r="AI357" s="32">
        <f t="shared" si="145"/>
        <v>0.77777777777777768</v>
      </c>
      <c r="AJ357" s="32">
        <f t="shared" si="146"/>
        <v>0.88888888888888884</v>
      </c>
      <c r="AK357">
        <f>step3_validation[[#This Row],[AI_TRU1]]</f>
        <v>8</v>
      </c>
      <c r="AL357">
        <f t="shared" si="147"/>
        <v>0.77777777777777779</v>
      </c>
      <c r="AM357">
        <f>survey_responses[[#This Row],[Tôi tin rằng Nhà nước, cơ quan thuế sẽ thực thi chính sách mới một cách khách quan, công tâm và đối xử bình đẳng với mọi người nộp thuế.  - HUMAN-TRU1]]</f>
        <v>9</v>
      </c>
      <c r="AN357">
        <f t="shared" si="148"/>
        <v>0.88888888888888884</v>
      </c>
      <c r="AO357">
        <f>step3_validation[[#This Row],[AI_TRU2]]</f>
        <v>9</v>
      </c>
      <c r="AP357">
        <f t="shared" si="149"/>
        <v>0.88888888888888884</v>
      </c>
      <c r="AQ357">
        <f>survey_responses[[#This Row],[Tôi thấy mức thuế tôi phải đóng theo phương án mới là công bằng (người thu nhập như tôi đóng mức này là hợp lý). - HUMAN-TRU2]]</f>
        <v>10</v>
      </c>
      <c r="AR357">
        <f t="shared" si="150"/>
        <v>1</v>
      </c>
      <c r="AS357">
        <f>step3_validation[[#This Row],[AI_TRU3]]</f>
        <v>7</v>
      </c>
      <c r="AT357">
        <f t="shared" si="151"/>
        <v>0.66666666666666663</v>
      </c>
      <c r="AU357">
        <f>survey_responses[[#This Row],[Tôi tin tưởng số tiền thuế tôi đóng sẽ được Nhà nước sử dụng hiệu quả để cải thiện dịch vụ công (y tế, đường xá...). - HUMAN-TRU3]]</f>
        <v>8</v>
      </c>
      <c r="AV357">
        <f t="shared" si="152"/>
        <v>0.77777777777777779</v>
      </c>
      <c r="AW357">
        <f>step3_validation[[#This Row],[AI_TRU4]]</f>
        <v>8</v>
      </c>
      <c r="AX357">
        <f t="shared" si="153"/>
        <v>0.77777777777777779</v>
      </c>
      <c r="AY357">
        <f>survey_responses[[#This Row],[Tôi thấy Nhà nước đã giải thích rõ ràng, minh bạch về lý do và mục tiêu của việc sửa đổi thuế lần này. - HUMAN-TRU4]]</f>
        <v>8</v>
      </c>
      <c r="AZ357">
        <f t="shared" si="154"/>
        <v>0.77777777777777779</v>
      </c>
      <c r="BA357" s="32">
        <f t="shared" si="155"/>
        <v>0.77777777777777768</v>
      </c>
      <c r="BB357" s="32">
        <f t="shared" si="156"/>
        <v>0.86111111111111105</v>
      </c>
      <c r="BC357" s="7">
        <f t="shared" si="157"/>
        <v>0.77777777777777768</v>
      </c>
      <c r="BD357" s="7">
        <f t="shared" si="158"/>
        <v>0.80555555555555547</v>
      </c>
      <c r="BE357">
        <f>step3_validation[[#This Row],[AI_OUT1]]</f>
        <v>9</v>
      </c>
      <c r="BF357">
        <f t="shared" si="159"/>
        <v>0.88888888888888884</v>
      </c>
      <c r="BG357">
        <f>survey_responses[[#This Row],[Sau khi xem xét các quyền lợi và nghĩa vụ, bạn có ủng hộ và tuân thủ chính sách mới hiện nay? - HUMAN-OUT1]]</f>
        <v>10</v>
      </c>
      <c r="BH357">
        <f t="shared" si="160"/>
        <v>1</v>
      </c>
      <c r="BI357" s="32">
        <f t="shared" si="161"/>
        <v>1</v>
      </c>
    </row>
    <row r="358" spans="1:61" x14ac:dyDescent="0.45">
      <c r="A358" s="30">
        <f>step3_validation[[#This Row],[Persona_ID]]</f>
        <v>357</v>
      </c>
      <c r="B358" s="31">
        <f>step3_validation[[#This Row],[Used_Seed]]</f>
        <v>398</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26.747151426270499</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8</v>
      </c>
      <c r="R358">
        <f t="shared" si="135"/>
        <v>0.77777777777777779</v>
      </c>
      <c r="S358">
        <f>survey_responses[[#This Row],[Tôi tin rằng với các quy định quản lý thuế hiện nay, hành vi gian lận hoặc trốn thuế sẽ dễ dàng bị phát hiện và xử lý nghiêm. - HUMAN-ENF1]]</f>
        <v>9</v>
      </c>
      <c r="T358">
        <f t="shared" si="136"/>
        <v>0.88888888888888884</v>
      </c>
      <c r="U358">
        <f>step3_validation[[#This Row],[AI_ENF2]]</f>
        <v>8</v>
      </c>
      <c r="V358">
        <f t="shared" si="137"/>
        <v>0.77777777777777779</v>
      </c>
      <c r="W358">
        <f>survey_responses[[#This Row],[Tôi tin rằng Nhà nước, cơ quan thuế có đủ khả năng và công nghệ để phát hiện, xử lý nghiêm các hành vi trốn thuế. - HUMAN-ENF2]]</f>
        <v>9</v>
      </c>
      <c r="X358">
        <f t="shared" si="138"/>
        <v>0.88888888888888884</v>
      </c>
      <c r="Y358" s="32">
        <f t="shared" si="139"/>
        <v>0.77777777777777779</v>
      </c>
      <c r="Z358" s="32">
        <f t="shared" si="140"/>
        <v>0.88888888888888884</v>
      </c>
      <c r="AA358">
        <f>step3_validation[[#This Row],[AI_FAC1]]</f>
        <v>9</v>
      </c>
      <c r="AB358">
        <f t="shared" si="141"/>
        <v>0.88888888888888884</v>
      </c>
      <c r="AC358">
        <f>survey_responses[[#This Row],[Các thủ tục khai báo thuế VÀ/HOẶC quy trình làm việc với cơ quan thuế đơn giản, tiện lợi, nhanh chóng hơn so với trước đây. - HUMAN-FAC1]]</f>
        <v>8</v>
      </c>
      <c r="AD358">
        <f t="shared" si="142"/>
        <v>0.77777777777777779</v>
      </c>
      <c r="AE358">
        <f>step3_validation[[#This Row],[AI_FAC2]]</f>
        <v>9</v>
      </c>
      <c r="AF358">
        <f t="shared" si="143"/>
        <v>0.88888888888888884</v>
      </c>
      <c r="AG358">
        <f>survey_responses[[#This Row],[So với trước đây, tôi thấy cách tính thuế và các bậc thuế trong phương án mới đơn giản, dễ hiểu và dễ thực hiện hơn. - HUMAN-FAC2]]</f>
        <v>9</v>
      </c>
      <c r="AH358">
        <f t="shared" si="144"/>
        <v>0.88888888888888884</v>
      </c>
      <c r="AI358" s="32">
        <f t="shared" si="145"/>
        <v>0.88888888888888884</v>
      </c>
      <c r="AJ358" s="32">
        <f t="shared" si="146"/>
        <v>0.83333333333333326</v>
      </c>
      <c r="AK358">
        <f>step3_validation[[#This Row],[AI_TRU1]]</f>
        <v>7</v>
      </c>
      <c r="AL358">
        <f t="shared" si="147"/>
        <v>0.66666666666666663</v>
      </c>
      <c r="AM358">
        <f>survey_responses[[#This Row],[Tôi tin rằng Nhà nước, cơ quan thuế sẽ thực thi chính sách mới một cách khách quan, công tâm và đối xử bình đẳng với mọi người nộp thuế.  - HUMAN-TRU1]]</f>
        <v>8</v>
      </c>
      <c r="AN358">
        <f t="shared" si="148"/>
        <v>0.77777777777777779</v>
      </c>
      <c r="AO358">
        <f>step3_validation[[#This Row],[AI_TRU2]]</f>
        <v>8</v>
      </c>
      <c r="AP358">
        <f t="shared" si="149"/>
        <v>0.77777777777777779</v>
      </c>
      <c r="AQ358">
        <f>survey_responses[[#This Row],[Tôi thấy mức thuế tôi phải đóng theo phương án mới là công bằng (người thu nhập như tôi đóng mức này là hợp lý). - HUMAN-TRU2]]</f>
        <v>8</v>
      </c>
      <c r="AR358">
        <f t="shared" si="150"/>
        <v>0.77777777777777779</v>
      </c>
      <c r="AS358">
        <f>step3_validation[[#This Row],[AI_TRU3]]</f>
        <v>7</v>
      </c>
      <c r="AT358">
        <f t="shared" si="151"/>
        <v>0.66666666666666663</v>
      </c>
      <c r="AU358">
        <f>survey_responses[[#This Row],[Tôi tin tưởng số tiền thuế tôi đóng sẽ được Nhà nước sử dụng hiệu quả để cải thiện dịch vụ công (y tế, đường xá...). - HUMAN-TRU3]]</f>
        <v>7</v>
      </c>
      <c r="AV358">
        <f t="shared" si="152"/>
        <v>0.66666666666666663</v>
      </c>
      <c r="AW358">
        <f>step3_validation[[#This Row],[AI_TRU4]]</f>
        <v>8</v>
      </c>
      <c r="AX358">
        <f t="shared" si="153"/>
        <v>0.77777777777777779</v>
      </c>
      <c r="AY358">
        <f>survey_responses[[#This Row],[Tôi thấy Nhà nước đã giải thích rõ ràng, minh bạch về lý do và mục tiêu của việc sửa đổi thuế lần này. - HUMAN-TRU4]]</f>
        <v>7</v>
      </c>
      <c r="AZ358">
        <f t="shared" si="154"/>
        <v>0.66666666666666663</v>
      </c>
      <c r="BA358" s="32">
        <f t="shared" si="155"/>
        <v>0.72222222222222221</v>
      </c>
      <c r="BB358" s="32">
        <f t="shared" si="156"/>
        <v>0.72222222222222221</v>
      </c>
      <c r="BC358" s="7">
        <f t="shared" si="157"/>
        <v>0.79629629629629628</v>
      </c>
      <c r="BD358" s="7">
        <f t="shared" si="158"/>
        <v>0.81481481481481477</v>
      </c>
      <c r="BE358">
        <f>step3_validation[[#This Row],[AI_OUT1]]</f>
        <v>9</v>
      </c>
      <c r="BF358">
        <f t="shared" si="159"/>
        <v>0.88888888888888884</v>
      </c>
      <c r="BG358">
        <f>survey_responses[[#This Row],[Sau khi xem xét các quyền lợi và nghĩa vụ, bạn có ủng hộ và tuân thủ chính sách mới hiện nay? - HUMAN-OUT1]]</f>
        <v>8</v>
      </c>
      <c r="BH358">
        <f t="shared" si="160"/>
        <v>0.77777777777777779</v>
      </c>
      <c r="BI358" s="32">
        <f t="shared" si="161"/>
        <v>1</v>
      </c>
    </row>
    <row r="359" spans="1:61" x14ac:dyDescent="0.45">
      <c r="A359" s="30">
        <f>step3_validation[[#This Row],[Persona_ID]]</f>
        <v>358</v>
      </c>
      <c r="B359" s="31">
        <f>step3_validation[[#This Row],[Used_Seed]]</f>
        <v>399</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15.530543139297841</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8</v>
      </c>
      <c r="R359">
        <f t="shared" si="135"/>
        <v>0.77777777777777779</v>
      </c>
      <c r="S359">
        <f>survey_responses[[#This Row],[Tôi tin rằng với các quy định quản lý thuế hiện nay, hành vi gian lận hoặc trốn thuế sẽ dễ dàng bị phát hiện và xử lý nghiêm. - HUMAN-ENF1]]</f>
        <v>7</v>
      </c>
      <c r="T359">
        <f t="shared" si="136"/>
        <v>0.66666666666666663</v>
      </c>
      <c r="U359">
        <f>step3_validation[[#This Row],[AI_ENF2]]</f>
        <v>7</v>
      </c>
      <c r="V359">
        <f t="shared" si="137"/>
        <v>0.66666666666666663</v>
      </c>
      <c r="W359">
        <f>survey_responses[[#This Row],[Tôi tin rằng Nhà nước, cơ quan thuế có đủ khả năng và công nghệ để phát hiện, xử lý nghiêm các hành vi trốn thuế. - HUMAN-ENF2]]</f>
        <v>7</v>
      </c>
      <c r="X359">
        <f t="shared" si="138"/>
        <v>0.66666666666666663</v>
      </c>
      <c r="Y359" s="32">
        <f t="shared" si="139"/>
        <v>0.72222222222222221</v>
      </c>
      <c r="Z359" s="32">
        <f t="shared" si="140"/>
        <v>0.66666666666666663</v>
      </c>
      <c r="AA359">
        <f>step3_validation[[#This Row],[AI_FAC1]]</f>
        <v>9</v>
      </c>
      <c r="AB359">
        <f t="shared" si="141"/>
        <v>0.88888888888888884</v>
      </c>
      <c r="AC359">
        <f>survey_responses[[#This Row],[Các thủ tục khai báo thuế VÀ/HOẶC quy trình làm việc với cơ quan thuế đơn giản, tiện lợi, nhanh chóng hơn so với trước đây. - HUMAN-FAC1]]</f>
        <v>7</v>
      </c>
      <c r="AD359">
        <f t="shared" si="142"/>
        <v>0.66666666666666663</v>
      </c>
      <c r="AE359">
        <f>step3_validation[[#This Row],[AI_FAC2]]</f>
        <v>8</v>
      </c>
      <c r="AF359">
        <f t="shared" si="143"/>
        <v>0.77777777777777779</v>
      </c>
      <c r="AG359">
        <f>survey_responses[[#This Row],[So với trước đây, tôi thấy cách tính thuế và các bậc thuế trong phương án mới đơn giản, dễ hiểu và dễ thực hiện hơn. - HUMAN-FAC2]]</f>
        <v>8</v>
      </c>
      <c r="AH359">
        <f t="shared" si="144"/>
        <v>0.77777777777777779</v>
      </c>
      <c r="AI359" s="32">
        <f t="shared" si="145"/>
        <v>0.83333333333333326</v>
      </c>
      <c r="AJ359" s="32">
        <f t="shared" si="146"/>
        <v>0.72222222222222221</v>
      </c>
      <c r="AK359">
        <f>step3_validation[[#This Row],[AI_TRU1]]</f>
        <v>9</v>
      </c>
      <c r="AL359">
        <f t="shared" si="147"/>
        <v>0.88888888888888884</v>
      </c>
      <c r="AM359">
        <f>survey_responses[[#This Row],[Tôi tin rằng Nhà nước, cơ quan thuế sẽ thực thi chính sách mới một cách khách quan, công tâm và đối xử bình đẳng với mọi người nộp thuế.  - HUMAN-TRU1]]</f>
        <v>7</v>
      </c>
      <c r="AN359">
        <f t="shared" si="148"/>
        <v>0.66666666666666663</v>
      </c>
      <c r="AO359">
        <f>step3_validation[[#This Row],[AI_TRU2]]</f>
        <v>8</v>
      </c>
      <c r="AP359">
        <f t="shared" si="149"/>
        <v>0.77777777777777779</v>
      </c>
      <c r="AQ359">
        <f>survey_responses[[#This Row],[Tôi thấy mức thuế tôi phải đóng theo phương án mới là công bằng (người thu nhập như tôi đóng mức này là hợp lý). - HUMAN-TRU2]]</f>
        <v>9</v>
      </c>
      <c r="AR359">
        <f t="shared" si="150"/>
        <v>0.88888888888888884</v>
      </c>
      <c r="AS359">
        <f>step3_validation[[#This Row],[AI_TRU3]]</f>
        <v>9</v>
      </c>
      <c r="AT359">
        <f t="shared" si="151"/>
        <v>0.88888888888888884</v>
      </c>
      <c r="AU359">
        <f>survey_responses[[#This Row],[Tôi tin tưởng số tiền thuế tôi đóng sẽ được Nhà nước sử dụng hiệu quả để cải thiện dịch vụ công (y tế, đường xá...). - HUMAN-TRU3]]</f>
        <v>8</v>
      </c>
      <c r="AV359">
        <f t="shared" si="152"/>
        <v>0.77777777777777779</v>
      </c>
      <c r="AW359">
        <f>step3_validation[[#This Row],[AI_TRU4]]</f>
        <v>8</v>
      </c>
      <c r="AX359">
        <f t="shared" si="153"/>
        <v>0.77777777777777779</v>
      </c>
      <c r="AY359">
        <f>survey_responses[[#This Row],[Tôi thấy Nhà nước đã giải thích rõ ràng, minh bạch về lý do và mục tiêu của việc sửa đổi thuế lần này. - HUMAN-TRU4]]</f>
        <v>8</v>
      </c>
      <c r="AZ359">
        <f t="shared" si="154"/>
        <v>0.77777777777777779</v>
      </c>
      <c r="BA359" s="32">
        <f t="shared" si="155"/>
        <v>0.83333333333333326</v>
      </c>
      <c r="BB359" s="32">
        <f t="shared" si="156"/>
        <v>0.77777777777777768</v>
      </c>
      <c r="BC359" s="7">
        <f t="shared" si="157"/>
        <v>0.79629629629629617</v>
      </c>
      <c r="BD359" s="7">
        <f t="shared" si="158"/>
        <v>0.72222222222222221</v>
      </c>
      <c r="BE359">
        <f>step3_validation[[#This Row],[AI_OUT1]]</f>
        <v>9</v>
      </c>
      <c r="BF359">
        <f t="shared" si="159"/>
        <v>0.88888888888888884</v>
      </c>
      <c r="BG359">
        <f>survey_responses[[#This Row],[Sau khi xem xét các quyền lợi và nghĩa vụ, bạn có ủng hộ và tuân thủ chính sách mới hiện nay? - HUMAN-OUT1]]</f>
        <v>8</v>
      </c>
      <c r="BH359">
        <f t="shared" si="160"/>
        <v>0.77777777777777779</v>
      </c>
      <c r="BI359" s="32">
        <f t="shared" si="161"/>
        <v>1</v>
      </c>
    </row>
    <row r="360" spans="1:61" x14ac:dyDescent="0.45">
      <c r="A360" s="30">
        <f>step3_validation[[#This Row],[Persona_ID]]</f>
        <v>359</v>
      </c>
      <c r="B360" s="31">
        <f>step3_validation[[#This Row],[Used_Seed]]</f>
        <v>400</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20.485635072954015</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f t="shared" si="135"/>
        <v>0.66666666666666663</v>
      </c>
      <c r="S360">
        <f>survey_responses[[#This Row],[Tôi tin rằng với các quy định quản lý thuế hiện nay, hành vi gian lận hoặc trốn thuế sẽ dễ dàng bị phát hiện và xử lý nghiêm. - HUMAN-ENF1]]</f>
        <v>4</v>
      </c>
      <c r="T360">
        <f t="shared" si="136"/>
        <v>0.33333333333333331</v>
      </c>
      <c r="U360">
        <f>step3_validation[[#This Row],[AI_ENF2]]</f>
        <v>8</v>
      </c>
      <c r="V360">
        <f t="shared" si="137"/>
        <v>0.77777777777777779</v>
      </c>
      <c r="W360">
        <f>survey_responses[[#This Row],[Tôi tin rằng Nhà nước, cơ quan thuế có đủ khả năng và công nghệ để phát hiện, xử lý nghiêm các hành vi trốn thuế. - HUMAN-ENF2]]</f>
        <v>5</v>
      </c>
      <c r="X360">
        <f t="shared" si="138"/>
        <v>0.44444444444444442</v>
      </c>
      <c r="Y360" s="32">
        <f t="shared" si="139"/>
        <v>0.72222222222222221</v>
      </c>
      <c r="Z360" s="32">
        <f t="shared" si="140"/>
        <v>0.38888888888888884</v>
      </c>
      <c r="AA360">
        <f>step3_validation[[#This Row],[AI_FAC1]]</f>
        <v>9</v>
      </c>
      <c r="AB360">
        <f t="shared" si="141"/>
        <v>0.88888888888888884</v>
      </c>
      <c r="AC360">
        <f>survey_responses[[#This Row],[Các thủ tục khai báo thuế VÀ/HOẶC quy trình làm việc với cơ quan thuế đơn giản, tiện lợi, nhanh chóng hơn so với trước đây. - HUMAN-FAC1]]</f>
        <v>6</v>
      </c>
      <c r="AD360">
        <f t="shared" si="142"/>
        <v>0.55555555555555558</v>
      </c>
      <c r="AE360">
        <f>step3_validation[[#This Row],[AI_FAC2]]</f>
        <v>8</v>
      </c>
      <c r="AF360">
        <f t="shared" si="143"/>
        <v>0.77777777777777779</v>
      </c>
      <c r="AG360">
        <f>survey_responses[[#This Row],[So với trước đây, tôi thấy cách tính thuế và các bậc thuế trong phương án mới đơn giản, dễ hiểu và dễ thực hiện hơn. - HUMAN-FAC2]]</f>
        <v>7</v>
      </c>
      <c r="AH360">
        <f t="shared" si="144"/>
        <v>0.66666666666666663</v>
      </c>
      <c r="AI360" s="32">
        <f t="shared" si="145"/>
        <v>0.83333333333333326</v>
      </c>
      <c r="AJ360" s="32">
        <f t="shared" si="146"/>
        <v>0.61111111111111116</v>
      </c>
      <c r="AK360">
        <f>step3_validation[[#This Row],[AI_TRU1]]</f>
        <v>9</v>
      </c>
      <c r="AL360">
        <f t="shared" si="147"/>
        <v>0.88888888888888884</v>
      </c>
      <c r="AM360">
        <f>survey_responses[[#This Row],[Tôi tin rằng Nhà nước, cơ quan thuế sẽ thực thi chính sách mới một cách khách quan, công tâm và đối xử bình đẳng với mọi người nộp thuế.  - HUMAN-TRU1]]</f>
        <v>7</v>
      </c>
      <c r="AN360">
        <f t="shared" si="148"/>
        <v>0.66666666666666663</v>
      </c>
      <c r="AO360">
        <f>step3_validation[[#This Row],[AI_TRU2]]</f>
        <v>9</v>
      </c>
      <c r="AP360">
        <f t="shared" si="149"/>
        <v>0.88888888888888884</v>
      </c>
      <c r="AQ360">
        <f>survey_responses[[#This Row],[Tôi thấy mức thuế tôi phải đóng theo phương án mới là công bằng (người thu nhập như tôi đóng mức này là hợp lý). - HUMAN-TRU2]]</f>
        <v>6</v>
      </c>
      <c r="AR360">
        <f t="shared" si="150"/>
        <v>0.55555555555555558</v>
      </c>
      <c r="AS360">
        <f>step3_validation[[#This Row],[AI_TRU3]]</f>
        <v>8</v>
      </c>
      <c r="AT360">
        <f t="shared" si="151"/>
        <v>0.77777777777777779</v>
      </c>
      <c r="AU360">
        <f>survey_responses[[#This Row],[Tôi tin tưởng số tiền thuế tôi đóng sẽ được Nhà nước sử dụng hiệu quả để cải thiện dịch vụ công (y tế, đường xá...). - HUMAN-TRU3]]</f>
        <v>4</v>
      </c>
      <c r="AV360">
        <f t="shared" si="152"/>
        <v>0.33333333333333331</v>
      </c>
      <c r="AW360">
        <f>step3_validation[[#This Row],[AI_TRU4]]</f>
        <v>9</v>
      </c>
      <c r="AX360">
        <f t="shared" si="153"/>
        <v>0.88888888888888884</v>
      </c>
      <c r="AY360">
        <f>survey_responses[[#This Row],[Tôi thấy Nhà nước đã giải thích rõ ràng, minh bạch về lý do và mục tiêu của việc sửa đổi thuế lần này. - HUMAN-TRU4]]</f>
        <v>6</v>
      </c>
      <c r="AZ360">
        <f t="shared" si="154"/>
        <v>0.55555555555555558</v>
      </c>
      <c r="BA360" s="32">
        <f t="shared" si="155"/>
        <v>0.86111111111111105</v>
      </c>
      <c r="BB360" s="32">
        <f t="shared" si="156"/>
        <v>0.52777777777777779</v>
      </c>
      <c r="BC360" s="7">
        <f t="shared" si="157"/>
        <v>0.80555555555555547</v>
      </c>
      <c r="BD360" s="7">
        <f t="shared" si="158"/>
        <v>0.50925925925925919</v>
      </c>
      <c r="BE360">
        <f>step3_validation[[#This Row],[AI_OUT1]]</f>
        <v>10</v>
      </c>
      <c r="BF360">
        <f t="shared" si="159"/>
        <v>1</v>
      </c>
      <c r="BG360">
        <f>survey_responses[[#This Row],[Sau khi xem xét các quyền lợi và nghĩa vụ, bạn có ủng hộ và tuân thủ chính sách mới hiện nay? - HUMAN-OUT1]]</f>
        <v>7</v>
      </c>
      <c r="BH360">
        <f t="shared" si="160"/>
        <v>0.66666666666666663</v>
      </c>
      <c r="BI360" s="32">
        <f t="shared" si="161"/>
        <v>3</v>
      </c>
    </row>
    <row r="361" spans="1:61" x14ac:dyDescent="0.45">
      <c r="A361" s="30">
        <f>step3_validation[[#This Row],[Persona_ID]]</f>
        <v>360</v>
      </c>
      <c r="B361" s="31">
        <f>step3_validation[[#This Row],[Used_Seed]]</f>
        <v>401</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20.857630152997423</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9</v>
      </c>
      <c r="R361">
        <f t="shared" si="135"/>
        <v>0.88888888888888884</v>
      </c>
      <c r="S361">
        <f>survey_responses[[#This Row],[Tôi tin rằng với các quy định quản lý thuế hiện nay, hành vi gian lận hoặc trốn thuế sẽ dễ dàng bị phát hiện và xử lý nghiêm. - HUMAN-ENF1]]</f>
        <v>9</v>
      </c>
      <c r="T361">
        <f t="shared" si="136"/>
        <v>0.88888888888888884</v>
      </c>
      <c r="U361">
        <f>step3_validation[[#This Row],[AI_ENF2]]</f>
        <v>8</v>
      </c>
      <c r="V361">
        <f t="shared" si="137"/>
        <v>0.77777777777777779</v>
      </c>
      <c r="W361">
        <f>survey_responses[[#This Row],[Tôi tin rằng Nhà nước, cơ quan thuế có đủ khả năng và công nghệ để phát hiện, xử lý nghiêm các hành vi trốn thuế. - HUMAN-ENF2]]</f>
        <v>8</v>
      </c>
      <c r="X361">
        <f t="shared" si="138"/>
        <v>0.77777777777777779</v>
      </c>
      <c r="Y361" s="32">
        <f t="shared" si="139"/>
        <v>0.83333333333333326</v>
      </c>
      <c r="Z361" s="32">
        <f t="shared" si="140"/>
        <v>0.83333333333333326</v>
      </c>
      <c r="AA361">
        <f>step3_validation[[#This Row],[AI_FAC1]]</f>
        <v>7</v>
      </c>
      <c r="AB361">
        <f t="shared" si="141"/>
        <v>0.66666666666666663</v>
      </c>
      <c r="AC361">
        <f>survey_responses[[#This Row],[Các thủ tục khai báo thuế VÀ/HOẶC quy trình làm việc với cơ quan thuế đơn giản, tiện lợi, nhanh chóng hơn so với trước đây. - HUMAN-FAC1]]</f>
        <v>8</v>
      </c>
      <c r="AD361">
        <f t="shared" si="142"/>
        <v>0.77777777777777779</v>
      </c>
      <c r="AE361">
        <f>step3_validation[[#This Row],[AI_FAC2]]</f>
        <v>8</v>
      </c>
      <c r="AF361">
        <f t="shared" si="143"/>
        <v>0.77777777777777779</v>
      </c>
      <c r="AG361">
        <f>survey_responses[[#This Row],[So với trước đây, tôi thấy cách tính thuế và các bậc thuế trong phương án mới đơn giản, dễ hiểu và dễ thực hiện hơn. - HUMAN-FAC2]]</f>
        <v>8</v>
      </c>
      <c r="AH361">
        <f t="shared" si="144"/>
        <v>0.77777777777777779</v>
      </c>
      <c r="AI361" s="32">
        <f t="shared" si="145"/>
        <v>0.72222222222222221</v>
      </c>
      <c r="AJ361" s="32">
        <f t="shared" si="146"/>
        <v>0.77777777777777779</v>
      </c>
      <c r="AK361">
        <f>step3_validation[[#This Row],[AI_TRU1]]</f>
        <v>9</v>
      </c>
      <c r="AL361">
        <f t="shared" si="147"/>
        <v>0.88888888888888884</v>
      </c>
      <c r="AM361">
        <f>survey_responses[[#This Row],[Tôi tin rằng Nhà nước, cơ quan thuế sẽ thực thi chính sách mới một cách khách quan, công tâm và đối xử bình đẳng với mọi người nộp thuế.  - HUMAN-TRU1]]</f>
        <v>7</v>
      </c>
      <c r="AN361">
        <f t="shared" si="148"/>
        <v>0.66666666666666663</v>
      </c>
      <c r="AO361">
        <f>step3_validation[[#This Row],[AI_TRU2]]</f>
        <v>8</v>
      </c>
      <c r="AP361">
        <f t="shared" si="149"/>
        <v>0.77777777777777779</v>
      </c>
      <c r="AQ361">
        <f>survey_responses[[#This Row],[Tôi thấy mức thuế tôi phải đóng theo phương án mới là công bằng (người thu nhập như tôi đóng mức này là hợp lý). - HUMAN-TRU2]]</f>
        <v>7</v>
      </c>
      <c r="AR361">
        <f t="shared" si="150"/>
        <v>0.66666666666666663</v>
      </c>
      <c r="AS361">
        <f>step3_validation[[#This Row],[AI_TRU3]]</f>
        <v>9</v>
      </c>
      <c r="AT361">
        <f t="shared" si="151"/>
        <v>0.88888888888888884</v>
      </c>
      <c r="AU361">
        <f>survey_responses[[#This Row],[Tôi tin tưởng số tiền thuế tôi đóng sẽ được Nhà nước sử dụng hiệu quả để cải thiện dịch vụ công (y tế, đường xá...). - HUMAN-TRU3]]</f>
        <v>6</v>
      </c>
      <c r="AV361">
        <f t="shared" si="152"/>
        <v>0.55555555555555558</v>
      </c>
      <c r="AW361">
        <f>step3_validation[[#This Row],[AI_TRU4]]</f>
        <v>8</v>
      </c>
      <c r="AX361">
        <f t="shared" si="153"/>
        <v>0.77777777777777779</v>
      </c>
      <c r="AY361">
        <f>survey_responses[[#This Row],[Tôi thấy Nhà nước đã giải thích rõ ràng, minh bạch về lý do và mục tiêu của việc sửa đổi thuế lần này. - HUMAN-TRU4]]</f>
        <v>7</v>
      </c>
      <c r="AZ361">
        <f t="shared" si="154"/>
        <v>0.66666666666666663</v>
      </c>
      <c r="BA361" s="32">
        <f t="shared" si="155"/>
        <v>0.83333333333333326</v>
      </c>
      <c r="BB361" s="32">
        <f t="shared" si="156"/>
        <v>0.63888888888888884</v>
      </c>
      <c r="BC361" s="7">
        <f t="shared" si="157"/>
        <v>0.79629629629629617</v>
      </c>
      <c r="BD361" s="7">
        <f t="shared" si="158"/>
        <v>0.75</v>
      </c>
      <c r="BE361">
        <f>step3_validation[[#This Row],[AI_OUT1]]</f>
        <v>9</v>
      </c>
      <c r="BF361">
        <f t="shared" si="159"/>
        <v>0.88888888888888884</v>
      </c>
      <c r="BG361">
        <f>survey_responses[[#This Row],[Sau khi xem xét các quyền lợi và nghĩa vụ, bạn có ủng hộ và tuân thủ chính sách mới hiện nay? - HUMAN-OUT1]]</f>
        <v>8</v>
      </c>
      <c r="BH361">
        <f t="shared" si="160"/>
        <v>0.77777777777777779</v>
      </c>
      <c r="BI361" s="32">
        <f t="shared" si="161"/>
        <v>1</v>
      </c>
    </row>
    <row r="362" spans="1:61" x14ac:dyDescent="0.45">
      <c r="A362" s="30">
        <f>step3_validation[[#This Row],[Persona_ID]]</f>
        <v>361</v>
      </c>
      <c r="B362" s="31">
        <f>step3_validation[[#This Row],[Used_Seed]]</f>
        <v>402</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7</v>
      </c>
      <c r="R362">
        <f t="shared" si="135"/>
        <v>0.66666666666666663</v>
      </c>
      <c r="S362">
        <f>survey_responses[[#This Row],[Tôi tin rằng với các quy định quản lý thuế hiện nay, hành vi gian lận hoặc trốn thuế sẽ dễ dàng bị phát hiện và xử lý nghiêm. - HUMAN-ENF1]]</f>
        <v>7</v>
      </c>
      <c r="T362">
        <f t="shared" si="136"/>
        <v>0.66666666666666663</v>
      </c>
      <c r="U362">
        <f>step3_validation[[#This Row],[AI_ENF2]]</f>
        <v>8</v>
      </c>
      <c r="V362">
        <f t="shared" si="137"/>
        <v>0.77777777777777779</v>
      </c>
      <c r="W362">
        <f>survey_responses[[#This Row],[Tôi tin rằng Nhà nước, cơ quan thuế có đủ khả năng và công nghệ để phát hiện, xử lý nghiêm các hành vi trốn thuế. - HUMAN-ENF2]]</f>
        <v>7</v>
      </c>
      <c r="X362">
        <f t="shared" si="138"/>
        <v>0.66666666666666663</v>
      </c>
      <c r="Y362" s="32">
        <f t="shared" si="139"/>
        <v>0.72222222222222221</v>
      </c>
      <c r="Z362" s="32">
        <f t="shared" si="140"/>
        <v>0.66666666666666663</v>
      </c>
      <c r="AA362">
        <f>step3_validation[[#This Row],[AI_FAC1]]</f>
        <v>6</v>
      </c>
      <c r="AB362">
        <f t="shared" si="141"/>
        <v>0.55555555555555558</v>
      </c>
      <c r="AC362">
        <f>survey_responses[[#This Row],[Các thủ tục khai báo thuế VÀ/HOẶC quy trình làm việc với cơ quan thuế đơn giản, tiện lợi, nhanh chóng hơn so với trước đây. - HUMAN-FAC1]]</f>
        <v>8</v>
      </c>
      <c r="AD362">
        <f t="shared" si="142"/>
        <v>0.77777777777777779</v>
      </c>
      <c r="AE362">
        <f>step3_validation[[#This Row],[AI_FAC2]]</f>
        <v>9</v>
      </c>
      <c r="AF362">
        <f t="shared" si="143"/>
        <v>0.88888888888888884</v>
      </c>
      <c r="AG362">
        <f>survey_responses[[#This Row],[So với trước đây, tôi thấy cách tính thuế và các bậc thuế trong phương án mới đơn giản, dễ hiểu và dễ thực hiện hơn. - HUMAN-FAC2]]</f>
        <v>9</v>
      </c>
      <c r="AH362">
        <f t="shared" si="144"/>
        <v>0.88888888888888884</v>
      </c>
      <c r="AI362" s="32">
        <f t="shared" si="145"/>
        <v>0.72222222222222221</v>
      </c>
      <c r="AJ362" s="32">
        <f t="shared" si="146"/>
        <v>0.83333333333333326</v>
      </c>
      <c r="AK362">
        <f>step3_validation[[#This Row],[AI_TRU1]]</f>
        <v>7</v>
      </c>
      <c r="AL362">
        <f t="shared" si="147"/>
        <v>0.66666666666666663</v>
      </c>
      <c r="AM362">
        <f>survey_responses[[#This Row],[Tôi tin rằng Nhà nước, cơ quan thuế sẽ thực thi chính sách mới một cách khách quan, công tâm và đối xử bình đẳng với mọi người nộp thuế.  - HUMAN-TRU1]]</f>
        <v>7</v>
      </c>
      <c r="AN362">
        <f t="shared" si="148"/>
        <v>0.66666666666666663</v>
      </c>
      <c r="AO362">
        <f>step3_validation[[#This Row],[AI_TRU2]]</f>
        <v>9</v>
      </c>
      <c r="AP362">
        <f t="shared" si="149"/>
        <v>0.88888888888888884</v>
      </c>
      <c r="AQ362">
        <f>survey_responses[[#This Row],[Tôi thấy mức thuế tôi phải đóng theo phương án mới là công bằng (người thu nhập như tôi đóng mức này là hợp lý). - HUMAN-TRU2]]</f>
        <v>10</v>
      </c>
      <c r="AR362">
        <f t="shared" si="150"/>
        <v>1</v>
      </c>
      <c r="AS362">
        <f>step3_validation[[#This Row],[AI_TRU3]]</f>
        <v>8</v>
      </c>
      <c r="AT362">
        <f t="shared" si="151"/>
        <v>0.77777777777777779</v>
      </c>
      <c r="AU362">
        <f>survey_responses[[#This Row],[Tôi tin tưởng số tiền thuế tôi đóng sẽ được Nhà nước sử dụng hiệu quả để cải thiện dịch vụ công (y tế, đường xá...). - HUMAN-TRU3]]</f>
        <v>8</v>
      </c>
      <c r="AV362">
        <f t="shared" si="152"/>
        <v>0.77777777777777779</v>
      </c>
      <c r="AW362">
        <f>step3_validation[[#This Row],[AI_TRU4]]</f>
        <v>7</v>
      </c>
      <c r="AX362">
        <f t="shared" si="153"/>
        <v>0.66666666666666663</v>
      </c>
      <c r="AY362">
        <f>survey_responses[[#This Row],[Tôi thấy Nhà nước đã giải thích rõ ràng, minh bạch về lý do và mục tiêu của việc sửa đổi thuế lần này. - HUMAN-TRU4]]</f>
        <v>8</v>
      </c>
      <c r="AZ362">
        <f t="shared" si="154"/>
        <v>0.77777777777777779</v>
      </c>
      <c r="BA362" s="32">
        <f t="shared" si="155"/>
        <v>0.74999999999999989</v>
      </c>
      <c r="BB362" s="32">
        <f t="shared" si="156"/>
        <v>0.80555555555555547</v>
      </c>
      <c r="BC362" s="7">
        <f t="shared" si="157"/>
        <v>0.7314814814814814</v>
      </c>
      <c r="BD362" s="7">
        <f t="shared" si="158"/>
        <v>0.76851851851851849</v>
      </c>
      <c r="BE362">
        <f>step3_validation[[#This Row],[AI_OUT1]]</f>
        <v>8</v>
      </c>
      <c r="BF362">
        <f t="shared" si="159"/>
        <v>0.77777777777777779</v>
      </c>
      <c r="BG362">
        <f>survey_responses[[#This Row],[Sau khi xem xét các quyền lợi và nghĩa vụ, bạn có ủng hộ và tuân thủ chính sách mới hiện nay? - HUMAN-OUT1]]</f>
        <v>10</v>
      </c>
      <c r="BH362">
        <f t="shared" si="160"/>
        <v>1</v>
      </c>
      <c r="BI362" s="32">
        <f t="shared" si="161"/>
        <v>2</v>
      </c>
    </row>
    <row r="363" spans="1:61" x14ac:dyDescent="0.45">
      <c r="A363" s="30">
        <f>step3_validation[[#This Row],[Persona_ID]]</f>
        <v>362</v>
      </c>
      <c r="B363" s="31">
        <f>step3_validation[[#This Row],[Used_Seed]]</f>
        <v>403</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13.205822112677556</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7</v>
      </c>
      <c r="R363">
        <f t="shared" si="135"/>
        <v>0.66666666666666663</v>
      </c>
      <c r="S363">
        <f>survey_responses[[#This Row],[Tôi tin rằng với các quy định quản lý thuế hiện nay, hành vi gian lận hoặc trốn thuế sẽ dễ dàng bị phát hiện và xử lý nghiêm. - HUMAN-ENF1]]</f>
        <v>3</v>
      </c>
      <c r="T363">
        <f t="shared" si="136"/>
        <v>0.22222222222222221</v>
      </c>
      <c r="U363">
        <f>step3_validation[[#This Row],[AI_ENF2]]</f>
        <v>8</v>
      </c>
      <c r="V363">
        <f t="shared" si="137"/>
        <v>0.77777777777777779</v>
      </c>
      <c r="W363">
        <f>survey_responses[[#This Row],[Tôi tin rằng Nhà nước, cơ quan thuế có đủ khả năng và công nghệ để phát hiện, xử lý nghiêm các hành vi trốn thuế. - HUMAN-ENF2]]</f>
        <v>3</v>
      </c>
      <c r="X363">
        <f t="shared" si="138"/>
        <v>0.22222222222222221</v>
      </c>
      <c r="Y363" s="32">
        <f t="shared" si="139"/>
        <v>0.72222222222222221</v>
      </c>
      <c r="Z363" s="32">
        <f t="shared" si="140"/>
        <v>0.22222222222222221</v>
      </c>
      <c r="AA363">
        <f>step3_validation[[#This Row],[AI_FAC1]]</f>
        <v>9</v>
      </c>
      <c r="AB363">
        <f t="shared" si="141"/>
        <v>0.88888888888888884</v>
      </c>
      <c r="AC363">
        <f>survey_responses[[#This Row],[Các thủ tục khai báo thuế VÀ/HOẶC quy trình làm việc với cơ quan thuế đơn giản, tiện lợi, nhanh chóng hơn so với trước đây. - HUMAN-FAC1]]</f>
        <v>5</v>
      </c>
      <c r="AD363">
        <f t="shared" si="142"/>
        <v>0.44444444444444442</v>
      </c>
      <c r="AE363">
        <f>step3_validation[[#This Row],[AI_FAC2]]</f>
        <v>10</v>
      </c>
      <c r="AF363">
        <f t="shared" si="143"/>
        <v>1</v>
      </c>
      <c r="AG363">
        <f>survey_responses[[#This Row],[So với trước đây, tôi thấy cách tính thuế và các bậc thuế trong phương án mới đơn giản, dễ hiểu và dễ thực hiện hơn. - HUMAN-FAC2]]</f>
        <v>6</v>
      </c>
      <c r="AH363">
        <f t="shared" si="144"/>
        <v>0.55555555555555558</v>
      </c>
      <c r="AI363" s="32">
        <f t="shared" si="145"/>
        <v>0.94444444444444442</v>
      </c>
      <c r="AJ363" s="32">
        <f t="shared" si="146"/>
        <v>0.5</v>
      </c>
      <c r="AK363">
        <f>step3_validation[[#This Row],[AI_TRU1]]</f>
        <v>8</v>
      </c>
      <c r="AL363">
        <f t="shared" si="147"/>
        <v>0.77777777777777779</v>
      </c>
      <c r="AM363">
        <f>survey_responses[[#This Row],[Tôi tin rằng Nhà nước, cơ quan thuế sẽ thực thi chính sách mới một cách khách quan, công tâm và đối xử bình đẳng với mọi người nộp thuế.  - HUMAN-TRU1]]</f>
        <v>5</v>
      </c>
      <c r="AN363">
        <f t="shared" si="148"/>
        <v>0.44444444444444442</v>
      </c>
      <c r="AO363">
        <f>step3_validation[[#This Row],[AI_TRU2]]</f>
        <v>9</v>
      </c>
      <c r="AP363">
        <f t="shared" si="149"/>
        <v>0.88888888888888884</v>
      </c>
      <c r="AQ363">
        <f>survey_responses[[#This Row],[Tôi thấy mức thuế tôi phải đóng theo phương án mới là công bằng (người thu nhập như tôi đóng mức này là hợp lý). - HUMAN-TRU2]]</f>
        <v>6</v>
      </c>
      <c r="AR363">
        <f t="shared" si="150"/>
        <v>0.55555555555555558</v>
      </c>
      <c r="AS363">
        <f>step3_validation[[#This Row],[AI_TRU3]]</f>
        <v>8</v>
      </c>
      <c r="AT363">
        <f t="shared" si="151"/>
        <v>0.77777777777777779</v>
      </c>
      <c r="AU363">
        <f>survey_responses[[#This Row],[Tôi tin tưởng số tiền thuế tôi đóng sẽ được Nhà nước sử dụng hiệu quả để cải thiện dịch vụ công (y tế, đường xá...). - HUMAN-TRU3]]</f>
        <v>4</v>
      </c>
      <c r="AV363">
        <f t="shared" si="152"/>
        <v>0.33333333333333331</v>
      </c>
      <c r="AW363">
        <f>step3_validation[[#This Row],[AI_TRU4]]</f>
        <v>7</v>
      </c>
      <c r="AX363">
        <f t="shared" si="153"/>
        <v>0.66666666666666663</v>
      </c>
      <c r="AY363">
        <f>survey_responses[[#This Row],[Tôi thấy Nhà nước đã giải thích rõ ràng, minh bạch về lý do và mục tiêu của việc sửa đổi thuế lần này. - HUMAN-TRU4]]</f>
        <v>6</v>
      </c>
      <c r="AZ363">
        <f t="shared" si="154"/>
        <v>0.55555555555555558</v>
      </c>
      <c r="BA363" s="32">
        <f t="shared" si="155"/>
        <v>0.77777777777777768</v>
      </c>
      <c r="BB363" s="32">
        <f t="shared" si="156"/>
        <v>0.47222222222222221</v>
      </c>
      <c r="BC363" s="7">
        <f t="shared" si="157"/>
        <v>0.81481481481481477</v>
      </c>
      <c r="BD363" s="7">
        <f t="shared" si="158"/>
        <v>0.39814814814814814</v>
      </c>
      <c r="BE363">
        <f>step3_validation[[#This Row],[AI_OUT1]]</f>
        <v>9</v>
      </c>
      <c r="BF363">
        <f t="shared" si="159"/>
        <v>0.88888888888888884</v>
      </c>
      <c r="BG363">
        <f>survey_responses[[#This Row],[Sau khi xem xét các quyền lợi và nghĩa vụ, bạn có ủng hộ và tuân thủ chính sách mới hiện nay? - HUMAN-OUT1]]</f>
        <v>6</v>
      </c>
      <c r="BH363">
        <f t="shared" si="160"/>
        <v>0.55555555555555558</v>
      </c>
      <c r="BI363" s="32">
        <f t="shared" si="161"/>
        <v>3</v>
      </c>
    </row>
    <row r="364" spans="1:61" x14ac:dyDescent="0.45">
      <c r="A364" s="30">
        <f>step3_validation[[#This Row],[Persona_ID]]</f>
        <v>363</v>
      </c>
      <c r="B364" s="31">
        <f>step3_validation[[#This Row],[Used_Seed]]</f>
        <v>404</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25.535590056170005</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7</v>
      </c>
      <c r="R364">
        <f t="shared" si="135"/>
        <v>0.66666666666666663</v>
      </c>
      <c r="S364">
        <f>survey_responses[[#This Row],[Tôi tin rằng với các quy định quản lý thuế hiện nay, hành vi gian lận hoặc trốn thuế sẽ dễ dàng bị phát hiện và xử lý nghiêm. - HUMAN-ENF1]]</f>
        <v>8</v>
      </c>
      <c r="T364">
        <f t="shared" si="136"/>
        <v>0.77777777777777779</v>
      </c>
      <c r="U364">
        <f>step3_validation[[#This Row],[AI_ENF2]]</f>
        <v>8</v>
      </c>
      <c r="V364">
        <f t="shared" si="137"/>
        <v>0.77777777777777779</v>
      </c>
      <c r="W364">
        <f>survey_responses[[#This Row],[Tôi tin rằng Nhà nước, cơ quan thuế có đủ khả năng và công nghệ để phát hiện, xử lý nghiêm các hành vi trốn thuế. - HUMAN-ENF2]]</f>
        <v>8</v>
      </c>
      <c r="X364">
        <f t="shared" si="138"/>
        <v>0.77777777777777779</v>
      </c>
      <c r="Y364" s="32">
        <f t="shared" si="139"/>
        <v>0.72222222222222221</v>
      </c>
      <c r="Z364" s="32">
        <f t="shared" si="140"/>
        <v>0.77777777777777779</v>
      </c>
      <c r="AA364">
        <f>step3_validation[[#This Row],[AI_FAC1]]</f>
        <v>9</v>
      </c>
      <c r="AB364">
        <f t="shared" si="141"/>
        <v>0.88888888888888884</v>
      </c>
      <c r="AC364">
        <f>survey_responses[[#This Row],[Các thủ tục khai báo thuế VÀ/HOẶC quy trình làm việc với cơ quan thuế đơn giản, tiện lợi, nhanh chóng hơn so với trước đây. - HUMAN-FAC1]]</f>
        <v>5</v>
      </c>
      <c r="AD364">
        <f t="shared" si="142"/>
        <v>0.44444444444444442</v>
      </c>
      <c r="AE364">
        <f>step3_validation[[#This Row],[AI_FAC2]]</f>
        <v>9</v>
      </c>
      <c r="AF364">
        <f t="shared" si="143"/>
        <v>0.88888888888888884</v>
      </c>
      <c r="AG364">
        <f>survey_responses[[#This Row],[So với trước đây, tôi thấy cách tính thuế và các bậc thuế trong phương án mới đơn giản, dễ hiểu và dễ thực hiện hơn. - HUMAN-FAC2]]</f>
        <v>7</v>
      </c>
      <c r="AH364">
        <f t="shared" si="144"/>
        <v>0.66666666666666663</v>
      </c>
      <c r="AI364" s="32">
        <f t="shared" si="145"/>
        <v>0.88888888888888884</v>
      </c>
      <c r="AJ364" s="32">
        <f t="shared" si="146"/>
        <v>0.55555555555555558</v>
      </c>
      <c r="AK364">
        <f>step3_validation[[#This Row],[AI_TRU1]]</f>
        <v>7</v>
      </c>
      <c r="AL364">
        <f t="shared" si="147"/>
        <v>0.66666666666666663</v>
      </c>
      <c r="AM364">
        <f>survey_responses[[#This Row],[Tôi tin rằng Nhà nước, cơ quan thuế sẽ thực thi chính sách mới một cách khách quan, công tâm và đối xử bình đẳng với mọi người nộp thuế.  - HUMAN-TRU1]]</f>
        <v>5</v>
      </c>
      <c r="AN364">
        <f t="shared" si="148"/>
        <v>0.44444444444444442</v>
      </c>
      <c r="AO364">
        <f>step3_validation[[#This Row],[AI_TRU2]]</f>
        <v>9</v>
      </c>
      <c r="AP364">
        <f t="shared" si="149"/>
        <v>0.88888888888888884</v>
      </c>
      <c r="AQ364">
        <f>survey_responses[[#This Row],[Tôi thấy mức thuế tôi phải đóng theo phương án mới là công bằng (người thu nhập như tôi đóng mức này là hợp lý). - HUMAN-TRU2]]</f>
        <v>8</v>
      </c>
      <c r="AR364">
        <f t="shared" si="150"/>
        <v>0.77777777777777779</v>
      </c>
      <c r="AS364">
        <f>step3_validation[[#This Row],[AI_TRU3]]</f>
        <v>7</v>
      </c>
      <c r="AT364">
        <f t="shared" si="151"/>
        <v>0.66666666666666663</v>
      </c>
      <c r="AU364">
        <f>survey_responses[[#This Row],[Tôi tin tưởng số tiền thuế tôi đóng sẽ được Nhà nước sử dụng hiệu quả để cải thiện dịch vụ công (y tế, đường xá...). - HUMAN-TRU3]]</f>
        <v>5</v>
      </c>
      <c r="AV364">
        <f t="shared" si="152"/>
        <v>0.44444444444444442</v>
      </c>
      <c r="AW364">
        <f>step3_validation[[#This Row],[AI_TRU4]]</f>
        <v>8</v>
      </c>
      <c r="AX364">
        <f t="shared" si="153"/>
        <v>0.77777777777777779</v>
      </c>
      <c r="AY364">
        <f>survey_responses[[#This Row],[Tôi thấy Nhà nước đã giải thích rõ ràng, minh bạch về lý do và mục tiêu của việc sửa đổi thuế lần này. - HUMAN-TRU4]]</f>
        <v>7</v>
      </c>
      <c r="AZ364">
        <f t="shared" si="154"/>
        <v>0.66666666666666663</v>
      </c>
      <c r="BA364" s="32">
        <f t="shared" si="155"/>
        <v>0.74999999999999989</v>
      </c>
      <c r="BB364" s="32">
        <f t="shared" si="156"/>
        <v>0.58333333333333337</v>
      </c>
      <c r="BC364" s="7">
        <f t="shared" si="157"/>
        <v>0.78703703703703709</v>
      </c>
      <c r="BD364" s="7">
        <f t="shared" si="158"/>
        <v>0.63888888888888895</v>
      </c>
      <c r="BE364">
        <f>step3_validation[[#This Row],[AI_OUT1]]</f>
        <v>9</v>
      </c>
      <c r="BF364">
        <f t="shared" si="159"/>
        <v>0.88888888888888884</v>
      </c>
      <c r="BG364">
        <f>survey_responses[[#This Row],[Sau khi xem xét các quyền lợi và nghĩa vụ, bạn có ủng hộ và tuân thủ chính sách mới hiện nay? - HUMAN-OUT1]]</f>
        <v>8</v>
      </c>
      <c r="BH364">
        <f t="shared" si="160"/>
        <v>0.77777777777777779</v>
      </c>
      <c r="BI364" s="32">
        <f t="shared" si="161"/>
        <v>1</v>
      </c>
    </row>
    <row r="365" spans="1:61" x14ac:dyDescent="0.45">
      <c r="A365" s="30">
        <f>step3_validation[[#This Row],[Persona_ID]]</f>
        <v>364</v>
      </c>
      <c r="B365" s="31">
        <f>step3_validation[[#This Row],[Used_Seed]]</f>
        <v>405</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20.537112224734702</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f t="shared" si="135"/>
        <v>0.55555555555555558</v>
      </c>
      <c r="S365">
        <f>survey_responses[[#This Row],[Tôi tin rằng với các quy định quản lý thuế hiện nay, hành vi gian lận hoặc trốn thuế sẽ dễ dàng bị phát hiện và xử lý nghiêm. - HUMAN-ENF1]]</f>
        <v>4</v>
      </c>
      <c r="T365">
        <f t="shared" si="136"/>
        <v>0.33333333333333331</v>
      </c>
      <c r="U365">
        <f>step3_validation[[#This Row],[AI_ENF2]]</f>
        <v>6</v>
      </c>
      <c r="V365">
        <f t="shared" si="137"/>
        <v>0.55555555555555558</v>
      </c>
      <c r="W365">
        <f>survey_responses[[#This Row],[Tôi tin rằng Nhà nước, cơ quan thuế có đủ khả năng và công nghệ để phát hiện, xử lý nghiêm các hành vi trốn thuế. - HUMAN-ENF2]]</f>
        <v>5</v>
      </c>
      <c r="X365">
        <f t="shared" si="138"/>
        <v>0.44444444444444442</v>
      </c>
      <c r="Y365" s="32">
        <f t="shared" si="139"/>
        <v>0.55555555555555558</v>
      </c>
      <c r="Z365" s="32">
        <f t="shared" si="140"/>
        <v>0.38888888888888884</v>
      </c>
      <c r="AA365">
        <f>step3_validation[[#This Row],[AI_FAC1]]</f>
        <v>9</v>
      </c>
      <c r="AB365">
        <f t="shared" si="141"/>
        <v>0.88888888888888884</v>
      </c>
      <c r="AC365">
        <f>survey_responses[[#This Row],[Các thủ tục khai báo thuế VÀ/HOẶC quy trình làm việc với cơ quan thuế đơn giản, tiện lợi, nhanh chóng hơn so với trước đây. - HUMAN-FAC1]]</f>
        <v>5</v>
      </c>
      <c r="AD365">
        <f t="shared" si="142"/>
        <v>0.44444444444444442</v>
      </c>
      <c r="AE365">
        <f>step3_validation[[#This Row],[AI_FAC2]]</f>
        <v>8</v>
      </c>
      <c r="AF365">
        <f t="shared" si="143"/>
        <v>0.77777777777777779</v>
      </c>
      <c r="AG365">
        <f>survey_responses[[#This Row],[So với trước đây, tôi thấy cách tính thuế và các bậc thuế trong phương án mới đơn giản, dễ hiểu và dễ thực hiện hơn. - HUMAN-FAC2]]</f>
        <v>7</v>
      </c>
      <c r="AH365">
        <f t="shared" si="144"/>
        <v>0.66666666666666663</v>
      </c>
      <c r="AI365" s="32">
        <f t="shared" si="145"/>
        <v>0.83333333333333326</v>
      </c>
      <c r="AJ365" s="32">
        <f t="shared" si="146"/>
        <v>0.55555555555555558</v>
      </c>
      <c r="AK365">
        <f>step3_validation[[#This Row],[AI_TRU1]]</f>
        <v>7</v>
      </c>
      <c r="AL365">
        <f t="shared" si="147"/>
        <v>0.66666666666666663</v>
      </c>
      <c r="AM365">
        <f>survey_responses[[#This Row],[Tôi tin rằng Nhà nước, cơ quan thuế sẽ thực thi chính sách mới một cách khách quan, công tâm và đối xử bình đẳng với mọi người nộp thuế.  - HUMAN-TRU1]]</f>
        <v>5</v>
      </c>
      <c r="AN365">
        <f t="shared" si="148"/>
        <v>0.44444444444444442</v>
      </c>
      <c r="AO365">
        <f>step3_validation[[#This Row],[AI_TRU2]]</f>
        <v>8</v>
      </c>
      <c r="AP365">
        <f t="shared" si="149"/>
        <v>0.77777777777777779</v>
      </c>
      <c r="AQ365">
        <f>survey_responses[[#This Row],[Tôi thấy mức thuế tôi phải đóng theo phương án mới là công bằng (người thu nhập như tôi đóng mức này là hợp lý). - HUMAN-TRU2]]</f>
        <v>7</v>
      </c>
      <c r="AR365">
        <f t="shared" si="150"/>
        <v>0.66666666666666663</v>
      </c>
      <c r="AS365">
        <f>step3_validation[[#This Row],[AI_TRU3]]</f>
        <v>7</v>
      </c>
      <c r="AT365">
        <f t="shared" si="151"/>
        <v>0.66666666666666663</v>
      </c>
      <c r="AU365">
        <f>survey_responses[[#This Row],[Tôi tin tưởng số tiền thuế tôi đóng sẽ được Nhà nước sử dụng hiệu quả để cải thiện dịch vụ công (y tế, đường xá...). - HUMAN-TRU3]]</f>
        <v>5</v>
      </c>
      <c r="AV365">
        <f t="shared" si="152"/>
        <v>0.44444444444444442</v>
      </c>
      <c r="AW365">
        <f>step3_validation[[#This Row],[AI_TRU4]]</f>
        <v>6</v>
      </c>
      <c r="AX365">
        <f t="shared" si="153"/>
        <v>0.55555555555555558</v>
      </c>
      <c r="AY365">
        <f>survey_responses[[#This Row],[Tôi thấy Nhà nước đã giải thích rõ ràng, minh bạch về lý do và mục tiêu của việc sửa đổi thuế lần này. - HUMAN-TRU4]]</f>
        <v>6</v>
      </c>
      <c r="AZ365">
        <f t="shared" si="154"/>
        <v>0.55555555555555558</v>
      </c>
      <c r="BA365" s="32">
        <f t="shared" si="155"/>
        <v>0.66666666666666674</v>
      </c>
      <c r="BB365" s="32">
        <f t="shared" si="156"/>
        <v>0.52777777777777779</v>
      </c>
      <c r="BC365" s="7">
        <f t="shared" si="157"/>
        <v>0.68518518518518512</v>
      </c>
      <c r="BD365" s="7">
        <f t="shared" si="158"/>
        <v>0.49074074074074076</v>
      </c>
      <c r="BE365">
        <f>step3_validation[[#This Row],[AI_OUT1]]</f>
        <v>8</v>
      </c>
      <c r="BF365">
        <f t="shared" si="159"/>
        <v>0.77777777777777779</v>
      </c>
      <c r="BG365">
        <f>survey_responses[[#This Row],[Sau khi xem xét các quyền lợi và nghĩa vụ, bạn có ủng hộ và tuân thủ chính sách mới hiện nay? - HUMAN-OUT1]]</f>
        <v>7</v>
      </c>
      <c r="BH365">
        <f t="shared" si="160"/>
        <v>0.66666666666666663</v>
      </c>
      <c r="BI365" s="32">
        <f t="shared" si="161"/>
        <v>1</v>
      </c>
    </row>
    <row r="366" spans="1:61" x14ac:dyDescent="0.45">
      <c r="A366" s="30">
        <f>step3_validation[[#This Row],[Persona_ID]]</f>
        <v>365</v>
      </c>
      <c r="B366" s="31">
        <f>step3_validation[[#This Row],[Used_Seed]]</f>
        <v>406</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37.999691027175658</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f t="shared" si="135"/>
        <v>0.66666666666666663</v>
      </c>
      <c r="S366">
        <f>survey_responses[[#This Row],[Tôi tin rằng với các quy định quản lý thuế hiện nay, hành vi gian lận hoặc trốn thuế sẽ dễ dàng bị phát hiện và xử lý nghiêm. - HUMAN-ENF1]]</f>
        <v>9</v>
      </c>
      <c r="T366">
        <f t="shared" si="136"/>
        <v>0.88888888888888884</v>
      </c>
      <c r="U366">
        <f>step3_validation[[#This Row],[AI_ENF2]]</f>
        <v>6</v>
      </c>
      <c r="V366">
        <f t="shared" si="137"/>
        <v>0.55555555555555558</v>
      </c>
      <c r="W366">
        <f>survey_responses[[#This Row],[Tôi tin rằng Nhà nước, cơ quan thuế có đủ khả năng và công nghệ để phát hiện, xử lý nghiêm các hành vi trốn thuế. - HUMAN-ENF2]]</f>
        <v>9</v>
      </c>
      <c r="X366">
        <f t="shared" si="138"/>
        <v>0.88888888888888884</v>
      </c>
      <c r="Y366" s="32">
        <f t="shared" si="139"/>
        <v>0.61111111111111116</v>
      </c>
      <c r="Z366" s="32">
        <f t="shared" si="140"/>
        <v>0.88888888888888884</v>
      </c>
      <c r="AA366">
        <f>step3_validation[[#This Row],[AI_FAC1]]</f>
        <v>8</v>
      </c>
      <c r="AB366">
        <f t="shared" si="141"/>
        <v>0.77777777777777779</v>
      </c>
      <c r="AC366">
        <f>survey_responses[[#This Row],[Các thủ tục khai báo thuế VÀ/HOẶC quy trình làm việc với cơ quan thuế đơn giản, tiện lợi, nhanh chóng hơn so với trước đây. - HUMAN-FAC1]]</f>
        <v>8</v>
      </c>
      <c r="AD366">
        <f t="shared" si="142"/>
        <v>0.77777777777777779</v>
      </c>
      <c r="AE366">
        <f>step3_validation[[#This Row],[AI_FAC2]]</f>
        <v>9</v>
      </c>
      <c r="AF366">
        <f t="shared" si="143"/>
        <v>0.88888888888888884</v>
      </c>
      <c r="AG366">
        <f>survey_responses[[#This Row],[So với trước đây, tôi thấy cách tính thuế và các bậc thuế trong phương án mới đơn giản, dễ hiểu và dễ thực hiện hơn. - HUMAN-FAC2]]</f>
        <v>9</v>
      </c>
      <c r="AH366">
        <f t="shared" si="144"/>
        <v>0.88888888888888884</v>
      </c>
      <c r="AI366" s="32">
        <f t="shared" si="145"/>
        <v>0.83333333333333326</v>
      </c>
      <c r="AJ366" s="32">
        <f t="shared" si="146"/>
        <v>0.83333333333333326</v>
      </c>
      <c r="AK366">
        <f>step3_validation[[#This Row],[AI_TRU1]]</f>
        <v>7</v>
      </c>
      <c r="AL366">
        <f t="shared" si="147"/>
        <v>0.66666666666666663</v>
      </c>
      <c r="AM366">
        <f>survey_responses[[#This Row],[Tôi tin rằng Nhà nước, cơ quan thuế sẽ thực thi chính sách mới một cách khách quan, công tâm và đối xử bình đẳng với mọi người nộp thuế.  - HUMAN-TRU1]]</f>
        <v>9</v>
      </c>
      <c r="AN366">
        <f t="shared" si="148"/>
        <v>0.88888888888888884</v>
      </c>
      <c r="AO366">
        <f>step3_validation[[#This Row],[AI_TRU2]]</f>
        <v>9</v>
      </c>
      <c r="AP366">
        <f t="shared" si="149"/>
        <v>0.88888888888888884</v>
      </c>
      <c r="AQ366">
        <f>survey_responses[[#This Row],[Tôi thấy mức thuế tôi phải đóng theo phương án mới là công bằng (người thu nhập như tôi đóng mức này là hợp lý). - HUMAN-TRU2]]</f>
        <v>7</v>
      </c>
      <c r="AR366">
        <f t="shared" si="150"/>
        <v>0.66666666666666663</v>
      </c>
      <c r="AS366">
        <f>step3_validation[[#This Row],[AI_TRU3]]</f>
        <v>7</v>
      </c>
      <c r="AT366">
        <f t="shared" si="151"/>
        <v>0.66666666666666663</v>
      </c>
      <c r="AU366">
        <f>survey_responses[[#This Row],[Tôi tin tưởng số tiền thuế tôi đóng sẽ được Nhà nước sử dụng hiệu quả để cải thiện dịch vụ công (y tế, đường xá...). - HUMAN-TRU3]]</f>
        <v>7</v>
      </c>
      <c r="AV366">
        <f t="shared" si="152"/>
        <v>0.66666666666666663</v>
      </c>
      <c r="AW366">
        <f>step3_validation[[#This Row],[AI_TRU4]]</f>
        <v>8</v>
      </c>
      <c r="AX366">
        <f t="shared" si="153"/>
        <v>0.77777777777777779</v>
      </c>
      <c r="AY366">
        <f>survey_responses[[#This Row],[Tôi thấy Nhà nước đã giải thích rõ ràng, minh bạch về lý do và mục tiêu của việc sửa đổi thuế lần này. - HUMAN-TRU4]]</f>
        <v>7</v>
      </c>
      <c r="AZ366">
        <f t="shared" si="154"/>
        <v>0.66666666666666663</v>
      </c>
      <c r="BA366" s="32">
        <f t="shared" si="155"/>
        <v>0.74999999999999989</v>
      </c>
      <c r="BB366" s="32">
        <f t="shared" si="156"/>
        <v>0.7222222222222221</v>
      </c>
      <c r="BC366" s="7">
        <f t="shared" si="157"/>
        <v>0.7314814814814814</v>
      </c>
      <c r="BD366" s="7">
        <f t="shared" si="158"/>
        <v>0.81481481481481477</v>
      </c>
      <c r="BE366">
        <f>step3_validation[[#This Row],[AI_OUT1]]</f>
        <v>9</v>
      </c>
      <c r="BF366">
        <f t="shared" si="159"/>
        <v>0.88888888888888884</v>
      </c>
      <c r="BG366">
        <f>survey_responses[[#This Row],[Sau khi xem xét các quyền lợi và nghĩa vụ, bạn có ủng hộ và tuân thủ chính sách mới hiện nay? - HUMAN-OUT1]]</f>
        <v>7</v>
      </c>
      <c r="BH366">
        <f t="shared" si="160"/>
        <v>0.66666666666666663</v>
      </c>
      <c r="BI366" s="32">
        <f t="shared" si="161"/>
        <v>2</v>
      </c>
    </row>
    <row r="367" spans="1:61" x14ac:dyDescent="0.45">
      <c r="A367" s="30">
        <f>step3_validation[[#This Row],[Persona_ID]]</f>
        <v>366</v>
      </c>
      <c r="B367" s="31">
        <f>step3_validation[[#This Row],[Used_Seed]]</f>
        <v>407</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57.008492890369311</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5</v>
      </c>
      <c r="R367">
        <f t="shared" si="135"/>
        <v>0.44444444444444442</v>
      </c>
      <c r="S367">
        <f>survey_responses[[#This Row],[Tôi tin rằng với các quy định quản lý thuế hiện nay, hành vi gian lận hoặc trốn thuế sẽ dễ dàng bị phát hiện và xử lý nghiêm. - HUMAN-ENF1]]</f>
        <v>7</v>
      </c>
      <c r="T367">
        <f t="shared" si="136"/>
        <v>0.66666666666666663</v>
      </c>
      <c r="U367">
        <f>step3_validation[[#This Row],[AI_ENF2]]</f>
        <v>6</v>
      </c>
      <c r="V367">
        <f t="shared" si="137"/>
        <v>0.55555555555555558</v>
      </c>
      <c r="W367">
        <f>survey_responses[[#This Row],[Tôi tin rằng Nhà nước, cơ quan thuế có đủ khả năng và công nghệ để phát hiện, xử lý nghiêm các hành vi trốn thuế. - HUMAN-ENF2]]</f>
        <v>8</v>
      </c>
      <c r="X367">
        <f t="shared" si="138"/>
        <v>0.77777777777777779</v>
      </c>
      <c r="Y367" s="32">
        <f t="shared" si="139"/>
        <v>0.5</v>
      </c>
      <c r="Z367" s="32">
        <f t="shared" si="140"/>
        <v>0.72222222222222221</v>
      </c>
      <c r="AA367">
        <f>step3_validation[[#This Row],[AI_FAC1]]</f>
        <v>9</v>
      </c>
      <c r="AB367">
        <f t="shared" si="141"/>
        <v>0.88888888888888884</v>
      </c>
      <c r="AC367">
        <f>survey_responses[[#This Row],[Các thủ tục khai báo thuế VÀ/HOẶC quy trình làm việc với cơ quan thuế đơn giản, tiện lợi, nhanh chóng hơn so với trước đây. - HUMAN-FAC1]]</f>
        <v>8</v>
      </c>
      <c r="AD367">
        <f t="shared" si="142"/>
        <v>0.77777777777777779</v>
      </c>
      <c r="AE367">
        <f>step3_validation[[#This Row],[AI_FAC2]]</f>
        <v>8</v>
      </c>
      <c r="AF367">
        <f t="shared" si="143"/>
        <v>0.77777777777777779</v>
      </c>
      <c r="AG367">
        <f>survey_responses[[#This Row],[So với trước đây, tôi thấy cách tính thuế và các bậc thuế trong phương án mới đơn giản, dễ hiểu và dễ thực hiện hơn. - HUMAN-FAC2]]</f>
        <v>8</v>
      </c>
      <c r="AH367">
        <f t="shared" si="144"/>
        <v>0.77777777777777779</v>
      </c>
      <c r="AI367" s="32">
        <f t="shared" si="145"/>
        <v>0.83333333333333326</v>
      </c>
      <c r="AJ367" s="32">
        <f t="shared" si="146"/>
        <v>0.77777777777777779</v>
      </c>
      <c r="AK367">
        <f>step3_validation[[#This Row],[AI_TRU1]]</f>
        <v>7</v>
      </c>
      <c r="AL367">
        <f t="shared" si="147"/>
        <v>0.66666666666666663</v>
      </c>
      <c r="AM367">
        <f>survey_responses[[#This Row],[Tôi tin rằng Nhà nước, cơ quan thuế sẽ thực thi chính sách mới một cách khách quan, công tâm và đối xử bình đẳng với mọi người nộp thuế.  - HUMAN-TRU1]]</f>
        <v>5</v>
      </c>
      <c r="AN367">
        <f t="shared" si="148"/>
        <v>0.44444444444444442</v>
      </c>
      <c r="AO367">
        <f>step3_validation[[#This Row],[AI_TRU2]]</f>
        <v>9</v>
      </c>
      <c r="AP367">
        <f t="shared" si="149"/>
        <v>0.88888888888888884</v>
      </c>
      <c r="AQ367">
        <f>survey_responses[[#This Row],[Tôi thấy mức thuế tôi phải đóng theo phương án mới là công bằng (người thu nhập như tôi đóng mức này là hợp lý). - HUMAN-TRU2]]</f>
        <v>6</v>
      </c>
      <c r="AR367">
        <f t="shared" si="150"/>
        <v>0.55555555555555558</v>
      </c>
      <c r="AS367">
        <f>step3_validation[[#This Row],[AI_TRU3]]</f>
        <v>7</v>
      </c>
      <c r="AT367">
        <f t="shared" si="151"/>
        <v>0.66666666666666663</v>
      </c>
      <c r="AU367">
        <f>survey_responses[[#This Row],[Tôi tin tưởng số tiền thuế tôi đóng sẽ được Nhà nước sử dụng hiệu quả để cải thiện dịch vụ công (y tế, đường xá...). - HUMAN-TRU3]]</f>
        <v>5</v>
      </c>
      <c r="AV367">
        <f t="shared" si="152"/>
        <v>0.44444444444444442</v>
      </c>
      <c r="AW367">
        <f>step3_validation[[#This Row],[AI_TRU4]]</f>
        <v>6</v>
      </c>
      <c r="AX367">
        <f t="shared" si="153"/>
        <v>0.55555555555555558</v>
      </c>
      <c r="AY367">
        <f>survey_responses[[#This Row],[Tôi thấy Nhà nước đã giải thích rõ ràng, minh bạch về lý do và mục tiêu của việc sửa đổi thuế lần này. - HUMAN-TRU4]]</f>
        <v>6</v>
      </c>
      <c r="AZ367">
        <f t="shared" si="154"/>
        <v>0.55555555555555558</v>
      </c>
      <c r="BA367" s="32">
        <f t="shared" si="155"/>
        <v>0.69444444444444442</v>
      </c>
      <c r="BB367" s="32">
        <f t="shared" si="156"/>
        <v>0.5</v>
      </c>
      <c r="BC367" s="7">
        <f t="shared" si="157"/>
        <v>0.67592592592592593</v>
      </c>
      <c r="BD367" s="7">
        <f t="shared" si="158"/>
        <v>0.66666666666666663</v>
      </c>
      <c r="BE367">
        <f>step3_validation[[#This Row],[AI_OUT1]]</f>
        <v>9</v>
      </c>
      <c r="BF367">
        <f t="shared" si="159"/>
        <v>0.88888888888888884</v>
      </c>
      <c r="BG367">
        <f>survey_responses[[#This Row],[Sau khi xem xét các quyền lợi và nghĩa vụ, bạn có ủng hộ và tuân thủ chính sách mới hiện nay? - HUMAN-OUT1]]</f>
        <v>6</v>
      </c>
      <c r="BH367">
        <f t="shared" si="160"/>
        <v>0.55555555555555558</v>
      </c>
      <c r="BI367" s="32">
        <f t="shared" si="161"/>
        <v>3</v>
      </c>
    </row>
    <row r="368" spans="1:61" x14ac:dyDescent="0.45">
      <c r="A368" s="30">
        <f>step3_validation[[#This Row],[Persona_ID]]</f>
        <v>367</v>
      </c>
      <c r="B368" s="31">
        <f>step3_validation[[#This Row],[Used_Seed]]</f>
        <v>408</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14.489915005413165</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7</v>
      </c>
      <c r="R368">
        <f t="shared" si="135"/>
        <v>0.66666666666666663</v>
      </c>
      <c r="S368">
        <f>survey_responses[[#This Row],[Tôi tin rằng với các quy định quản lý thuế hiện nay, hành vi gian lận hoặc trốn thuế sẽ dễ dàng bị phát hiện và xử lý nghiêm. - HUMAN-ENF1]]</f>
        <v>8</v>
      </c>
      <c r="T368">
        <f t="shared" si="136"/>
        <v>0.77777777777777779</v>
      </c>
      <c r="U368">
        <f>step3_validation[[#This Row],[AI_ENF2]]</f>
        <v>8</v>
      </c>
      <c r="V368">
        <f t="shared" si="137"/>
        <v>0.77777777777777779</v>
      </c>
      <c r="W368">
        <f>survey_responses[[#This Row],[Tôi tin rằng Nhà nước, cơ quan thuế có đủ khả năng và công nghệ để phát hiện, xử lý nghiêm các hành vi trốn thuế. - HUMAN-ENF2]]</f>
        <v>9</v>
      </c>
      <c r="X368">
        <f t="shared" si="138"/>
        <v>0.88888888888888884</v>
      </c>
      <c r="Y368" s="32">
        <f t="shared" si="139"/>
        <v>0.72222222222222221</v>
      </c>
      <c r="Z368" s="32">
        <f t="shared" si="140"/>
        <v>0.83333333333333326</v>
      </c>
      <c r="AA368">
        <f>step3_validation[[#This Row],[AI_FAC1]]</f>
        <v>9</v>
      </c>
      <c r="AB368">
        <f t="shared" si="141"/>
        <v>0.88888888888888884</v>
      </c>
      <c r="AC368">
        <f>survey_responses[[#This Row],[Các thủ tục khai báo thuế VÀ/HOẶC quy trình làm việc với cơ quan thuế đơn giản, tiện lợi, nhanh chóng hơn so với trước đây. - HUMAN-FAC1]]</f>
        <v>8</v>
      </c>
      <c r="AD368">
        <f t="shared" si="142"/>
        <v>0.77777777777777779</v>
      </c>
      <c r="AE368">
        <f>step3_validation[[#This Row],[AI_FAC2]]</f>
        <v>10</v>
      </c>
      <c r="AF368">
        <f t="shared" si="143"/>
        <v>1</v>
      </c>
      <c r="AG368">
        <f>survey_responses[[#This Row],[So với trước đây, tôi thấy cách tính thuế và các bậc thuế trong phương án mới đơn giản, dễ hiểu và dễ thực hiện hơn. - HUMAN-FAC2]]</f>
        <v>8</v>
      </c>
      <c r="AH368">
        <f t="shared" si="144"/>
        <v>0.77777777777777779</v>
      </c>
      <c r="AI368" s="32">
        <f t="shared" si="145"/>
        <v>0.94444444444444442</v>
      </c>
      <c r="AJ368" s="32">
        <f t="shared" si="146"/>
        <v>0.77777777777777779</v>
      </c>
      <c r="AK368">
        <f>step3_validation[[#This Row],[AI_TRU1]]</f>
        <v>9</v>
      </c>
      <c r="AL368">
        <f t="shared" si="147"/>
        <v>0.88888888888888884</v>
      </c>
      <c r="AM368">
        <f>survey_responses[[#This Row],[Tôi tin rằng Nhà nước, cơ quan thuế sẽ thực thi chính sách mới một cách khách quan, công tâm và đối xử bình đẳng với mọi người nộp thuế.  - HUMAN-TRU1]]</f>
        <v>9</v>
      </c>
      <c r="AN368">
        <f t="shared" si="148"/>
        <v>0.88888888888888884</v>
      </c>
      <c r="AO368">
        <f>step3_validation[[#This Row],[AI_TRU2]]</f>
        <v>8</v>
      </c>
      <c r="AP368">
        <f t="shared" si="149"/>
        <v>0.77777777777777779</v>
      </c>
      <c r="AQ368">
        <f>survey_responses[[#This Row],[Tôi thấy mức thuế tôi phải đóng theo phương án mới là công bằng (người thu nhập như tôi đóng mức này là hợp lý). - HUMAN-TRU2]]</f>
        <v>10</v>
      </c>
      <c r="AR368">
        <f t="shared" si="150"/>
        <v>1</v>
      </c>
      <c r="AS368">
        <f>step3_validation[[#This Row],[AI_TRU3]]</f>
        <v>9</v>
      </c>
      <c r="AT368">
        <f t="shared" si="151"/>
        <v>0.88888888888888884</v>
      </c>
      <c r="AU368">
        <f>survey_responses[[#This Row],[Tôi tin tưởng số tiền thuế tôi đóng sẽ được Nhà nước sử dụng hiệu quả để cải thiện dịch vụ công (y tế, đường xá...). - HUMAN-TRU3]]</f>
        <v>10</v>
      </c>
      <c r="AV368">
        <f t="shared" si="152"/>
        <v>1</v>
      </c>
      <c r="AW368">
        <f>step3_validation[[#This Row],[AI_TRU4]]</f>
        <v>8</v>
      </c>
      <c r="AX368">
        <f t="shared" si="153"/>
        <v>0.77777777777777779</v>
      </c>
      <c r="AY368">
        <f>survey_responses[[#This Row],[Tôi thấy Nhà nước đã giải thích rõ ràng, minh bạch về lý do và mục tiêu của việc sửa đổi thuế lần này. - HUMAN-TRU4]]</f>
        <v>9</v>
      </c>
      <c r="AZ368">
        <f t="shared" si="154"/>
        <v>0.88888888888888884</v>
      </c>
      <c r="BA368" s="32">
        <f t="shared" si="155"/>
        <v>0.83333333333333326</v>
      </c>
      <c r="BB368" s="32">
        <f t="shared" si="156"/>
        <v>0.94444444444444442</v>
      </c>
      <c r="BC368" s="7">
        <f t="shared" si="157"/>
        <v>0.83333333333333337</v>
      </c>
      <c r="BD368" s="7">
        <f t="shared" si="158"/>
        <v>0.85185185185185175</v>
      </c>
      <c r="BE368">
        <f>step3_validation[[#This Row],[AI_OUT1]]</f>
        <v>9</v>
      </c>
      <c r="BF368">
        <f t="shared" si="159"/>
        <v>0.88888888888888884</v>
      </c>
      <c r="BG368">
        <f>survey_responses[[#This Row],[Sau khi xem xét các quyền lợi và nghĩa vụ, bạn có ủng hộ và tuân thủ chính sách mới hiện nay? - HUMAN-OUT1]]</f>
        <v>10</v>
      </c>
      <c r="BH368">
        <f t="shared" si="160"/>
        <v>1</v>
      </c>
      <c r="BI368" s="32">
        <f t="shared" si="161"/>
        <v>1</v>
      </c>
    </row>
    <row r="369" spans="1:61" x14ac:dyDescent="0.45">
      <c r="A369" s="30">
        <f>step3_validation[[#This Row],[Persona_ID]]</f>
        <v>368</v>
      </c>
      <c r="B369" s="31">
        <f>step3_validation[[#This Row],[Used_Seed]]</f>
        <v>409</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26.614885250121439</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7</v>
      </c>
      <c r="R369">
        <f t="shared" si="135"/>
        <v>0.66666666666666663</v>
      </c>
      <c r="S369">
        <f>survey_responses[[#This Row],[Tôi tin rằng với các quy định quản lý thuế hiện nay, hành vi gian lận hoặc trốn thuế sẽ dễ dàng bị phát hiện và xử lý nghiêm. - HUMAN-ENF1]]</f>
        <v>7</v>
      </c>
      <c r="T369">
        <f t="shared" si="136"/>
        <v>0.66666666666666663</v>
      </c>
      <c r="U369">
        <f>step3_validation[[#This Row],[AI_ENF2]]</f>
        <v>6</v>
      </c>
      <c r="V369">
        <f t="shared" si="137"/>
        <v>0.55555555555555558</v>
      </c>
      <c r="W369">
        <f>survey_responses[[#This Row],[Tôi tin rằng Nhà nước, cơ quan thuế có đủ khả năng và công nghệ để phát hiện, xử lý nghiêm các hành vi trốn thuế. - HUMAN-ENF2]]</f>
        <v>7</v>
      </c>
      <c r="X369">
        <f t="shared" si="138"/>
        <v>0.66666666666666663</v>
      </c>
      <c r="Y369" s="32">
        <f t="shared" si="139"/>
        <v>0.61111111111111116</v>
      </c>
      <c r="Z369" s="32">
        <f t="shared" si="140"/>
        <v>0.66666666666666663</v>
      </c>
      <c r="AA369">
        <f>step3_validation[[#This Row],[AI_FAC1]]</f>
        <v>9</v>
      </c>
      <c r="AB369">
        <f t="shared" si="141"/>
        <v>0.88888888888888884</v>
      </c>
      <c r="AC369">
        <f>survey_responses[[#This Row],[Các thủ tục khai báo thuế VÀ/HOẶC quy trình làm việc với cơ quan thuế đơn giản, tiện lợi, nhanh chóng hơn so với trước đây. - HUMAN-FAC1]]</f>
        <v>8</v>
      </c>
      <c r="AD369">
        <f t="shared" si="142"/>
        <v>0.77777777777777779</v>
      </c>
      <c r="AE369">
        <f>step3_validation[[#This Row],[AI_FAC2]]</f>
        <v>8</v>
      </c>
      <c r="AF369">
        <f t="shared" si="143"/>
        <v>0.77777777777777779</v>
      </c>
      <c r="AG369">
        <f>survey_responses[[#This Row],[So với trước đây, tôi thấy cách tính thuế và các bậc thuế trong phương án mới đơn giản, dễ hiểu và dễ thực hiện hơn. - HUMAN-FAC2]]</f>
        <v>8</v>
      </c>
      <c r="AH369">
        <f t="shared" si="144"/>
        <v>0.77777777777777779</v>
      </c>
      <c r="AI369" s="32">
        <f t="shared" si="145"/>
        <v>0.83333333333333326</v>
      </c>
      <c r="AJ369" s="32">
        <f t="shared" si="146"/>
        <v>0.77777777777777779</v>
      </c>
      <c r="AK369">
        <f>step3_validation[[#This Row],[AI_TRU1]]</f>
        <v>9</v>
      </c>
      <c r="AL369">
        <f t="shared" si="147"/>
        <v>0.88888888888888884</v>
      </c>
      <c r="AM369">
        <f>survey_responses[[#This Row],[Tôi tin rằng Nhà nước, cơ quan thuế sẽ thực thi chính sách mới một cách khách quan, công tâm và đối xử bình đẳng với mọi người nộp thuế.  - HUMAN-TRU1]]</f>
        <v>6</v>
      </c>
      <c r="AN369">
        <f t="shared" si="148"/>
        <v>0.55555555555555558</v>
      </c>
      <c r="AO369">
        <f>step3_validation[[#This Row],[AI_TRU2]]</f>
        <v>9</v>
      </c>
      <c r="AP369">
        <f t="shared" si="149"/>
        <v>0.88888888888888884</v>
      </c>
      <c r="AQ369">
        <f>survey_responses[[#This Row],[Tôi thấy mức thuế tôi phải đóng theo phương án mới là công bằng (người thu nhập như tôi đóng mức này là hợp lý). - HUMAN-TRU2]]</f>
        <v>8</v>
      </c>
      <c r="AR369">
        <f t="shared" si="150"/>
        <v>0.77777777777777779</v>
      </c>
      <c r="AS369">
        <f>step3_validation[[#This Row],[AI_TRU3]]</f>
        <v>8</v>
      </c>
      <c r="AT369">
        <f t="shared" si="151"/>
        <v>0.77777777777777779</v>
      </c>
      <c r="AU369">
        <f>survey_responses[[#This Row],[Tôi tin tưởng số tiền thuế tôi đóng sẽ được Nhà nước sử dụng hiệu quả để cải thiện dịch vụ công (y tế, đường xá...). - HUMAN-TRU3]]</f>
        <v>6</v>
      </c>
      <c r="AV369">
        <f t="shared" si="152"/>
        <v>0.55555555555555558</v>
      </c>
      <c r="AW369">
        <f>step3_validation[[#This Row],[AI_TRU4]]</f>
        <v>9</v>
      </c>
      <c r="AX369">
        <f t="shared" si="153"/>
        <v>0.88888888888888884</v>
      </c>
      <c r="AY369">
        <f>survey_responses[[#This Row],[Tôi thấy Nhà nước đã giải thích rõ ràng, minh bạch về lý do và mục tiêu của việc sửa đổi thuế lần này. - HUMAN-TRU4]]</f>
        <v>7</v>
      </c>
      <c r="AZ369">
        <f t="shared" si="154"/>
        <v>0.66666666666666663</v>
      </c>
      <c r="BA369" s="32">
        <f t="shared" si="155"/>
        <v>0.86111111111111105</v>
      </c>
      <c r="BB369" s="32">
        <f t="shared" si="156"/>
        <v>0.63888888888888895</v>
      </c>
      <c r="BC369" s="7">
        <f t="shared" si="157"/>
        <v>0.76851851851851849</v>
      </c>
      <c r="BD369" s="7">
        <f t="shared" si="158"/>
        <v>0.69444444444444453</v>
      </c>
      <c r="BE369">
        <f>step3_validation[[#This Row],[AI_OUT1]]</f>
        <v>10</v>
      </c>
      <c r="BF369">
        <f t="shared" si="159"/>
        <v>1</v>
      </c>
      <c r="BG369">
        <f>survey_responses[[#This Row],[Sau khi xem xét các quyền lợi và nghĩa vụ, bạn có ủng hộ và tuân thủ chính sách mới hiện nay? - HUMAN-OUT1]]</f>
        <v>8</v>
      </c>
      <c r="BH369">
        <f t="shared" si="160"/>
        <v>0.77777777777777779</v>
      </c>
      <c r="BI369" s="32">
        <f t="shared" si="161"/>
        <v>2</v>
      </c>
    </row>
    <row r="370" spans="1:61" x14ac:dyDescent="0.45">
      <c r="A370" s="30">
        <f>step3_validation[[#This Row],[Persona_ID]]</f>
        <v>369</v>
      </c>
      <c r="B370" s="31">
        <f>step3_validation[[#This Row],[Used_Seed]]</f>
        <v>410</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13.067110338123854</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f t="shared" si="135"/>
        <v>0.66666666666666663</v>
      </c>
      <c r="S370">
        <f>survey_responses[[#This Row],[Tôi tin rằng với các quy định quản lý thuế hiện nay, hành vi gian lận hoặc trốn thuế sẽ dễ dàng bị phát hiện và xử lý nghiêm. - HUMAN-ENF1]]</f>
        <v>6</v>
      </c>
      <c r="T370">
        <f t="shared" si="136"/>
        <v>0.55555555555555558</v>
      </c>
      <c r="U370">
        <f>step3_validation[[#This Row],[AI_ENF2]]</f>
        <v>6</v>
      </c>
      <c r="V370">
        <f t="shared" si="137"/>
        <v>0.55555555555555558</v>
      </c>
      <c r="W370">
        <f>survey_responses[[#This Row],[Tôi tin rằng Nhà nước, cơ quan thuế có đủ khả năng và công nghệ để phát hiện, xử lý nghiêm các hành vi trốn thuế. - HUMAN-ENF2]]</f>
        <v>6</v>
      </c>
      <c r="X370">
        <f t="shared" si="138"/>
        <v>0.55555555555555558</v>
      </c>
      <c r="Y370" s="32">
        <f t="shared" si="139"/>
        <v>0.61111111111111116</v>
      </c>
      <c r="Z370" s="32">
        <f t="shared" si="140"/>
        <v>0.55555555555555558</v>
      </c>
      <c r="AA370">
        <f>step3_validation[[#This Row],[AI_FAC1]]</f>
        <v>9</v>
      </c>
      <c r="AB370">
        <f t="shared" si="141"/>
        <v>0.88888888888888884</v>
      </c>
      <c r="AC370">
        <f>survey_responses[[#This Row],[Các thủ tục khai báo thuế VÀ/HOẶC quy trình làm việc với cơ quan thuế đơn giản, tiện lợi, nhanh chóng hơn so với trước đây. - HUMAN-FAC1]]</f>
        <v>8</v>
      </c>
      <c r="AD370">
        <f t="shared" si="142"/>
        <v>0.77777777777777779</v>
      </c>
      <c r="AE370">
        <f>step3_validation[[#This Row],[AI_FAC2]]</f>
        <v>9</v>
      </c>
      <c r="AF370">
        <f t="shared" si="143"/>
        <v>0.88888888888888884</v>
      </c>
      <c r="AG370">
        <f>survey_responses[[#This Row],[So với trước đây, tôi thấy cách tính thuế và các bậc thuế trong phương án mới đơn giản, dễ hiểu và dễ thực hiện hơn. - HUMAN-FAC2]]</f>
        <v>9</v>
      </c>
      <c r="AH370">
        <f t="shared" si="144"/>
        <v>0.88888888888888884</v>
      </c>
      <c r="AI370" s="32">
        <f t="shared" si="145"/>
        <v>0.88888888888888884</v>
      </c>
      <c r="AJ370" s="32">
        <f t="shared" si="146"/>
        <v>0.83333333333333326</v>
      </c>
      <c r="AK370">
        <f>step3_validation[[#This Row],[AI_TRU1]]</f>
        <v>7</v>
      </c>
      <c r="AL370">
        <f t="shared" si="147"/>
        <v>0.66666666666666663</v>
      </c>
      <c r="AM370">
        <f>survey_responses[[#This Row],[Tôi tin rằng Nhà nước, cơ quan thuế sẽ thực thi chính sách mới một cách khách quan, công tâm và đối xử bình đẳng với mọi người nộp thuế.  - HUMAN-TRU1]]</f>
        <v>8</v>
      </c>
      <c r="AN370">
        <f t="shared" si="148"/>
        <v>0.77777777777777779</v>
      </c>
      <c r="AO370">
        <f>step3_validation[[#This Row],[AI_TRU2]]</f>
        <v>8</v>
      </c>
      <c r="AP370">
        <f t="shared" si="149"/>
        <v>0.77777777777777779</v>
      </c>
      <c r="AQ370">
        <f>survey_responses[[#This Row],[Tôi thấy mức thuế tôi phải đóng theo phương án mới là công bằng (người thu nhập như tôi đóng mức này là hợp lý). - HUMAN-TRU2]]</f>
        <v>8</v>
      </c>
      <c r="AR370">
        <f t="shared" si="150"/>
        <v>0.77777777777777779</v>
      </c>
      <c r="AS370">
        <f>step3_validation[[#This Row],[AI_TRU3]]</f>
        <v>6</v>
      </c>
      <c r="AT370">
        <f t="shared" si="151"/>
        <v>0.55555555555555558</v>
      </c>
      <c r="AU370">
        <f>survey_responses[[#This Row],[Tôi tin tưởng số tiền thuế tôi đóng sẽ được Nhà nước sử dụng hiệu quả để cải thiện dịch vụ công (y tế, đường xá...). - HUMAN-TRU3]]</f>
        <v>5</v>
      </c>
      <c r="AV370">
        <f t="shared" si="152"/>
        <v>0.44444444444444442</v>
      </c>
      <c r="AW370">
        <f>step3_validation[[#This Row],[AI_TRU4]]</f>
        <v>7</v>
      </c>
      <c r="AX370">
        <f t="shared" si="153"/>
        <v>0.66666666666666663</v>
      </c>
      <c r="AY370">
        <f>survey_responses[[#This Row],[Tôi thấy Nhà nước đã giải thích rõ ràng, minh bạch về lý do và mục tiêu của việc sửa đổi thuế lần này. - HUMAN-TRU4]]</f>
        <v>7</v>
      </c>
      <c r="AZ370">
        <f t="shared" si="154"/>
        <v>0.66666666666666663</v>
      </c>
      <c r="BA370" s="32">
        <f t="shared" si="155"/>
        <v>0.66666666666666663</v>
      </c>
      <c r="BB370" s="32">
        <f t="shared" si="156"/>
        <v>0.66666666666666663</v>
      </c>
      <c r="BC370" s="7">
        <f t="shared" si="157"/>
        <v>0.72222222222222221</v>
      </c>
      <c r="BD370" s="7">
        <f t="shared" si="158"/>
        <v>0.68518518518518512</v>
      </c>
      <c r="BE370">
        <f>step3_validation[[#This Row],[AI_OUT1]]</f>
        <v>9</v>
      </c>
      <c r="BF370">
        <f t="shared" si="159"/>
        <v>0.88888888888888884</v>
      </c>
      <c r="BG370">
        <f>survey_responses[[#This Row],[Sau khi xem xét các quyền lợi và nghĩa vụ, bạn có ủng hộ và tuân thủ chính sách mới hiện nay? - HUMAN-OUT1]]</f>
        <v>8</v>
      </c>
      <c r="BH370">
        <f t="shared" si="160"/>
        <v>0.77777777777777779</v>
      </c>
      <c r="BI370" s="32">
        <f t="shared" si="161"/>
        <v>1</v>
      </c>
    </row>
    <row r="371" spans="1:61" x14ac:dyDescent="0.45">
      <c r="A371" s="30">
        <f>step3_validation[[#This Row],[Persona_ID]]</f>
        <v>370</v>
      </c>
      <c r="B371" s="31">
        <f>step3_validation[[#This Row],[Used_Seed]]</f>
        <v>411</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20.907587209693709</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9</v>
      </c>
      <c r="R371">
        <f t="shared" si="135"/>
        <v>0.88888888888888884</v>
      </c>
      <c r="S371">
        <f>survey_responses[[#This Row],[Tôi tin rằng với các quy định quản lý thuế hiện nay, hành vi gian lận hoặc trốn thuế sẽ dễ dàng bị phát hiện và xử lý nghiêm. - HUMAN-ENF1]]</f>
        <v>6</v>
      </c>
      <c r="T371">
        <f t="shared" si="136"/>
        <v>0.55555555555555558</v>
      </c>
      <c r="U371">
        <f>step3_validation[[#This Row],[AI_ENF2]]</f>
        <v>8</v>
      </c>
      <c r="V371">
        <f t="shared" si="137"/>
        <v>0.77777777777777779</v>
      </c>
      <c r="W371">
        <f>survey_responses[[#This Row],[Tôi tin rằng Nhà nước, cơ quan thuế có đủ khả năng và công nghệ để phát hiện, xử lý nghiêm các hành vi trốn thuế. - HUMAN-ENF2]]</f>
        <v>7</v>
      </c>
      <c r="X371">
        <f t="shared" si="138"/>
        <v>0.66666666666666663</v>
      </c>
      <c r="Y371" s="32">
        <f t="shared" si="139"/>
        <v>0.83333333333333326</v>
      </c>
      <c r="Z371" s="32">
        <f t="shared" si="140"/>
        <v>0.61111111111111116</v>
      </c>
      <c r="AA371">
        <f>step3_validation[[#This Row],[AI_FAC1]]</f>
        <v>9</v>
      </c>
      <c r="AB371">
        <f t="shared" si="141"/>
        <v>0.88888888888888884</v>
      </c>
      <c r="AC371">
        <f>survey_responses[[#This Row],[Các thủ tục khai báo thuế VÀ/HOẶC quy trình làm việc với cơ quan thuế đơn giản, tiện lợi, nhanh chóng hơn so với trước đây. - HUMAN-FAC1]]</f>
        <v>7</v>
      </c>
      <c r="AD371">
        <f t="shared" si="142"/>
        <v>0.66666666666666663</v>
      </c>
      <c r="AE371">
        <f>step3_validation[[#This Row],[AI_FAC2]]</f>
        <v>8</v>
      </c>
      <c r="AF371">
        <f t="shared" si="143"/>
        <v>0.77777777777777779</v>
      </c>
      <c r="AG371">
        <f>survey_responses[[#This Row],[So với trước đây, tôi thấy cách tính thuế và các bậc thuế trong phương án mới đơn giản, dễ hiểu và dễ thực hiện hơn. - HUMAN-FAC2]]</f>
        <v>9</v>
      </c>
      <c r="AH371">
        <f t="shared" si="144"/>
        <v>0.88888888888888884</v>
      </c>
      <c r="AI371" s="32">
        <f t="shared" si="145"/>
        <v>0.83333333333333326</v>
      </c>
      <c r="AJ371" s="32">
        <f t="shared" si="146"/>
        <v>0.77777777777777768</v>
      </c>
      <c r="AK371">
        <f>step3_validation[[#This Row],[AI_TRU1]]</f>
        <v>9</v>
      </c>
      <c r="AL371">
        <f t="shared" si="147"/>
        <v>0.88888888888888884</v>
      </c>
      <c r="AM371">
        <f>survey_responses[[#This Row],[Tôi tin rằng Nhà nước, cơ quan thuế sẽ thực thi chính sách mới một cách khách quan, công tâm và đối xử bình đẳng với mọi người nộp thuế.  - HUMAN-TRU1]]</f>
        <v>7</v>
      </c>
      <c r="AN371">
        <f t="shared" si="148"/>
        <v>0.66666666666666663</v>
      </c>
      <c r="AO371">
        <f>step3_validation[[#This Row],[AI_TRU2]]</f>
        <v>8</v>
      </c>
      <c r="AP371">
        <f t="shared" si="149"/>
        <v>0.77777777777777779</v>
      </c>
      <c r="AQ371">
        <f>survey_responses[[#This Row],[Tôi thấy mức thuế tôi phải đóng theo phương án mới là công bằng (người thu nhập như tôi đóng mức này là hợp lý). - HUMAN-TRU2]]</f>
        <v>9</v>
      </c>
      <c r="AR371">
        <f t="shared" si="150"/>
        <v>0.88888888888888884</v>
      </c>
      <c r="AS371">
        <f>step3_validation[[#This Row],[AI_TRU3]]</f>
        <v>9</v>
      </c>
      <c r="AT371">
        <f t="shared" si="151"/>
        <v>0.88888888888888884</v>
      </c>
      <c r="AU371">
        <f>survey_responses[[#This Row],[Tôi tin tưởng số tiền thuế tôi đóng sẽ được Nhà nước sử dụng hiệu quả để cải thiện dịch vụ công (y tế, đường xá...). - HUMAN-TRU3]]</f>
        <v>9</v>
      </c>
      <c r="AV371">
        <f t="shared" si="152"/>
        <v>0.88888888888888884</v>
      </c>
      <c r="AW371">
        <f>step3_validation[[#This Row],[AI_TRU4]]</f>
        <v>8</v>
      </c>
      <c r="AX371">
        <f t="shared" si="153"/>
        <v>0.77777777777777779</v>
      </c>
      <c r="AY371">
        <f>survey_responses[[#This Row],[Tôi thấy Nhà nước đã giải thích rõ ràng, minh bạch về lý do và mục tiêu của việc sửa đổi thuế lần này. - HUMAN-TRU4]]</f>
        <v>9</v>
      </c>
      <c r="AZ371">
        <f t="shared" si="154"/>
        <v>0.88888888888888884</v>
      </c>
      <c r="BA371" s="32">
        <f t="shared" si="155"/>
        <v>0.83333333333333326</v>
      </c>
      <c r="BB371" s="32">
        <f t="shared" si="156"/>
        <v>0.83333333333333326</v>
      </c>
      <c r="BC371" s="7">
        <f t="shared" si="157"/>
        <v>0.83333333333333337</v>
      </c>
      <c r="BD371" s="7">
        <f t="shared" si="158"/>
        <v>0.74074074074074081</v>
      </c>
      <c r="BE371">
        <f>step3_validation[[#This Row],[AI_OUT1]]</f>
        <v>9</v>
      </c>
      <c r="BF371">
        <f t="shared" si="159"/>
        <v>0.88888888888888884</v>
      </c>
      <c r="BG371">
        <f>survey_responses[[#This Row],[Sau khi xem xét các quyền lợi và nghĩa vụ, bạn có ủng hộ và tuân thủ chính sách mới hiện nay? - HUMAN-OUT1]]</f>
        <v>9</v>
      </c>
      <c r="BH371">
        <f t="shared" si="160"/>
        <v>0.88888888888888884</v>
      </c>
      <c r="BI371" s="32">
        <f t="shared" si="161"/>
        <v>0</v>
      </c>
    </row>
    <row r="372" spans="1:61" x14ac:dyDescent="0.45">
      <c r="A372" s="30">
        <f>step3_validation[[#This Row],[Persona_ID]]</f>
        <v>371</v>
      </c>
      <c r="B372" s="31">
        <f>step3_validation[[#This Row],[Used_Seed]]</f>
        <v>412</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64.058905665032313</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7</v>
      </c>
      <c r="R372">
        <f t="shared" si="135"/>
        <v>0.66666666666666663</v>
      </c>
      <c r="S372">
        <f>survey_responses[[#This Row],[Tôi tin rằng với các quy định quản lý thuế hiện nay, hành vi gian lận hoặc trốn thuế sẽ dễ dàng bị phát hiện và xử lý nghiêm. - HUMAN-ENF1]]</f>
        <v>4</v>
      </c>
      <c r="T372">
        <f t="shared" si="136"/>
        <v>0.33333333333333331</v>
      </c>
      <c r="U372">
        <f>step3_validation[[#This Row],[AI_ENF2]]</f>
        <v>8</v>
      </c>
      <c r="V372">
        <f t="shared" si="137"/>
        <v>0.77777777777777779</v>
      </c>
      <c r="W372">
        <f>survey_responses[[#This Row],[Tôi tin rằng Nhà nước, cơ quan thuế có đủ khả năng và công nghệ để phát hiện, xử lý nghiêm các hành vi trốn thuế. - HUMAN-ENF2]]</f>
        <v>4</v>
      </c>
      <c r="X372">
        <f t="shared" si="138"/>
        <v>0.33333333333333331</v>
      </c>
      <c r="Y372" s="32">
        <f t="shared" si="139"/>
        <v>0.72222222222222221</v>
      </c>
      <c r="Z372" s="32">
        <f t="shared" si="140"/>
        <v>0.33333333333333331</v>
      </c>
      <c r="AA372">
        <f>step3_validation[[#This Row],[AI_FAC1]]</f>
        <v>9</v>
      </c>
      <c r="AB372">
        <f t="shared" si="141"/>
        <v>0.88888888888888884</v>
      </c>
      <c r="AC372">
        <f>survey_responses[[#This Row],[Các thủ tục khai báo thuế VÀ/HOẶC quy trình làm việc với cơ quan thuế đơn giản, tiện lợi, nhanh chóng hơn so với trước đây. - HUMAN-FAC1]]</f>
        <v>5</v>
      </c>
      <c r="AD372">
        <f t="shared" si="142"/>
        <v>0.44444444444444442</v>
      </c>
      <c r="AE372">
        <f>step3_validation[[#This Row],[AI_FAC2]]</f>
        <v>9</v>
      </c>
      <c r="AF372">
        <f t="shared" si="143"/>
        <v>0.88888888888888884</v>
      </c>
      <c r="AG372">
        <f>survey_responses[[#This Row],[So với trước đây, tôi thấy cách tính thuế và các bậc thuế trong phương án mới đơn giản, dễ hiểu và dễ thực hiện hơn. - HUMAN-FAC2]]</f>
        <v>5</v>
      </c>
      <c r="AH372">
        <f t="shared" si="144"/>
        <v>0.44444444444444442</v>
      </c>
      <c r="AI372" s="32">
        <f t="shared" si="145"/>
        <v>0.88888888888888884</v>
      </c>
      <c r="AJ372" s="32">
        <f t="shared" si="146"/>
        <v>0.44444444444444442</v>
      </c>
      <c r="AK372">
        <f>step3_validation[[#This Row],[AI_TRU1]]</f>
        <v>6</v>
      </c>
      <c r="AL372">
        <f t="shared" si="147"/>
        <v>0.55555555555555558</v>
      </c>
      <c r="AM372">
        <f>survey_responses[[#This Row],[Tôi tin rằng Nhà nước, cơ quan thuế sẽ thực thi chính sách mới một cách khách quan, công tâm và đối xử bình đẳng với mọi người nộp thuế.  - HUMAN-TRU1]]</f>
        <v>5</v>
      </c>
      <c r="AN372">
        <f t="shared" si="148"/>
        <v>0.44444444444444442</v>
      </c>
      <c r="AO372">
        <f>step3_validation[[#This Row],[AI_TRU2]]</f>
        <v>8</v>
      </c>
      <c r="AP372">
        <f t="shared" si="149"/>
        <v>0.77777777777777779</v>
      </c>
      <c r="AQ372">
        <f>survey_responses[[#This Row],[Tôi thấy mức thuế tôi phải đóng theo phương án mới là công bằng (người thu nhập như tôi đóng mức này là hợp lý). - HUMAN-TRU2]]</f>
        <v>4</v>
      </c>
      <c r="AR372">
        <f t="shared" si="150"/>
        <v>0.33333333333333331</v>
      </c>
      <c r="AS372">
        <f>step3_validation[[#This Row],[AI_TRU3]]</f>
        <v>7</v>
      </c>
      <c r="AT372">
        <f t="shared" si="151"/>
        <v>0.66666666666666663</v>
      </c>
      <c r="AU372">
        <f>survey_responses[[#This Row],[Tôi tin tưởng số tiền thuế tôi đóng sẽ được Nhà nước sử dụng hiệu quả để cải thiện dịch vụ công (y tế, đường xá...). - HUMAN-TRU3]]</f>
        <v>5</v>
      </c>
      <c r="AV372">
        <f t="shared" si="152"/>
        <v>0.44444444444444442</v>
      </c>
      <c r="AW372">
        <f>step3_validation[[#This Row],[AI_TRU4]]</f>
        <v>6</v>
      </c>
      <c r="AX372">
        <f t="shared" si="153"/>
        <v>0.55555555555555558</v>
      </c>
      <c r="AY372">
        <f>survey_responses[[#This Row],[Tôi thấy Nhà nước đã giải thích rõ ràng, minh bạch về lý do và mục tiêu của việc sửa đổi thuế lần này. - HUMAN-TRU4]]</f>
        <v>6</v>
      </c>
      <c r="AZ372">
        <f t="shared" si="154"/>
        <v>0.55555555555555558</v>
      </c>
      <c r="BA372" s="32">
        <f t="shared" si="155"/>
        <v>0.63888888888888884</v>
      </c>
      <c r="BB372" s="32">
        <f t="shared" si="156"/>
        <v>0.44444444444444442</v>
      </c>
      <c r="BC372" s="7">
        <f t="shared" si="157"/>
        <v>0.75</v>
      </c>
      <c r="BD372" s="7">
        <f t="shared" si="158"/>
        <v>0.40740740740740738</v>
      </c>
      <c r="BE372">
        <f>step3_validation[[#This Row],[AI_OUT1]]</f>
        <v>9</v>
      </c>
      <c r="BF372">
        <f t="shared" si="159"/>
        <v>0.88888888888888884</v>
      </c>
      <c r="BG372">
        <f>survey_responses[[#This Row],[Sau khi xem xét các quyền lợi và nghĩa vụ, bạn có ủng hộ và tuân thủ chính sách mới hiện nay? - HUMAN-OUT1]]</f>
        <v>5</v>
      </c>
      <c r="BH372">
        <f t="shared" si="160"/>
        <v>0.44444444444444442</v>
      </c>
      <c r="BI372" s="32">
        <f t="shared" si="161"/>
        <v>4</v>
      </c>
    </row>
    <row r="373" spans="1:61" x14ac:dyDescent="0.45">
      <c r="A373" s="30">
        <f>step3_validation[[#This Row],[Persona_ID]]</f>
        <v>372</v>
      </c>
      <c r="B373" s="31">
        <f>step3_validation[[#This Row],[Used_Seed]]</f>
        <v>413</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41.561424816595256</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f t="shared" si="135"/>
        <v>0.66666666666666663</v>
      </c>
      <c r="S373">
        <f>survey_responses[[#This Row],[Tôi tin rằng với các quy định quản lý thuế hiện nay, hành vi gian lận hoặc trốn thuế sẽ dễ dàng bị phát hiện và xử lý nghiêm. - HUMAN-ENF1]]</f>
        <v>6</v>
      </c>
      <c r="T373">
        <f t="shared" si="136"/>
        <v>0.55555555555555558</v>
      </c>
      <c r="U373">
        <f>step3_validation[[#This Row],[AI_ENF2]]</f>
        <v>8</v>
      </c>
      <c r="V373">
        <f t="shared" si="137"/>
        <v>0.77777777777777779</v>
      </c>
      <c r="W373">
        <f>survey_responses[[#This Row],[Tôi tin rằng Nhà nước, cơ quan thuế có đủ khả năng và công nghệ để phát hiện, xử lý nghiêm các hành vi trốn thuế. - HUMAN-ENF2]]</f>
        <v>6</v>
      </c>
      <c r="X373">
        <f t="shared" si="138"/>
        <v>0.55555555555555558</v>
      </c>
      <c r="Y373" s="32">
        <f t="shared" si="139"/>
        <v>0.72222222222222221</v>
      </c>
      <c r="Z373" s="32">
        <f t="shared" si="140"/>
        <v>0.55555555555555558</v>
      </c>
      <c r="AA373">
        <f>step3_validation[[#This Row],[AI_FAC1]]</f>
        <v>6</v>
      </c>
      <c r="AB373">
        <f t="shared" si="141"/>
        <v>0.55555555555555558</v>
      </c>
      <c r="AC373">
        <f>survey_responses[[#This Row],[Các thủ tục khai báo thuế VÀ/HOẶC quy trình làm việc với cơ quan thuế đơn giản, tiện lợi, nhanh chóng hơn so với trước đây. - HUMAN-FAC1]]</f>
        <v>8</v>
      </c>
      <c r="AD373">
        <f t="shared" si="142"/>
        <v>0.77777777777777779</v>
      </c>
      <c r="AE373">
        <f>step3_validation[[#This Row],[AI_FAC2]]</f>
        <v>9</v>
      </c>
      <c r="AF373">
        <f t="shared" si="143"/>
        <v>0.88888888888888884</v>
      </c>
      <c r="AG373">
        <f>survey_responses[[#This Row],[So với trước đây, tôi thấy cách tính thuế và các bậc thuế trong phương án mới đơn giản, dễ hiểu và dễ thực hiện hơn. - HUMAN-FAC2]]</f>
        <v>8</v>
      </c>
      <c r="AH373">
        <f t="shared" si="144"/>
        <v>0.77777777777777779</v>
      </c>
      <c r="AI373" s="32">
        <f t="shared" si="145"/>
        <v>0.72222222222222221</v>
      </c>
      <c r="AJ373" s="32">
        <f t="shared" si="146"/>
        <v>0.77777777777777779</v>
      </c>
      <c r="AK373">
        <f>step3_validation[[#This Row],[AI_TRU1]]</f>
        <v>8</v>
      </c>
      <c r="AL373">
        <f t="shared" si="147"/>
        <v>0.77777777777777779</v>
      </c>
      <c r="AM373">
        <f>survey_responses[[#This Row],[Tôi tin rằng Nhà nước, cơ quan thuế sẽ thực thi chính sách mới một cách khách quan, công tâm và đối xử bình đẳng với mọi người nộp thuế.  - HUMAN-TRU1]]</f>
        <v>6</v>
      </c>
      <c r="AN373">
        <f t="shared" si="148"/>
        <v>0.55555555555555558</v>
      </c>
      <c r="AO373">
        <f>step3_validation[[#This Row],[AI_TRU2]]</f>
        <v>9</v>
      </c>
      <c r="AP373">
        <f t="shared" si="149"/>
        <v>0.88888888888888884</v>
      </c>
      <c r="AQ373">
        <f>survey_responses[[#This Row],[Tôi thấy mức thuế tôi phải đóng theo phương án mới là công bằng (người thu nhập như tôi đóng mức này là hợp lý). - HUMAN-TRU2]]</f>
        <v>7</v>
      </c>
      <c r="AR373">
        <f t="shared" si="150"/>
        <v>0.66666666666666663</v>
      </c>
      <c r="AS373">
        <f>step3_validation[[#This Row],[AI_TRU3]]</f>
        <v>8</v>
      </c>
      <c r="AT373">
        <f t="shared" si="151"/>
        <v>0.77777777777777779</v>
      </c>
      <c r="AU373">
        <f>survey_responses[[#This Row],[Tôi tin tưởng số tiền thuế tôi đóng sẽ được Nhà nước sử dụng hiệu quả để cải thiện dịch vụ công (y tế, đường xá...). - HUMAN-TRU3]]</f>
        <v>5</v>
      </c>
      <c r="AV373">
        <f t="shared" si="152"/>
        <v>0.44444444444444442</v>
      </c>
      <c r="AW373">
        <f>step3_validation[[#This Row],[AI_TRU4]]</f>
        <v>7</v>
      </c>
      <c r="AX373">
        <f t="shared" si="153"/>
        <v>0.66666666666666663</v>
      </c>
      <c r="AY373">
        <f>survey_responses[[#This Row],[Tôi thấy Nhà nước đã giải thích rõ ràng, minh bạch về lý do và mục tiêu của việc sửa đổi thuế lần này. - HUMAN-TRU4]]</f>
        <v>6</v>
      </c>
      <c r="AZ373">
        <f t="shared" si="154"/>
        <v>0.55555555555555558</v>
      </c>
      <c r="BA373" s="32">
        <f t="shared" si="155"/>
        <v>0.77777777777777768</v>
      </c>
      <c r="BB373" s="32">
        <f t="shared" si="156"/>
        <v>0.55555555555555558</v>
      </c>
      <c r="BC373" s="7">
        <f t="shared" si="157"/>
        <v>0.74074074074074081</v>
      </c>
      <c r="BD373" s="7">
        <f t="shared" si="158"/>
        <v>0.62962962962962965</v>
      </c>
      <c r="BE373">
        <f>step3_validation[[#This Row],[AI_OUT1]]</f>
        <v>8</v>
      </c>
      <c r="BF373">
        <f t="shared" si="159"/>
        <v>0.77777777777777779</v>
      </c>
      <c r="BG373">
        <f>survey_responses[[#This Row],[Sau khi xem xét các quyền lợi và nghĩa vụ, bạn có ủng hộ và tuân thủ chính sách mới hiện nay? - HUMAN-OUT1]]</f>
        <v>6</v>
      </c>
      <c r="BH373">
        <f t="shared" si="160"/>
        <v>0.55555555555555558</v>
      </c>
      <c r="BI373" s="32">
        <f t="shared" si="161"/>
        <v>2</v>
      </c>
    </row>
    <row r="374" spans="1:61" x14ac:dyDescent="0.45">
      <c r="A374" s="30">
        <f>step3_validation[[#This Row],[Persona_ID]]</f>
        <v>373</v>
      </c>
      <c r="B374" s="31">
        <f>step3_validation[[#This Row],[Used_Seed]]</f>
        <v>414</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90.612331568130955</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9</v>
      </c>
      <c r="R374">
        <f t="shared" si="135"/>
        <v>0.88888888888888884</v>
      </c>
      <c r="S374">
        <f>survey_responses[[#This Row],[Tôi tin rằng với các quy định quản lý thuế hiện nay, hành vi gian lận hoặc trốn thuế sẽ dễ dàng bị phát hiện và xử lý nghiêm. - HUMAN-ENF1]]</f>
        <v>8</v>
      </c>
      <c r="T374">
        <f t="shared" si="136"/>
        <v>0.77777777777777779</v>
      </c>
      <c r="U374">
        <f>step3_validation[[#This Row],[AI_ENF2]]</f>
        <v>8</v>
      </c>
      <c r="V374">
        <f t="shared" si="137"/>
        <v>0.77777777777777779</v>
      </c>
      <c r="W374">
        <f>survey_responses[[#This Row],[Tôi tin rằng Nhà nước, cơ quan thuế có đủ khả năng và công nghệ để phát hiện, xử lý nghiêm các hành vi trốn thuế. - HUMAN-ENF2]]</f>
        <v>8</v>
      </c>
      <c r="X374">
        <f t="shared" si="138"/>
        <v>0.77777777777777779</v>
      </c>
      <c r="Y374" s="32">
        <f t="shared" si="139"/>
        <v>0.83333333333333326</v>
      </c>
      <c r="Z374" s="32">
        <f t="shared" si="140"/>
        <v>0.77777777777777779</v>
      </c>
      <c r="AA374">
        <f>step3_validation[[#This Row],[AI_FAC1]]</f>
        <v>7</v>
      </c>
      <c r="AB374">
        <f t="shared" si="141"/>
        <v>0.66666666666666663</v>
      </c>
      <c r="AC374">
        <f>survey_responses[[#This Row],[Các thủ tục khai báo thuế VÀ/HOẶC quy trình làm việc với cơ quan thuế đơn giản, tiện lợi, nhanh chóng hơn so với trước đây. - HUMAN-FAC1]]</f>
        <v>9</v>
      </c>
      <c r="AD374">
        <f t="shared" si="142"/>
        <v>0.88888888888888884</v>
      </c>
      <c r="AE374">
        <f>step3_validation[[#This Row],[AI_FAC2]]</f>
        <v>8</v>
      </c>
      <c r="AF374">
        <f t="shared" si="143"/>
        <v>0.77777777777777779</v>
      </c>
      <c r="AG374">
        <f>survey_responses[[#This Row],[So với trước đây, tôi thấy cách tính thuế và các bậc thuế trong phương án mới đơn giản, dễ hiểu và dễ thực hiện hơn. - HUMAN-FAC2]]</f>
        <v>9</v>
      </c>
      <c r="AH374">
        <f t="shared" si="144"/>
        <v>0.88888888888888884</v>
      </c>
      <c r="AI374" s="32">
        <f t="shared" si="145"/>
        <v>0.72222222222222221</v>
      </c>
      <c r="AJ374" s="32">
        <f t="shared" si="146"/>
        <v>0.88888888888888884</v>
      </c>
      <c r="AK374">
        <f>step3_validation[[#This Row],[AI_TRU1]]</f>
        <v>9</v>
      </c>
      <c r="AL374">
        <f t="shared" si="147"/>
        <v>0.88888888888888884</v>
      </c>
      <c r="AM374">
        <f>survey_responses[[#This Row],[Tôi tin rằng Nhà nước, cơ quan thuế sẽ thực thi chính sách mới một cách khách quan, công tâm và đối xử bình đẳng với mọi người nộp thuế.  - HUMAN-TRU1]]</f>
        <v>5</v>
      </c>
      <c r="AN374">
        <f t="shared" si="148"/>
        <v>0.44444444444444442</v>
      </c>
      <c r="AO374">
        <f>step3_validation[[#This Row],[AI_TRU2]]</f>
        <v>9</v>
      </c>
      <c r="AP374">
        <f t="shared" si="149"/>
        <v>0.88888888888888884</v>
      </c>
      <c r="AQ374">
        <f>survey_responses[[#This Row],[Tôi thấy mức thuế tôi phải đóng theo phương án mới là công bằng (người thu nhập như tôi đóng mức này là hợp lý). - HUMAN-TRU2]]</f>
        <v>5</v>
      </c>
      <c r="AR374">
        <f t="shared" si="150"/>
        <v>0.44444444444444442</v>
      </c>
      <c r="AS374">
        <f>step3_validation[[#This Row],[AI_TRU3]]</f>
        <v>8</v>
      </c>
      <c r="AT374">
        <f t="shared" si="151"/>
        <v>0.77777777777777779</v>
      </c>
      <c r="AU374">
        <f>survey_responses[[#This Row],[Tôi tin tưởng số tiền thuế tôi đóng sẽ được Nhà nước sử dụng hiệu quả để cải thiện dịch vụ công (y tế, đường xá...). - HUMAN-TRU3]]</f>
        <v>5</v>
      </c>
      <c r="AV374">
        <f t="shared" si="152"/>
        <v>0.44444444444444442</v>
      </c>
      <c r="AW374">
        <f>step3_validation[[#This Row],[AI_TRU4]]</f>
        <v>9</v>
      </c>
      <c r="AX374">
        <f t="shared" si="153"/>
        <v>0.88888888888888884</v>
      </c>
      <c r="AY374">
        <f>survey_responses[[#This Row],[Tôi thấy Nhà nước đã giải thích rõ ràng, minh bạch về lý do và mục tiêu của việc sửa đổi thuế lần này. - HUMAN-TRU4]]</f>
        <v>6</v>
      </c>
      <c r="AZ374">
        <f t="shared" si="154"/>
        <v>0.55555555555555558</v>
      </c>
      <c r="BA374" s="32">
        <f t="shared" si="155"/>
        <v>0.86111111111111105</v>
      </c>
      <c r="BB374" s="32">
        <f t="shared" si="156"/>
        <v>0.47222222222222221</v>
      </c>
      <c r="BC374" s="7">
        <f t="shared" si="157"/>
        <v>0.80555555555555547</v>
      </c>
      <c r="BD374" s="7">
        <f t="shared" si="158"/>
        <v>0.71296296296296291</v>
      </c>
      <c r="BE374">
        <f>step3_validation[[#This Row],[AI_OUT1]]</f>
        <v>8</v>
      </c>
      <c r="BF374">
        <f t="shared" si="159"/>
        <v>0.77777777777777779</v>
      </c>
      <c r="BG374">
        <f>survey_responses[[#This Row],[Sau khi xem xét các quyền lợi và nghĩa vụ, bạn có ủng hộ và tuân thủ chính sách mới hiện nay? - HUMAN-OUT1]]</f>
        <v>5</v>
      </c>
      <c r="BH374">
        <f t="shared" si="160"/>
        <v>0.44444444444444442</v>
      </c>
      <c r="BI374" s="32">
        <f t="shared" si="161"/>
        <v>3</v>
      </c>
    </row>
    <row r="375" spans="1:61" x14ac:dyDescent="0.45">
      <c r="A375" s="30">
        <f>step3_validation[[#This Row],[Persona_ID]]</f>
        <v>374</v>
      </c>
      <c r="B375" s="31">
        <f>step3_validation[[#This Row],[Used_Seed]]</f>
        <v>415</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44.000095852944739</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9</v>
      </c>
      <c r="R375">
        <f t="shared" si="135"/>
        <v>0.88888888888888884</v>
      </c>
      <c r="S375">
        <f>survey_responses[[#This Row],[Tôi tin rằng với các quy định quản lý thuế hiện nay, hành vi gian lận hoặc trốn thuế sẽ dễ dàng bị phát hiện và xử lý nghiêm. - HUMAN-ENF1]]</f>
        <v>6</v>
      </c>
      <c r="T375">
        <f t="shared" si="136"/>
        <v>0.55555555555555558</v>
      </c>
      <c r="U375">
        <f>step3_validation[[#This Row],[AI_ENF2]]</f>
        <v>8</v>
      </c>
      <c r="V375">
        <f t="shared" si="137"/>
        <v>0.77777777777777779</v>
      </c>
      <c r="W375">
        <f>survey_responses[[#This Row],[Tôi tin rằng Nhà nước, cơ quan thuế có đủ khả năng và công nghệ để phát hiện, xử lý nghiêm các hành vi trốn thuế. - HUMAN-ENF2]]</f>
        <v>6</v>
      </c>
      <c r="X375">
        <f t="shared" si="138"/>
        <v>0.55555555555555558</v>
      </c>
      <c r="Y375" s="32">
        <f t="shared" si="139"/>
        <v>0.83333333333333326</v>
      </c>
      <c r="Z375" s="32">
        <f t="shared" si="140"/>
        <v>0.55555555555555558</v>
      </c>
      <c r="AA375">
        <f>step3_validation[[#This Row],[AI_FAC1]]</f>
        <v>9</v>
      </c>
      <c r="AB375">
        <f t="shared" si="141"/>
        <v>0.88888888888888884</v>
      </c>
      <c r="AC375">
        <f>survey_responses[[#This Row],[Các thủ tục khai báo thuế VÀ/HOẶC quy trình làm việc với cơ quan thuế đơn giản, tiện lợi, nhanh chóng hơn so với trước đây. - HUMAN-FAC1]]</f>
        <v>7</v>
      </c>
      <c r="AD375">
        <f t="shared" si="142"/>
        <v>0.66666666666666663</v>
      </c>
      <c r="AE375">
        <f>step3_validation[[#This Row],[AI_FAC2]]</f>
        <v>8</v>
      </c>
      <c r="AF375">
        <f t="shared" si="143"/>
        <v>0.77777777777777779</v>
      </c>
      <c r="AG375">
        <f>survey_responses[[#This Row],[So với trước đây, tôi thấy cách tính thuế và các bậc thuế trong phương án mới đơn giản, dễ hiểu và dễ thực hiện hơn. - HUMAN-FAC2]]</f>
        <v>7</v>
      </c>
      <c r="AH375">
        <f t="shared" si="144"/>
        <v>0.66666666666666663</v>
      </c>
      <c r="AI375" s="32">
        <f t="shared" si="145"/>
        <v>0.83333333333333326</v>
      </c>
      <c r="AJ375" s="32">
        <f t="shared" si="146"/>
        <v>0.66666666666666663</v>
      </c>
      <c r="AK375">
        <f>step3_validation[[#This Row],[AI_TRU1]]</f>
        <v>9</v>
      </c>
      <c r="AL375">
        <f t="shared" si="147"/>
        <v>0.88888888888888884</v>
      </c>
      <c r="AM375">
        <f>survey_responses[[#This Row],[Tôi tin rằng Nhà nước, cơ quan thuế sẽ thực thi chính sách mới một cách khách quan, công tâm và đối xử bình đẳng với mọi người nộp thuế.  - HUMAN-TRU1]]</f>
        <v>6</v>
      </c>
      <c r="AN375">
        <f t="shared" si="148"/>
        <v>0.55555555555555558</v>
      </c>
      <c r="AO375">
        <f>step3_validation[[#This Row],[AI_TRU2]]</f>
        <v>8</v>
      </c>
      <c r="AP375">
        <f t="shared" si="149"/>
        <v>0.77777777777777779</v>
      </c>
      <c r="AQ375">
        <f>survey_responses[[#This Row],[Tôi thấy mức thuế tôi phải đóng theo phương án mới là công bằng (người thu nhập như tôi đóng mức này là hợp lý). - HUMAN-TRU2]]</f>
        <v>6</v>
      </c>
      <c r="AR375">
        <f t="shared" si="150"/>
        <v>0.55555555555555558</v>
      </c>
      <c r="AS375">
        <f>step3_validation[[#This Row],[AI_TRU3]]</f>
        <v>9</v>
      </c>
      <c r="AT375">
        <f t="shared" si="151"/>
        <v>0.88888888888888884</v>
      </c>
      <c r="AU375">
        <f>survey_responses[[#This Row],[Tôi tin tưởng số tiền thuế tôi đóng sẽ được Nhà nước sử dụng hiệu quả để cải thiện dịch vụ công (y tế, đường xá...). - HUMAN-TRU3]]</f>
        <v>6</v>
      </c>
      <c r="AV375">
        <f t="shared" si="152"/>
        <v>0.55555555555555558</v>
      </c>
      <c r="AW375">
        <f>step3_validation[[#This Row],[AI_TRU4]]</f>
        <v>8</v>
      </c>
      <c r="AX375">
        <f t="shared" si="153"/>
        <v>0.77777777777777779</v>
      </c>
      <c r="AY375">
        <f>survey_responses[[#This Row],[Tôi thấy Nhà nước đã giải thích rõ ràng, minh bạch về lý do và mục tiêu của việc sửa đổi thuế lần này. - HUMAN-TRU4]]</f>
        <v>6</v>
      </c>
      <c r="AZ375">
        <f t="shared" si="154"/>
        <v>0.55555555555555558</v>
      </c>
      <c r="BA375" s="32">
        <f t="shared" si="155"/>
        <v>0.83333333333333326</v>
      </c>
      <c r="BB375" s="32">
        <f t="shared" si="156"/>
        <v>0.55555555555555558</v>
      </c>
      <c r="BC375" s="7">
        <f t="shared" si="157"/>
        <v>0.83333333333333337</v>
      </c>
      <c r="BD375" s="7">
        <f t="shared" si="158"/>
        <v>0.59259259259259267</v>
      </c>
      <c r="BE375">
        <f>step3_validation[[#This Row],[AI_OUT1]]</f>
        <v>9</v>
      </c>
      <c r="BF375">
        <f t="shared" si="159"/>
        <v>0.88888888888888884</v>
      </c>
      <c r="BG375">
        <f>survey_responses[[#This Row],[Sau khi xem xét các quyền lợi và nghĩa vụ, bạn có ủng hộ và tuân thủ chính sách mới hiện nay? - HUMAN-OUT1]]</f>
        <v>6</v>
      </c>
      <c r="BH375">
        <f t="shared" si="160"/>
        <v>0.55555555555555558</v>
      </c>
      <c r="BI375" s="32">
        <f t="shared" si="161"/>
        <v>3</v>
      </c>
    </row>
    <row r="376" spans="1:61" x14ac:dyDescent="0.45">
      <c r="A376" s="30">
        <f>step3_validation[[#This Row],[Persona_ID]]</f>
        <v>375</v>
      </c>
      <c r="B376" s="31">
        <f>step3_validation[[#This Row],[Used_Seed]]</f>
        <v>416</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68.19877745662771</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7</v>
      </c>
      <c r="R376">
        <f t="shared" si="135"/>
        <v>0.66666666666666663</v>
      </c>
      <c r="S376">
        <f>survey_responses[[#This Row],[Tôi tin rằng với các quy định quản lý thuế hiện nay, hành vi gian lận hoặc trốn thuế sẽ dễ dàng bị phát hiện và xử lý nghiêm. - HUMAN-ENF1]]</f>
        <v>8</v>
      </c>
      <c r="T376">
        <f t="shared" si="136"/>
        <v>0.77777777777777779</v>
      </c>
      <c r="U376">
        <f>step3_validation[[#This Row],[AI_ENF2]]</f>
        <v>7</v>
      </c>
      <c r="V376">
        <f t="shared" si="137"/>
        <v>0.66666666666666663</v>
      </c>
      <c r="W376">
        <f>survey_responses[[#This Row],[Tôi tin rằng Nhà nước, cơ quan thuế có đủ khả năng và công nghệ để phát hiện, xử lý nghiêm các hành vi trốn thuế. - HUMAN-ENF2]]</f>
        <v>8</v>
      </c>
      <c r="X376">
        <f t="shared" si="138"/>
        <v>0.77777777777777779</v>
      </c>
      <c r="Y376" s="32">
        <f t="shared" si="139"/>
        <v>0.66666666666666663</v>
      </c>
      <c r="Z376" s="32">
        <f t="shared" si="140"/>
        <v>0.77777777777777779</v>
      </c>
      <c r="AA376">
        <f>step3_validation[[#This Row],[AI_FAC1]]</f>
        <v>8</v>
      </c>
      <c r="AB376">
        <f t="shared" si="141"/>
        <v>0.77777777777777779</v>
      </c>
      <c r="AC376">
        <f>survey_responses[[#This Row],[Các thủ tục khai báo thuế VÀ/HOẶC quy trình làm việc với cơ quan thuế đơn giản, tiện lợi, nhanh chóng hơn so với trước đây. - HUMAN-FAC1]]</f>
        <v>8</v>
      </c>
      <c r="AD376">
        <f t="shared" si="142"/>
        <v>0.77777777777777779</v>
      </c>
      <c r="AE376">
        <f>step3_validation[[#This Row],[AI_FAC2]]</f>
        <v>8</v>
      </c>
      <c r="AF376">
        <f t="shared" si="143"/>
        <v>0.77777777777777779</v>
      </c>
      <c r="AG376">
        <f>survey_responses[[#This Row],[So với trước đây, tôi thấy cách tính thuế và các bậc thuế trong phương án mới đơn giản, dễ hiểu và dễ thực hiện hơn. - HUMAN-FAC2]]</f>
        <v>8</v>
      </c>
      <c r="AH376">
        <f t="shared" si="144"/>
        <v>0.77777777777777779</v>
      </c>
      <c r="AI376" s="32">
        <f t="shared" si="145"/>
        <v>0.77777777777777779</v>
      </c>
      <c r="AJ376" s="32">
        <f t="shared" si="146"/>
        <v>0.77777777777777779</v>
      </c>
      <c r="AK376">
        <f>step3_validation[[#This Row],[AI_TRU1]]</f>
        <v>9</v>
      </c>
      <c r="AL376">
        <f t="shared" si="147"/>
        <v>0.88888888888888884</v>
      </c>
      <c r="AM376">
        <f>survey_responses[[#This Row],[Tôi tin rằng Nhà nước, cơ quan thuế sẽ thực thi chính sách mới một cách khách quan, công tâm và đối xử bình đẳng với mọi người nộp thuế.  - HUMAN-TRU1]]</f>
        <v>7</v>
      </c>
      <c r="AN376">
        <f t="shared" si="148"/>
        <v>0.66666666666666663</v>
      </c>
      <c r="AO376">
        <f>step3_validation[[#This Row],[AI_TRU2]]</f>
        <v>8</v>
      </c>
      <c r="AP376">
        <f t="shared" si="149"/>
        <v>0.77777777777777779</v>
      </c>
      <c r="AQ376">
        <f>survey_responses[[#This Row],[Tôi thấy mức thuế tôi phải đóng theo phương án mới là công bằng (người thu nhập như tôi đóng mức này là hợp lý). - HUMAN-TRU2]]</f>
        <v>6</v>
      </c>
      <c r="AR376">
        <f t="shared" si="150"/>
        <v>0.55555555555555558</v>
      </c>
      <c r="AS376">
        <f>step3_validation[[#This Row],[AI_TRU3]]</f>
        <v>9</v>
      </c>
      <c r="AT376">
        <f t="shared" si="151"/>
        <v>0.88888888888888884</v>
      </c>
      <c r="AU376">
        <f>survey_responses[[#This Row],[Tôi tin tưởng số tiền thuế tôi đóng sẽ được Nhà nước sử dụng hiệu quả để cải thiện dịch vụ công (y tế, đường xá...). - HUMAN-TRU3]]</f>
        <v>6</v>
      </c>
      <c r="AV376">
        <f t="shared" si="152"/>
        <v>0.55555555555555558</v>
      </c>
      <c r="AW376">
        <f>step3_validation[[#This Row],[AI_TRU4]]</f>
        <v>8</v>
      </c>
      <c r="AX376">
        <f t="shared" si="153"/>
        <v>0.77777777777777779</v>
      </c>
      <c r="AY376">
        <f>survey_responses[[#This Row],[Tôi thấy Nhà nước đã giải thích rõ ràng, minh bạch về lý do và mục tiêu của việc sửa đổi thuế lần này. - HUMAN-TRU4]]</f>
        <v>5</v>
      </c>
      <c r="AZ376">
        <f t="shared" si="154"/>
        <v>0.44444444444444442</v>
      </c>
      <c r="BA376" s="32">
        <f t="shared" si="155"/>
        <v>0.83333333333333326</v>
      </c>
      <c r="BB376" s="32">
        <f t="shared" si="156"/>
        <v>0.55555555555555558</v>
      </c>
      <c r="BC376" s="7">
        <f t="shared" si="157"/>
        <v>0.75925925925925919</v>
      </c>
      <c r="BD376" s="7">
        <f t="shared" si="158"/>
        <v>0.70370370370370372</v>
      </c>
      <c r="BE376">
        <f>step3_validation[[#This Row],[AI_OUT1]]</f>
        <v>9</v>
      </c>
      <c r="BF376">
        <f t="shared" si="159"/>
        <v>0.88888888888888884</v>
      </c>
      <c r="BG376">
        <f>survey_responses[[#This Row],[Sau khi xem xét các quyền lợi và nghĩa vụ, bạn có ủng hộ và tuân thủ chính sách mới hiện nay? - HUMAN-OUT1]]</f>
        <v>7</v>
      </c>
      <c r="BH376">
        <f t="shared" si="160"/>
        <v>0.66666666666666663</v>
      </c>
      <c r="BI376" s="32">
        <f t="shared" si="161"/>
        <v>2</v>
      </c>
    </row>
    <row r="377" spans="1:61" x14ac:dyDescent="0.45">
      <c r="A377" s="30">
        <f>step3_validation[[#This Row],[Persona_ID]]</f>
        <v>376</v>
      </c>
      <c r="B377" s="31">
        <f>step3_validation[[#This Row],[Used_Seed]]</f>
        <v>417</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18.778632115297356</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6</v>
      </c>
      <c r="R377">
        <f t="shared" si="135"/>
        <v>0.55555555555555558</v>
      </c>
      <c r="S377">
        <f>survey_responses[[#This Row],[Tôi tin rằng với các quy định quản lý thuế hiện nay, hành vi gian lận hoặc trốn thuế sẽ dễ dàng bị phát hiện và xử lý nghiêm. - HUMAN-ENF1]]</f>
        <v>6</v>
      </c>
      <c r="T377">
        <f t="shared" si="136"/>
        <v>0.55555555555555558</v>
      </c>
      <c r="U377">
        <f>step3_validation[[#This Row],[AI_ENF2]]</f>
        <v>8</v>
      </c>
      <c r="V377">
        <f t="shared" si="137"/>
        <v>0.77777777777777779</v>
      </c>
      <c r="W377">
        <f>survey_responses[[#This Row],[Tôi tin rằng Nhà nước, cơ quan thuế có đủ khả năng và công nghệ để phát hiện, xử lý nghiêm các hành vi trốn thuế. - HUMAN-ENF2]]</f>
        <v>6</v>
      </c>
      <c r="X377">
        <f t="shared" si="138"/>
        <v>0.55555555555555558</v>
      </c>
      <c r="Y377" s="32">
        <f t="shared" si="139"/>
        <v>0.66666666666666674</v>
      </c>
      <c r="Z377" s="32">
        <f t="shared" si="140"/>
        <v>0.55555555555555558</v>
      </c>
      <c r="AA377">
        <f>step3_validation[[#This Row],[AI_FAC1]]</f>
        <v>7</v>
      </c>
      <c r="AB377">
        <f t="shared" si="141"/>
        <v>0.66666666666666663</v>
      </c>
      <c r="AC377">
        <f>survey_responses[[#This Row],[Các thủ tục khai báo thuế VÀ/HOẶC quy trình làm việc với cơ quan thuế đơn giản, tiện lợi, nhanh chóng hơn so với trước đây. - HUMAN-FAC1]]</f>
        <v>5</v>
      </c>
      <c r="AD377">
        <f t="shared" si="142"/>
        <v>0.44444444444444442</v>
      </c>
      <c r="AE377">
        <f>step3_validation[[#This Row],[AI_FAC2]]</f>
        <v>9</v>
      </c>
      <c r="AF377">
        <f t="shared" si="143"/>
        <v>0.88888888888888884</v>
      </c>
      <c r="AG377">
        <f>survey_responses[[#This Row],[So với trước đây, tôi thấy cách tính thuế và các bậc thuế trong phương án mới đơn giản, dễ hiểu và dễ thực hiện hơn. - HUMAN-FAC2]]</f>
        <v>7</v>
      </c>
      <c r="AH377">
        <f t="shared" si="144"/>
        <v>0.66666666666666663</v>
      </c>
      <c r="AI377" s="32">
        <f t="shared" si="145"/>
        <v>0.77777777777777768</v>
      </c>
      <c r="AJ377" s="32">
        <f t="shared" si="146"/>
        <v>0.55555555555555558</v>
      </c>
      <c r="AK377">
        <f>step3_validation[[#This Row],[AI_TRU1]]</f>
        <v>7</v>
      </c>
      <c r="AL377">
        <f t="shared" si="147"/>
        <v>0.66666666666666663</v>
      </c>
      <c r="AM377">
        <f>survey_responses[[#This Row],[Tôi tin rằng Nhà nước, cơ quan thuế sẽ thực thi chính sách mới một cách khách quan, công tâm và đối xử bình đẳng với mọi người nộp thuế.  - HUMAN-TRU1]]</f>
        <v>6</v>
      </c>
      <c r="AN377">
        <f t="shared" si="148"/>
        <v>0.55555555555555558</v>
      </c>
      <c r="AO377">
        <f>step3_validation[[#This Row],[AI_TRU2]]</f>
        <v>8</v>
      </c>
      <c r="AP377">
        <f t="shared" si="149"/>
        <v>0.77777777777777779</v>
      </c>
      <c r="AQ377">
        <f>survey_responses[[#This Row],[Tôi thấy mức thuế tôi phải đóng theo phương án mới là công bằng (người thu nhập như tôi đóng mức này là hợp lý). - HUMAN-TRU2]]</f>
        <v>7</v>
      </c>
      <c r="AR377">
        <f t="shared" si="150"/>
        <v>0.66666666666666663</v>
      </c>
      <c r="AS377">
        <f>step3_validation[[#This Row],[AI_TRU3]]</f>
        <v>7</v>
      </c>
      <c r="AT377">
        <f t="shared" si="151"/>
        <v>0.66666666666666663</v>
      </c>
      <c r="AU377">
        <f>survey_responses[[#This Row],[Tôi tin tưởng số tiền thuế tôi đóng sẽ được Nhà nước sử dụng hiệu quả để cải thiện dịch vụ công (y tế, đường xá...). - HUMAN-TRU3]]</f>
        <v>5</v>
      </c>
      <c r="AV377">
        <f t="shared" si="152"/>
        <v>0.44444444444444442</v>
      </c>
      <c r="AW377">
        <f>step3_validation[[#This Row],[AI_TRU4]]</f>
        <v>6</v>
      </c>
      <c r="AX377">
        <f t="shared" si="153"/>
        <v>0.55555555555555558</v>
      </c>
      <c r="AY377">
        <f>survey_responses[[#This Row],[Tôi thấy Nhà nước đã giải thích rõ ràng, minh bạch về lý do và mục tiêu của việc sửa đổi thuế lần này. - HUMAN-TRU4]]</f>
        <v>6</v>
      </c>
      <c r="AZ377">
        <f t="shared" si="154"/>
        <v>0.55555555555555558</v>
      </c>
      <c r="BA377" s="32">
        <f t="shared" si="155"/>
        <v>0.66666666666666674</v>
      </c>
      <c r="BB377" s="32">
        <f t="shared" si="156"/>
        <v>0.55555555555555558</v>
      </c>
      <c r="BC377" s="7">
        <f t="shared" si="157"/>
        <v>0.70370370370370372</v>
      </c>
      <c r="BD377" s="7">
        <f t="shared" si="158"/>
        <v>0.55555555555555558</v>
      </c>
      <c r="BE377">
        <f>step3_validation[[#This Row],[AI_OUT1]]</f>
        <v>8</v>
      </c>
      <c r="BF377">
        <f t="shared" si="159"/>
        <v>0.77777777777777779</v>
      </c>
      <c r="BG377">
        <f>survey_responses[[#This Row],[Sau khi xem xét các quyền lợi và nghĩa vụ, bạn có ủng hộ và tuân thủ chính sách mới hiện nay? - HUMAN-OUT1]]</f>
        <v>7</v>
      </c>
      <c r="BH377">
        <f t="shared" si="160"/>
        <v>0.66666666666666663</v>
      </c>
      <c r="BI377" s="32">
        <f t="shared" si="161"/>
        <v>1</v>
      </c>
    </row>
    <row r="378" spans="1:61" x14ac:dyDescent="0.45">
      <c r="A378" s="30">
        <f>step3_validation[[#This Row],[Persona_ID]]</f>
        <v>377</v>
      </c>
      <c r="B378" s="31">
        <f>step3_validation[[#This Row],[Used_Seed]]</f>
        <v>418</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12.80522755237557</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8</v>
      </c>
      <c r="R378">
        <f t="shared" si="135"/>
        <v>0.77777777777777779</v>
      </c>
      <c r="S378">
        <f>survey_responses[[#This Row],[Tôi tin rằng với các quy định quản lý thuế hiện nay, hành vi gian lận hoặc trốn thuế sẽ dễ dàng bị phát hiện và xử lý nghiêm. - HUMAN-ENF1]]</f>
        <v>7</v>
      </c>
      <c r="T378">
        <f t="shared" si="136"/>
        <v>0.66666666666666663</v>
      </c>
      <c r="U378">
        <f>step3_validation[[#This Row],[AI_ENF2]]</f>
        <v>9</v>
      </c>
      <c r="V378">
        <f t="shared" si="137"/>
        <v>0.88888888888888884</v>
      </c>
      <c r="W378">
        <f>survey_responses[[#This Row],[Tôi tin rằng Nhà nước, cơ quan thuế có đủ khả năng và công nghệ để phát hiện, xử lý nghiêm các hành vi trốn thuế. - HUMAN-ENF2]]</f>
        <v>8</v>
      </c>
      <c r="X378">
        <f t="shared" si="138"/>
        <v>0.77777777777777779</v>
      </c>
      <c r="Y378" s="32">
        <f t="shared" si="139"/>
        <v>0.83333333333333326</v>
      </c>
      <c r="Z378" s="32">
        <f t="shared" si="140"/>
        <v>0.72222222222222221</v>
      </c>
      <c r="AA378">
        <f>step3_validation[[#This Row],[AI_FAC1]]</f>
        <v>8</v>
      </c>
      <c r="AB378">
        <f t="shared" si="141"/>
        <v>0.77777777777777779</v>
      </c>
      <c r="AC378">
        <f>survey_responses[[#This Row],[Các thủ tục khai báo thuế VÀ/HOẶC quy trình làm việc với cơ quan thuế đơn giản, tiện lợi, nhanh chóng hơn so với trước đây. - HUMAN-FAC1]]</f>
        <v>7</v>
      </c>
      <c r="AD378">
        <f t="shared" si="142"/>
        <v>0.66666666666666663</v>
      </c>
      <c r="AE378">
        <f>step3_validation[[#This Row],[AI_FAC2]]</f>
        <v>9</v>
      </c>
      <c r="AF378">
        <f t="shared" si="143"/>
        <v>0.88888888888888884</v>
      </c>
      <c r="AG378">
        <f>survey_responses[[#This Row],[So với trước đây, tôi thấy cách tính thuế và các bậc thuế trong phương án mới đơn giản, dễ hiểu và dễ thực hiện hơn. - HUMAN-FAC2]]</f>
        <v>7</v>
      </c>
      <c r="AH378">
        <f t="shared" si="144"/>
        <v>0.66666666666666663</v>
      </c>
      <c r="AI378" s="32">
        <f t="shared" si="145"/>
        <v>0.83333333333333326</v>
      </c>
      <c r="AJ378" s="32">
        <f t="shared" si="146"/>
        <v>0.66666666666666663</v>
      </c>
      <c r="AK378">
        <f>step3_validation[[#This Row],[AI_TRU1]]</f>
        <v>8</v>
      </c>
      <c r="AL378">
        <f t="shared" si="147"/>
        <v>0.77777777777777779</v>
      </c>
      <c r="AM378">
        <f>survey_responses[[#This Row],[Tôi tin rằng Nhà nước, cơ quan thuế sẽ thực thi chính sách mới một cách khách quan, công tâm và đối xử bình đẳng với mọi người nộp thuế.  - HUMAN-TRU1]]</f>
        <v>8</v>
      </c>
      <c r="AN378">
        <f t="shared" si="148"/>
        <v>0.77777777777777779</v>
      </c>
      <c r="AO378">
        <f>step3_validation[[#This Row],[AI_TRU2]]</f>
        <v>9</v>
      </c>
      <c r="AP378">
        <f t="shared" si="149"/>
        <v>0.88888888888888884</v>
      </c>
      <c r="AQ378">
        <f>survey_responses[[#This Row],[Tôi thấy mức thuế tôi phải đóng theo phương án mới là công bằng (người thu nhập như tôi đóng mức này là hợp lý). - HUMAN-TRU2]]</f>
        <v>9</v>
      </c>
      <c r="AR378">
        <f t="shared" si="150"/>
        <v>0.88888888888888884</v>
      </c>
      <c r="AS378">
        <f>step3_validation[[#This Row],[AI_TRU3]]</f>
        <v>8</v>
      </c>
      <c r="AT378">
        <f t="shared" si="151"/>
        <v>0.77777777777777779</v>
      </c>
      <c r="AU378">
        <f>survey_responses[[#This Row],[Tôi tin tưởng số tiền thuế tôi đóng sẽ được Nhà nước sử dụng hiệu quả để cải thiện dịch vụ công (y tế, đường xá...). - HUMAN-TRU3]]</f>
        <v>7</v>
      </c>
      <c r="AV378">
        <f t="shared" si="152"/>
        <v>0.66666666666666663</v>
      </c>
      <c r="AW378">
        <f>step3_validation[[#This Row],[AI_TRU4]]</f>
        <v>9</v>
      </c>
      <c r="AX378">
        <f t="shared" si="153"/>
        <v>0.88888888888888884</v>
      </c>
      <c r="AY378">
        <f>survey_responses[[#This Row],[Tôi thấy Nhà nước đã giải thích rõ ràng, minh bạch về lý do và mục tiêu của việc sửa đổi thuế lần này. - HUMAN-TRU4]]</f>
        <v>7</v>
      </c>
      <c r="AZ378">
        <f t="shared" si="154"/>
        <v>0.66666666666666663</v>
      </c>
      <c r="BA378" s="32">
        <f t="shared" si="155"/>
        <v>0.83333333333333326</v>
      </c>
      <c r="BB378" s="32">
        <f t="shared" si="156"/>
        <v>0.74999999999999989</v>
      </c>
      <c r="BC378" s="7">
        <f t="shared" si="157"/>
        <v>0.83333333333333337</v>
      </c>
      <c r="BD378" s="7">
        <f t="shared" si="158"/>
        <v>0.71296296296296291</v>
      </c>
      <c r="BE378">
        <f>step3_validation[[#This Row],[AI_OUT1]]</f>
        <v>10</v>
      </c>
      <c r="BF378">
        <f t="shared" si="159"/>
        <v>1</v>
      </c>
      <c r="BG378">
        <f>survey_responses[[#This Row],[Sau khi xem xét các quyền lợi và nghĩa vụ, bạn có ủng hộ và tuân thủ chính sách mới hiện nay? - HUMAN-OUT1]]</f>
        <v>8</v>
      </c>
      <c r="BH378">
        <f t="shared" si="160"/>
        <v>0.77777777777777779</v>
      </c>
      <c r="BI378" s="32">
        <f t="shared" si="161"/>
        <v>2</v>
      </c>
    </row>
    <row r="379" spans="1:61" x14ac:dyDescent="0.45">
      <c r="A379" s="30">
        <f>step3_validation[[#This Row],[Persona_ID]]</f>
        <v>378</v>
      </c>
      <c r="B379" s="31">
        <f>step3_validation[[#This Row],[Used_Seed]]</f>
        <v>419</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19.054677002787088</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f t="shared" si="135"/>
        <v>0.66666666666666663</v>
      </c>
      <c r="S379">
        <f>survey_responses[[#This Row],[Tôi tin rằng với các quy định quản lý thuế hiện nay, hành vi gian lận hoặc trốn thuế sẽ dễ dàng bị phát hiện và xử lý nghiêm. - HUMAN-ENF1]]</f>
        <v>6</v>
      </c>
      <c r="T379">
        <f t="shared" si="136"/>
        <v>0.55555555555555558</v>
      </c>
      <c r="U379">
        <f>step3_validation[[#This Row],[AI_ENF2]]</f>
        <v>6</v>
      </c>
      <c r="V379">
        <f t="shared" si="137"/>
        <v>0.55555555555555558</v>
      </c>
      <c r="W379">
        <f>survey_responses[[#This Row],[Tôi tin rằng Nhà nước, cơ quan thuế có đủ khả năng và công nghệ để phát hiện, xử lý nghiêm các hành vi trốn thuế. - HUMAN-ENF2]]</f>
        <v>7</v>
      </c>
      <c r="X379">
        <f t="shared" si="138"/>
        <v>0.66666666666666663</v>
      </c>
      <c r="Y379" s="32">
        <f t="shared" si="139"/>
        <v>0.61111111111111116</v>
      </c>
      <c r="Z379" s="32">
        <f t="shared" si="140"/>
        <v>0.61111111111111116</v>
      </c>
      <c r="AA379">
        <f>step3_validation[[#This Row],[AI_FAC1]]</f>
        <v>8</v>
      </c>
      <c r="AB379">
        <f t="shared" si="141"/>
        <v>0.77777777777777779</v>
      </c>
      <c r="AC379">
        <f>survey_responses[[#This Row],[Các thủ tục khai báo thuế VÀ/HOẶC quy trình làm việc với cơ quan thuế đơn giản, tiện lợi, nhanh chóng hơn so với trước đây. - HUMAN-FAC1]]</f>
        <v>5</v>
      </c>
      <c r="AD379">
        <f t="shared" si="142"/>
        <v>0.44444444444444442</v>
      </c>
      <c r="AE379">
        <f>step3_validation[[#This Row],[AI_FAC2]]</f>
        <v>9</v>
      </c>
      <c r="AF379">
        <f t="shared" si="143"/>
        <v>0.88888888888888884</v>
      </c>
      <c r="AG379">
        <f>survey_responses[[#This Row],[So với trước đây, tôi thấy cách tính thuế và các bậc thuế trong phương án mới đơn giản, dễ hiểu và dễ thực hiện hơn. - HUMAN-FAC2]]</f>
        <v>8</v>
      </c>
      <c r="AH379">
        <f t="shared" si="144"/>
        <v>0.77777777777777779</v>
      </c>
      <c r="AI379" s="32">
        <f t="shared" si="145"/>
        <v>0.83333333333333326</v>
      </c>
      <c r="AJ379" s="32">
        <f t="shared" si="146"/>
        <v>0.61111111111111116</v>
      </c>
      <c r="AK379">
        <f>step3_validation[[#This Row],[AI_TRU1]]</f>
        <v>7</v>
      </c>
      <c r="AL379">
        <f t="shared" si="147"/>
        <v>0.66666666666666663</v>
      </c>
      <c r="AM379">
        <f>survey_responses[[#This Row],[Tôi tin rằng Nhà nước, cơ quan thuế sẽ thực thi chính sách mới một cách khách quan, công tâm và đối xử bình đẳng với mọi người nộp thuế.  - HUMAN-TRU1]]</f>
        <v>7</v>
      </c>
      <c r="AN379">
        <f t="shared" si="148"/>
        <v>0.66666666666666663</v>
      </c>
      <c r="AO379">
        <f>step3_validation[[#This Row],[AI_TRU2]]</f>
        <v>8</v>
      </c>
      <c r="AP379">
        <f t="shared" si="149"/>
        <v>0.77777777777777779</v>
      </c>
      <c r="AQ379">
        <f>survey_responses[[#This Row],[Tôi thấy mức thuế tôi phải đóng theo phương án mới là công bằng (người thu nhập như tôi đóng mức này là hợp lý). - HUMAN-TRU2]]</f>
        <v>7</v>
      </c>
      <c r="AR379">
        <f t="shared" si="150"/>
        <v>0.66666666666666663</v>
      </c>
      <c r="AS379">
        <f>step3_validation[[#This Row],[AI_TRU3]]</f>
        <v>7</v>
      </c>
      <c r="AT379">
        <f t="shared" si="151"/>
        <v>0.66666666666666663</v>
      </c>
      <c r="AU379">
        <f>survey_responses[[#This Row],[Tôi tin tưởng số tiền thuế tôi đóng sẽ được Nhà nước sử dụng hiệu quả để cải thiện dịch vụ công (y tế, đường xá...). - HUMAN-TRU3]]</f>
        <v>7</v>
      </c>
      <c r="AV379">
        <f t="shared" si="152"/>
        <v>0.66666666666666663</v>
      </c>
      <c r="AW379">
        <f>step3_validation[[#This Row],[AI_TRU4]]</f>
        <v>6</v>
      </c>
      <c r="AX379">
        <f t="shared" si="153"/>
        <v>0.55555555555555558</v>
      </c>
      <c r="AY379">
        <f>survey_responses[[#This Row],[Tôi thấy Nhà nước đã giải thích rõ ràng, minh bạch về lý do và mục tiêu của việc sửa đổi thuế lần này. - HUMAN-TRU4]]</f>
        <v>7</v>
      </c>
      <c r="AZ379">
        <f t="shared" si="154"/>
        <v>0.66666666666666663</v>
      </c>
      <c r="BA379" s="32">
        <f t="shared" si="155"/>
        <v>0.66666666666666674</v>
      </c>
      <c r="BB379" s="32">
        <f t="shared" si="156"/>
        <v>0.66666666666666663</v>
      </c>
      <c r="BC379" s="7">
        <f t="shared" si="157"/>
        <v>0.70370370370370372</v>
      </c>
      <c r="BD379" s="7">
        <f t="shared" si="158"/>
        <v>0.62962962962962965</v>
      </c>
      <c r="BE379">
        <f>step3_validation[[#This Row],[AI_OUT1]]</f>
        <v>9</v>
      </c>
      <c r="BF379">
        <f t="shared" si="159"/>
        <v>0.88888888888888884</v>
      </c>
      <c r="BG379">
        <f>survey_responses[[#This Row],[Sau khi xem xét các quyền lợi và nghĩa vụ, bạn có ủng hộ và tuân thủ chính sách mới hiện nay? - HUMAN-OUT1]]</f>
        <v>8</v>
      </c>
      <c r="BH379">
        <f t="shared" si="160"/>
        <v>0.77777777777777779</v>
      </c>
      <c r="BI379" s="32">
        <f t="shared" si="161"/>
        <v>1</v>
      </c>
    </row>
    <row r="380" spans="1:61" x14ac:dyDescent="0.45">
      <c r="A380" s="30">
        <f>step3_validation[[#This Row],[Persona_ID]]</f>
        <v>379</v>
      </c>
      <c r="B380" s="31">
        <f>step3_validation[[#This Row],[Used_Seed]]</f>
        <v>420</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14.825139556692614</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9</v>
      </c>
      <c r="R380">
        <f t="shared" si="135"/>
        <v>0.88888888888888884</v>
      </c>
      <c r="S380">
        <f>survey_responses[[#This Row],[Tôi tin rằng với các quy định quản lý thuế hiện nay, hành vi gian lận hoặc trốn thuế sẽ dễ dàng bị phát hiện và xử lý nghiêm. - HUMAN-ENF1]]</f>
        <v>8</v>
      </c>
      <c r="T380">
        <f t="shared" si="136"/>
        <v>0.77777777777777779</v>
      </c>
      <c r="U380">
        <f>step3_validation[[#This Row],[AI_ENF2]]</f>
        <v>8</v>
      </c>
      <c r="V380">
        <f t="shared" si="137"/>
        <v>0.77777777777777779</v>
      </c>
      <c r="W380">
        <f>survey_responses[[#This Row],[Tôi tin rằng Nhà nước, cơ quan thuế có đủ khả năng và công nghệ để phát hiện, xử lý nghiêm các hành vi trốn thuế. - HUMAN-ENF2]]</f>
        <v>8</v>
      </c>
      <c r="X380">
        <f t="shared" si="138"/>
        <v>0.77777777777777779</v>
      </c>
      <c r="Y380" s="32">
        <f t="shared" si="139"/>
        <v>0.83333333333333326</v>
      </c>
      <c r="Z380" s="32">
        <f t="shared" si="140"/>
        <v>0.77777777777777779</v>
      </c>
      <c r="AA380">
        <f>step3_validation[[#This Row],[AI_FAC1]]</f>
        <v>7</v>
      </c>
      <c r="AB380">
        <f t="shared" si="141"/>
        <v>0.66666666666666663</v>
      </c>
      <c r="AC380">
        <f>survey_responses[[#This Row],[Các thủ tục khai báo thuế VÀ/HOẶC quy trình làm việc với cơ quan thuế đơn giản, tiện lợi, nhanh chóng hơn so với trước đây. - HUMAN-FAC1]]</f>
        <v>9</v>
      </c>
      <c r="AD380">
        <f t="shared" si="142"/>
        <v>0.88888888888888884</v>
      </c>
      <c r="AE380">
        <f>step3_validation[[#This Row],[AI_FAC2]]</f>
        <v>9</v>
      </c>
      <c r="AF380">
        <f t="shared" si="143"/>
        <v>0.88888888888888884</v>
      </c>
      <c r="AG380">
        <f>survey_responses[[#This Row],[So với trước đây, tôi thấy cách tính thuế và các bậc thuế trong phương án mới đơn giản, dễ hiểu và dễ thực hiện hơn. - HUMAN-FAC2]]</f>
        <v>9</v>
      </c>
      <c r="AH380">
        <f t="shared" si="144"/>
        <v>0.88888888888888884</v>
      </c>
      <c r="AI380" s="32">
        <f t="shared" si="145"/>
        <v>0.77777777777777768</v>
      </c>
      <c r="AJ380" s="32">
        <f t="shared" si="146"/>
        <v>0.88888888888888884</v>
      </c>
      <c r="AK380">
        <f>step3_validation[[#This Row],[AI_TRU1]]</f>
        <v>8</v>
      </c>
      <c r="AL380">
        <f t="shared" si="147"/>
        <v>0.77777777777777779</v>
      </c>
      <c r="AM380">
        <f>survey_responses[[#This Row],[Tôi tin rằng Nhà nước, cơ quan thuế sẽ thực thi chính sách mới một cách khách quan, công tâm và đối xử bình đẳng với mọi người nộp thuế.  - HUMAN-TRU1]]</f>
        <v>7</v>
      </c>
      <c r="AN380">
        <f t="shared" si="148"/>
        <v>0.66666666666666663</v>
      </c>
      <c r="AO380">
        <f>step3_validation[[#This Row],[AI_TRU2]]</f>
        <v>9</v>
      </c>
      <c r="AP380">
        <f t="shared" si="149"/>
        <v>0.88888888888888884</v>
      </c>
      <c r="AQ380">
        <f>survey_responses[[#This Row],[Tôi thấy mức thuế tôi phải đóng theo phương án mới là công bằng (người thu nhập như tôi đóng mức này là hợp lý). - HUMAN-TRU2]]</f>
        <v>9</v>
      </c>
      <c r="AR380">
        <f t="shared" si="150"/>
        <v>0.88888888888888884</v>
      </c>
      <c r="AS380">
        <f>step3_validation[[#This Row],[AI_TRU3]]</f>
        <v>8</v>
      </c>
      <c r="AT380">
        <f t="shared" si="151"/>
        <v>0.77777777777777779</v>
      </c>
      <c r="AU380">
        <f>survey_responses[[#This Row],[Tôi tin tưởng số tiền thuế tôi đóng sẽ được Nhà nước sử dụng hiệu quả để cải thiện dịch vụ công (y tế, đường xá...). - HUMAN-TRU3]]</f>
        <v>7</v>
      </c>
      <c r="AV380">
        <f t="shared" si="152"/>
        <v>0.66666666666666663</v>
      </c>
      <c r="AW380">
        <f>step3_validation[[#This Row],[AI_TRU4]]</f>
        <v>9</v>
      </c>
      <c r="AX380">
        <f t="shared" si="153"/>
        <v>0.88888888888888884</v>
      </c>
      <c r="AY380">
        <f>survey_responses[[#This Row],[Tôi thấy Nhà nước đã giải thích rõ ràng, minh bạch về lý do và mục tiêu của việc sửa đổi thuế lần này. - HUMAN-TRU4]]</f>
        <v>7</v>
      </c>
      <c r="AZ380">
        <f t="shared" si="154"/>
        <v>0.66666666666666663</v>
      </c>
      <c r="BA380" s="32">
        <f t="shared" si="155"/>
        <v>0.83333333333333326</v>
      </c>
      <c r="BB380" s="32">
        <f t="shared" si="156"/>
        <v>0.7222222222222221</v>
      </c>
      <c r="BC380" s="7">
        <f t="shared" si="157"/>
        <v>0.81481481481481477</v>
      </c>
      <c r="BD380" s="7">
        <f t="shared" si="158"/>
        <v>0.79629629629629617</v>
      </c>
      <c r="BE380">
        <f>step3_validation[[#This Row],[AI_OUT1]]</f>
        <v>9</v>
      </c>
      <c r="BF380">
        <f t="shared" si="159"/>
        <v>0.88888888888888884</v>
      </c>
      <c r="BG380">
        <f>survey_responses[[#This Row],[Sau khi xem xét các quyền lợi và nghĩa vụ, bạn có ủng hộ và tuân thủ chính sách mới hiện nay? - HUMAN-OUT1]]</f>
        <v>9</v>
      </c>
      <c r="BH380">
        <f t="shared" si="160"/>
        <v>0.88888888888888884</v>
      </c>
      <c r="BI380" s="32">
        <f t="shared" si="161"/>
        <v>0</v>
      </c>
    </row>
    <row r="381" spans="1:61" x14ac:dyDescent="0.45">
      <c r="A381" s="30">
        <f>step3_validation[[#This Row],[Persona_ID]]</f>
        <v>380</v>
      </c>
      <c r="B381" s="31">
        <f>step3_validation[[#This Row],[Used_Seed]]</f>
        <v>421</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18.625764953839678</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8</v>
      </c>
      <c r="R381">
        <f t="shared" si="135"/>
        <v>0.77777777777777779</v>
      </c>
      <c r="S381">
        <f>survey_responses[[#This Row],[Tôi tin rằng với các quy định quản lý thuế hiện nay, hành vi gian lận hoặc trốn thuế sẽ dễ dàng bị phát hiện và xử lý nghiêm. - HUMAN-ENF1]]</f>
        <v>8</v>
      </c>
      <c r="T381">
        <f t="shared" si="136"/>
        <v>0.77777777777777779</v>
      </c>
      <c r="U381">
        <f>step3_validation[[#This Row],[AI_ENF2]]</f>
        <v>9</v>
      </c>
      <c r="V381">
        <f t="shared" si="137"/>
        <v>0.88888888888888884</v>
      </c>
      <c r="W381">
        <f>survey_responses[[#This Row],[Tôi tin rằng Nhà nước, cơ quan thuế có đủ khả năng và công nghệ để phát hiện, xử lý nghiêm các hành vi trốn thuế. - HUMAN-ENF2]]</f>
        <v>8</v>
      </c>
      <c r="X381">
        <f t="shared" si="138"/>
        <v>0.77777777777777779</v>
      </c>
      <c r="Y381" s="32">
        <f t="shared" si="139"/>
        <v>0.83333333333333326</v>
      </c>
      <c r="Z381" s="32">
        <f t="shared" si="140"/>
        <v>0.77777777777777779</v>
      </c>
      <c r="AA381">
        <f>step3_validation[[#This Row],[AI_FAC1]]</f>
        <v>8</v>
      </c>
      <c r="AB381">
        <f t="shared" si="141"/>
        <v>0.77777777777777779</v>
      </c>
      <c r="AC381">
        <f>survey_responses[[#This Row],[Các thủ tục khai báo thuế VÀ/HOẶC quy trình làm việc với cơ quan thuế đơn giản, tiện lợi, nhanh chóng hơn so với trước đây. - HUMAN-FAC1]]</f>
        <v>5</v>
      </c>
      <c r="AD381">
        <f t="shared" si="142"/>
        <v>0.44444444444444442</v>
      </c>
      <c r="AE381">
        <f>step3_validation[[#This Row],[AI_FAC2]]</f>
        <v>9</v>
      </c>
      <c r="AF381">
        <f t="shared" si="143"/>
        <v>0.88888888888888884</v>
      </c>
      <c r="AG381">
        <f>survey_responses[[#This Row],[So với trước đây, tôi thấy cách tính thuế và các bậc thuế trong phương án mới đơn giản, dễ hiểu và dễ thực hiện hơn. - HUMAN-FAC2]]</f>
        <v>8</v>
      </c>
      <c r="AH381">
        <f t="shared" si="144"/>
        <v>0.77777777777777779</v>
      </c>
      <c r="AI381" s="32">
        <f t="shared" si="145"/>
        <v>0.83333333333333326</v>
      </c>
      <c r="AJ381" s="32">
        <f t="shared" si="146"/>
        <v>0.61111111111111116</v>
      </c>
      <c r="AK381">
        <f>step3_validation[[#This Row],[AI_TRU1]]</f>
        <v>8</v>
      </c>
      <c r="AL381">
        <f t="shared" si="147"/>
        <v>0.77777777777777779</v>
      </c>
      <c r="AM381">
        <f>survey_responses[[#This Row],[Tôi tin rằng Nhà nước, cơ quan thuế sẽ thực thi chính sách mới một cách khách quan, công tâm và đối xử bình đẳng với mọi người nộp thuế.  - HUMAN-TRU1]]</f>
        <v>6</v>
      </c>
      <c r="AN381">
        <f t="shared" si="148"/>
        <v>0.55555555555555558</v>
      </c>
      <c r="AO381">
        <f>step3_validation[[#This Row],[AI_TRU2]]</f>
        <v>9</v>
      </c>
      <c r="AP381">
        <f t="shared" si="149"/>
        <v>0.88888888888888884</v>
      </c>
      <c r="AQ381">
        <f>survey_responses[[#This Row],[Tôi thấy mức thuế tôi phải đóng theo phương án mới là công bằng (người thu nhập như tôi đóng mức này là hợp lý). - HUMAN-TRU2]]</f>
        <v>9</v>
      </c>
      <c r="AR381">
        <f t="shared" si="150"/>
        <v>0.88888888888888884</v>
      </c>
      <c r="AS381">
        <f>step3_validation[[#This Row],[AI_TRU3]]</f>
        <v>8</v>
      </c>
      <c r="AT381">
        <f t="shared" si="151"/>
        <v>0.77777777777777779</v>
      </c>
      <c r="AU381">
        <f>survey_responses[[#This Row],[Tôi tin tưởng số tiền thuế tôi đóng sẽ được Nhà nước sử dụng hiệu quả để cải thiện dịch vụ công (y tế, đường xá...). - HUMAN-TRU3]]</f>
        <v>5</v>
      </c>
      <c r="AV381">
        <f t="shared" si="152"/>
        <v>0.44444444444444442</v>
      </c>
      <c r="AW381">
        <f>step3_validation[[#This Row],[AI_TRU4]]</f>
        <v>9</v>
      </c>
      <c r="AX381">
        <f t="shared" si="153"/>
        <v>0.88888888888888884</v>
      </c>
      <c r="AY381">
        <f>survey_responses[[#This Row],[Tôi thấy Nhà nước đã giải thích rõ ràng, minh bạch về lý do và mục tiêu của việc sửa đổi thuế lần này. - HUMAN-TRU4]]</f>
        <v>7</v>
      </c>
      <c r="AZ381">
        <f t="shared" si="154"/>
        <v>0.66666666666666663</v>
      </c>
      <c r="BA381" s="32">
        <f t="shared" si="155"/>
        <v>0.83333333333333326</v>
      </c>
      <c r="BB381" s="32">
        <f t="shared" si="156"/>
        <v>0.63888888888888884</v>
      </c>
      <c r="BC381" s="7">
        <f t="shared" si="157"/>
        <v>0.83333333333333337</v>
      </c>
      <c r="BD381" s="7">
        <f t="shared" si="158"/>
        <v>0.67592592592592593</v>
      </c>
      <c r="BE381">
        <f>step3_validation[[#This Row],[AI_OUT1]]</f>
        <v>8</v>
      </c>
      <c r="BF381">
        <f t="shared" si="159"/>
        <v>0.77777777777777779</v>
      </c>
      <c r="BG381">
        <f>survey_responses[[#This Row],[Sau khi xem xét các quyền lợi và nghĩa vụ, bạn có ủng hộ và tuân thủ chính sách mới hiện nay? - HUMAN-OUT1]]</f>
        <v>8</v>
      </c>
      <c r="BH381">
        <f t="shared" si="160"/>
        <v>0.77777777777777779</v>
      </c>
      <c r="BI381" s="32">
        <f t="shared" si="161"/>
        <v>0</v>
      </c>
    </row>
    <row r="382" spans="1:61" x14ac:dyDescent="0.45">
      <c r="A382" s="30">
        <f>step3_validation[[#This Row],[Persona_ID]]</f>
        <v>381</v>
      </c>
      <c r="B382" s="31">
        <f>step3_validation[[#This Row],[Used_Seed]]</f>
        <v>422</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16.768256741385734</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8</v>
      </c>
      <c r="R382">
        <f t="shared" si="135"/>
        <v>0.77777777777777779</v>
      </c>
      <c r="S382">
        <f>survey_responses[[#This Row],[Tôi tin rằng với các quy định quản lý thuế hiện nay, hành vi gian lận hoặc trốn thuế sẽ dễ dàng bị phát hiện và xử lý nghiêm. - HUMAN-ENF1]]</f>
        <v>9</v>
      </c>
      <c r="T382">
        <f t="shared" si="136"/>
        <v>0.88888888888888884</v>
      </c>
      <c r="U382">
        <f>step3_validation[[#This Row],[AI_ENF2]]</f>
        <v>9</v>
      </c>
      <c r="V382">
        <f t="shared" si="137"/>
        <v>0.88888888888888884</v>
      </c>
      <c r="W382">
        <f>survey_responses[[#This Row],[Tôi tin rằng Nhà nước, cơ quan thuế có đủ khả năng và công nghệ để phát hiện, xử lý nghiêm các hành vi trốn thuế. - HUMAN-ENF2]]</f>
        <v>9</v>
      </c>
      <c r="X382">
        <f t="shared" si="138"/>
        <v>0.88888888888888884</v>
      </c>
      <c r="Y382" s="32">
        <f t="shared" si="139"/>
        <v>0.83333333333333326</v>
      </c>
      <c r="Z382" s="32">
        <f t="shared" si="140"/>
        <v>0.88888888888888884</v>
      </c>
      <c r="AA382">
        <f>step3_validation[[#This Row],[AI_FAC1]]</f>
        <v>9</v>
      </c>
      <c r="AB382">
        <f t="shared" si="141"/>
        <v>0.88888888888888884</v>
      </c>
      <c r="AC382">
        <f>survey_responses[[#This Row],[Các thủ tục khai báo thuế VÀ/HOẶC quy trình làm việc với cơ quan thuế đơn giản, tiện lợi, nhanh chóng hơn so với trước đây. - HUMAN-FAC1]]</f>
        <v>8</v>
      </c>
      <c r="AD382">
        <f t="shared" si="142"/>
        <v>0.77777777777777779</v>
      </c>
      <c r="AE382">
        <f>step3_validation[[#This Row],[AI_FAC2]]</f>
        <v>9</v>
      </c>
      <c r="AF382">
        <f t="shared" si="143"/>
        <v>0.88888888888888884</v>
      </c>
      <c r="AG382">
        <f>survey_responses[[#This Row],[So với trước đây, tôi thấy cách tính thuế và các bậc thuế trong phương án mới đơn giản, dễ hiểu và dễ thực hiện hơn. - HUMAN-FAC2]]</f>
        <v>9</v>
      </c>
      <c r="AH382">
        <f t="shared" si="144"/>
        <v>0.88888888888888884</v>
      </c>
      <c r="AI382" s="32">
        <f t="shared" si="145"/>
        <v>0.88888888888888884</v>
      </c>
      <c r="AJ382" s="32">
        <f t="shared" si="146"/>
        <v>0.83333333333333326</v>
      </c>
      <c r="AK382">
        <f>step3_validation[[#This Row],[AI_TRU1]]</f>
        <v>8</v>
      </c>
      <c r="AL382">
        <f t="shared" si="147"/>
        <v>0.77777777777777779</v>
      </c>
      <c r="AM382">
        <f>survey_responses[[#This Row],[Tôi tin rằng Nhà nước, cơ quan thuế sẽ thực thi chính sách mới một cách khách quan, công tâm và đối xử bình đẳng với mọi người nộp thuế.  - HUMAN-TRU1]]</f>
        <v>8</v>
      </c>
      <c r="AN382">
        <f t="shared" si="148"/>
        <v>0.77777777777777779</v>
      </c>
      <c r="AO382">
        <f>step3_validation[[#This Row],[AI_TRU2]]</f>
        <v>9</v>
      </c>
      <c r="AP382">
        <f t="shared" si="149"/>
        <v>0.88888888888888884</v>
      </c>
      <c r="AQ382">
        <f>survey_responses[[#This Row],[Tôi thấy mức thuế tôi phải đóng theo phương án mới là công bằng (người thu nhập như tôi đóng mức này là hợp lý). - HUMAN-TRU2]]</f>
        <v>10</v>
      </c>
      <c r="AR382">
        <f t="shared" si="150"/>
        <v>1</v>
      </c>
      <c r="AS382">
        <f>step3_validation[[#This Row],[AI_TRU3]]</f>
        <v>8</v>
      </c>
      <c r="AT382">
        <f t="shared" si="151"/>
        <v>0.77777777777777779</v>
      </c>
      <c r="AU382">
        <f>survey_responses[[#This Row],[Tôi tin tưởng số tiền thuế tôi đóng sẽ được Nhà nước sử dụng hiệu quả để cải thiện dịch vụ công (y tế, đường xá...). - HUMAN-TRU3]]</f>
        <v>8</v>
      </c>
      <c r="AV382">
        <f t="shared" si="152"/>
        <v>0.77777777777777779</v>
      </c>
      <c r="AW382">
        <f>step3_validation[[#This Row],[AI_TRU4]]</f>
        <v>9</v>
      </c>
      <c r="AX382">
        <f t="shared" si="153"/>
        <v>0.88888888888888884</v>
      </c>
      <c r="AY382">
        <f>survey_responses[[#This Row],[Tôi thấy Nhà nước đã giải thích rõ ràng, minh bạch về lý do và mục tiêu của việc sửa đổi thuế lần này. - HUMAN-TRU4]]</f>
        <v>8</v>
      </c>
      <c r="AZ382">
        <f t="shared" si="154"/>
        <v>0.77777777777777779</v>
      </c>
      <c r="BA382" s="32">
        <f t="shared" si="155"/>
        <v>0.83333333333333326</v>
      </c>
      <c r="BB382" s="32">
        <f t="shared" si="156"/>
        <v>0.83333333333333326</v>
      </c>
      <c r="BC382" s="7">
        <f t="shared" si="157"/>
        <v>0.85185185185185175</v>
      </c>
      <c r="BD382" s="7">
        <f t="shared" si="158"/>
        <v>0.85185185185185175</v>
      </c>
      <c r="BE382">
        <f>step3_validation[[#This Row],[AI_OUT1]]</f>
        <v>9</v>
      </c>
      <c r="BF382">
        <f t="shared" si="159"/>
        <v>0.88888888888888884</v>
      </c>
      <c r="BG382">
        <f>survey_responses[[#This Row],[Sau khi xem xét các quyền lợi và nghĩa vụ, bạn có ủng hộ và tuân thủ chính sách mới hiện nay? - HUMAN-OUT1]]</f>
        <v>10</v>
      </c>
      <c r="BH382">
        <f t="shared" si="160"/>
        <v>1</v>
      </c>
      <c r="BI382" s="32">
        <f t="shared" si="161"/>
        <v>1</v>
      </c>
    </row>
    <row r="383" spans="1:61" x14ac:dyDescent="0.45">
      <c r="A383" s="30">
        <f>step3_validation[[#This Row],[Persona_ID]]</f>
        <v>382</v>
      </c>
      <c r="B383" s="31">
        <f>step3_validation[[#This Row],[Used_Seed]]</f>
        <v>423</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21.24022309656339</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f t="shared" si="135"/>
        <v>0.66666666666666663</v>
      </c>
      <c r="S383">
        <f>survey_responses[[#This Row],[Tôi tin rằng với các quy định quản lý thuế hiện nay, hành vi gian lận hoặc trốn thuế sẽ dễ dàng bị phát hiện và xử lý nghiêm. - HUMAN-ENF1]]</f>
        <v>5</v>
      </c>
      <c r="T383">
        <f t="shared" si="136"/>
        <v>0.44444444444444442</v>
      </c>
      <c r="U383">
        <f>step3_validation[[#This Row],[AI_ENF2]]</f>
        <v>6</v>
      </c>
      <c r="V383">
        <f t="shared" si="137"/>
        <v>0.55555555555555558</v>
      </c>
      <c r="W383">
        <f>survey_responses[[#This Row],[Tôi tin rằng Nhà nước, cơ quan thuế có đủ khả năng và công nghệ để phát hiện, xử lý nghiêm các hành vi trốn thuế. - HUMAN-ENF2]]</f>
        <v>5</v>
      </c>
      <c r="X383">
        <f t="shared" si="138"/>
        <v>0.44444444444444442</v>
      </c>
      <c r="Y383" s="32">
        <f t="shared" si="139"/>
        <v>0.61111111111111116</v>
      </c>
      <c r="Z383" s="32">
        <f t="shared" si="140"/>
        <v>0.44444444444444442</v>
      </c>
      <c r="AA383">
        <f>step3_validation[[#This Row],[AI_FAC1]]</f>
        <v>9</v>
      </c>
      <c r="AB383">
        <f t="shared" si="141"/>
        <v>0.88888888888888884</v>
      </c>
      <c r="AC383">
        <f>survey_responses[[#This Row],[Các thủ tục khai báo thuế VÀ/HOẶC quy trình làm việc với cơ quan thuế đơn giản, tiện lợi, nhanh chóng hơn so với trước đây. - HUMAN-FAC1]]</f>
        <v>4</v>
      </c>
      <c r="AD383">
        <f t="shared" si="142"/>
        <v>0.33333333333333331</v>
      </c>
      <c r="AE383">
        <f>step3_validation[[#This Row],[AI_FAC2]]</f>
        <v>10</v>
      </c>
      <c r="AF383">
        <f t="shared" si="143"/>
        <v>1</v>
      </c>
      <c r="AG383">
        <f>survey_responses[[#This Row],[So với trước đây, tôi thấy cách tính thuế và các bậc thuế trong phương án mới đơn giản, dễ hiểu và dễ thực hiện hơn. - HUMAN-FAC2]]</f>
        <v>8</v>
      </c>
      <c r="AH383">
        <f t="shared" si="144"/>
        <v>0.77777777777777779</v>
      </c>
      <c r="AI383" s="32">
        <f t="shared" si="145"/>
        <v>0.94444444444444442</v>
      </c>
      <c r="AJ383" s="32">
        <f t="shared" si="146"/>
        <v>0.55555555555555558</v>
      </c>
      <c r="AK383">
        <f>step3_validation[[#This Row],[AI_TRU1]]</f>
        <v>8</v>
      </c>
      <c r="AL383">
        <f t="shared" si="147"/>
        <v>0.77777777777777779</v>
      </c>
      <c r="AM383">
        <f>survey_responses[[#This Row],[Tôi tin rằng Nhà nước, cơ quan thuế sẽ thực thi chính sách mới một cách khách quan, công tâm và đối xử bình đẳng với mọi người nộp thuế.  - HUMAN-TRU1]]</f>
        <v>4</v>
      </c>
      <c r="AN383">
        <f t="shared" si="148"/>
        <v>0.33333333333333331</v>
      </c>
      <c r="AO383">
        <f>step3_validation[[#This Row],[AI_TRU2]]</f>
        <v>9</v>
      </c>
      <c r="AP383">
        <f t="shared" si="149"/>
        <v>0.88888888888888884</v>
      </c>
      <c r="AQ383">
        <f>survey_responses[[#This Row],[Tôi thấy mức thuế tôi phải đóng theo phương án mới là công bằng (người thu nhập như tôi đóng mức này là hợp lý). - HUMAN-TRU2]]</f>
        <v>8</v>
      </c>
      <c r="AR383">
        <f t="shared" si="150"/>
        <v>0.77777777777777779</v>
      </c>
      <c r="AS383">
        <f>step3_validation[[#This Row],[AI_TRU3]]</f>
        <v>7</v>
      </c>
      <c r="AT383">
        <f t="shared" si="151"/>
        <v>0.66666666666666663</v>
      </c>
      <c r="AU383">
        <f>survey_responses[[#This Row],[Tôi tin tưởng số tiền thuế tôi đóng sẽ được Nhà nước sử dụng hiệu quả để cải thiện dịch vụ công (y tế, đường xá...). - HUMAN-TRU3]]</f>
        <v>4</v>
      </c>
      <c r="AV383">
        <f t="shared" si="152"/>
        <v>0.33333333333333331</v>
      </c>
      <c r="AW383">
        <f>step3_validation[[#This Row],[AI_TRU4]]</f>
        <v>8</v>
      </c>
      <c r="AX383">
        <f t="shared" si="153"/>
        <v>0.77777777777777779</v>
      </c>
      <c r="AY383">
        <f>survey_responses[[#This Row],[Tôi thấy Nhà nước đã giải thích rõ ràng, minh bạch về lý do và mục tiêu của việc sửa đổi thuế lần này. - HUMAN-TRU4]]</f>
        <v>5</v>
      </c>
      <c r="AZ383">
        <f t="shared" si="154"/>
        <v>0.44444444444444442</v>
      </c>
      <c r="BA383" s="32">
        <f t="shared" si="155"/>
        <v>0.77777777777777768</v>
      </c>
      <c r="BB383" s="32">
        <f t="shared" si="156"/>
        <v>0.47222222222222221</v>
      </c>
      <c r="BC383" s="7">
        <f t="shared" si="157"/>
        <v>0.77777777777777768</v>
      </c>
      <c r="BD383" s="7">
        <f t="shared" si="158"/>
        <v>0.49074074074074076</v>
      </c>
      <c r="BE383">
        <f>step3_validation[[#This Row],[AI_OUT1]]</f>
        <v>9</v>
      </c>
      <c r="BF383">
        <f t="shared" si="159"/>
        <v>0.88888888888888884</v>
      </c>
      <c r="BG383">
        <f>survey_responses[[#This Row],[Sau khi xem xét các quyền lợi và nghĩa vụ, bạn có ủng hộ và tuân thủ chính sách mới hiện nay? - HUMAN-OUT1]]</f>
        <v>7</v>
      </c>
      <c r="BH383">
        <f t="shared" si="160"/>
        <v>0.66666666666666663</v>
      </c>
      <c r="BI383" s="32">
        <f t="shared" si="161"/>
        <v>2</v>
      </c>
    </row>
    <row r="384" spans="1:61" x14ac:dyDescent="0.45">
      <c r="A384" s="30">
        <f>step3_validation[[#This Row],[Persona_ID]]</f>
        <v>383</v>
      </c>
      <c r="B384" s="31">
        <f>step3_validation[[#This Row],[Used_Seed]]</f>
        <v>424</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87.308382636723636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f t="shared" si="135"/>
        <v>0.66666666666666663</v>
      </c>
      <c r="S384">
        <f>survey_responses[[#This Row],[Tôi tin rằng với các quy định quản lý thuế hiện nay, hành vi gian lận hoặc trốn thuế sẽ dễ dàng bị phát hiện và xử lý nghiêm. - HUMAN-ENF1]]</f>
        <v>1</v>
      </c>
      <c r="T384">
        <f t="shared" si="136"/>
        <v>0</v>
      </c>
      <c r="U384">
        <f>step3_validation[[#This Row],[AI_ENF2]]</f>
        <v>8</v>
      </c>
      <c r="V384">
        <f t="shared" si="137"/>
        <v>0.77777777777777779</v>
      </c>
      <c r="W384">
        <f>survey_responses[[#This Row],[Tôi tin rằng Nhà nước, cơ quan thuế có đủ khả năng và công nghệ để phát hiện, xử lý nghiêm các hành vi trốn thuế. - HUMAN-ENF2]]</f>
        <v>1</v>
      </c>
      <c r="X384">
        <f t="shared" si="138"/>
        <v>0</v>
      </c>
      <c r="Y384" s="32">
        <f t="shared" si="139"/>
        <v>0.72222222222222221</v>
      </c>
      <c r="Z384" s="32">
        <f t="shared" si="140"/>
        <v>0</v>
      </c>
      <c r="AA384">
        <f>step3_validation[[#This Row],[AI_FAC1]]</f>
        <v>9</v>
      </c>
      <c r="AB384">
        <f t="shared" si="141"/>
        <v>0.88888888888888884</v>
      </c>
      <c r="AC384">
        <f>survey_responses[[#This Row],[Các thủ tục khai báo thuế VÀ/HOẶC quy trình làm việc với cơ quan thuế đơn giản, tiện lợi, nhanh chóng hơn so với trước đây. - HUMAN-FAC1]]</f>
        <v>4</v>
      </c>
      <c r="AD384">
        <f t="shared" si="142"/>
        <v>0.33333333333333331</v>
      </c>
      <c r="AE384">
        <f>step3_validation[[#This Row],[AI_FAC2]]</f>
        <v>9</v>
      </c>
      <c r="AF384">
        <f t="shared" si="143"/>
        <v>0.88888888888888884</v>
      </c>
      <c r="AG384">
        <f>survey_responses[[#This Row],[So với trước đây, tôi thấy cách tính thuế và các bậc thuế trong phương án mới đơn giản, dễ hiểu và dễ thực hiện hơn. - HUMAN-FAC2]]</f>
        <v>5</v>
      </c>
      <c r="AH384">
        <f t="shared" si="144"/>
        <v>0.44444444444444442</v>
      </c>
      <c r="AI384" s="32">
        <f t="shared" si="145"/>
        <v>0.88888888888888884</v>
      </c>
      <c r="AJ384" s="32">
        <f t="shared" si="146"/>
        <v>0.38888888888888884</v>
      </c>
      <c r="AK384">
        <f>step3_validation[[#This Row],[AI_TRU1]]</f>
        <v>8</v>
      </c>
      <c r="AL384">
        <f t="shared" si="147"/>
        <v>0.77777777777777779</v>
      </c>
      <c r="AM384">
        <f>survey_responses[[#This Row],[Tôi tin rằng Nhà nước, cơ quan thuế sẽ thực thi chính sách mới một cách khách quan, công tâm và đối xử bình đẳng với mọi người nộp thuế.  - HUMAN-TRU1]]</f>
        <v>5</v>
      </c>
      <c r="AN384">
        <f t="shared" si="148"/>
        <v>0.44444444444444442</v>
      </c>
      <c r="AO384">
        <f>step3_validation[[#This Row],[AI_TRU2]]</f>
        <v>9</v>
      </c>
      <c r="AP384">
        <f t="shared" si="149"/>
        <v>0.88888888888888884</v>
      </c>
      <c r="AQ384">
        <f>survey_responses[[#This Row],[Tôi thấy mức thuế tôi phải đóng theo phương án mới là công bằng (người thu nhập như tôi đóng mức này là hợp lý). - HUMAN-TRU2]]</f>
        <v>4</v>
      </c>
      <c r="AR384">
        <f t="shared" si="150"/>
        <v>0.33333333333333331</v>
      </c>
      <c r="AS384">
        <f>step3_validation[[#This Row],[AI_TRU3]]</f>
        <v>8</v>
      </c>
      <c r="AT384">
        <f t="shared" si="151"/>
        <v>0.77777777777777779</v>
      </c>
      <c r="AU384">
        <f>survey_responses[[#This Row],[Tôi tin tưởng số tiền thuế tôi đóng sẽ được Nhà nước sử dụng hiệu quả để cải thiện dịch vụ công (y tế, đường xá...). - HUMAN-TRU3]]</f>
        <v>4</v>
      </c>
      <c r="AV384">
        <f t="shared" si="152"/>
        <v>0.33333333333333331</v>
      </c>
      <c r="AW384">
        <f>step3_validation[[#This Row],[AI_TRU4]]</f>
        <v>7</v>
      </c>
      <c r="AX384">
        <f t="shared" si="153"/>
        <v>0.66666666666666663</v>
      </c>
      <c r="AY384">
        <f>survey_responses[[#This Row],[Tôi thấy Nhà nước đã giải thích rõ ràng, minh bạch về lý do và mục tiêu của việc sửa đổi thuế lần này. - HUMAN-TRU4]]</f>
        <v>5</v>
      </c>
      <c r="AZ384">
        <f t="shared" si="154"/>
        <v>0.44444444444444442</v>
      </c>
      <c r="BA384" s="32">
        <f t="shared" si="155"/>
        <v>0.77777777777777768</v>
      </c>
      <c r="BB384" s="32">
        <f t="shared" si="156"/>
        <v>0.38888888888888884</v>
      </c>
      <c r="BC384" s="7">
        <f t="shared" si="157"/>
        <v>0.79629629629629628</v>
      </c>
      <c r="BD384" s="7">
        <f t="shared" si="158"/>
        <v>0.25925925925925924</v>
      </c>
      <c r="BE384">
        <f>step3_validation[[#This Row],[AI_OUT1]]</f>
        <v>9</v>
      </c>
      <c r="BF384">
        <f t="shared" si="159"/>
        <v>0.88888888888888884</v>
      </c>
      <c r="BG384">
        <f>survey_responses[[#This Row],[Sau khi xem xét các quyền lợi và nghĩa vụ, bạn có ủng hộ và tuân thủ chính sách mới hiện nay? - HUMAN-OUT1]]</f>
        <v>3</v>
      </c>
      <c r="BH384">
        <f t="shared" si="160"/>
        <v>0.22222222222222221</v>
      </c>
      <c r="BI384" s="32">
        <f t="shared" si="161"/>
        <v>6</v>
      </c>
    </row>
    <row r="385" spans="1:61" x14ac:dyDescent="0.45">
      <c r="A385" s="30">
        <f>step3_validation[[#This Row],[Persona_ID]]</f>
        <v>384</v>
      </c>
      <c r="B385" s="31">
        <f>step3_validation[[#This Row],[Used_Seed]]</f>
        <v>425</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9</v>
      </c>
      <c r="R385">
        <f t="shared" si="135"/>
        <v>0.88888888888888884</v>
      </c>
      <c r="S385">
        <f>survey_responses[[#This Row],[Tôi tin rằng với các quy định quản lý thuế hiện nay, hành vi gian lận hoặc trốn thuế sẽ dễ dàng bị phát hiện và xử lý nghiêm. - HUMAN-ENF1]]</f>
        <v>7</v>
      </c>
      <c r="T385">
        <f t="shared" si="136"/>
        <v>0.66666666666666663</v>
      </c>
      <c r="U385">
        <f>step3_validation[[#This Row],[AI_ENF2]]</f>
        <v>8</v>
      </c>
      <c r="V385">
        <f t="shared" si="137"/>
        <v>0.77777777777777779</v>
      </c>
      <c r="W385">
        <f>survey_responses[[#This Row],[Tôi tin rằng Nhà nước, cơ quan thuế có đủ khả năng và công nghệ để phát hiện, xử lý nghiêm các hành vi trốn thuế. - HUMAN-ENF2]]</f>
        <v>7</v>
      </c>
      <c r="X385">
        <f t="shared" si="138"/>
        <v>0.66666666666666663</v>
      </c>
      <c r="Y385" s="32">
        <f t="shared" si="139"/>
        <v>0.83333333333333326</v>
      </c>
      <c r="Z385" s="32">
        <f t="shared" si="140"/>
        <v>0.66666666666666663</v>
      </c>
      <c r="AA385">
        <f>step3_validation[[#This Row],[AI_FAC1]]</f>
        <v>9</v>
      </c>
      <c r="AB385">
        <f t="shared" si="141"/>
        <v>0.88888888888888884</v>
      </c>
      <c r="AC385">
        <f>survey_responses[[#This Row],[Các thủ tục khai báo thuế VÀ/HOẶC quy trình làm việc với cơ quan thuế đơn giản, tiện lợi, nhanh chóng hơn so với trước đây. - HUMAN-FAC1]]</f>
        <v>7</v>
      </c>
      <c r="AD385">
        <f t="shared" si="142"/>
        <v>0.66666666666666663</v>
      </c>
      <c r="AE385">
        <f>step3_validation[[#This Row],[AI_FAC2]]</f>
        <v>8</v>
      </c>
      <c r="AF385">
        <f t="shared" si="143"/>
        <v>0.77777777777777779</v>
      </c>
      <c r="AG385">
        <f>survey_responses[[#This Row],[So với trước đây, tôi thấy cách tính thuế và các bậc thuế trong phương án mới đơn giản, dễ hiểu và dễ thực hiện hơn. - HUMAN-FAC2]]</f>
        <v>9</v>
      </c>
      <c r="AH385">
        <f t="shared" si="144"/>
        <v>0.88888888888888884</v>
      </c>
      <c r="AI385" s="32">
        <f t="shared" si="145"/>
        <v>0.83333333333333326</v>
      </c>
      <c r="AJ385" s="32">
        <f t="shared" si="146"/>
        <v>0.77777777777777768</v>
      </c>
      <c r="AK385">
        <f>step3_validation[[#This Row],[AI_TRU1]]</f>
        <v>9</v>
      </c>
      <c r="AL385">
        <f t="shared" si="147"/>
        <v>0.88888888888888884</v>
      </c>
      <c r="AM385">
        <f>survey_responses[[#This Row],[Tôi tin rằng Nhà nước, cơ quan thuế sẽ thực thi chính sách mới một cách khách quan, công tâm và đối xử bình đẳng với mọi người nộp thuế.  - HUMAN-TRU1]]</f>
        <v>8</v>
      </c>
      <c r="AN385">
        <f t="shared" si="148"/>
        <v>0.77777777777777779</v>
      </c>
      <c r="AO385">
        <f>step3_validation[[#This Row],[AI_TRU2]]</f>
        <v>8</v>
      </c>
      <c r="AP385">
        <f t="shared" si="149"/>
        <v>0.77777777777777779</v>
      </c>
      <c r="AQ385">
        <f>survey_responses[[#This Row],[Tôi thấy mức thuế tôi phải đóng theo phương án mới là công bằng (người thu nhập như tôi đóng mức này là hợp lý). - HUMAN-TRU2]]</f>
        <v>10</v>
      </c>
      <c r="AR385">
        <f t="shared" si="150"/>
        <v>1</v>
      </c>
      <c r="AS385">
        <f>step3_validation[[#This Row],[AI_TRU3]]</f>
        <v>9</v>
      </c>
      <c r="AT385">
        <f t="shared" si="151"/>
        <v>0.88888888888888884</v>
      </c>
      <c r="AU385">
        <f>survey_responses[[#This Row],[Tôi tin tưởng số tiền thuế tôi đóng sẽ được Nhà nước sử dụng hiệu quả để cải thiện dịch vụ công (y tế, đường xá...). - HUMAN-TRU3]]</f>
        <v>8</v>
      </c>
      <c r="AV385">
        <f t="shared" si="152"/>
        <v>0.77777777777777779</v>
      </c>
      <c r="AW385">
        <f>step3_validation[[#This Row],[AI_TRU4]]</f>
        <v>8</v>
      </c>
      <c r="AX385">
        <f t="shared" si="153"/>
        <v>0.77777777777777779</v>
      </c>
      <c r="AY385">
        <f>survey_responses[[#This Row],[Tôi thấy Nhà nước đã giải thích rõ ràng, minh bạch về lý do và mục tiêu của việc sửa đổi thuế lần này. - HUMAN-TRU4]]</f>
        <v>7</v>
      </c>
      <c r="AZ385">
        <f t="shared" si="154"/>
        <v>0.66666666666666663</v>
      </c>
      <c r="BA385" s="32">
        <f t="shared" si="155"/>
        <v>0.83333333333333326</v>
      </c>
      <c r="BB385" s="32">
        <f t="shared" si="156"/>
        <v>0.80555555555555547</v>
      </c>
      <c r="BC385" s="7">
        <f t="shared" si="157"/>
        <v>0.83333333333333337</v>
      </c>
      <c r="BD385" s="7">
        <f t="shared" si="158"/>
        <v>0.74999999999999989</v>
      </c>
      <c r="BE385">
        <f>step3_validation[[#This Row],[AI_OUT1]]</f>
        <v>9</v>
      </c>
      <c r="BF385">
        <f t="shared" si="159"/>
        <v>0.88888888888888884</v>
      </c>
      <c r="BG385">
        <f>survey_responses[[#This Row],[Sau khi xem xét các quyền lợi và nghĩa vụ, bạn có ủng hộ và tuân thủ chính sách mới hiện nay? - HUMAN-OUT1]]</f>
        <v>10</v>
      </c>
      <c r="BH385">
        <f t="shared" si="160"/>
        <v>1</v>
      </c>
      <c r="BI385" s="32">
        <f t="shared" si="161"/>
        <v>1</v>
      </c>
    </row>
    <row r="386" spans="1:61" x14ac:dyDescent="0.45">
      <c r="A386" s="30">
        <f>step3_validation[[#This Row],[Persona_ID]]</f>
        <v>385</v>
      </c>
      <c r="B386" s="31">
        <f>step3_validation[[#This Row],[Used_Seed]]</f>
        <v>426</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46.438593179989148</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7</v>
      </c>
      <c r="R386">
        <f t="shared" si="135"/>
        <v>0.66666666666666663</v>
      </c>
      <c r="S386">
        <f>survey_responses[[#This Row],[Tôi tin rằng với các quy định quản lý thuế hiện nay, hành vi gian lận hoặc trốn thuế sẽ dễ dàng bị phát hiện và xử lý nghiêm. - HUMAN-ENF1]]</f>
        <v>3</v>
      </c>
      <c r="T386">
        <f t="shared" si="136"/>
        <v>0.22222222222222221</v>
      </c>
      <c r="U386">
        <f>step3_validation[[#This Row],[AI_ENF2]]</f>
        <v>6</v>
      </c>
      <c r="V386">
        <f t="shared" si="137"/>
        <v>0.55555555555555558</v>
      </c>
      <c r="W386">
        <f>survey_responses[[#This Row],[Tôi tin rằng Nhà nước, cơ quan thuế có đủ khả năng và công nghệ để phát hiện, xử lý nghiêm các hành vi trốn thuế. - HUMAN-ENF2]]</f>
        <v>3</v>
      </c>
      <c r="X386">
        <f t="shared" si="138"/>
        <v>0.22222222222222221</v>
      </c>
      <c r="Y386" s="32">
        <f t="shared" si="139"/>
        <v>0.61111111111111116</v>
      </c>
      <c r="Z386" s="32">
        <f t="shared" si="140"/>
        <v>0.22222222222222221</v>
      </c>
      <c r="AA386">
        <f>step3_validation[[#This Row],[AI_FAC1]]</f>
        <v>8</v>
      </c>
      <c r="AB386">
        <f t="shared" si="141"/>
        <v>0.77777777777777779</v>
      </c>
      <c r="AC386">
        <f>survey_responses[[#This Row],[Các thủ tục khai báo thuế VÀ/HOẶC quy trình làm việc với cơ quan thuế đơn giản, tiện lợi, nhanh chóng hơn so với trước đây. - HUMAN-FAC1]]</f>
        <v>4</v>
      </c>
      <c r="AD386">
        <f t="shared" si="142"/>
        <v>0.33333333333333331</v>
      </c>
      <c r="AE386">
        <f>step3_validation[[#This Row],[AI_FAC2]]</f>
        <v>9</v>
      </c>
      <c r="AF386">
        <f t="shared" si="143"/>
        <v>0.88888888888888884</v>
      </c>
      <c r="AG386">
        <f>survey_responses[[#This Row],[So với trước đây, tôi thấy cách tính thuế và các bậc thuế trong phương án mới đơn giản, dễ hiểu và dễ thực hiện hơn. - HUMAN-FAC2]]</f>
        <v>6</v>
      </c>
      <c r="AH386">
        <f t="shared" si="144"/>
        <v>0.55555555555555558</v>
      </c>
      <c r="AI386" s="32">
        <f t="shared" si="145"/>
        <v>0.83333333333333326</v>
      </c>
      <c r="AJ386" s="32">
        <f t="shared" si="146"/>
        <v>0.44444444444444442</v>
      </c>
      <c r="AK386">
        <f>step3_validation[[#This Row],[AI_TRU1]]</f>
        <v>8</v>
      </c>
      <c r="AL386">
        <f t="shared" si="147"/>
        <v>0.77777777777777779</v>
      </c>
      <c r="AM386">
        <f>survey_responses[[#This Row],[Tôi tin rằng Nhà nước, cơ quan thuế sẽ thực thi chính sách mới một cách khách quan, công tâm và đối xử bình đẳng với mọi người nộp thuế.  - HUMAN-TRU1]]</f>
        <v>4</v>
      </c>
      <c r="AN386">
        <f t="shared" si="148"/>
        <v>0.33333333333333331</v>
      </c>
      <c r="AO386">
        <f>step3_validation[[#This Row],[AI_TRU2]]</f>
        <v>9</v>
      </c>
      <c r="AP386">
        <f t="shared" si="149"/>
        <v>0.88888888888888884</v>
      </c>
      <c r="AQ386">
        <f>survey_responses[[#This Row],[Tôi thấy mức thuế tôi phải đóng theo phương án mới là công bằng (người thu nhập như tôi đóng mức này là hợp lý). - HUMAN-TRU2]]</f>
        <v>5</v>
      </c>
      <c r="AR386">
        <f t="shared" si="150"/>
        <v>0.44444444444444442</v>
      </c>
      <c r="AS386">
        <f>step3_validation[[#This Row],[AI_TRU3]]</f>
        <v>8</v>
      </c>
      <c r="AT386">
        <f t="shared" si="151"/>
        <v>0.77777777777777779</v>
      </c>
      <c r="AU386">
        <f>survey_responses[[#This Row],[Tôi tin tưởng số tiền thuế tôi đóng sẽ được Nhà nước sử dụng hiệu quả để cải thiện dịch vụ công (y tế, đường xá...). - HUMAN-TRU3]]</f>
        <v>4</v>
      </c>
      <c r="AV386">
        <f t="shared" si="152"/>
        <v>0.33333333333333331</v>
      </c>
      <c r="AW386">
        <f>step3_validation[[#This Row],[AI_TRU4]]</f>
        <v>7</v>
      </c>
      <c r="AX386">
        <f t="shared" si="153"/>
        <v>0.66666666666666663</v>
      </c>
      <c r="AY386">
        <f>survey_responses[[#This Row],[Tôi thấy Nhà nước đã giải thích rõ ràng, minh bạch về lý do và mục tiêu của việc sửa đổi thuế lần này. - HUMAN-TRU4]]</f>
        <v>5</v>
      </c>
      <c r="AZ386">
        <f t="shared" si="154"/>
        <v>0.44444444444444442</v>
      </c>
      <c r="BA386" s="32">
        <f t="shared" si="155"/>
        <v>0.77777777777777768</v>
      </c>
      <c r="BB386" s="32">
        <f t="shared" si="156"/>
        <v>0.38888888888888884</v>
      </c>
      <c r="BC386" s="7">
        <f t="shared" si="157"/>
        <v>0.74074074074074081</v>
      </c>
      <c r="BD386" s="7">
        <f t="shared" si="158"/>
        <v>0.3518518518518518</v>
      </c>
      <c r="BE386">
        <f>step3_validation[[#This Row],[AI_OUT1]]</f>
        <v>9</v>
      </c>
      <c r="BF386">
        <f t="shared" si="159"/>
        <v>0.88888888888888884</v>
      </c>
      <c r="BG386">
        <f>survey_responses[[#This Row],[Sau khi xem xét các quyền lợi và nghĩa vụ, bạn có ủng hộ và tuân thủ chính sách mới hiện nay? - HUMAN-OUT1]]</f>
        <v>5</v>
      </c>
      <c r="BH386">
        <f t="shared" si="160"/>
        <v>0.44444444444444442</v>
      </c>
      <c r="BI386" s="32">
        <f t="shared" si="161"/>
        <v>4</v>
      </c>
    </row>
    <row r="387" spans="1:61" x14ac:dyDescent="0.45">
      <c r="A387" s="30">
        <f>step3_validation[[#This Row],[Persona_ID]]</f>
        <v>386</v>
      </c>
      <c r="B387" s="31">
        <f>step3_validation[[#This Row],[Used_Seed]]</f>
        <v>427</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28.744304073137172</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7</v>
      </c>
      <c r="R387">
        <f t="shared" ref="R387:R404" si="162">(Q387-1)/9</f>
        <v>0.66666666666666663</v>
      </c>
      <c r="S387">
        <f>survey_responses[[#This Row],[Tôi tin rằng với các quy định quản lý thuế hiện nay, hành vi gian lận hoặc trốn thuế sẽ dễ dàng bị phát hiện và xử lý nghiêm. - HUMAN-ENF1]]</f>
        <v>8</v>
      </c>
      <c r="T387">
        <f t="shared" ref="T387:T404" si="163">(S387-1)/9</f>
        <v>0.77777777777777779</v>
      </c>
      <c r="U387">
        <f>step3_validation[[#This Row],[AI_ENF2]]</f>
        <v>8</v>
      </c>
      <c r="V387">
        <f t="shared" ref="V387:V404" si="164">(U387-1)/9</f>
        <v>0.77777777777777779</v>
      </c>
      <c r="W387">
        <f>survey_responses[[#This Row],[Tôi tin rằng Nhà nước, cơ quan thuế có đủ khả năng và công nghệ để phát hiện, xử lý nghiêm các hành vi trốn thuế. - HUMAN-ENF2]]</f>
        <v>8</v>
      </c>
      <c r="X387">
        <f t="shared" ref="X387:X404" si="165">(W387-1)/9</f>
        <v>0.77777777777777779</v>
      </c>
      <c r="Y387" s="32">
        <f t="shared" ref="Y387:Y404" si="166">AVERAGE(R387,V387)</f>
        <v>0.72222222222222221</v>
      </c>
      <c r="Z387" s="32">
        <f t="shared" ref="Z387:Z404" si="167">AVERAGE(T387,X387)</f>
        <v>0.77777777777777779</v>
      </c>
      <c r="AA387">
        <f>step3_validation[[#This Row],[AI_FAC1]]</f>
        <v>6</v>
      </c>
      <c r="AB387">
        <f t="shared" ref="AB387:AB404" si="168">(AA387-1)/9</f>
        <v>0.55555555555555558</v>
      </c>
      <c r="AC387">
        <f>survey_responses[[#This Row],[Các thủ tục khai báo thuế VÀ/HOẶC quy trình làm việc với cơ quan thuế đơn giản, tiện lợi, nhanh chóng hơn so với trước đây. - HUMAN-FAC1]]</f>
        <v>9</v>
      </c>
      <c r="AD387">
        <f t="shared" ref="AD387:AD404" si="169">(AC387-1)/9</f>
        <v>0.88888888888888884</v>
      </c>
      <c r="AE387">
        <f>step3_validation[[#This Row],[AI_FAC2]]</f>
        <v>9</v>
      </c>
      <c r="AF387">
        <f t="shared" ref="AF387:AF404" si="170">(AE387-1)/9</f>
        <v>0.88888888888888884</v>
      </c>
      <c r="AG387">
        <f>survey_responses[[#This Row],[So với trước đây, tôi thấy cách tính thuế và các bậc thuế trong phương án mới đơn giản, dễ hiểu và dễ thực hiện hơn. - HUMAN-FAC2]]</f>
        <v>8</v>
      </c>
      <c r="AH387">
        <f t="shared" ref="AH387:AH404" si="171">(AG387-1)/9</f>
        <v>0.77777777777777779</v>
      </c>
      <c r="AI387" s="32">
        <f t="shared" ref="AI387:AI404" si="172">AVERAGE(AB387,AF387)</f>
        <v>0.72222222222222221</v>
      </c>
      <c r="AJ387" s="32">
        <f t="shared" ref="AJ387:AJ404" si="173">AVERAGE(AD387,AH387)</f>
        <v>0.83333333333333326</v>
      </c>
      <c r="AK387">
        <f>step3_validation[[#This Row],[AI_TRU1]]</f>
        <v>7</v>
      </c>
      <c r="AL387">
        <f t="shared" ref="AL387:AL404" si="174">(AK387-1)/9</f>
        <v>0.66666666666666663</v>
      </c>
      <c r="AM387">
        <f>survey_responses[[#This Row],[Tôi tin rằng Nhà nước, cơ quan thuế sẽ thực thi chính sách mới một cách khách quan, công tâm và đối xử bình đẳng với mọi người nộp thuế.  - HUMAN-TRU1]]</f>
        <v>7</v>
      </c>
      <c r="AN387">
        <f t="shared" ref="AN387:AN404" si="175">(AM387-1)/9</f>
        <v>0.66666666666666663</v>
      </c>
      <c r="AO387">
        <f>step3_validation[[#This Row],[AI_TRU2]]</f>
        <v>9</v>
      </c>
      <c r="AP387">
        <f t="shared" ref="AP387:AP404" si="176">(AO387-1)/9</f>
        <v>0.88888888888888884</v>
      </c>
      <c r="AQ387">
        <f>survey_responses[[#This Row],[Tôi thấy mức thuế tôi phải đóng theo phương án mới là công bằng (người thu nhập như tôi đóng mức này là hợp lý). - HUMAN-TRU2]]</f>
        <v>8</v>
      </c>
      <c r="AR387">
        <f t="shared" ref="AR387:AR404" si="177">(AQ387-1)/9</f>
        <v>0.77777777777777779</v>
      </c>
      <c r="AS387">
        <f>step3_validation[[#This Row],[AI_TRU3]]</f>
        <v>8</v>
      </c>
      <c r="AT387">
        <f t="shared" ref="AT387:AT404" si="178">(AS387-1)/9</f>
        <v>0.77777777777777779</v>
      </c>
      <c r="AU387">
        <f>survey_responses[[#This Row],[Tôi tin tưởng số tiền thuế tôi đóng sẽ được Nhà nước sử dụng hiệu quả để cải thiện dịch vụ công (y tế, đường xá...). - HUMAN-TRU3]]</f>
        <v>7</v>
      </c>
      <c r="AV387">
        <f t="shared" ref="AV387:AV404" si="179">(AU387-1)/9</f>
        <v>0.66666666666666663</v>
      </c>
      <c r="AW387">
        <f>step3_validation[[#This Row],[AI_TRU4]]</f>
        <v>7</v>
      </c>
      <c r="AX387">
        <f t="shared" ref="AX387:AX404" si="180">(AW387-1)/9</f>
        <v>0.66666666666666663</v>
      </c>
      <c r="AY387">
        <f>survey_responses[[#This Row],[Tôi thấy Nhà nước đã giải thích rõ ràng, minh bạch về lý do và mục tiêu của việc sửa đổi thuế lần này. - HUMAN-TRU4]]</f>
        <v>7</v>
      </c>
      <c r="AZ387">
        <f t="shared" ref="AZ387:AZ404" si="181">(AY387-1)/9</f>
        <v>0.66666666666666663</v>
      </c>
      <c r="BA387" s="32">
        <f t="shared" ref="BA387:BA404" si="182">AVERAGE(AL387,AP387,AT387,AX387)</f>
        <v>0.74999999999999989</v>
      </c>
      <c r="BB387" s="32">
        <f t="shared" ref="BB387:BB404" si="183">AVERAGE(AN387,AR387,AV387,AZ387)</f>
        <v>0.69444444444444442</v>
      </c>
      <c r="BC387" s="7">
        <f t="shared" ref="BC387:BC404" si="184">(Y387+AI387+BA387)/3</f>
        <v>0.7314814814814814</v>
      </c>
      <c r="BD387" s="7">
        <f t="shared" ref="BD387:BD404" si="185">(Z387+AJ387+BB387)/3</f>
        <v>0.76851851851851849</v>
      </c>
      <c r="BE387">
        <f>step3_validation[[#This Row],[AI_OUT1]]</f>
        <v>9</v>
      </c>
      <c r="BF387">
        <f t="shared" ref="BF387:BF404" si="186">(BE387-1)/9</f>
        <v>0.88888888888888884</v>
      </c>
      <c r="BG387">
        <f>survey_responses[[#This Row],[Sau khi xem xét các quyền lợi và nghĩa vụ, bạn có ủng hộ và tuân thủ chính sách mới hiện nay? - HUMAN-OUT1]]</f>
        <v>8</v>
      </c>
      <c r="BH387">
        <f t="shared" ref="BH387:BH404" si="187">(BG387-1)/9</f>
        <v>0.77777777777777779</v>
      </c>
      <c r="BI387" s="32">
        <f t="shared" ref="BI387:BI404" si="188">ABS(BG387-BE387)</f>
        <v>1</v>
      </c>
    </row>
    <row r="388" spans="1:61" x14ac:dyDescent="0.45">
      <c r="A388" s="30">
        <f>step3_validation[[#This Row],[Persona_ID]]</f>
        <v>387</v>
      </c>
      <c r="B388" s="31">
        <f>step3_validation[[#This Row],[Used_Seed]]</f>
        <v>428</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55.342749637454453</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8</v>
      </c>
      <c r="R388">
        <f t="shared" si="162"/>
        <v>0.77777777777777779</v>
      </c>
      <c r="S388">
        <f>survey_responses[[#This Row],[Tôi tin rằng với các quy định quản lý thuế hiện nay, hành vi gian lận hoặc trốn thuế sẽ dễ dàng bị phát hiện và xử lý nghiêm. - HUMAN-ENF1]]</f>
        <v>5</v>
      </c>
      <c r="T388">
        <f t="shared" si="163"/>
        <v>0.44444444444444442</v>
      </c>
      <c r="U388">
        <f>step3_validation[[#This Row],[AI_ENF2]]</f>
        <v>8</v>
      </c>
      <c r="V388">
        <f t="shared" si="164"/>
        <v>0.77777777777777779</v>
      </c>
      <c r="W388">
        <f>survey_responses[[#This Row],[Tôi tin rằng Nhà nước, cơ quan thuế có đủ khả năng và công nghệ để phát hiện, xử lý nghiêm các hành vi trốn thuế. - HUMAN-ENF2]]</f>
        <v>5</v>
      </c>
      <c r="X388">
        <f t="shared" si="165"/>
        <v>0.44444444444444442</v>
      </c>
      <c r="Y388" s="32">
        <f t="shared" si="166"/>
        <v>0.77777777777777779</v>
      </c>
      <c r="Z388" s="32">
        <f t="shared" si="167"/>
        <v>0.44444444444444442</v>
      </c>
      <c r="AA388">
        <f>step3_validation[[#This Row],[AI_FAC1]]</f>
        <v>9</v>
      </c>
      <c r="AB388">
        <f t="shared" si="168"/>
        <v>0.88888888888888884</v>
      </c>
      <c r="AC388">
        <f>survey_responses[[#This Row],[Các thủ tục khai báo thuế VÀ/HOẶC quy trình làm việc với cơ quan thuế đơn giản, tiện lợi, nhanh chóng hơn so với trước đây. - HUMAN-FAC1]]</f>
        <v>5</v>
      </c>
      <c r="AD388">
        <f t="shared" si="169"/>
        <v>0.44444444444444442</v>
      </c>
      <c r="AE388">
        <f>step3_validation[[#This Row],[AI_FAC2]]</f>
        <v>9</v>
      </c>
      <c r="AF388">
        <f t="shared" si="170"/>
        <v>0.88888888888888884</v>
      </c>
      <c r="AG388">
        <f>survey_responses[[#This Row],[So với trước đây, tôi thấy cách tính thuế và các bậc thuế trong phương án mới đơn giản, dễ hiểu và dễ thực hiện hơn. - HUMAN-FAC2]]</f>
        <v>5</v>
      </c>
      <c r="AH388">
        <f t="shared" si="171"/>
        <v>0.44444444444444442</v>
      </c>
      <c r="AI388" s="32">
        <f t="shared" si="172"/>
        <v>0.88888888888888884</v>
      </c>
      <c r="AJ388" s="32">
        <f t="shared" si="173"/>
        <v>0.44444444444444442</v>
      </c>
      <c r="AK388">
        <f>step3_validation[[#This Row],[AI_TRU1]]</f>
        <v>7</v>
      </c>
      <c r="AL388">
        <f t="shared" si="174"/>
        <v>0.66666666666666663</v>
      </c>
      <c r="AM388">
        <f>survey_responses[[#This Row],[Tôi tin rằng Nhà nước, cơ quan thuế sẽ thực thi chính sách mới một cách khách quan, công tâm và đối xử bình đẳng với mọi người nộp thuế.  - HUMAN-TRU1]]</f>
        <v>5</v>
      </c>
      <c r="AN388">
        <f t="shared" si="175"/>
        <v>0.44444444444444442</v>
      </c>
      <c r="AO388">
        <f>step3_validation[[#This Row],[AI_TRU2]]</f>
        <v>8</v>
      </c>
      <c r="AP388">
        <f t="shared" si="176"/>
        <v>0.77777777777777779</v>
      </c>
      <c r="AQ388">
        <f>survey_responses[[#This Row],[Tôi thấy mức thuế tôi phải đóng theo phương án mới là công bằng (người thu nhập như tôi đóng mức này là hợp lý). - HUMAN-TRU2]]</f>
        <v>5</v>
      </c>
      <c r="AR388">
        <f t="shared" si="177"/>
        <v>0.44444444444444442</v>
      </c>
      <c r="AS388">
        <f>step3_validation[[#This Row],[AI_TRU3]]</f>
        <v>7</v>
      </c>
      <c r="AT388">
        <f t="shared" si="178"/>
        <v>0.66666666666666663</v>
      </c>
      <c r="AU388">
        <f>survey_responses[[#This Row],[Tôi tin tưởng số tiền thuế tôi đóng sẽ được Nhà nước sử dụng hiệu quả để cải thiện dịch vụ công (y tế, đường xá...). - HUMAN-TRU3]]</f>
        <v>5</v>
      </c>
      <c r="AV388">
        <f t="shared" si="179"/>
        <v>0.44444444444444442</v>
      </c>
      <c r="AW388">
        <f>step3_validation[[#This Row],[AI_TRU4]]</f>
        <v>8</v>
      </c>
      <c r="AX388">
        <f t="shared" si="180"/>
        <v>0.77777777777777779</v>
      </c>
      <c r="AY388">
        <f>survey_responses[[#This Row],[Tôi thấy Nhà nước đã giải thích rõ ràng, minh bạch về lý do và mục tiêu của việc sửa đổi thuế lần này. - HUMAN-TRU4]]</f>
        <v>5</v>
      </c>
      <c r="AZ388">
        <f t="shared" si="181"/>
        <v>0.44444444444444442</v>
      </c>
      <c r="BA388" s="32">
        <f t="shared" si="182"/>
        <v>0.72222222222222221</v>
      </c>
      <c r="BB388" s="32">
        <f t="shared" si="183"/>
        <v>0.44444444444444442</v>
      </c>
      <c r="BC388" s="7">
        <f t="shared" si="184"/>
        <v>0.79629629629629628</v>
      </c>
      <c r="BD388" s="7">
        <f t="shared" si="185"/>
        <v>0.44444444444444442</v>
      </c>
      <c r="BE388">
        <f>step3_validation[[#This Row],[AI_OUT1]]</f>
        <v>9</v>
      </c>
      <c r="BF388">
        <f t="shared" si="186"/>
        <v>0.88888888888888884</v>
      </c>
      <c r="BG388">
        <f>survey_responses[[#This Row],[Sau khi xem xét các quyền lợi và nghĩa vụ, bạn có ủng hộ và tuân thủ chính sách mới hiện nay? - HUMAN-OUT1]]</f>
        <v>5</v>
      </c>
      <c r="BH388">
        <f t="shared" si="187"/>
        <v>0.44444444444444442</v>
      </c>
      <c r="BI388" s="32">
        <f t="shared" si="188"/>
        <v>4</v>
      </c>
    </row>
    <row r="389" spans="1:61" x14ac:dyDescent="0.45">
      <c r="A389" s="30">
        <f>step3_validation[[#This Row],[Persona_ID]]</f>
        <v>388</v>
      </c>
      <c r="B389" s="31">
        <f>step3_validation[[#This Row],[Used_Seed]]</f>
        <v>429</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15.841877126292323</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9</v>
      </c>
      <c r="R389">
        <f t="shared" si="162"/>
        <v>0.88888888888888884</v>
      </c>
      <c r="S389">
        <f>survey_responses[[#This Row],[Tôi tin rằng với các quy định quản lý thuế hiện nay, hành vi gian lận hoặc trốn thuế sẽ dễ dàng bị phát hiện và xử lý nghiêm. - HUMAN-ENF1]]</f>
        <v>7</v>
      </c>
      <c r="T389">
        <f t="shared" si="163"/>
        <v>0.66666666666666663</v>
      </c>
      <c r="U389">
        <f>step3_validation[[#This Row],[AI_ENF2]]</f>
        <v>8</v>
      </c>
      <c r="V389">
        <f t="shared" si="164"/>
        <v>0.77777777777777779</v>
      </c>
      <c r="W389">
        <f>survey_responses[[#This Row],[Tôi tin rằng Nhà nước, cơ quan thuế có đủ khả năng và công nghệ để phát hiện, xử lý nghiêm các hành vi trốn thuế. - HUMAN-ENF2]]</f>
        <v>7</v>
      </c>
      <c r="X389">
        <f t="shared" si="165"/>
        <v>0.66666666666666663</v>
      </c>
      <c r="Y389" s="32">
        <f t="shared" si="166"/>
        <v>0.83333333333333326</v>
      </c>
      <c r="Z389" s="32">
        <f t="shared" si="167"/>
        <v>0.66666666666666663</v>
      </c>
      <c r="AA389">
        <f>step3_validation[[#This Row],[AI_FAC1]]</f>
        <v>7</v>
      </c>
      <c r="AB389">
        <f t="shared" si="168"/>
        <v>0.66666666666666663</v>
      </c>
      <c r="AC389">
        <f>survey_responses[[#This Row],[Các thủ tục khai báo thuế VÀ/HOẶC quy trình làm việc với cơ quan thuế đơn giản, tiện lợi, nhanh chóng hơn so với trước đây. - HUMAN-FAC1]]</f>
        <v>5</v>
      </c>
      <c r="AD389">
        <f t="shared" si="169"/>
        <v>0.44444444444444442</v>
      </c>
      <c r="AE389">
        <f>step3_validation[[#This Row],[AI_FAC2]]</f>
        <v>8</v>
      </c>
      <c r="AF389">
        <f t="shared" si="170"/>
        <v>0.77777777777777779</v>
      </c>
      <c r="AG389">
        <f>survey_responses[[#This Row],[So với trước đây, tôi thấy cách tính thuế và các bậc thuế trong phương án mới đơn giản, dễ hiểu và dễ thực hiện hơn. - HUMAN-FAC2]]</f>
        <v>8</v>
      </c>
      <c r="AH389">
        <f t="shared" si="171"/>
        <v>0.77777777777777779</v>
      </c>
      <c r="AI389" s="32">
        <f t="shared" si="172"/>
        <v>0.72222222222222221</v>
      </c>
      <c r="AJ389" s="32">
        <f t="shared" si="173"/>
        <v>0.61111111111111116</v>
      </c>
      <c r="AK389">
        <f>step3_validation[[#This Row],[AI_TRU1]]</f>
        <v>9</v>
      </c>
      <c r="AL389">
        <f t="shared" si="174"/>
        <v>0.88888888888888884</v>
      </c>
      <c r="AM389">
        <f>survey_responses[[#This Row],[Tôi tin rằng Nhà nước, cơ quan thuế sẽ thực thi chính sách mới một cách khách quan, công tâm và đối xử bình đẳng với mọi người nộp thuế.  - HUMAN-TRU1]]</f>
        <v>6</v>
      </c>
      <c r="AN389">
        <f t="shared" si="175"/>
        <v>0.55555555555555558</v>
      </c>
      <c r="AO389">
        <f>step3_validation[[#This Row],[AI_TRU2]]</f>
        <v>8</v>
      </c>
      <c r="AP389">
        <f t="shared" si="176"/>
        <v>0.77777777777777779</v>
      </c>
      <c r="AQ389">
        <f>survey_responses[[#This Row],[Tôi thấy mức thuế tôi phải đóng theo phương án mới là công bằng (người thu nhập như tôi đóng mức này là hợp lý). - HUMAN-TRU2]]</f>
        <v>8</v>
      </c>
      <c r="AR389">
        <f t="shared" si="177"/>
        <v>0.77777777777777779</v>
      </c>
      <c r="AS389">
        <f>step3_validation[[#This Row],[AI_TRU3]]</f>
        <v>9</v>
      </c>
      <c r="AT389">
        <f t="shared" si="178"/>
        <v>0.88888888888888884</v>
      </c>
      <c r="AU389">
        <f>survey_responses[[#This Row],[Tôi tin tưởng số tiền thuế tôi đóng sẽ được Nhà nước sử dụng hiệu quả để cải thiện dịch vụ công (y tế, đường xá...). - HUMAN-TRU3]]</f>
        <v>5</v>
      </c>
      <c r="AV389">
        <f t="shared" si="179"/>
        <v>0.44444444444444442</v>
      </c>
      <c r="AW389">
        <f>step3_validation[[#This Row],[AI_TRU4]]</f>
        <v>8</v>
      </c>
      <c r="AX389">
        <f t="shared" si="180"/>
        <v>0.77777777777777779</v>
      </c>
      <c r="AY389">
        <f>survey_responses[[#This Row],[Tôi thấy Nhà nước đã giải thích rõ ràng, minh bạch về lý do và mục tiêu của việc sửa đổi thuế lần này. - HUMAN-TRU4]]</f>
        <v>5</v>
      </c>
      <c r="AZ389">
        <f t="shared" si="181"/>
        <v>0.44444444444444442</v>
      </c>
      <c r="BA389" s="32">
        <f t="shared" si="182"/>
        <v>0.83333333333333326</v>
      </c>
      <c r="BB389" s="32">
        <f t="shared" si="183"/>
        <v>0.55555555555555558</v>
      </c>
      <c r="BC389" s="7">
        <f t="shared" si="184"/>
        <v>0.79629629629629617</v>
      </c>
      <c r="BD389" s="7">
        <f t="shared" si="185"/>
        <v>0.61111111111111105</v>
      </c>
      <c r="BE389">
        <f>step3_validation[[#This Row],[AI_OUT1]]</f>
        <v>9</v>
      </c>
      <c r="BF389">
        <f t="shared" si="186"/>
        <v>0.88888888888888884</v>
      </c>
      <c r="BG389">
        <f>survey_responses[[#This Row],[Sau khi xem xét các quyền lợi và nghĩa vụ, bạn có ủng hộ và tuân thủ chính sách mới hiện nay? - HUMAN-OUT1]]</f>
        <v>8</v>
      </c>
      <c r="BH389">
        <f t="shared" si="187"/>
        <v>0.77777777777777779</v>
      </c>
      <c r="BI389" s="32">
        <f t="shared" si="188"/>
        <v>1</v>
      </c>
    </row>
    <row r="390" spans="1:61" x14ac:dyDescent="0.45">
      <c r="A390" s="30">
        <f>step3_validation[[#This Row],[Persona_ID]]</f>
        <v>389</v>
      </c>
      <c r="B390" s="31">
        <f>step3_validation[[#This Row],[Used_Seed]]</f>
        <v>430</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19.134406829911434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6</v>
      </c>
      <c r="R390">
        <f t="shared" si="162"/>
        <v>0.55555555555555558</v>
      </c>
      <c r="S390">
        <f>survey_responses[[#This Row],[Tôi tin rằng với các quy định quản lý thuế hiện nay, hành vi gian lận hoặc trốn thuế sẽ dễ dàng bị phát hiện và xử lý nghiêm. - HUMAN-ENF1]]</f>
        <v>6</v>
      </c>
      <c r="T390">
        <f t="shared" si="163"/>
        <v>0.55555555555555558</v>
      </c>
      <c r="U390">
        <f>step3_validation[[#This Row],[AI_ENF2]]</f>
        <v>8</v>
      </c>
      <c r="V390">
        <f t="shared" si="164"/>
        <v>0.77777777777777779</v>
      </c>
      <c r="W390">
        <f>survey_responses[[#This Row],[Tôi tin rằng Nhà nước, cơ quan thuế có đủ khả năng và công nghệ để phát hiện, xử lý nghiêm các hành vi trốn thuế. - HUMAN-ENF2]]</f>
        <v>8</v>
      </c>
      <c r="X390">
        <f t="shared" si="165"/>
        <v>0.77777777777777779</v>
      </c>
      <c r="Y390" s="32">
        <f t="shared" si="166"/>
        <v>0.66666666666666674</v>
      </c>
      <c r="Z390" s="32">
        <f t="shared" si="167"/>
        <v>0.66666666666666674</v>
      </c>
      <c r="AA390">
        <f>step3_validation[[#This Row],[AI_FAC1]]</f>
        <v>9</v>
      </c>
      <c r="AB390">
        <f t="shared" si="168"/>
        <v>0.88888888888888884</v>
      </c>
      <c r="AC390">
        <f>survey_responses[[#This Row],[Các thủ tục khai báo thuế VÀ/HOẶC quy trình làm việc với cơ quan thuế đơn giản, tiện lợi, nhanh chóng hơn so với trước đây. - HUMAN-FAC1]]</f>
        <v>7</v>
      </c>
      <c r="AD390">
        <f t="shared" si="169"/>
        <v>0.66666666666666663</v>
      </c>
      <c r="AE390">
        <f>step3_validation[[#This Row],[AI_FAC2]]</f>
        <v>8</v>
      </c>
      <c r="AF390">
        <f t="shared" si="170"/>
        <v>0.77777777777777779</v>
      </c>
      <c r="AG390">
        <f>survey_responses[[#This Row],[So với trước đây, tôi thấy cách tính thuế và các bậc thuế trong phương án mới đơn giản, dễ hiểu và dễ thực hiện hơn. - HUMAN-FAC2]]</f>
        <v>8</v>
      </c>
      <c r="AH390">
        <f t="shared" si="171"/>
        <v>0.77777777777777779</v>
      </c>
      <c r="AI390" s="32">
        <f t="shared" si="172"/>
        <v>0.83333333333333326</v>
      </c>
      <c r="AJ390" s="32">
        <f t="shared" si="173"/>
        <v>0.72222222222222221</v>
      </c>
      <c r="AK390">
        <f>step3_validation[[#This Row],[AI_TRU1]]</f>
        <v>7</v>
      </c>
      <c r="AL390">
        <f t="shared" si="174"/>
        <v>0.66666666666666663</v>
      </c>
      <c r="AM390">
        <f>survey_responses[[#This Row],[Tôi tin rằng Nhà nước, cơ quan thuế sẽ thực thi chính sách mới một cách khách quan, công tâm và đối xử bình đẳng với mọi người nộp thuế.  - HUMAN-TRU1]]</f>
        <v>6</v>
      </c>
      <c r="AN390">
        <f t="shared" si="175"/>
        <v>0.55555555555555558</v>
      </c>
      <c r="AO390">
        <f>step3_validation[[#This Row],[AI_TRU2]]</f>
        <v>9</v>
      </c>
      <c r="AP390">
        <f t="shared" si="176"/>
        <v>0.88888888888888884</v>
      </c>
      <c r="AQ390">
        <f>survey_responses[[#This Row],[Tôi thấy mức thuế tôi phải đóng theo phương án mới là công bằng (người thu nhập như tôi đóng mức này là hợp lý). - HUMAN-TRU2]]</f>
        <v>8</v>
      </c>
      <c r="AR390">
        <f t="shared" si="177"/>
        <v>0.77777777777777779</v>
      </c>
      <c r="AS390">
        <f>step3_validation[[#This Row],[AI_TRU3]]</f>
        <v>8</v>
      </c>
      <c r="AT390">
        <f t="shared" si="178"/>
        <v>0.77777777777777779</v>
      </c>
      <c r="AU390">
        <f>survey_responses[[#This Row],[Tôi tin tưởng số tiền thuế tôi đóng sẽ được Nhà nước sử dụng hiệu quả để cải thiện dịch vụ công (y tế, đường xá...). - HUMAN-TRU3]]</f>
        <v>5</v>
      </c>
      <c r="AV390">
        <f t="shared" si="179"/>
        <v>0.44444444444444442</v>
      </c>
      <c r="AW390">
        <f>step3_validation[[#This Row],[AI_TRU4]]</f>
        <v>9</v>
      </c>
      <c r="AX390">
        <f t="shared" si="180"/>
        <v>0.88888888888888884</v>
      </c>
      <c r="AY390">
        <f>survey_responses[[#This Row],[Tôi thấy Nhà nước đã giải thích rõ ràng, minh bạch về lý do và mục tiêu của việc sửa đổi thuế lần này. - HUMAN-TRU4]]</f>
        <v>5</v>
      </c>
      <c r="AZ390">
        <f t="shared" si="181"/>
        <v>0.44444444444444442</v>
      </c>
      <c r="BA390" s="32">
        <f t="shared" si="182"/>
        <v>0.80555555555555547</v>
      </c>
      <c r="BB390" s="32">
        <f t="shared" si="183"/>
        <v>0.55555555555555558</v>
      </c>
      <c r="BC390" s="7">
        <f t="shared" si="184"/>
        <v>0.76851851851851849</v>
      </c>
      <c r="BD390" s="7">
        <f t="shared" si="185"/>
        <v>0.64814814814814814</v>
      </c>
      <c r="BE390">
        <f>step3_validation[[#This Row],[AI_OUT1]]</f>
        <v>10</v>
      </c>
      <c r="BF390">
        <f t="shared" si="186"/>
        <v>1</v>
      </c>
      <c r="BG390">
        <f>survey_responses[[#This Row],[Sau khi xem xét các quyền lợi và nghĩa vụ, bạn có ủng hộ và tuân thủ chính sách mới hiện nay? - HUMAN-OUT1]]</f>
        <v>8</v>
      </c>
      <c r="BH390">
        <f t="shared" si="187"/>
        <v>0.77777777777777779</v>
      </c>
      <c r="BI390" s="32">
        <f t="shared" si="188"/>
        <v>2</v>
      </c>
    </row>
    <row r="391" spans="1:61" x14ac:dyDescent="0.45">
      <c r="A391" s="30">
        <f>step3_validation[[#This Row],[Persona_ID]]</f>
        <v>390</v>
      </c>
      <c r="B391" s="31">
        <f>step3_validation[[#This Row],[Used_Seed]]</f>
        <v>431</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43.084629847160691</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7</v>
      </c>
      <c r="R391">
        <f t="shared" si="162"/>
        <v>0.66666666666666663</v>
      </c>
      <c r="S391">
        <f>survey_responses[[#This Row],[Tôi tin rằng với các quy định quản lý thuế hiện nay, hành vi gian lận hoặc trốn thuế sẽ dễ dàng bị phát hiện và xử lý nghiêm. - HUMAN-ENF1]]</f>
        <v>10</v>
      </c>
      <c r="T391">
        <f t="shared" si="163"/>
        <v>1</v>
      </c>
      <c r="U391">
        <f>step3_validation[[#This Row],[AI_ENF2]]</f>
        <v>8</v>
      </c>
      <c r="V391">
        <f t="shared" si="164"/>
        <v>0.77777777777777779</v>
      </c>
      <c r="W391">
        <f>survey_responses[[#This Row],[Tôi tin rằng Nhà nước, cơ quan thuế có đủ khả năng và công nghệ để phát hiện, xử lý nghiêm các hành vi trốn thuế. - HUMAN-ENF2]]</f>
        <v>10</v>
      </c>
      <c r="X391">
        <f t="shared" si="165"/>
        <v>1</v>
      </c>
      <c r="Y391" s="32">
        <f t="shared" si="166"/>
        <v>0.72222222222222221</v>
      </c>
      <c r="Z391" s="32">
        <f t="shared" si="167"/>
        <v>1</v>
      </c>
      <c r="AA391">
        <f>step3_validation[[#This Row],[AI_FAC1]]</f>
        <v>9</v>
      </c>
      <c r="AB391">
        <f t="shared" si="168"/>
        <v>0.88888888888888884</v>
      </c>
      <c r="AC391">
        <f>survey_responses[[#This Row],[Các thủ tục khai báo thuế VÀ/HOẶC quy trình làm việc với cơ quan thuế đơn giản, tiện lợi, nhanh chóng hơn so với trước đây. - HUMAN-FAC1]]</f>
        <v>5</v>
      </c>
      <c r="AD391">
        <f t="shared" si="169"/>
        <v>0.44444444444444442</v>
      </c>
      <c r="AE391">
        <f>step3_validation[[#This Row],[AI_FAC2]]</f>
        <v>8</v>
      </c>
      <c r="AF391">
        <f t="shared" si="170"/>
        <v>0.77777777777777779</v>
      </c>
      <c r="AG391">
        <f>survey_responses[[#This Row],[So với trước đây, tôi thấy cách tính thuế và các bậc thuế trong phương án mới đơn giản, dễ hiểu và dễ thực hiện hơn. - HUMAN-FAC2]]</f>
        <v>9</v>
      </c>
      <c r="AH391">
        <f t="shared" si="171"/>
        <v>0.88888888888888884</v>
      </c>
      <c r="AI391" s="32">
        <f t="shared" si="172"/>
        <v>0.83333333333333326</v>
      </c>
      <c r="AJ391" s="32">
        <f t="shared" si="173"/>
        <v>0.66666666666666663</v>
      </c>
      <c r="AK391">
        <f>step3_validation[[#This Row],[AI_TRU1]]</f>
        <v>7</v>
      </c>
      <c r="AL391">
        <f t="shared" si="174"/>
        <v>0.66666666666666663</v>
      </c>
      <c r="AM391">
        <f>survey_responses[[#This Row],[Tôi tin rằng Nhà nước, cơ quan thuế sẽ thực thi chính sách mới một cách khách quan, công tâm và đối xử bình đẳng với mọi người nộp thuế.  - HUMAN-TRU1]]</f>
        <v>7</v>
      </c>
      <c r="AN391">
        <f t="shared" si="175"/>
        <v>0.66666666666666663</v>
      </c>
      <c r="AO391">
        <f>step3_validation[[#This Row],[AI_TRU2]]</f>
        <v>9</v>
      </c>
      <c r="AP391">
        <f t="shared" si="176"/>
        <v>0.88888888888888884</v>
      </c>
      <c r="AQ391">
        <f>survey_responses[[#This Row],[Tôi thấy mức thuế tôi phải đóng theo phương án mới là công bằng (người thu nhập như tôi đóng mức này là hợp lý). - HUMAN-TRU2]]</f>
        <v>8</v>
      </c>
      <c r="AR391">
        <f t="shared" si="177"/>
        <v>0.77777777777777779</v>
      </c>
      <c r="AS391">
        <f>step3_validation[[#This Row],[AI_TRU3]]</f>
        <v>7</v>
      </c>
      <c r="AT391">
        <f t="shared" si="178"/>
        <v>0.66666666666666663</v>
      </c>
      <c r="AU391">
        <f>survey_responses[[#This Row],[Tôi tin tưởng số tiền thuế tôi đóng sẽ được Nhà nước sử dụng hiệu quả để cải thiện dịch vụ công (y tế, đường xá...). - HUMAN-TRU3]]</f>
        <v>5</v>
      </c>
      <c r="AV391">
        <f t="shared" si="179"/>
        <v>0.44444444444444442</v>
      </c>
      <c r="AW391">
        <f>step3_validation[[#This Row],[AI_TRU4]]</f>
        <v>6</v>
      </c>
      <c r="AX391">
        <f t="shared" si="180"/>
        <v>0.55555555555555558</v>
      </c>
      <c r="AY391">
        <f>survey_responses[[#This Row],[Tôi thấy Nhà nước đã giải thích rõ ràng, minh bạch về lý do và mục tiêu của việc sửa đổi thuế lần này. - HUMAN-TRU4]]</f>
        <v>5</v>
      </c>
      <c r="AZ391">
        <f t="shared" si="181"/>
        <v>0.44444444444444442</v>
      </c>
      <c r="BA391" s="32">
        <f t="shared" si="182"/>
        <v>0.69444444444444442</v>
      </c>
      <c r="BB391" s="32">
        <f t="shared" si="183"/>
        <v>0.58333333333333326</v>
      </c>
      <c r="BC391" s="7">
        <f t="shared" si="184"/>
        <v>0.75</v>
      </c>
      <c r="BD391" s="7">
        <f t="shared" si="185"/>
        <v>0.75</v>
      </c>
      <c r="BE391">
        <f>step3_validation[[#This Row],[AI_OUT1]]</f>
        <v>8</v>
      </c>
      <c r="BF391">
        <f t="shared" si="186"/>
        <v>0.77777777777777779</v>
      </c>
      <c r="BG391">
        <f>survey_responses[[#This Row],[Sau khi xem xét các quyền lợi và nghĩa vụ, bạn có ủng hộ và tuân thủ chính sách mới hiện nay? - HUMAN-OUT1]]</f>
        <v>8</v>
      </c>
      <c r="BH391">
        <f t="shared" si="187"/>
        <v>0.77777777777777779</v>
      </c>
      <c r="BI391" s="32">
        <f t="shared" si="188"/>
        <v>0</v>
      </c>
    </row>
    <row r="392" spans="1:61" x14ac:dyDescent="0.45">
      <c r="A392" s="30">
        <f>step3_validation[[#This Row],[Persona_ID]]</f>
        <v>391</v>
      </c>
      <c r="B392" s="31">
        <f>step3_validation[[#This Row],[Used_Seed]]</f>
        <v>432</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12.513975961973156</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f t="shared" si="162"/>
        <v>0.66666666666666663</v>
      </c>
      <c r="S392">
        <f>survey_responses[[#This Row],[Tôi tin rằng với các quy định quản lý thuế hiện nay, hành vi gian lận hoặc trốn thuế sẽ dễ dàng bị phát hiện và xử lý nghiêm. - HUMAN-ENF1]]</f>
        <v>4</v>
      </c>
      <c r="T392">
        <f t="shared" si="163"/>
        <v>0.33333333333333331</v>
      </c>
      <c r="U392">
        <f>step3_validation[[#This Row],[AI_ENF2]]</f>
        <v>8</v>
      </c>
      <c r="V392">
        <f t="shared" si="164"/>
        <v>0.77777777777777779</v>
      </c>
      <c r="W392">
        <f>survey_responses[[#This Row],[Tôi tin rằng Nhà nước, cơ quan thuế có đủ khả năng và công nghệ để phát hiện, xử lý nghiêm các hành vi trốn thuế. - HUMAN-ENF2]]</f>
        <v>5</v>
      </c>
      <c r="X392">
        <f t="shared" si="165"/>
        <v>0.44444444444444442</v>
      </c>
      <c r="Y392" s="32">
        <f t="shared" si="166"/>
        <v>0.72222222222222221</v>
      </c>
      <c r="Z392" s="32">
        <f t="shared" si="167"/>
        <v>0.38888888888888884</v>
      </c>
      <c r="AA392">
        <f>step3_validation[[#This Row],[AI_FAC1]]</f>
        <v>9</v>
      </c>
      <c r="AB392">
        <f t="shared" si="168"/>
        <v>0.88888888888888884</v>
      </c>
      <c r="AC392">
        <f>survey_responses[[#This Row],[Các thủ tục khai báo thuế VÀ/HOẶC quy trình làm việc với cơ quan thuế đơn giản, tiện lợi, nhanh chóng hơn so với trước đây. - HUMAN-FAC1]]</f>
        <v>7</v>
      </c>
      <c r="AD392">
        <f t="shared" si="169"/>
        <v>0.66666666666666663</v>
      </c>
      <c r="AE392">
        <f>step3_validation[[#This Row],[AI_FAC2]]</f>
        <v>9</v>
      </c>
      <c r="AF392">
        <f t="shared" si="170"/>
        <v>0.88888888888888884</v>
      </c>
      <c r="AG392">
        <f>survey_responses[[#This Row],[So với trước đây, tôi thấy cách tính thuế và các bậc thuế trong phương án mới đơn giản, dễ hiểu và dễ thực hiện hơn. - HUMAN-FAC2]]</f>
        <v>7</v>
      </c>
      <c r="AH392">
        <f t="shared" si="171"/>
        <v>0.66666666666666663</v>
      </c>
      <c r="AI392" s="32">
        <f t="shared" si="172"/>
        <v>0.88888888888888884</v>
      </c>
      <c r="AJ392" s="32">
        <f t="shared" si="173"/>
        <v>0.66666666666666663</v>
      </c>
      <c r="AK392">
        <f>step3_validation[[#This Row],[AI_TRU1]]</f>
        <v>8</v>
      </c>
      <c r="AL392">
        <f t="shared" si="174"/>
        <v>0.77777777777777779</v>
      </c>
      <c r="AM392">
        <f>survey_responses[[#This Row],[Tôi tin rằng Nhà nước, cơ quan thuế sẽ thực thi chính sách mới một cách khách quan, công tâm và đối xử bình đẳng với mọi người nộp thuế.  - HUMAN-TRU1]]</f>
        <v>5</v>
      </c>
      <c r="AN392">
        <f t="shared" si="175"/>
        <v>0.44444444444444442</v>
      </c>
      <c r="AO392">
        <f>step3_validation[[#This Row],[AI_TRU2]]</f>
        <v>9</v>
      </c>
      <c r="AP392">
        <f t="shared" si="176"/>
        <v>0.88888888888888884</v>
      </c>
      <c r="AQ392">
        <f>survey_responses[[#This Row],[Tôi thấy mức thuế tôi phải đóng theo phương án mới là công bằng (người thu nhập như tôi đóng mức này là hợp lý). - HUMAN-TRU2]]</f>
        <v>7</v>
      </c>
      <c r="AR392">
        <f t="shared" si="177"/>
        <v>0.66666666666666663</v>
      </c>
      <c r="AS392">
        <f>step3_validation[[#This Row],[AI_TRU3]]</f>
        <v>8</v>
      </c>
      <c r="AT392">
        <f t="shared" si="178"/>
        <v>0.77777777777777779</v>
      </c>
      <c r="AU392">
        <f>survey_responses[[#This Row],[Tôi tin tưởng số tiền thuế tôi đóng sẽ được Nhà nước sử dụng hiệu quả để cải thiện dịch vụ công (y tế, đường xá...). - HUMAN-TRU3]]</f>
        <v>5</v>
      </c>
      <c r="AV392">
        <f t="shared" si="179"/>
        <v>0.44444444444444442</v>
      </c>
      <c r="AW392">
        <f>step3_validation[[#This Row],[AI_TRU4]]</f>
        <v>9</v>
      </c>
      <c r="AX392">
        <f t="shared" si="180"/>
        <v>0.88888888888888884</v>
      </c>
      <c r="AY392">
        <f>survey_responses[[#This Row],[Tôi thấy Nhà nước đã giải thích rõ ràng, minh bạch về lý do và mục tiêu của việc sửa đổi thuế lần này. - HUMAN-TRU4]]</f>
        <v>5</v>
      </c>
      <c r="AZ392">
        <f t="shared" si="181"/>
        <v>0.44444444444444442</v>
      </c>
      <c r="BA392" s="32">
        <f t="shared" si="182"/>
        <v>0.83333333333333326</v>
      </c>
      <c r="BB392" s="32">
        <f t="shared" si="183"/>
        <v>0.5</v>
      </c>
      <c r="BC392" s="7">
        <f t="shared" si="184"/>
        <v>0.81481481481481488</v>
      </c>
      <c r="BD392" s="7">
        <f t="shared" si="185"/>
        <v>0.51851851851851849</v>
      </c>
      <c r="BE392">
        <f>step3_validation[[#This Row],[AI_OUT1]]</f>
        <v>10</v>
      </c>
      <c r="BF392">
        <f t="shared" si="186"/>
        <v>1</v>
      </c>
      <c r="BG392">
        <f>survey_responses[[#This Row],[Sau khi xem xét các quyền lợi và nghĩa vụ, bạn có ủng hộ và tuân thủ chính sách mới hiện nay? - HUMAN-OUT1]]</f>
        <v>7</v>
      </c>
      <c r="BH392">
        <f t="shared" si="187"/>
        <v>0.66666666666666663</v>
      </c>
      <c r="BI392" s="32">
        <f t="shared" si="188"/>
        <v>3</v>
      </c>
    </row>
    <row r="393" spans="1:61" x14ac:dyDescent="0.45">
      <c r="A393" s="30">
        <f>step3_validation[[#This Row],[Persona_ID]]</f>
        <v>392</v>
      </c>
      <c r="B393" s="31">
        <f>step3_validation[[#This Row],[Used_Seed]]</f>
        <v>433</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181.80268236805213</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7</v>
      </c>
      <c r="R393">
        <f t="shared" si="162"/>
        <v>0.66666666666666663</v>
      </c>
      <c r="S393">
        <f>survey_responses[[#This Row],[Tôi tin rằng với các quy định quản lý thuế hiện nay, hành vi gian lận hoặc trốn thuế sẽ dễ dàng bị phát hiện và xử lý nghiêm. - HUMAN-ENF1]]</f>
        <v>2</v>
      </c>
      <c r="T393">
        <f t="shared" si="163"/>
        <v>0.1111111111111111</v>
      </c>
      <c r="U393">
        <f>step3_validation[[#This Row],[AI_ENF2]]</f>
        <v>8</v>
      </c>
      <c r="V393">
        <f t="shared" si="164"/>
        <v>0.77777777777777779</v>
      </c>
      <c r="W393">
        <f>survey_responses[[#This Row],[Tôi tin rằng Nhà nước, cơ quan thuế có đủ khả năng và công nghệ để phát hiện, xử lý nghiêm các hành vi trốn thuế. - HUMAN-ENF2]]</f>
        <v>3</v>
      </c>
      <c r="X393">
        <f t="shared" si="165"/>
        <v>0.22222222222222221</v>
      </c>
      <c r="Y393" s="32">
        <f t="shared" si="166"/>
        <v>0.72222222222222221</v>
      </c>
      <c r="Z393" s="32">
        <f t="shared" si="167"/>
        <v>0.16666666666666666</v>
      </c>
      <c r="AA393">
        <f>step3_validation[[#This Row],[AI_FAC1]]</f>
        <v>9</v>
      </c>
      <c r="AB393">
        <f t="shared" si="168"/>
        <v>0.88888888888888884</v>
      </c>
      <c r="AC393">
        <f>survey_responses[[#This Row],[Các thủ tục khai báo thuế VÀ/HOẶC quy trình làm việc với cơ quan thuế đơn giản, tiện lợi, nhanh chóng hơn so với trước đây. - HUMAN-FAC1]]</f>
        <v>3</v>
      </c>
      <c r="AD393">
        <f t="shared" si="169"/>
        <v>0.22222222222222221</v>
      </c>
      <c r="AE393">
        <f>step3_validation[[#This Row],[AI_FAC2]]</f>
        <v>9</v>
      </c>
      <c r="AF393">
        <f t="shared" si="170"/>
        <v>0.88888888888888884</v>
      </c>
      <c r="AG393">
        <f>survey_responses[[#This Row],[So với trước đây, tôi thấy cách tính thuế và các bậc thuế trong phương án mới đơn giản, dễ hiểu và dễ thực hiện hơn. - HUMAN-FAC2]]</f>
        <v>6</v>
      </c>
      <c r="AH393">
        <f t="shared" si="171"/>
        <v>0.55555555555555558</v>
      </c>
      <c r="AI393" s="32">
        <f t="shared" si="172"/>
        <v>0.88888888888888884</v>
      </c>
      <c r="AJ393" s="32">
        <f t="shared" si="173"/>
        <v>0.3888888888888889</v>
      </c>
      <c r="AK393">
        <f>step3_validation[[#This Row],[AI_TRU1]]</f>
        <v>8</v>
      </c>
      <c r="AL393">
        <f t="shared" si="174"/>
        <v>0.77777777777777779</v>
      </c>
      <c r="AM393">
        <f>survey_responses[[#This Row],[Tôi tin rằng Nhà nước, cơ quan thuế sẽ thực thi chính sách mới một cách khách quan, công tâm và đối xử bình đẳng với mọi người nộp thuế.  - HUMAN-TRU1]]</f>
        <v>5</v>
      </c>
      <c r="AN393">
        <f t="shared" si="175"/>
        <v>0.44444444444444442</v>
      </c>
      <c r="AO393">
        <f>step3_validation[[#This Row],[AI_TRU2]]</f>
        <v>8</v>
      </c>
      <c r="AP393">
        <f t="shared" si="176"/>
        <v>0.77777777777777779</v>
      </c>
      <c r="AQ393">
        <f>survey_responses[[#This Row],[Tôi thấy mức thuế tôi phải đóng theo phương án mới là công bằng (người thu nhập như tôi đóng mức này là hợp lý). - HUMAN-TRU2]]</f>
        <v>5</v>
      </c>
      <c r="AR393">
        <f t="shared" si="177"/>
        <v>0.44444444444444442</v>
      </c>
      <c r="AS393">
        <f>step3_validation[[#This Row],[AI_TRU3]]</f>
        <v>7</v>
      </c>
      <c r="AT393">
        <f t="shared" si="178"/>
        <v>0.66666666666666663</v>
      </c>
      <c r="AU393">
        <f>survey_responses[[#This Row],[Tôi tin tưởng số tiền thuế tôi đóng sẽ được Nhà nước sử dụng hiệu quả để cải thiện dịch vụ công (y tế, đường xá...). - HUMAN-TRU3]]</f>
        <v>5</v>
      </c>
      <c r="AV393">
        <f t="shared" si="179"/>
        <v>0.44444444444444442</v>
      </c>
      <c r="AW393">
        <f>step3_validation[[#This Row],[AI_TRU4]]</f>
        <v>6</v>
      </c>
      <c r="AX393">
        <f t="shared" si="180"/>
        <v>0.55555555555555558</v>
      </c>
      <c r="AY393">
        <f>survey_responses[[#This Row],[Tôi thấy Nhà nước đã giải thích rõ ràng, minh bạch về lý do và mục tiêu của việc sửa đổi thuế lần này. - HUMAN-TRU4]]</f>
        <v>5</v>
      </c>
      <c r="AZ393">
        <f t="shared" si="181"/>
        <v>0.44444444444444442</v>
      </c>
      <c r="BA393" s="32">
        <f t="shared" si="182"/>
        <v>0.69444444444444442</v>
      </c>
      <c r="BB393" s="32">
        <f t="shared" si="183"/>
        <v>0.44444444444444442</v>
      </c>
      <c r="BC393" s="7">
        <f t="shared" si="184"/>
        <v>0.76851851851851849</v>
      </c>
      <c r="BD393" s="7">
        <f t="shared" si="185"/>
        <v>0.33333333333333331</v>
      </c>
      <c r="BE393">
        <f>step3_validation[[#This Row],[AI_OUT1]]</f>
        <v>9</v>
      </c>
      <c r="BF393">
        <f t="shared" si="186"/>
        <v>0.88888888888888884</v>
      </c>
      <c r="BG393">
        <f>survey_responses[[#This Row],[Sau khi xem xét các quyền lợi và nghĩa vụ, bạn có ủng hộ và tuân thủ chính sách mới hiện nay? - HUMAN-OUT1]]</f>
        <v>5</v>
      </c>
      <c r="BH393">
        <f t="shared" si="187"/>
        <v>0.44444444444444442</v>
      </c>
      <c r="BI393" s="32">
        <f t="shared" si="188"/>
        <v>4</v>
      </c>
    </row>
    <row r="394" spans="1:61" x14ac:dyDescent="0.45">
      <c r="A394" s="30">
        <f>step3_validation[[#This Row],[Persona_ID]]</f>
        <v>393</v>
      </c>
      <c r="B394" s="31">
        <f>step3_validation[[#This Row],[Used_Seed]]</f>
        <v>434</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24.237912887979391</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7</v>
      </c>
      <c r="R394">
        <f t="shared" si="162"/>
        <v>0.66666666666666663</v>
      </c>
      <c r="S394">
        <f>survey_responses[[#This Row],[Tôi tin rằng với các quy định quản lý thuế hiện nay, hành vi gian lận hoặc trốn thuế sẽ dễ dàng bị phát hiện và xử lý nghiêm. - HUMAN-ENF1]]</f>
        <v>7</v>
      </c>
      <c r="T394">
        <f t="shared" si="163"/>
        <v>0.66666666666666663</v>
      </c>
      <c r="U394">
        <f>step3_validation[[#This Row],[AI_ENF2]]</f>
        <v>8</v>
      </c>
      <c r="V394">
        <f t="shared" si="164"/>
        <v>0.77777777777777779</v>
      </c>
      <c r="W394">
        <f>survey_responses[[#This Row],[Tôi tin rằng Nhà nước, cơ quan thuế có đủ khả năng và công nghệ để phát hiện, xử lý nghiêm các hành vi trốn thuế. - HUMAN-ENF2]]</f>
        <v>7</v>
      </c>
      <c r="X394">
        <f t="shared" si="165"/>
        <v>0.66666666666666663</v>
      </c>
      <c r="Y394" s="32">
        <f t="shared" si="166"/>
        <v>0.72222222222222221</v>
      </c>
      <c r="Z394" s="32">
        <f t="shared" si="167"/>
        <v>0.66666666666666663</v>
      </c>
      <c r="AA394">
        <f>step3_validation[[#This Row],[AI_FAC1]]</f>
        <v>9</v>
      </c>
      <c r="AB394">
        <f t="shared" si="168"/>
        <v>0.88888888888888884</v>
      </c>
      <c r="AC394">
        <f>survey_responses[[#This Row],[Các thủ tục khai báo thuế VÀ/HOẶC quy trình làm việc với cơ quan thuế đơn giản, tiện lợi, nhanh chóng hơn so với trước đây. - HUMAN-FAC1]]</f>
        <v>5</v>
      </c>
      <c r="AD394">
        <f t="shared" si="169"/>
        <v>0.44444444444444442</v>
      </c>
      <c r="AE394">
        <f>step3_validation[[#This Row],[AI_FAC2]]</f>
        <v>10</v>
      </c>
      <c r="AF394">
        <f t="shared" si="170"/>
        <v>1</v>
      </c>
      <c r="AG394">
        <f>survey_responses[[#This Row],[So với trước đây, tôi thấy cách tính thuế và các bậc thuế trong phương án mới đơn giản, dễ hiểu và dễ thực hiện hơn. - HUMAN-FAC2]]</f>
        <v>8</v>
      </c>
      <c r="AH394">
        <f t="shared" si="171"/>
        <v>0.77777777777777779</v>
      </c>
      <c r="AI394" s="32">
        <f t="shared" si="172"/>
        <v>0.94444444444444442</v>
      </c>
      <c r="AJ394" s="32">
        <f t="shared" si="173"/>
        <v>0.61111111111111116</v>
      </c>
      <c r="AK394">
        <f>step3_validation[[#This Row],[AI_TRU1]]</f>
        <v>7</v>
      </c>
      <c r="AL394">
        <f t="shared" si="174"/>
        <v>0.66666666666666663</v>
      </c>
      <c r="AM394">
        <f>survey_responses[[#This Row],[Tôi tin rằng Nhà nước, cơ quan thuế sẽ thực thi chính sách mới một cách khách quan, công tâm và đối xử bình đẳng với mọi người nộp thuế.  - HUMAN-TRU1]]</f>
        <v>7</v>
      </c>
      <c r="AN394">
        <f t="shared" si="175"/>
        <v>0.66666666666666663</v>
      </c>
      <c r="AO394">
        <f>step3_validation[[#This Row],[AI_TRU2]]</f>
        <v>9</v>
      </c>
      <c r="AP394">
        <f t="shared" si="176"/>
        <v>0.88888888888888884</v>
      </c>
      <c r="AQ394">
        <f>survey_responses[[#This Row],[Tôi thấy mức thuế tôi phải đóng theo phương án mới là công bằng (người thu nhập như tôi đóng mức này là hợp lý). - HUMAN-TRU2]]</f>
        <v>7</v>
      </c>
      <c r="AR394">
        <f t="shared" si="177"/>
        <v>0.66666666666666663</v>
      </c>
      <c r="AS394">
        <f>step3_validation[[#This Row],[AI_TRU3]]</f>
        <v>7</v>
      </c>
      <c r="AT394">
        <f t="shared" si="178"/>
        <v>0.66666666666666663</v>
      </c>
      <c r="AU394">
        <f>survey_responses[[#This Row],[Tôi tin tưởng số tiền thuế tôi đóng sẽ được Nhà nước sử dụng hiệu quả để cải thiện dịch vụ công (y tế, đường xá...). - HUMAN-TRU3]]</f>
        <v>5</v>
      </c>
      <c r="AV394">
        <f t="shared" si="179"/>
        <v>0.44444444444444442</v>
      </c>
      <c r="AW394">
        <f>step3_validation[[#This Row],[AI_TRU4]]</f>
        <v>8</v>
      </c>
      <c r="AX394">
        <f t="shared" si="180"/>
        <v>0.77777777777777779</v>
      </c>
      <c r="AY394">
        <f>survey_responses[[#This Row],[Tôi thấy Nhà nước đã giải thích rõ ràng, minh bạch về lý do và mục tiêu của việc sửa đổi thuế lần này. - HUMAN-TRU4]]</f>
        <v>6</v>
      </c>
      <c r="AZ394">
        <f t="shared" si="181"/>
        <v>0.55555555555555558</v>
      </c>
      <c r="BA394" s="32">
        <f t="shared" si="182"/>
        <v>0.74999999999999989</v>
      </c>
      <c r="BB394" s="32">
        <f t="shared" si="183"/>
        <v>0.58333333333333326</v>
      </c>
      <c r="BC394" s="7">
        <f t="shared" si="184"/>
        <v>0.80555555555555547</v>
      </c>
      <c r="BD394" s="7">
        <f t="shared" si="185"/>
        <v>0.62037037037037035</v>
      </c>
      <c r="BE394">
        <f>step3_validation[[#This Row],[AI_OUT1]]</f>
        <v>9</v>
      </c>
      <c r="BF394">
        <f t="shared" si="186"/>
        <v>0.88888888888888884</v>
      </c>
      <c r="BG394">
        <f>survey_responses[[#This Row],[Sau khi xem xét các quyền lợi và nghĩa vụ, bạn có ủng hộ và tuân thủ chính sách mới hiện nay? - HUMAN-OUT1]]</f>
        <v>7</v>
      </c>
      <c r="BH394">
        <f t="shared" si="187"/>
        <v>0.66666666666666663</v>
      </c>
      <c r="BI394" s="32">
        <f t="shared" si="188"/>
        <v>2</v>
      </c>
    </row>
    <row r="395" spans="1:61" x14ac:dyDescent="0.45">
      <c r="A395" s="30">
        <f>step3_validation[[#This Row],[Persona_ID]]</f>
        <v>394</v>
      </c>
      <c r="B395" s="31">
        <f>step3_validation[[#This Row],[Used_Seed]]</f>
        <v>435</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3</v>
      </c>
      <c r="R395">
        <f t="shared" si="162"/>
        <v>0.22222222222222221</v>
      </c>
      <c r="S395">
        <f>survey_responses[[#This Row],[Tôi tin rằng với các quy định quản lý thuế hiện nay, hành vi gian lận hoặc trốn thuế sẽ dễ dàng bị phát hiện và xử lý nghiêm. - HUMAN-ENF1]]</f>
        <v>9</v>
      </c>
      <c r="T395">
        <f t="shared" si="163"/>
        <v>0.88888888888888884</v>
      </c>
      <c r="U395">
        <f>step3_validation[[#This Row],[AI_ENF2]]</f>
        <v>3</v>
      </c>
      <c r="V395">
        <f t="shared" si="164"/>
        <v>0.22222222222222221</v>
      </c>
      <c r="W395">
        <f>survey_responses[[#This Row],[Tôi tin rằng Nhà nước, cơ quan thuế có đủ khả năng và công nghệ để phát hiện, xử lý nghiêm các hành vi trốn thuế. - HUMAN-ENF2]]</f>
        <v>9</v>
      </c>
      <c r="X395">
        <f t="shared" si="165"/>
        <v>0.88888888888888884</v>
      </c>
      <c r="Y395" s="32">
        <f t="shared" si="166"/>
        <v>0.22222222222222221</v>
      </c>
      <c r="Z395" s="32">
        <f t="shared" si="167"/>
        <v>0.88888888888888884</v>
      </c>
      <c r="AA395">
        <f>step3_validation[[#This Row],[AI_FAC1]]</f>
        <v>8</v>
      </c>
      <c r="AB395">
        <f t="shared" si="168"/>
        <v>0.77777777777777779</v>
      </c>
      <c r="AC395">
        <f>survey_responses[[#This Row],[Các thủ tục khai báo thuế VÀ/HOẶC quy trình làm việc với cơ quan thuế đơn giản, tiện lợi, nhanh chóng hơn so với trước đây. - HUMAN-FAC1]]</f>
        <v>9</v>
      </c>
      <c r="AD395">
        <f t="shared" si="169"/>
        <v>0.88888888888888884</v>
      </c>
      <c r="AE395">
        <f>step3_validation[[#This Row],[AI_FAC2]]</f>
        <v>9</v>
      </c>
      <c r="AF395">
        <f t="shared" si="170"/>
        <v>0.88888888888888884</v>
      </c>
      <c r="AG395">
        <f>survey_responses[[#This Row],[So với trước đây, tôi thấy cách tính thuế và các bậc thuế trong phương án mới đơn giản, dễ hiểu và dễ thực hiện hơn. - HUMAN-FAC2]]</f>
        <v>7</v>
      </c>
      <c r="AH395">
        <f t="shared" si="171"/>
        <v>0.66666666666666663</v>
      </c>
      <c r="AI395" s="32">
        <f t="shared" si="172"/>
        <v>0.83333333333333326</v>
      </c>
      <c r="AJ395" s="32">
        <f t="shared" si="173"/>
        <v>0.77777777777777768</v>
      </c>
      <c r="AK395">
        <f>step3_validation[[#This Row],[AI_TRU1]]</f>
        <v>6</v>
      </c>
      <c r="AL395">
        <f t="shared" si="174"/>
        <v>0.55555555555555558</v>
      </c>
      <c r="AM395">
        <f>survey_responses[[#This Row],[Tôi tin rằng Nhà nước, cơ quan thuế sẽ thực thi chính sách mới một cách khách quan, công tâm và đối xử bình đẳng với mọi người nộp thuế.  - HUMAN-TRU1]]</f>
        <v>8</v>
      </c>
      <c r="AN395">
        <f t="shared" si="175"/>
        <v>0.77777777777777779</v>
      </c>
      <c r="AO395">
        <f>step3_validation[[#This Row],[AI_TRU2]]</f>
        <v>6</v>
      </c>
      <c r="AP395">
        <f t="shared" si="176"/>
        <v>0.55555555555555558</v>
      </c>
      <c r="AQ395">
        <f>survey_responses[[#This Row],[Tôi thấy mức thuế tôi phải đóng theo phương án mới là công bằng (người thu nhập như tôi đóng mức này là hợp lý). - HUMAN-TRU2]]</f>
        <v>6</v>
      </c>
      <c r="AR395">
        <f t="shared" si="177"/>
        <v>0.55555555555555558</v>
      </c>
      <c r="AS395">
        <f>step3_validation[[#This Row],[AI_TRU3]]</f>
        <v>7</v>
      </c>
      <c r="AT395">
        <f t="shared" si="178"/>
        <v>0.66666666666666663</v>
      </c>
      <c r="AU395">
        <f>survey_responses[[#This Row],[Tôi tin tưởng số tiền thuế tôi đóng sẽ được Nhà nước sử dụng hiệu quả để cải thiện dịch vụ công (y tế, đường xá...). - HUMAN-TRU3]]</f>
        <v>8</v>
      </c>
      <c r="AV395">
        <f t="shared" si="179"/>
        <v>0.77777777777777779</v>
      </c>
      <c r="AW395">
        <f>step3_validation[[#This Row],[AI_TRU4]]</f>
        <v>6</v>
      </c>
      <c r="AX395">
        <f t="shared" si="180"/>
        <v>0.55555555555555558</v>
      </c>
      <c r="AY395">
        <f>survey_responses[[#This Row],[Tôi thấy Nhà nước đã giải thích rõ ràng, minh bạch về lý do và mục tiêu của việc sửa đổi thuế lần này. - HUMAN-TRU4]]</f>
        <v>10</v>
      </c>
      <c r="AZ395">
        <f t="shared" si="181"/>
        <v>1</v>
      </c>
      <c r="BA395" s="32">
        <f t="shared" si="182"/>
        <v>0.58333333333333326</v>
      </c>
      <c r="BB395" s="32">
        <f t="shared" si="183"/>
        <v>0.77777777777777779</v>
      </c>
      <c r="BC395" s="7">
        <f t="shared" si="184"/>
        <v>0.54629629629629617</v>
      </c>
      <c r="BD395" s="7">
        <f t="shared" si="185"/>
        <v>0.81481481481481477</v>
      </c>
      <c r="BE395">
        <f>step3_validation[[#This Row],[AI_OUT1]]</f>
        <v>7</v>
      </c>
      <c r="BF395">
        <f t="shared" si="186"/>
        <v>0.66666666666666663</v>
      </c>
      <c r="BG395">
        <f>survey_responses[[#This Row],[Sau khi xem xét các quyền lợi và nghĩa vụ, bạn có ủng hộ và tuân thủ chính sách mới hiện nay? - HUMAN-OUT1]]</f>
        <v>10</v>
      </c>
      <c r="BH395">
        <f t="shared" si="187"/>
        <v>1</v>
      </c>
      <c r="BI395" s="32">
        <f t="shared" si="188"/>
        <v>3</v>
      </c>
    </row>
    <row r="396" spans="1:61" x14ac:dyDescent="0.45">
      <c r="A396" s="30">
        <f>step3_validation[[#This Row],[Persona_ID]]</f>
        <v>395</v>
      </c>
      <c r="B396" s="31">
        <f>step3_validation[[#This Row],[Used_Seed]]</f>
        <v>436</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34.081530347075777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f t="shared" si="162"/>
        <v>0.66666666666666663</v>
      </c>
      <c r="S396">
        <f>survey_responses[[#This Row],[Tôi tin rằng với các quy định quản lý thuế hiện nay, hành vi gian lận hoặc trốn thuế sẽ dễ dàng bị phát hiện và xử lý nghiêm. - HUMAN-ENF1]]</f>
        <v>7</v>
      </c>
      <c r="T396">
        <f t="shared" si="163"/>
        <v>0.66666666666666663</v>
      </c>
      <c r="U396">
        <f>step3_validation[[#This Row],[AI_ENF2]]</f>
        <v>8</v>
      </c>
      <c r="V396">
        <f t="shared" si="164"/>
        <v>0.77777777777777779</v>
      </c>
      <c r="W396">
        <f>survey_responses[[#This Row],[Tôi tin rằng Nhà nước, cơ quan thuế có đủ khả năng và công nghệ để phát hiện, xử lý nghiêm các hành vi trốn thuế. - HUMAN-ENF2]]</f>
        <v>7</v>
      </c>
      <c r="X396">
        <f t="shared" si="165"/>
        <v>0.66666666666666663</v>
      </c>
      <c r="Y396" s="32">
        <f t="shared" si="166"/>
        <v>0.72222222222222221</v>
      </c>
      <c r="Z396" s="32">
        <f t="shared" si="167"/>
        <v>0.66666666666666663</v>
      </c>
      <c r="AA396">
        <f>step3_validation[[#This Row],[AI_FAC1]]</f>
        <v>9</v>
      </c>
      <c r="AB396">
        <f t="shared" si="168"/>
        <v>0.88888888888888884</v>
      </c>
      <c r="AC396">
        <f>survey_responses[[#This Row],[Các thủ tục khai báo thuế VÀ/HOẶC quy trình làm việc với cơ quan thuế đơn giản, tiện lợi, nhanh chóng hơn so với trước đây. - HUMAN-FAC1]]</f>
        <v>5</v>
      </c>
      <c r="AD396">
        <f t="shared" si="169"/>
        <v>0.44444444444444442</v>
      </c>
      <c r="AE396">
        <f>step3_validation[[#This Row],[AI_FAC2]]</f>
        <v>9</v>
      </c>
      <c r="AF396">
        <f t="shared" si="170"/>
        <v>0.88888888888888884</v>
      </c>
      <c r="AG396">
        <f>survey_responses[[#This Row],[So với trước đây, tôi thấy cách tính thuế và các bậc thuế trong phương án mới đơn giản, dễ hiểu và dễ thực hiện hơn. - HUMAN-FAC2]]</f>
        <v>7</v>
      </c>
      <c r="AH396">
        <f t="shared" si="171"/>
        <v>0.66666666666666663</v>
      </c>
      <c r="AI396" s="32">
        <f t="shared" si="172"/>
        <v>0.88888888888888884</v>
      </c>
      <c r="AJ396" s="32">
        <f t="shared" si="173"/>
        <v>0.55555555555555558</v>
      </c>
      <c r="AK396">
        <f>step3_validation[[#This Row],[AI_TRU1]]</f>
        <v>8</v>
      </c>
      <c r="AL396">
        <f t="shared" si="174"/>
        <v>0.77777777777777779</v>
      </c>
      <c r="AM396">
        <f>survey_responses[[#This Row],[Tôi tin rằng Nhà nước, cơ quan thuế sẽ thực thi chính sách mới một cách khách quan, công tâm và đối xử bình đẳng với mọi người nộp thuế.  - HUMAN-TRU1]]</f>
        <v>5</v>
      </c>
      <c r="AN396">
        <f t="shared" si="175"/>
        <v>0.44444444444444442</v>
      </c>
      <c r="AO396">
        <f>step3_validation[[#This Row],[AI_TRU2]]</f>
        <v>9</v>
      </c>
      <c r="AP396">
        <f t="shared" si="176"/>
        <v>0.88888888888888884</v>
      </c>
      <c r="AQ396">
        <f>survey_responses[[#This Row],[Tôi thấy mức thuế tôi phải đóng theo phương án mới là công bằng (người thu nhập như tôi đóng mức này là hợp lý). - HUMAN-TRU2]]</f>
        <v>6</v>
      </c>
      <c r="AR396">
        <f t="shared" si="177"/>
        <v>0.55555555555555558</v>
      </c>
      <c r="AS396">
        <f>step3_validation[[#This Row],[AI_TRU3]]</f>
        <v>8</v>
      </c>
      <c r="AT396">
        <f t="shared" si="178"/>
        <v>0.77777777777777779</v>
      </c>
      <c r="AU396">
        <f>survey_responses[[#This Row],[Tôi tin tưởng số tiền thuế tôi đóng sẽ được Nhà nước sử dụng hiệu quả để cải thiện dịch vụ công (y tế, đường xá...). - HUMAN-TRU3]]</f>
        <v>5</v>
      </c>
      <c r="AV396">
        <f t="shared" si="179"/>
        <v>0.44444444444444442</v>
      </c>
      <c r="AW396">
        <f>step3_validation[[#This Row],[AI_TRU4]]</f>
        <v>9</v>
      </c>
      <c r="AX396">
        <f t="shared" si="180"/>
        <v>0.88888888888888884</v>
      </c>
      <c r="AY396">
        <f>survey_responses[[#This Row],[Tôi thấy Nhà nước đã giải thích rõ ràng, minh bạch về lý do và mục tiêu của việc sửa đổi thuế lần này. - HUMAN-TRU4]]</f>
        <v>6</v>
      </c>
      <c r="AZ396">
        <f t="shared" si="181"/>
        <v>0.55555555555555558</v>
      </c>
      <c r="BA396" s="32">
        <f t="shared" si="182"/>
        <v>0.83333333333333326</v>
      </c>
      <c r="BB396" s="32">
        <f t="shared" si="183"/>
        <v>0.5</v>
      </c>
      <c r="BC396" s="7">
        <f t="shared" si="184"/>
        <v>0.81481481481481488</v>
      </c>
      <c r="BD396" s="7">
        <f t="shared" si="185"/>
        <v>0.57407407407407407</v>
      </c>
      <c r="BE396">
        <f>step3_validation[[#This Row],[AI_OUT1]]</f>
        <v>8</v>
      </c>
      <c r="BF396">
        <f t="shared" si="186"/>
        <v>0.77777777777777779</v>
      </c>
      <c r="BG396">
        <f>survey_responses[[#This Row],[Sau khi xem xét các quyền lợi và nghĩa vụ, bạn có ủng hộ và tuân thủ chính sách mới hiện nay? - HUMAN-OUT1]]</f>
        <v>6</v>
      </c>
      <c r="BH396">
        <f t="shared" si="187"/>
        <v>0.55555555555555558</v>
      </c>
      <c r="BI396" s="32">
        <f t="shared" si="188"/>
        <v>2</v>
      </c>
    </row>
    <row r="397" spans="1:61" x14ac:dyDescent="0.45">
      <c r="A397" s="30">
        <f>step3_validation[[#This Row],[Persona_ID]]</f>
        <v>396</v>
      </c>
      <c r="B397" s="31">
        <f>step3_validation[[#This Row],[Used_Seed]]</f>
        <v>437</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29.447497431690316</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7</v>
      </c>
      <c r="R397">
        <f t="shared" si="162"/>
        <v>0.66666666666666663</v>
      </c>
      <c r="S397">
        <f>survey_responses[[#This Row],[Tôi tin rằng với các quy định quản lý thuế hiện nay, hành vi gian lận hoặc trốn thuế sẽ dễ dàng bị phát hiện và xử lý nghiêm. - HUMAN-ENF1]]</f>
        <v>2</v>
      </c>
      <c r="T397">
        <f t="shared" si="163"/>
        <v>0.1111111111111111</v>
      </c>
      <c r="U397">
        <f>step3_validation[[#This Row],[AI_ENF2]]</f>
        <v>6</v>
      </c>
      <c r="V397">
        <f t="shared" si="164"/>
        <v>0.55555555555555558</v>
      </c>
      <c r="W397">
        <f>survey_responses[[#This Row],[Tôi tin rằng Nhà nước, cơ quan thuế có đủ khả năng và công nghệ để phát hiện, xử lý nghiêm các hành vi trốn thuế. - HUMAN-ENF2]]</f>
        <v>2</v>
      </c>
      <c r="X397">
        <f t="shared" si="165"/>
        <v>0.1111111111111111</v>
      </c>
      <c r="Y397" s="32">
        <f t="shared" si="166"/>
        <v>0.61111111111111116</v>
      </c>
      <c r="Z397" s="32">
        <f t="shared" si="167"/>
        <v>0.1111111111111111</v>
      </c>
      <c r="AA397">
        <f>step3_validation[[#This Row],[AI_FAC1]]</f>
        <v>8</v>
      </c>
      <c r="AB397">
        <f t="shared" si="168"/>
        <v>0.77777777777777779</v>
      </c>
      <c r="AC397">
        <f>survey_responses[[#This Row],[Các thủ tục khai báo thuế VÀ/HOẶC quy trình làm việc với cơ quan thuế đơn giản, tiện lợi, nhanh chóng hơn so với trước đây. - HUMAN-FAC1]]</f>
        <v>4</v>
      </c>
      <c r="AD397">
        <f t="shared" si="169"/>
        <v>0.33333333333333331</v>
      </c>
      <c r="AE397">
        <f>step3_validation[[#This Row],[AI_FAC2]]</f>
        <v>9</v>
      </c>
      <c r="AF397">
        <f t="shared" si="170"/>
        <v>0.88888888888888884</v>
      </c>
      <c r="AG397">
        <f>survey_responses[[#This Row],[So với trước đây, tôi thấy cách tính thuế và các bậc thuế trong phương án mới đơn giản, dễ hiểu và dễ thực hiện hơn. - HUMAN-FAC2]]</f>
        <v>5</v>
      </c>
      <c r="AH397">
        <f t="shared" si="171"/>
        <v>0.44444444444444442</v>
      </c>
      <c r="AI397" s="32">
        <f t="shared" si="172"/>
        <v>0.83333333333333326</v>
      </c>
      <c r="AJ397" s="32">
        <f t="shared" si="173"/>
        <v>0.38888888888888884</v>
      </c>
      <c r="AK397">
        <f>step3_validation[[#This Row],[AI_TRU1]]</f>
        <v>8</v>
      </c>
      <c r="AL397">
        <f t="shared" si="174"/>
        <v>0.77777777777777779</v>
      </c>
      <c r="AM397">
        <f>survey_responses[[#This Row],[Tôi tin rằng Nhà nước, cơ quan thuế sẽ thực thi chính sách mới một cách khách quan, công tâm và đối xử bình đẳng với mọi người nộp thuế.  - HUMAN-TRU1]]</f>
        <v>5</v>
      </c>
      <c r="AN397">
        <f t="shared" si="175"/>
        <v>0.44444444444444442</v>
      </c>
      <c r="AO397">
        <f>step3_validation[[#This Row],[AI_TRU2]]</f>
        <v>9</v>
      </c>
      <c r="AP397">
        <f t="shared" si="176"/>
        <v>0.88888888888888884</v>
      </c>
      <c r="AQ397">
        <f>survey_responses[[#This Row],[Tôi thấy mức thuế tôi phải đóng theo phương án mới là công bằng (người thu nhập như tôi đóng mức này là hợp lý). - HUMAN-TRU2]]</f>
        <v>3</v>
      </c>
      <c r="AR397">
        <f t="shared" si="177"/>
        <v>0.22222222222222221</v>
      </c>
      <c r="AS397">
        <f>step3_validation[[#This Row],[AI_TRU3]]</f>
        <v>8</v>
      </c>
      <c r="AT397">
        <f t="shared" si="178"/>
        <v>0.77777777777777779</v>
      </c>
      <c r="AU397">
        <f>survey_responses[[#This Row],[Tôi tin tưởng số tiền thuế tôi đóng sẽ được Nhà nước sử dụng hiệu quả để cải thiện dịch vụ công (y tế, đường xá...). - HUMAN-TRU3]]</f>
        <v>5</v>
      </c>
      <c r="AV397">
        <f t="shared" si="179"/>
        <v>0.44444444444444442</v>
      </c>
      <c r="AW397">
        <f>step3_validation[[#This Row],[AI_TRU4]]</f>
        <v>7</v>
      </c>
      <c r="AX397">
        <f t="shared" si="180"/>
        <v>0.66666666666666663</v>
      </c>
      <c r="AY397">
        <f>survey_responses[[#This Row],[Tôi thấy Nhà nước đã giải thích rõ ràng, minh bạch về lý do và mục tiêu của việc sửa đổi thuế lần này. - HUMAN-TRU4]]</f>
        <v>5</v>
      </c>
      <c r="AZ397">
        <f t="shared" si="181"/>
        <v>0.44444444444444442</v>
      </c>
      <c r="BA397" s="32">
        <f t="shared" si="182"/>
        <v>0.77777777777777768</v>
      </c>
      <c r="BB397" s="32">
        <f t="shared" si="183"/>
        <v>0.3888888888888889</v>
      </c>
      <c r="BC397" s="7">
        <f t="shared" si="184"/>
        <v>0.74074074074074081</v>
      </c>
      <c r="BD397" s="7">
        <f t="shared" si="185"/>
        <v>0.29629629629629628</v>
      </c>
      <c r="BE397">
        <f>step3_validation[[#This Row],[AI_OUT1]]</f>
        <v>9</v>
      </c>
      <c r="BF397">
        <f t="shared" si="186"/>
        <v>0.88888888888888884</v>
      </c>
      <c r="BG397">
        <f>survey_responses[[#This Row],[Sau khi xem xét các quyền lợi và nghĩa vụ, bạn có ủng hộ và tuân thủ chính sách mới hiện nay? - HUMAN-OUT1]]</f>
        <v>5</v>
      </c>
      <c r="BH397">
        <f t="shared" si="187"/>
        <v>0.44444444444444442</v>
      </c>
      <c r="BI397" s="32">
        <f t="shared" si="188"/>
        <v>4</v>
      </c>
    </row>
    <row r="398" spans="1:61" x14ac:dyDescent="0.45">
      <c r="A398" s="30">
        <f>step3_validation[[#This Row],[Persona_ID]]</f>
        <v>397</v>
      </c>
      <c r="B398" s="31">
        <f>step3_validation[[#This Row],[Used_Seed]]</f>
        <v>438</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28.524551732345792</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6</v>
      </c>
      <c r="R398">
        <f t="shared" si="162"/>
        <v>0.55555555555555558</v>
      </c>
      <c r="S398">
        <f>survey_responses[[#This Row],[Tôi tin rằng với các quy định quản lý thuế hiện nay, hành vi gian lận hoặc trốn thuế sẽ dễ dàng bị phát hiện và xử lý nghiêm. - HUMAN-ENF1]]</f>
        <v>8</v>
      </c>
      <c r="T398">
        <f t="shared" si="163"/>
        <v>0.77777777777777779</v>
      </c>
      <c r="U398">
        <f>step3_validation[[#This Row],[AI_ENF2]]</f>
        <v>7</v>
      </c>
      <c r="V398">
        <f t="shared" si="164"/>
        <v>0.66666666666666663</v>
      </c>
      <c r="W398">
        <f>survey_responses[[#This Row],[Tôi tin rằng Nhà nước, cơ quan thuế có đủ khả năng và công nghệ để phát hiện, xử lý nghiêm các hành vi trốn thuế. - HUMAN-ENF2]]</f>
        <v>8</v>
      </c>
      <c r="X398">
        <f t="shared" si="165"/>
        <v>0.77777777777777779</v>
      </c>
      <c r="Y398" s="32">
        <f t="shared" si="166"/>
        <v>0.61111111111111116</v>
      </c>
      <c r="Z398" s="32">
        <f t="shared" si="167"/>
        <v>0.77777777777777779</v>
      </c>
      <c r="AA398">
        <f>step3_validation[[#This Row],[AI_FAC1]]</f>
        <v>8</v>
      </c>
      <c r="AB398">
        <f t="shared" si="168"/>
        <v>0.77777777777777779</v>
      </c>
      <c r="AC398">
        <f>survey_responses[[#This Row],[Các thủ tục khai báo thuế VÀ/HOẶC quy trình làm việc với cơ quan thuế đơn giản, tiện lợi, nhanh chóng hơn so với trước đây. - HUMAN-FAC1]]</f>
        <v>7</v>
      </c>
      <c r="AD398">
        <f t="shared" si="169"/>
        <v>0.66666666666666663</v>
      </c>
      <c r="AE398">
        <f>step3_validation[[#This Row],[AI_FAC2]]</f>
        <v>9</v>
      </c>
      <c r="AF398">
        <f t="shared" si="170"/>
        <v>0.88888888888888884</v>
      </c>
      <c r="AG398">
        <f>survey_responses[[#This Row],[So với trước đây, tôi thấy cách tính thuế và các bậc thuế trong phương án mới đơn giản, dễ hiểu và dễ thực hiện hơn. - HUMAN-FAC2]]</f>
        <v>7</v>
      </c>
      <c r="AH398">
        <f t="shared" si="171"/>
        <v>0.66666666666666663</v>
      </c>
      <c r="AI398" s="32">
        <f t="shared" si="172"/>
        <v>0.83333333333333326</v>
      </c>
      <c r="AJ398" s="32">
        <f t="shared" si="173"/>
        <v>0.66666666666666663</v>
      </c>
      <c r="AK398">
        <f>step3_validation[[#This Row],[AI_TRU1]]</f>
        <v>7</v>
      </c>
      <c r="AL398">
        <f t="shared" si="174"/>
        <v>0.66666666666666663</v>
      </c>
      <c r="AM398">
        <f>survey_responses[[#This Row],[Tôi tin rằng Nhà nước, cơ quan thuế sẽ thực thi chính sách mới một cách khách quan, công tâm và đối xử bình đẳng với mọi người nộp thuế.  - HUMAN-TRU1]]</f>
        <v>7</v>
      </c>
      <c r="AN398">
        <f t="shared" si="175"/>
        <v>0.66666666666666663</v>
      </c>
      <c r="AO398">
        <f>step3_validation[[#This Row],[AI_TRU2]]</f>
        <v>8</v>
      </c>
      <c r="AP398">
        <f t="shared" si="176"/>
        <v>0.77777777777777779</v>
      </c>
      <c r="AQ398">
        <f>survey_responses[[#This Row],[Tôi thấy mức thuế tôi phải đóng theo phương án mới là công bằng (người thu nhập như tôi đóng mức này là hợp lý). - HUMAN-TRU2]]</f>
        <v>8</v>
      </c>
      <c r="AR398">
        <f t="shared" si="177"/>
        <v>0.77777777777777779</v>
      </c>
      <c r="AS398">
        <f>step3_validation[[#This Row],[AI_TRU3]]</f>
        <v>7</v>
      </c>
      <c r="AT398">
        <f t="shared" si="178"/>
        <v>0.66666666666666663</v>
      </c>
      <c r="AU398">
        <f>survey_responses[[#This Row],[Tôi tin tưởng số tiền thuế tôi đóng sẽ được Nhà nước sử dụng hiệu quả để cải thiện dịch vụ công (y tế, đường xá...). - HUMAN-TRU3]]</f>
        <v>7</v>
      </c>
      <c r="AV398">
        <f t="shared" si="179"/>
        <v>0.66666666666666663</v>
      </c>
      <c r="AW398">
        <f>step3_validation[[#This Row],[AI_TRU4]]</f>
        <v>6</v>
      </c>
      <c r="AX398">
        <f t="shared" si="180"/>
        <v>0.55555555555555558</v>
      </c>
      <c r="AY398">
        <f>survey_responses[[#This Row],[Tôi thấy Nhà nước đã giải thích rõ ràng, minh bạch về lý do và mục tiêu của việc sửa đổi thuế lần này. - HUMAN-TRU4]]</f>
        <v>8</v>
      </c>
      <c r="AZ398">
        <f t="shared" si="181"/>
        <v>0.77777777777777779</v>
      </c>
      <c r="BA398" s="32">
        <f t="shared" si="182"/>
        <v>0.66666666666666674</v>
      </c>
      <c r="BB398" s="32">
        <f t="shared" si="183"/>
        <v>0.72222222222222221</v>
      </c>
      <c r="BC398" s="7">
        <f t="shared" si="184"/>
        <v>0.70370370370370372</v>
      </c>
      <c r="BD398" s="7">
        <f t="shared" si="185"/>
        <v>0.72222222222222221</v>
      </c>
      <c r="BE398">
        <f>step3_validation[[#This Row],[AI_OUT1]]</f>
        <v>8</v>
      </c>
      <c r="BF398">
        <f t="shared" si="186"/>
        <v>0.77777777777777779</v>
      </c>
      <c r="BG398">
        <f>survey_responses[[#This Row],[Sau khi xem xét các quyền lợi và nghĩa vụ, bạn có ủng hộ và tuân thủ chính sách mới hiện nay? - HUMAN-OUT1]]</f>
        <v>8</v>
      </c>
      <c r="BH398">
        <f t="shared" si="187"/>
        <v>0.77777777777777779</v>
      </c>
      <c r="BI398" s="32">
        <f t="shared" si="188"/>
        <v>0</v>
      </c>
    </row>
    <row r="399" spans="1:61" x14ac:dyDescent="0.45">
      <c r="A399" s="30">
        <f>step3_validation[[#This Row],[Persona_ID]]</f>
        <v>398</v>
      </c>
      <c r="B399" s="31">
        <f>step3_validation[[#This Row],[Used_Seed]]</f>
        <v>439</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6</v>
      </c>
      <c r="R399">
        <f t="shared" si="162"/>
        <v>0.55555555555555558</v>
      </c>
      <c r="S399">
        <f>survey_responses[[#This Row],[Tôi tin rằng với các quy định quản lý thuế hiện nay, hành vi gian lận hoặc trốn thuế sẽ dễ dàng bị phát hiện và xử lý nghiêm. - HUMAN-ENF1]]</f>
        <v>9</v>
      </c>
      <c r="T399">
        <f t="shared" si="163"/>
        <v>0.88888888888888884</v>
      </c>
      <c r="U399">
        <f>step3_validation[[#This Row],[AI_ENF2]]</f>
        <v>7</v>
      </c>
      <c r="V399">
        <f t="shared" si="164"/>
        <v>0.66666666666666663</v>
      </c>
      <c r="W399">
        <f>survey_responses[[#This Row],[Tôi tin rằng Nhà nước, cơ quan thuế có đủ khả năng và công nghệ để phát hiện, xử lý nghiêm các hành vi trốn thuế. - HUMAN-ENF2]]</f>
        <v>9</v>
      </c>
      <c r="X399">
        <f t="shared" si="165"/>
        <v>0.88888888888888884</v>
      </c>
      <c r="Y399" s="32">
        <f t="shared" si="166"/>
        <v>0.61111111111111116</v>
      </c>
      <c r="Z399" s="32">
        <f t="shared" si="167"/>
        <v>0.88888888888888884</v>
      </c>
      <c r="AA399">
        <f>step3_validation[[#This Row],[AI_FAC1]]</f>
        <v>8</v>
      </c>
      <c r="AB399">
        <f t="shared" si="168"/>
        <v>0.77777777777777779</v>
      </c>
      <c r="AC399">
        <f>survey_responses[[#This Row],[Các thủ tục khai báo thuế VÀ/HOẶC quy trình làm việc với cơ quan thuế đơn giản, tiện lợi, nhanh chóng hơn so với trước đây. - HUMAN-FAC1]]</f>
        <v>8</v>
      </c>
      <c r="AD399">
        <f t="shared" si="169"/>
        <v>0.77777777777777779</v>
      </c>
      <c r="AE399">
        <f>step3_validation[[#This Row],[AI_FAC2]]</f>
        <v>9</v>
      </c>
      <c r="AF399">
        <f t="shared" si="170"/>
        <v>0.88888888888888884</v>
      </c>
      <c r="AG399">
        <f>survey_responses[[#This Row],[So với trước đây, tôi thấy cách tính thuế và các bậc thuế trong phương án mới đơn giản, dễ hiểu và dễ thực hiện hơn. - HUMAN-FAC2]]</f>
        <v>9</v>
      </c>
      <c r="AH399">
        <f t="shared" si="171"/>
        <v>0.88888888888888884</v>
      </c>
      <c r="AI399" s="32">
        <f t="shared" si="172"/>
        <v>0.83333333333333326</v>
      </c>
      <c r="AJ399" s="32">
        <f t="shared" si="173"/>
        <v>0.83333333333333326</v>
      </c>
      <c r="AK399">
        <f>step3_validation[[#This Row],[AI_TRU1]]</f>
        <v>7</v>
      </c>
      <c r="AL399">
        <f t="shared" si="174"/>
        <v>0.66666666666666663</v>
      </c>
      <c r="AM399">
        <f>survey_responses[[#This Row],[Tôi tin rằng Nhà nước, cơ quan thuế sẽ thực thi chính sách mới một cách khách quan, công tâm và đối xử bình đẳng với mọi người nộp thuế.  - HUMAN-TRU1]]</f>
        <v>7</v>
      </c>
      <c r="AN399">
        <f t="shared" si="175"/>
        <v>0.66666666666666663</v>
      </c>
      <c r="AO399">
        <f>step3_validation[[#This Row],[AI_TRU2]]</f>
        <v>8</v>
      </c>
      <c r="AP399">
        <f t="shared" si="176"/>
        <v>0.77777777777777779</v>
      </c>
      <c r="AQ399">
        <f>survey_responses[[#This Row],[Tôi thấy mức thuế tôi phải đóng theo phương án mới là công bằng (người thu nhập như tôi đóng mức này là hợp lý). - HUMAN-TRU2]]</f>
        <v>9</v>
      </c>
      <c r="AR399">
        <f t="shared" si="177"/>
        <v>0.88888888888888884</v>
      </c>
      <c r="AS399">
        <f>step3_validation[[#This Row],[AI_TRU3]]</f>
        <v>9</v>
      </c>
      <c r="AT399">
        <f t="shared" si="178"/>
        <v>0.88888888888888884</v>
      </c>
      <c r="AU399">
        <f>survey_responses[[#This Row],[Tôi tin tưởng số tiền thuế tôi đóng sẽ được Nhà nước sử dụng hiệu quả để cải thiện dịch vụ công (y tế, đường xá...). - HUMAN-TRU3]]</f>
        <v>8</v>
      </c>
      <c r="AV399">
        <f t="shared" si="179"/>
        <v>0.77777777777777779</v>
      </c>
      <c r="AW399">
        <f>step3_validation[[#This Row],[AI_TRU4]]</f>
        <v>7</v>
      </c>
      <c r="AX399">
        <f t="shared" si="180"/>
        <v>0.66666666666666663</v>
      </c>
      <c r="AY399">
        <f>survey_responses[[#This Row],[Tôi thấy Nhà nước đã giải thích rõ ràng, minh bạch về lý do và mục tiêu của việc sửa đổi thuế lần này. - HUMAN-TRU4]]</f>
        <v>8</v>
      </c>
      <c r="AZ399">
        <f t="shared" si="181"/>
        <v>0.77777777777777779</v>
      </c>
      <c r="BA399" s="32">
        <f t="shared" si="182"/>
        <v>0.74999999999999989</v>
      </c>
      <c r="BB399" s="32">
        <f t="shared" si="183"/>
        <v>0.77777777777777768</v>
      </c>
      <c r="BC399" s="7">
        <f t="shared" si="184"/>
        <v>0.7314814814814814</v>
      </c>
      <c r="BD399" s="7">
        <f t="shared" si="185"/>
        <v>0.83333333333333337</v>
      </c>
      <c r="BE399">
        <f>step3_validation[[#This Row],[AI_OUT1]]</f>
        <v>9</v>
      </c>
      <c r="BF399">
        <f t="shared" si="186"/>
        <v>0.88888888888888884</v>
      </c>
      <c r="BG399">
        <f>survey_responses[[#This Row],[Sau khi xem xét các quyền lợi và nghĩa vụ, bạn có ủng hộ và tuân thủ chính sách mới hiện nay? - HUMAN-OUT1]]</f>
        <v>8</v>
      </c>
      <c r="BH399">
        <f t="shared" si="187"/>
        <v>0.77777777777777779</v>
      </c>
      <c r="BI399" s="32">
        <f t="shared" si="188"/>
        <v>1</v>
      </c>
    </row>
    <row r="400" spans="1:61" x14ac:dyDescent="0.45">
      <c r="A400" s="30">
        <f>step3_validation[[#This Row],[Persona_ID]]</f>
        <v>399</v>
      </c>
      <c r="B400" s="31">
        <f>step3_validation[[#This Row],[Used_Seed]]</f>
        <v>440</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25.28387256684308</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f t="shared" si="162"/>
        <v>0.66666666666666663</v>
      </c>
      <c r="S400">
        <f>survey_responses[[#This Row],[Tôi tin rằng với các quy định quản lý thuế hiện nay, hành vi gian lận hoặc trốn thuế sẽ dễ dàng bị phát hiện và xử lý nghiêm. - HUMAN-ENF1]]</f>
        <v>7</v>
      </c>
      <c r="T400">
        <f t="shared" si="163"/>
        <v>0.66666666666666663</v>
      </c>
      <c r="U400">
        <f>step3_validation[[#This Row],[AI_ENF2]]</f>
        <v>8</v>
      </c>
      <c r="V400">
        <f t="shared" si="164"/>
        <v>0.77777777777777779</v>
      </c>
      <c r="W400">
        <f>survey_responses[[#This Row],[Tôi tin rằng Nhà nước, cơ quan thuế có đủ khả năng và công nghệ để phát hiện, xử lý nghiêm các hành vi trốn thuế. - HUMAN-ENF2]]</f>
        <v>7</v>
      </c>
      <c r="X400">
        <f t="shared" si="165"/>
        <v>0.66666666666666663</v>
      </c>
      <c r="Y400" s="32">
        <f t="shared" si="166"/>
        <v>0.72222222222222221</v>
      </c>
      <c r="Z400" s="32">
        <f t="shared" si="167"/>
        <v>0.66666666666666663</v>
      </c>
      <c r="AA400">
        <f>step3_validation[[#This Row],[AI_FAC1]]</f>
        <v>7</v>
      </c>
      <c r="AB400">
        <f t="shared" si="168"/>
        <v>0.66666666666666663</v>
      </c>
      <c r="AC400">
        <f>survey_responses[[#This Row],[Các thủ tục khai báo thuế VÀ/HOẶC quy trình làm việc với cơ quan thuế đơn giản, tiện lợi, nhanh chóng hơn so với trước đây. - HUMAN-FAC1]]</f>
        <v>5</v>
      </c>
      <c r="AD400">
        <f t="shared" si="169"/>
        <v>0.44444444444444442</v>
      </c>
      <c r="AE400">
        <f>step3_validation[[#This Row],[AI_FAC2]]</f>
        <v>8</v>
      </c>
      <c r="AF400">
        <f t="shared" si="170"/>
        <v>0.77777777777777779</v>
      </c>
      <c r="AG400">
        <f>survey_responses[[#This Row],[So với trước đây, tôi thấy cách tính thuế và các bậc thuế trong phương án mới đơn giản, dễ hiểu và dễ thực hiện hơn. - HUMAN-FAC2]]</f>
        <v>8</v>
      </c>
      <c r="AH400">
        <f t="shared" si="171"/>
        <v>0.77777777777777779</v>
      </c>
      <c r="AI400" s="32">
        <f t="shared" si="172"/>
        <v>0.72222222222222221</v>
      </c>
      <c r="AJ400" s="32">
        <f t="shared" si="173"/>
        <v>0.61111111111111116</v>
      </c>
      <c r="AK400">
        <f>step3_validation[[#This Row],[AI_TRU1]]</f>
        <v>7</v>
      </c>
      <c r="AL400">
        <f t="shared" si="174"/>
        <v>0.66666666666666663</v>
      </c>
      <c r="AM400">
        <f>survey_responses[[#This Row],[Tôi tin rằng Nhà nước, cơ quan thuế sẽ thực thi chính sách mới một cách khách quan, công tâm và đối xử bình đẳng với mọi người nộp thuế.  - HUMAN-TRU1]]</f>
        <v>7</v>
      </c>
      <c r="AN400">
        <f t="shared" si="175"/>
        <v>0.66666666666666663</v>
      </c>
      <c r="AO400">
        <f>step3_validation[[#This Row],[AI_TRU2]]</f>
        <v>9</v>
      </c>
      <c r="AP400">
        <f t="shared" si="176"/>
        <v>0.88888888888888884</v>
      </c>
      <c r="AQ400">
        <f>survey_responses[[#This Row],[Tôi thấy mức thuế tôi phải đóng theo phương án mới là công bằng (người thu nhập như tôi đóng mức này là hợp lý). - HUMAN-TRU2]]</f>
        <v>8</v>
      </c>
      <c r="AR400">
        <f t="shared" si="177"/>
        <v>0.77777777777777779</v>
      </c>
      <c r="AS400">
        <f>step3_validation[[#This Row],[AI_TRU3]]</f>
        <v>7</v>
      </c>
      <c r="AT400">
        <f t="shared" si="178"/>
        <v>0.66666666666666663</v>
      </c>
      <c r="AU400">
        <f>survey_responses[[#This Row],[Tôi tin tưởng số tiền thuế tôi đóng sẽ được Nhà nước sử dụng hiệu quả để cải thiện dịch vụ công (y tế, đường xá...). - HUMAN-TRU3]]</f>
        <v>6</v>
      </c>
      <c r="AV400">
        <f t="shared" si="179"/>
        <v>0.55555555555555558</v>
      </c>
      <c r="AW400">
        <f>step3_validation[[#This Row],[AI_TRU4]]</f>
        <v>9</v>
      </c>
      <c r="AX400">
        <f t="shared" si="180"/>
        <v>0.88888888888888884</v>
      </c>
      <c r="AY400">
        <f>survey_responses[[#This Row],[Tôi thấy Nhà nước đã giải thích rõ ràng, minh bạch về lý do và mục tiêu của việc sửa đổi thuế lần này. - HUMAN-TRU4]]</f>
        <v>6</v>
      </c>
      <c r="AZ400">
        <f t="shared" si="181"/>
        <v>0.55555555555555558</v>
      </c>
      <c r="BA400" s="32">
        <f t="shared" si="182"/>
        <v>0.77777777777777768</v>
      </c>
      <c r="BB400" s="32">
        <f t="shared" si="183"/>
        <v>0.63888888888888884</v>
      </c>
      <c r="BC400" s="7">
        <f t="shared" si="184"/>
        <v>0.74074074074074081</v>
      </c>
      <c r="BD400" s="7">
        <f t="shared" si="185"/>
        <v>0.63888888888888884</v>
      </c>
      <c r="BE400">
        <f>step3_validation[[#This Row],[AI_OUT1]]</f>
        <v>8</v>
      </c>
      <c r="BF400">
        <f t="shared" si="186"/>
        <v>0.77777777777777779</v>
      </c>
      <c r="BG400">
        <f>survey_responses[[#This Row],[Sau khi xem xét các quyền lợi và nghĩa vụ, bạn có ủng hộ và tuân thủ chính sách mới hiện nay? - HUMAN-OUT1]]</f>
        <v>8</v>
      </c>
      <c r="BH400">
        <f t="shared" si="187"/>
        <v>0.77777777777777779</v>
      </c>
      <c r="BI400" s="32">
        <f t="shared" si="188"/>
        <v>0</v>
      </c>
    </row>
    <row r="401" spans="1:61" x14ac:dyDescent="0.45">
      <c r="A401" s="30">
        <f>step3_validation[[#This Row],[Persona_ID]]</f>
        <v>400</v>
      </c>
      <c r="B401" s="31">
        <f>step3_validation[[#This Row],[Used_Seed]]</f>
        <v>441</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44.616615906222172</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f t="shared" si="162"/>
        <v>0.66666666666666663</v>
      </c>
      <c r="S401">
        <f>survey_responses[[#This Row],[Tôi tin rằng với các quy định quản lý thuế hiện nay, hành vi gian lận hoặc trốn thuế sẽ dễ dàng bị phát hiện và xử lý nghiêm. - HUMAN-ENF1]]</f>
        <v>8</v>
      </c>
      <c r="T401">
        <f t="shared" si="163"/>
        <v>0.77777777777777779</v>
      </c>
      <c r="U401">
        <f>step3_validation[[#This Row],[AI_ENF2]]</f>
        <v>6</v>
      </c>
      <c r="V401">
        <f t="shared" si="164"/>
        <v>0.55555555555555558</v>
      </c>
      <c r="W401">
        <f>survey_responses[[#This Row],[Tôi tin rằng Nhà nước, cơ quan thuế có đủ khả năng và công nghệ để phát hiện, xử lý nghiêm các hành vi trốn thuế. - HUMAN-ENF2]]</f>
        <v>9</v>
      </c>
      <c r="X401">
        <f t="shared" si="165"/>
        <v>0.88888888888888884</v>
      </c>
      <c r="Y401" s="32">
        <f t="shared" si="166"/>
        <v>0.61111111111111116</v>
      </c>
      <c r="Z401" s="32">
        <f t="shared" si="167"/>
        <v>0.83333333333333326</v>
      </c>
      <c r="AA401">
        <f>step3_validation[[#This Row],[AI_FAC1]]</f>
        <v>9</v>
      </c>
      <c r="AB401">
        <f t="shared" si="168"/>
        <v>0.88888888888888884</v>
      </c>
      <c r="AC401">
        <f>survey_responses[[#This Row],[Các thủ tục khai báo thuế VÀ/HOẶC quy trình làm việc với cơ quan thuế đơn giản, tiện lợi, nhanh chóng hơn so với trước đây. - HUMAN-FAC1]]</f>
        <v>8</v>
      </c>
      <c r="AD401">
        <f t="shared" si="169"/>
        <v>0.77777777777777779</v>
      </c>
      <c r="AE401">
        <f>step3_validation[[#This Row],[AI_FAC2]]</f>
        <v>10</v>
      </c>
      <c r="AF401">
        <f t="shared" si="170"/>
        <v>1</v>
      </c>
      <c r="AG401">
        <f>survey_responses[[#This Row],[So với trước đây, tôi thấy cách tính thuế và các bậc thuế trong phương án mới đơn giản, dễ hiểu và dễ thực hiện hơn. - HUMAN-FAC2]]</f>
        <v>8</v>
      </c>
      <c r="AH401">
        <f t="shared" si="171"/>
        <v>0.77777777777777779</v>
      </c>
      <c r="AI401" s="32">
        <f t="shared" si="172"/>
        <v>0.94444444444444442</v>
      </c>
      <c r="AJ401" s="32">
        <f t="shared" si="173"/>
        <v>0.77777777777777779</v>
      </c>
      <c r="AK401">
        <f>step3_validation[[#This Row],[AI_TRU1]]</f>
        <v>8</v>
      </c>
      <c r="AL401">
        <f t="shared" si="174"/>
        <v>0.77777777777777779</v>
      </c>
      <c r="AM401">
        <f>survey_responses[[#This Row],[Tôi tin rằng Nhà nước, cơ quan thuế sẽ thực thi chính sách mới một cách khách quan, công tâm và đối xử bình đẳng với mọi người nộp thuế.  - HUMAN-TRU1]]</f>
        <v>7</v>
      </c>
      <c r="AN401">
        <f t="shared" si="175"/>
        <v>0.66666666666666663</v>
      </c>
      <c r="AO401">
        <f>step3_validation[[#This Row],[AI_TRU2]]</f>
        <v>9</v>
      </c>
      <c r="AP401">
        <f t="shared" si="176"/>
        <v>0.88888888888888884</v>
      </c>
      <c r="AQ401">
        <f>survey_responses[[#This Row],[Tôi thấy mức thuế tôi phải đóng theo phương án mới là công bằng (người thu nhập như tôi đóng mức này là hợp lý). - HUMAN-TRU2]]</f>
        <v>7</v>
      </c>
      <c r="AR401">
        <f t="shared" si="177"/>
        <v>0.66666666666666663</v>
      </c>
      <c r="AS401">
        <f>step3_validation[[#This Row],[AI_TRU3]]</f>
        <v>8</v>
      </c>
      <c r="AT401">
        <f t="shared" si="178"/>
        <v>0.77777777777777779</v>
      </c>
      <c r="AU401">
        <f>survey_responses[[#This Row],[Tôi tin tưởng số tiền thuế tôi đóng sẽ được Nhà nước sử dụng hiệu quả để cải thiện dịch vụ công (y tế, đường xá...). - HUMAN-TRU3]]</f>
        <v>7</v>
      </c>
      <c r="AV401">
        <f t="shared" si="179"/>
        <v>0.66666666666666663</v>
      </c>
      <c r="AW401">
        <f>step3_validation[[#This Row],[AI_TRU4]]</f>
        <v>7</v>
      </c>
      <c r="AX401">
        <f t="shared" si="180"/>
        <v>0.66666666666666663</v>
      </c>
      <c r="AY401">
        <f>survey_responses[[#This Row],[Tôi thấy Nhà nước đã giải thích rõ ràng, minh bạch về lý do và mục tiêu của việc sửa đổi thuế lần này. - HUMAN-TRU4]]</f>
        <v>7</v>
      </c>
      <c r="AZ401">
        <f t="shared" si="181"/>
        <v>0.66666666666666663</v>
      </c>
      <c r="BA401" s="32">
        <f t="shared" si="182"/>
        <v>0.77777777777777768</v>
      </c>
      <c r="BB401" s="32">
        <f t="shared" si="183"/>
        <v>0.66666666666666663</v>
      </c>
      <c r="BC401" s="7">
        <f t="shared" si="184"/>
        <v>0.77777777777777768</v>
      </c>
      <c r="BD401" s="7">
        <f t="shared" si="185"/>
        <v>0.75925925925925919</v>
      </c>
      <c r="BE401">
        <f>step3_validation[[#This Row],[AI_OUT1]]</f>
        <v>9</v>
      </c>
      <c r="BF401">
        <f t="shared" si="186"/>
        <v>0.88888888888888884</v>
      </c>
      <c r="BG401">
        <f>survey_responses[[#This Row],[Sau khi xem xét các quyền lợi và nghĩa vụ, bạn có ủng hộ và tuân thủ chính sách mới hiện nay? - HUMAN-OUT1]]</f>
        <v>8</v>
      </c>
      <c r="BH401">
        <f t="shared" si="187"/>
        <v>0.77777777777777779</v>
      </c>
      <c r="BI401" s="32">
        <f t="shared" si="188"/>
        <v>1</v>
      </c>
    </row>
    <row r="402" spans="1:61" x14ac:dyDescent="0.45">
      <c r="A402" s="30">
        <f>step3_validation[[#This Row],[Persona_ID]]</f>
        <v>401</v>
      </c>
      <c r="B402" s="31">
        <f>step3_validation[[#This Row],[Used_Seed]]</f>
        <v>442</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16.838207852079275</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8</v>
      </c>
      <c r="R402">
        <f t="shared" si="162"/>
        <v>0.77777777777777779</v>
      </c>
      <c r="S402">
        <f>survey_responses[[#This Row],[Tôi tin rằng với các quy định quản lý thuế hiện nay, hành vi gian lận hoặc trốn thuế sẽ dễ dàng bị phát hiện và xử lý nghiêm. - HUMAN-ENF1]]</f>
        <v>4</v>
      </c>
      <c r="T402">
        <f t="shared" si="163"/>
        <v>0.33333333333333331</v>
      </c>
      <c r="U402">
        <f>step3_validation[[#This Row],[AI_ENF2]]</f>
        <v>7</v>
      </c>
      <c r="V402">
        <f t="shared" si="164"/>
        <v>0.66666666666666663</v>
      </c>
      <c r="W402">
        <f>survey_responses[[#This Row],[Tôi tin rằng Nhà nước, cơ quan thuế có đủ khả năng và công nghệ để phát hiện, xử lý nghiêm các hành vi trốn thuế. - HUMAN-ENF2]]</f>
        <v>4</v>
      </c>
      <c r="X402">
        <f t="shared" si="165"/>
        <v>0.33333333333333331</v>
      </c>
      <c r="Y402" s="32">
        <f t="shared" si="166"/>
        <v>0.72222222222222221</v>
      </c>
      <c r="Z402" s="32">
        <f t="shared" si="167"/>
        <v>0.33333333333333331</v>
      </c>
      <c r="AA402">
        <f>step3_validation[[#This Row],[AI_FAC1]]</f>
        <v>9</v>
      </c>
      <c r="AB402">
        <f t="shared" si="168"/>
        <v>0.88888888888888884</v>
      </c>
      <c r="AC402">
        <f>survey_responses[[#This Row],[Các thủ tục khai báo thuế VÀ/HOẶC quy trình làm việc với cơ quan thuế đơn giản, tiện lợi, nhanh chóng hơn so với trước đây. - HUMAN-FAC1]]</f>
        <v>3</v>
      </c>
      <c r="AD402">
        <f t="shared" si="169"/>
        <v>0.22222222222222221</v>
      </c>
      <c r="AE402">
        <f>step3_validation[[#This Row],[AI_FAC2]]</f>
        <v>8</v>
      </c>
      <c r="AF402">
        <f t="shared" si="170"/>
        <v>0.77777777777777779</v>
      </c>
      <c r="AG402">
        <f>survey_responses[[#This Row],[So với trước đây, tôi thấy cách tính thuế và các bậc thuế trong phương án mới đơn giản, dễ hiểu và dễ thực hiện hơn. - HUMAN-FAC2]]</f>
        <v>5</v>
      </c>
      <c r="AH402">
        <f t="shared" si="171"/>
        <v>0.44444444444444442</v>
      </c>
      <c r="AI402" s="32">
        <f t="shared" si="172"/>
        <v>0.83333333333333326</v>
      </c>
      <c r="AJ402" s="32">
        <f t="shared" si="173"/>
        <v>0.33333333333333331</v>
      </c>
      <c r="AK402">
        <f>step3_validation[[#This Row],[AI_TRU1]]</f>
        <v>9</v>
      </c>
      <c r="AL402">
        <f t="shared" si="174"/>
        <v>0.88888888888888884</v>
      </c>
      <c r="AM402">
        <f>survey_responses[[#This Row],[Tôi tin rằng Nhà nước, cơ quan thuế sẽ thực thi chính sách mới một cách khách quan, công tâm và đối xử bình đẳng với mọi người nộp thuế.  - HUMAN-TRU1]]</f>
        <v>5</v>
      </c>
      <c r="AN402">
        <f t="shared" si="175"/>
        <v>0.44444444444444442</v>
      </c>
      <c r="AO402">
        <f>step3_validation[[#This Row],[AI_TRU2]]</f>
        <v>8</v>
      </c>
      <c r="AP402">
        <f t="shared" si="176"/>
        <v>0.77777777777777779</v>
      </c>
      <c r="AQ402">
        <f>survey_responses[[#This Row],[Tôi thấy mức thuế tôi phải đóng theo phương án mới là công bằng (người thu nhập như tôi đóng mức này là hợp lý). - HUMAN-TRU2]]</f>
        <v>2</v>
      </c>
      <c r="AR402">
        <f t="shared" si="177"/>
        <v>0.1111111111111111</v>
      </c>
      <c r="AS402">
        <f>step3_validation[[#This Row],[AI_TRU3]]</f>
        <v>9</v>
      </c>
      <c r="AT402">
        <f t="shared" si="178"/>
        <v>0.88888888888888884</v>
      </c>
      <c r="AU402">
        <f>survey_responses[[#This Row],[Tôi tin tưởng số tiền thuế tôi đóng sẽ được Nhà nước sử dụng hiệu quả để cải thiện dịch vụ công (y tế, đường xá...). - HUMAN-TRU3]]</f>
        <v>2</v>
      </c>
      <c r="AV402">
        <f t="shared" si="179"/>
        <v>0.1111111111111111</v>
      </c>
      <c r="AW402">
        <f>step3_validation[[#This Row],[AI_TRU4]]</f>
        <v>8</v>
      </c>
      <c r="AX402">
        <f t="shared" si="180"/>
        <v>0.77777777777777779</v>
      </c>
      <c r="AY402">
        <f>survey_responses[[#This Row],[Tôi thấy Nhà nước đã giải thích rõ ràng, minh bạch về lý do và mục tiêu của việc sửa đổi thuế lần này. - HUMAN-TRU4]]</f>
        <v>5</v>
      </c>
      <c r="AZ402">
        <f t="shared" si="181"/>
        <v>0.44444444444444442</v>
      </c>
      <c r="BA402" s="32">
        <f t="shared" si="182"/>
        <v>0.83333333333333326</v>
      </c>
      <c r="BB402" s="32">
        <f t="shared" si="183"/>
        <v>0.27777777777777779</v>
      </c>
      <c r="BC402" s="7">
        <f t="shared" si="184"/>
        <v>0.79629629629629617</v>
      </c>
      <c r="BD402" s="7">
        <f t="shared" si="185"/>
        <v>0.31481481481481483</v>
      </c>
      <c r="BE402">
        <f>step3_validation[[#This Row],[AI_OUT1]]</f>
        <v>9</v>
      </c>
      <c r="BF402">
        <f t="shared" si="186"/>
        <v>0.88888888888888884</v>
      </c>
      <c r="BG402">
        <f>survey_responses[[#This Row],[Sau khi xem xét các quyền lợi và nghĩa vụ, bạn có ủng hộ và tuân thủ chính sách mới hiện nay? - HUMAN-OUT1]]</f>
        <v>2</v>
      </c>
      <c r="BH402">
        <f t="shared" si="187"/>
        <v>0.1111111111111111</v>
      </c>
      <c r="BI402" s="32">
        <f t="shared" si="188"/>
        <v>7</v>
      </c>
    </row>
    <row r="403" spans="1:61" x14ac:dyDescent="0.45">
      <c r="A403" s="30">
        <f>step3_validation[[#This Row],[Persona_ID]]</f>
        <v>402</v>
      </c>
      <c r="B403" s="31">
        <f>step3_validation[[#This Row],[Used_Seed]]</f>
        <v>443</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153.82185160621316</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f t="shared" si="162"/>
        <v>0.66666666666666663</v>
      </c>
      <c r="S403">
        <f>survey_responses[[#This Row],[Tôi tin rằng với các quy định quản lý thuế hiện nay, hành vi gian lận hoặc trốn thuế sẽ dễ dàng bị phát hiện và xử lý nghiêm. - HUMAN-ENF1]]</f>
        <v>7</v>
      </c>
      <c r="T403">
        <f t="shared" si="163"/>
        <v>0.66666666666666663</v>
      </c>
      <c r="U403">
        <f>step3_validation[[#This Row],[AI_ENF2]]</f>
        <v>6</v>
      </c>
      <c r="V403">
        <f t="shared" si="164"/>
        <v>0.55555555555555558</v>
      </c>
      <c r="W403">
        <f>survey_responses[[#This Row],[Tôi tin rằng Nhà nước, cơ quan thuế có đủ khả năng và công nghệ để phát hiện, xử lý nghiêm các hành vi trốn thuế. - HUMAN-ENF2]]</f>
        <v>7</v>
      </c>
      <c r="X403">
        <f t="shared" si="165"/>
        <v>0.66666666666666663</v>
      </c>
      <c r="Y403" s="32">
        <f t="shared" si="166"/>
        <v>0.61111111111111116</v>
      </c>
      <c r="Z403" s="32">
        <f t="shared" si="167"/>
        <v>0.66666666666666663</v>
      </c>
      <c r="AA403">
        <f>step3_validation[[#This Row],[AI_FAC1]]</f>
        <v>8</v>
      </c>
      <c r="AB403">
        <f t="shared" si="168"/>
        <v>0.77777777777777779</v>
      </c>
      <c r="AC403">
        <f>survey_responses[[#This Row],[Các thủ tục khai báo thuế VÀ/HOẶC quy trình làm việc với cơ quan thuế đơn giản, tiện lợi, nhanh chóng hơn so với trước đây. - HUMAN-FAC1]]</f>
        <v>4</v>
      </c>
      <c r="AD403">
        <f t="shared" si="169"/>
        <v>0.33333333333333331</v>
      </c>
      <c r="AE403">
        <f>step3_validation[[#This Row],[AI_FAC2]]</f>
        <v>9</v>
      </c>
      <c r="AF403">
        <f t="shared" si="170"/>
        <v>0.88888888888888884</v>
      </c>
      <c r="AG403">
        <f>survey_responses[[#This Row],[So với trước đây, tôi thấy cách tính thuế và các bậc thuế trong phương án mới đơn giản, dễ hiểu và dễ thực hiện hơn. - HUMAN-FAC2]]</f>
        <v>6</v>
      </c>
      <c r="AH403">
        <f t="shared" si="171"/>
        <v>0.55555555555555558</v>
      </c>
      <c r="AI403" s="32">
        <f t="shared" si="172"/>
        <v>0.83333333333333326</v>
      </c>
      <c r="AJ403" s="32">
        <f t="shared" si="173"/>
        <v>0.44444444444444442</v>
      </c>
      <c r="AK403">
        <f>step3_validation[[#This Row],[AI_TRU1]]</f>
        <v>8</v>
      </c>
      <c r="AL403">
        <f t="shared" si="174"/>
        <v>0.77777777777777779</v>
      </c>
      <c r="AM403">
        <f>survey_responses[[#This Row],[Tôi tin rằng Nhà nước, cơ quan thuế sẽ thực thi chính sách mới một cách khách quan, công tâm và đối xử bình đẳng với mọi người nộp thuế.  - HUMAN-TRU1]]</f>
        <v>5</v>
      </c>
      <c r="AN403">
        <f t="shared" si="175"/>
        <v>0.44444444444444442</v>
      </c>
      <c r="AO403">
        <f>step3_validation[[#This Row],[AI_TRU2]]</f>
        <v>9</v>
      </c>
      <c r="AP403">
        <f t="shared" si="176"/>
        <v>0.88888888888888884</v>
      </c>
      <c r="AQ403">
        <f>survey_responses[[#This Row],[Tôi thấy mức thuế tôi phải đóng theo phương án mới là công bằng (người thu nhập như tôi đóng mức này là hợp lý). - HUMAN-TRU2]]</f>
        <v>4</v>
      </c>
      <c r="AR403">
        <f t="shared" si="177"/>
        <v>0.33333333333333331</v>
      </c>
      <c r="AS403">
        <f>step3_validation[[#This Row],[AI_TRU3]]</f>
        <v>8</v>
      </c>
      <c r="AT403">
        <f t="shared" si="178"/>
        <v>0.77777777777777779</v>
      </c>
      <c r="AU403">
        <f>survey_responses[[#This Row],[Tôi tin tưởng số tiền thuế tôi đóng sẽ được Nhà nước sử dụng hiệu quả để cải thiện dịch vụ công (y tế, đường xá...). - HUMAN-TRU3]]</f>
        <v>5</v>
      </c>
      <c r="AV403">
        <f t="shared" si="179"/>
        <v>0.44444444444444442</v>
      </c>
      <c r="AW403">
        <f>step3_validation[[#This Row],[AI_TRU4]]</f>
        <v>7</v>
      </c>
      <c r="AX403">
        <f t="shared" si="180"/>
        <v>0.66666666666666663</v>
      </c>
      <c r="AY403">
        <f>survey_responses[[#This Row],[Tôi thấy Nhà nước đã giải thích rõ ràng, minh bạch về lý do và mục tiêu của việc sửa đổi thuế lần này. - HUMAN-TRU4]]</f>
        <v>5</v>
      </c>
      <c r="AZ403">
        <f t="shared" si="181"/>
        <v>0.44444444444444442</v>
      </c>
      <c r="BA403" s="32">
        <f t="shared" si="182"/>
        <v>0.77777777777777768</v>
      </c>
      <c r="BB403" s="32">
        <f t="shared" si="183"/>
        <v>0.41666666666666663</v>
      </c>
      <c r="BC403" s="7">
        <f t="shared" si="184"/>
        <v>0.74074074074074081</v>
      </c>
      <c r="BD403" s="7">
        <f t="shared" si="185"/>
        <v>0.50925925925925919</v>
      </c>
      <c r="BE403">
        <f>step3_validation[[#This Row],[AI_OUT1]]</f>
        <v>9</v>
      </c>
      <c r="BF403">
        <f t="shared" si="186"/>
        <v>0.88888888888888884</v>
      </c>
      <c r="BG403">
        <f>survey_responses[[#This Row],[Sau khi xem xét các quyền lợi và nghĩa vụ, bạn có ủng hộ và tuân thủ chính sách mới hiện nay? - HUMAN-OUT1]]</f>
        <v>5</v>
      </c>
      <c r="BH403">
        <f t="shared" si="187"/>
        <v>0.44444444444444442</v>
      </c>
      <c r="BI403" s="32">
        <f t="shared" si="188"/>
        <v>4</v>
      </c>
    </row>
    <row r="404" spans="1:61" x14ac:dyDescent="0.45">
      <c r="A404" s="30">
        <f>step3_validation[[#This Row],[Persona_ID]]</f>
        <v>403</v>
      </c>
      <c r="B404" s="31">
        <f>step3_validation[[#This Row],[Used_Seed]]</f>
        <v>444</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27.132060902957004</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f t="shared" si="162"/>
        <v>0.66666666666666663</v>
      </c>
      <c r="S404">
        <f>survey_responses[[#This Row],[Tôi tin rằng với các quy định quản lý thuế hiện nay, hành vi gian lận hoặc trốn thuế sẽ dễ dàng bị phát hiện và xử lý nghiêm. - HUMAN-ENF1]]</f>
        <v>7</v>
      </c>
      <c r="T404">
        <f t="shared" si="163"/>
        <v>0.66666666666666663</v>
      </c>
      <c r="U404">
        <f>step3_validation[[#This Row],[AI_ENF2]]</f>
        <v>8</v>
      </c>
      <c r="V404">
        <f t="shared" si="164"/>
        <v>0.77777777777777779</v>
      </c>
      <c r="W404">
        <f>survey_responses[[#This Row],[Tôi tin rằng Nhà nước, cơ quan thuế có đủ khả năng và công nghệ để phát hiện, xử lý nghiêm các hành vi trốn thuế. - HUMAN-ENF2]]</f>
        <v>7</v>
      </c>
      <c r="X404">
        <f t="shared" si="165"/>
        <v>0.66666666666666663</v>
      </c>
      <c r="Y404" s="32">
        <f t="shared" si="166"/>
        <v>0.72222222222222221</v>
      </c>
      <c r="Z404" s="32">
        <f t="shared" si="167"/>
        <v>0.66666666666666663</v>
      </c>
      <c r="AA404">
        <f>step3_validation[[#This Row],[AI_FAC1]]</f>
        <v>9</v>
      </c>
      <c r="AB404">
        <f t="shared" si="168"/>
        <v>0.88888888888888884</v>
      </c>
      <c r="AC404">
        <f>survey_responses[[#This Row],[Các thủ tục khai báo thuế VÀ/HOẶC quy trình làm việc với cơ quan thuế đơn giản, tiện lợi, nhanh chóng hơn so với trước đây. - HUMAN-FAC1]]</f>
        <v>7</v>
      </c>
      <c r="AD404">
        <f t="shared" si="169"/>
        <v>0.66666666666666663</v>
      </c>
      <c r="AE404">
        <f>step3_validation[[#This Row],[AI_FAC2]]</f>
        <v>8</v>
      </c>
      <c r="AF404">
        <f t="shared" si="170"/>
        <v>0.77777777777777779</v>
      </c>
      <c r="AG404">
        <f>survey_responses[[#This Row],[So với trước đây, tôi thấy cách tính thuế và các bậc thuế trong phương án mới đơn giản, dễ hiểu và dễ thực hiện hơn. - HUMAN-FAC2]]</f>
        <v>7</v>
      </c>
      <c r="AH404">
        <f t="shared" si="171"/>
        <v>0.66666666666666663</v>
      </c>
      <c r="AI404" s="32">
        <f t="shared" si="172"/>
        <v>0.83333333333333326</v>
      </c>
      <c r="AJ404" s="32">
        <f t="shared" si="173"/>
        <v>0.66666666666666663</v>
      </c>
      <c r="AK404">
        <f>step3_validation[[#This Row],[AI_TRU1]]</f>
        <v>9</v>
      </c>
      <c r="AL404">
        <f t="shared" si="174"/>
        <v>0.88888888888888884</v>
      </c>
      <c r="AM404">
        <f>survey_responses[[#This Row],[Tôi tin rằng Nhà nước, cơ quan thuế sẽ thực thi chính sách mới một cách khách quan, công tâm và đối xử bình đẳng với mọi người nộp thuế.  - HUMAN-TRU1]]</f>
        <v>7</v>
      </c>
      <c r="AN404">
        <f t="shared" si="175"/>
        <v>0.66666666666666663</v>
      </c>
      <c r="AO404">
        <f>step3_validation[[#This Row],[AI_TRU2]]</f>
        <v>8</v>
      </c>
      <c r="AP404">
        <f t="shared" si="176"/>
        <v>0.77777777777777779</v>
      </c>
      <c r="AQ404">
        <f>survey_responses[[#This Row],[Tôi thấy mức thuế tôi phải đóng theo phương án mới là công bằng (người thu nhập như tôi đóng mức này là hợp lý). - HUMAN-TRU2]]</f>
        <v>7</v>
      </c>
      <c r="AR404">
        <f t="shared" si="177"/>
        <v>0.66666666666666663</v>
      </c>
      <c r="AS404">
        <f>step3_validation[[#This Row],[AI_TRU3]]</f>
        <v>9</v>
      </c>
      <c r="AT404">
        <f t="shared" si="178"/>
        <v>0.88888888888888884</v>
      </c>
      <c r="AU404">
        <f>survey_responses[[#This Row],[Tôi tin tưởng số tiền thuế tôi đóng sẽ được Nhà nước sử dụng hiệu quả để cải thiện dịch vụ công (y tế, đường xá...). - HUMAN-TRU3]]</f>
        <v>7</v>
      </c>
      <c r="AV404">
        <f t="shared" si="179"/>
        <v>0.66666666666666663</v>
      </c>
      <c r="AW404">
        <f>step3_validation[[#This Row],[AI_TRU4]]</f>
        <v>8</v>
      </c>
      <c r="AX404">
        <f t="shared" si="180"/>
        <v>0.77777777777777779</v>
      </c>
      <c r="AY404">
        <f>survey_responses[[#This Row],[Tôi thấy Nhà nước đã giải thích rõ ràng, minh bạch về lý do và mục tiêu của việc sửa đổi thuế lần này. - HUMAN-TRU4]]</f>
        <v>7</v>
      </c>
      <c r="AZ404">
        <f t="shared" si="181"/>
        <v>0.66666666666666663</v>
      </c>
      <c r="BA404" s="32">
        <f t="shared" si="182"/>
        <v>0.83333333333333326</v>
      </c>
      <c r="BB404" s="32">
        <f t="shared" si="183"/>
        <v>0.66666666666666663</v>
      </c>
      <c r="BC404" s="7">
        <f t="shared" si="184"/>
        <v>0.79629629629629617</v>
      </c>
      <c r="BD404" s="7">
        <f t="shared" si="185"/>
        <v>0.66666666666666663</v>
      </c>
      <c r="BE404">
        <f>step3_validation[[#This Row],[AI_OUT1]]</f>
        <v>9</v>
      </c>
      <c r="BF404">
        <f t="shared" si="186"/>
        <v>0.88888888888888884</v>
      </c>
      <c r="BG404">
        <f>survey_responses[[#This Row],[Sau khi xem xét các quyền lợi và nghĩa vụ, bạn có ủng hộ và tuân thủ chính sách mới hiện nay? - HUMAN-OUT1]]</f>
        <v>7</v>
      </c>
      <c r="BH404">
        <f t="shared" si="187"/>
        <v>0.66666666666666663</v>
      </c>
      <c r="BI404" s="32">
        <f t="shared" si="188"/>
        <v>2</v>
      </c>
    </row>
    <row r="405" spans="1:61" x14ac:dyDescent="0.45">
      <c r="BC405" s="7">
        <f>AVERAGE(BC2:BC404)</f>
        <v>0.75521551328003034</v>
      </c>
      <c r="BD405" s="7">
        <f>AVERAGE(BD2:BD404)</f>
        <v>0.62937689550592735</v>
      </c>
      <c r="BF405" s="7">
        <f>AVERAGE(BF2:BF404)</f>
        <v>0.85663082437276128</v>
      </c>
      <c r="BH405" s="7">
        <f>AVERAGE(BH2:BH404)</f>
        <v>0.65977391783843187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12D53-1F4B-4FC1-B844-0B28A91EF8C6}">
  <dimension ref="A1:J79"/>
  <sheetViews>
    <sheetView tabSelected="1" topLeftCell="A73" workbookViewId="0">
      <selection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6</v>
      </c>
      <c r="C2" s="4">
        <f>COUNTIFS(step3_combined_data!$R$2:$R$404,"Neutral", step3_combined_data!$K$2:$K$404,"Chính thức")</f>
        <v>256</v>
      </c>
      <c r="D2" s="4">
        <f>COUNTIFS(step3_combined_data!$R$2:$R$404,"Support", step3_combined_data!$K$2:$K$404,"Chính thức")</f>
        <v>115</v>
      </c>
      <c r="E2" s="4">
        <f>SUM(B2:D2)</f>
        <v>377</v>
      </c>
      <c r="G2" s="4" t="s">
        <v>76</v>
      </c>
      <c r="H2" s="42">
        <f>B2/E2</f>
        <v>1.5915119363395226E-2</v>
      </c>
      <c r="I2" s="42">
        <f>C2/E2</f>
        <v>0.67904509283819625</v>
      </c>
      <c r="J2" s="42">
        <f>D2/E2</f>
        <v>0.30503978779840851</v>
      </c>
    </row>
    <row r="3" spans="1:10" x14ac:dyDescent="0.45">
      <c r="A3" s="4" t="s">
        <v>162</v>
      </c>
      <c r="B3" s="4">
        <f>COUNTIFS(step3_combined_data!$R$2:$R$404,"Oppose", step3_combined_data!$K$2:$K$404,"Phi chính thức")</f>
        <v>0</v>
      </c>
      <c r="C3" s="4">
        <f>COUNTIFS(step3_combined_data!$R$2:$R$404,"Neutral", step3_combined_data!$K$2:$K$404,"Phi chính thức")</f>
        <v>19</v>
      </c>
      <c r="D3" s="4">
        <f>COUNTIFS(step3_combined_data!$R$2:$R$404,"Support", step3_combined_data!$K$2:$K$404,"Phi chính thức")</f>
        <v>7</v>
      </c>
      <c r="E3" s="4">
        <f>SUM(B3:D3)</f>
        <v>26</v>
      </c>
      <c r="G3" s="4" t="s">
        <v>162</v>
      </c>
      <c r="H3" s="42">
        <f>B3/E3</f>
        <v>0</v>
      </c>
      <c r="I3" s="42">
        <f>C3/E3</f>
        <v>0.73076923076923073</v>
      </c>
      <c r="J3" s="42">
        <f>D3/E3</f>
        <v>0.26923076923076922</v>
      </c>
    </row>
    <row r="5" spans="1:10" x14ac:dyDescent="0.45">
      <c r="A5" s="41" t="s">
        <v>14</v>
      </c>
      <c r="B5" s="41" t="s">
        <v>1</v>
      </c>
      <c r="C5" s="41" t="s">
        <v>2</v>
      </c>
      <c r="D5" s="41" t="s">
        <v>3</v>
      </c>
      <c r="E5" s="41">
        <f>SUM(E6:E7)</f>
        <v>402</v>
      </c>
      <c r="G5" s="41" t="s">
        <v>14</v>
      </c>
      <c r="H5" s="41" t="s">
        <v>1</v>
      </c>
      <c r="I5" s="41" t="s">
        <v>2</v>
      </c>
      <c r="J5" s="41" t="s">
        <v>3</v>
      </c>
    </row>
    <row r="6" spans="1:10" x14ac:dyDescent="0.45">
      <c r="A6" s="4" t="s">
        <v>76</v>
      </c>
      <c r="B6" s="4">
        <f>COUNTIFS(step3_combined_data!$W$2:$W$404,"Oppose", step3_combined_data!$K$2:$K$404,"Chính thức")</f>
        <v>4</v>
      </c>
      <c r="C6" s="4">
        <f>COUNTIFS(step3_combined_data!$W$2:$W$404,"Neutral", step3_combined_data!$K$2:$K$404,"Chính thức")</f>
        <v>194</v>
      </c>
      <c r="D6" s="4">
        <f>COUNTIFS(step3_combined_data!$W$2:$W$404,"Support", step3_combined_data!$K$2:$K$404,"Chính thức")</f>
        <v>178</v>
      </c>
      <c r="E6" s="4">
        <f>SUM(B6:D6)</f>
        <v>376</v>
      </c>
      <c r="G6" s="4" t="s">
        <v>76</v>
      </c>
      <c r="H6" s="42">
        <f>B6/E6</f>
        <v>1.0638297872340425E-2</v>
      </c>
      <c r="I6" s="42">
        <f>C6/E6</f>
        <v>0.51595744680851063</v>
      </c>
      <c r="J6" s="42">
        <f>D6/E6</f>
        <v>0.47340425531914893</v>
      </c>
    </row>
    <row r="7" spans="1:10" x14ac:dyDescent="0.45">
      <c r="A7" s="4" t="s">
        <v>162</v>
      </c>
      <c r="B7" s="4">
        <f>COUNTIFS(step3_combined_data!$W$2:$W$404,"Oppose", step3_combined_data!$K$2:$K$404,"Phi chính thức")</f>
        <v>0</v>
      </c>
      <c r="C7" s="4">
        <f>COUNTIFS(step3_combined_data!$W$2:$W$404,"Neutral", step3_combined_data!$K$2:$K$404,"Phi chính thức")</f>
        <v>14</v>
      </c>
      <c r="D7" s="4">
        <f>COUNTIFS(step3_combined_data!$W$2:$W$404,"Support", step3_combined_data!$K$2:$K$404,"Phi chính thức")</f>
        <v>12</v>
      </c>
      <c r="E7" s="4">
        <f>SUM(B7:D7)</f>
        <v>26</v>
      </c>
      <c r="G7" s="4" t="s">
        <v>162</v>
      </c>
      <c r="H7" s="42">
        <f>B7/E7</f>
        <v>0</v>
      </c>
      <c r="I7" s="42">
        <f>C7/E7</f>
        <v>0.53846153846153844</v>
      </c>
      <c r="J7" s="42">
        <f>D7/E7</f>
        <v>0.46153846153846156</v>
      </c>
    </row>
    <row r="9" spans="1:10" x14ac:dyDescent="0.45">
      <c r="A9" s="41" t="s">
        <v>15</v>
      </c>
      <c r="B9" s="41" t="s">
        <v>1</v>
      </c>
      <c r="C9" s="41" t="s">
        <v>2</v>
      </c>
      <c r="D9" s="41" t="s">
        <v>3</v>
      </c>
      <c r="E9" s="41">
        <f>SUM(E10:E11)</f>
        <v>402</v>
      </c>
      <c r="G9" s="41" t="s">
        <v>15</v>
      </c>
      <c r="H9" s="41" t="s">
        <v>1</v>
      </c>
      <c r="I9" s="41" t="s">
        <v>2</v>
      </c>
      <c r="J9" s="41" t="s">
        <v>3</v>
      </c>
    </row>
    <row r="10" spans="1:10" x14ac:dyDescent="0.45">
      <c r="A10" s="4" t="s">
        <v>76</v>
      </c>
      <c r="B10" s="4">
        <f>COUNTIFS(step3_combined_data!$AB$2:$AB$404,"Oppose", step3_combined_data!$K$2:$K$404,"Chính thức")</f>
        <v>1</v>
      </c>
      <c r="C10" s="4">
        <f>COUNTIFS(step3_combined_data!$AB$2:$AB$404,"Neutral", step3_combined_data!$K$2:$K$404,"Chính thức")</f>
        <v>74</v>
      </c>
      <c r="D10" s="4">
        <f>COUNTIFS(step3_combined_data!$AB$2:$AB$404,"Support", step3_combined_data!$K$2:$K$404,"Chính thức")</f>
        <v>301</v>
      </c>
      <c r="E10" s="4">
        <f>SUM(B10:D10)</f>
        <v>376</v>
      </c>
      <c r="G10" s="4" t="s">
        <v>76</v>
      </c>
      <c r="H10" s="42">
        <f>B10/E10</f>
        <v>2.6595744680851063E-3</v>
      </c>
      <c r="I10" s="42">
        <f>C10/E10</f>
        <v>0.19680851063829788</v>
      </c>
      <c r="J10" s="42">
        <f>D10/E10</f>
        <v>0.80053191489361697</v>
      </c>
    </row>
    <row r="11" spans="1:10" x14ac:dyDescent="0.45">
      <c r="A11" s="4" t="s">
        <v>162</v>
      </c>
      <c r="B11" s="4">
        <f>COUNTIFS(step3_combined_data!$AB$2:$AB$404,"Oppose", step3_combined_data!$K$2:$K$404,"Phi chính thức")</f>
        <v>0</v>
      </c>
      <c r="C11" s="4">
        <f>COUNTIFS(step3_combined_data!$AB$2:$AB$404,"Neutral", step3_combined_data!$K$2:$K$404,"Phi chính thức")</f>
        <v>9</v>
      </c>
      <c r="D11" s="4">
        <f>COUNTIFS(step3_combined_data!$AB$2:$AB$404,"Support", step3_combined_data!$K$2:$K$404,"Phi chính thức")</f>
        <v>17</v>
      </c>
      <c r="E11" s="4">
        <f>SUM(B11:D11)</f>
        <v>26</v>
      </c>
      <c r="G11" s="4" t="s">
        <v>162</v>
      </c>
      <c r="H11" s="42">
        <f>B11/E11</f>
        <v>0</v>
      </c>
      <c r="I11" s="42">
        <f>C11/E11</f>
        <v>0.34615384615384615</v>
      </c>
      <c r="J11" s="42">
        <f>D11/E11</f>
        <v>0.65384615384615385</v>
      </c>
    </row>
    <row r="13" spans="1:10" x14ac:dyDescent="0.45">
      <c r="A13" s="41" t="s">
        <v>16</v>
      </c>
      <c r="B13" s="41" t="s">
        <v>1</v>
      </c>
      <c r="C13" s="41" t="s">
        <v>2</v>
      </c>
      <c r="D13" s="41" t="s">
        <v>3</v>
      </c>
      <c r="E13" s="41">
        <f>SUM(E14:E19)</f>
        <v>402</v>
      </c>
      <c r="G13" s="41" t="s">
        <v>16</v>
      </c>
      <c r="H13" s="41" t="s">
        <v>1</v>
      </c>
      <c r="I13" s="41" t="s">
        <v>2</v>
      </c>
      <c r="J13" s="41" t="s">
        <v>3</v>
      </c>
    </row>
    <row r="14" spans="1:10" x14ac:dyDescent="0.45">
      <c r="A14" s="4" t="s">
        <v>189</v>
      </c>
      <c r="B14" s="4">
        <f>COUNTIFS(step3_combined_data!$AG$2:$AG$404,"Oppose", step3_combined_data!$E$2:$E$404,"18 - 24")</f>
        <v>0</v>
      </c>
      <c r="C14" s="4">
        <f>COUNTIFS(step3_combined_data!$AG$2:$AG$404,"Neutral", step3_combined_data!$E$2:$E$404,"18 - 24")</f>
        <v>2</v>
      </c>
      <c r="D14" s="4">
        <f>COUNTIFS(step3_combined_data!$AG$2:$AG$404,"Support", step3_combined_data!$E$2:$E$404,"18 - 24")</f>
        <v>53</v>
      </c>
      <c r="E14" s="4">
        <f>SUM(B14:D14)</f>
        <v>55</v>
      </c>
      <c r="G14" s="4" t="s">
        <v>189</v>
      </c>
      <c r="H14" s="43">
        <f t="shared" ref="H14:H19" si="0">B14/E14</f>
        <v>0</v>
      </c>
      <c r="I14" s="43">
        <f t="shared" ref="I14:I19" si="1">C14/E14</f>
        <v>3.6363636363636362E-2</v>
      </c>
      <c r="J14" s="43">
        <f t="shared" ref="J14:J19" si="2">D14/E14</f>
        <v>0.96363636363636362</v>
      </c>
    </row>
    <row r="15" spans="1:10" x14ac:dyDescent="0.45">
      <c r="A15" s="4" t="s">
        <v>81</v>
      </c>
      <c r="B15" s="4">
        <f>COUNTIFS(step3_combined_data!$AG$2:$AG$404,"Oppose", step3_combined_data!$E$2:$E$404,"25 - 29")</f>
        <v>0</v>
      </c>
      <c r="C15" s="4">
        <f>COUNTIFS(step3_combined_data!$AG$2:$AG$404,"Neutral", step3_combined_data!$E$2:$E$404,"25 - 29")</f>
        <v>2</v>
      </c>
      <c r="D15" s="4">
        <f>COUNTIFS(step3_combined_data!$AG$2:$AG$404,"Support", step3_combined_data!$E$2:$E$404,"25 - 29")</f>
        <v>77</v>
      </c>
      <c r="E15" s="4">
        <f t="shared" ref="E15:E19" si="3">SUM(B15:D15)</f>
        <v>79</v>
      </c>
      <c r="G15" s="4" t="s">
        <v>81</v>
      </c>
      <c r="H15" s="43">
        <f t="shared" si="0"/>
        <v>0</v>
      </c>
      <c r="I15" s="43">
        <f t="shared" si="1"/>
        <v>2.5316455696202531E-2</v>
      </c>
      <c r="J15" s="43">
        <f t="shared" si="2"/>
        <v>0.97468354430379744</v>
      </c>
    </row>
    <row r="16" spans="1:10" x14ac:dyDescent="0.45">
      <c r="A16" s="4" t="s">
        <v>73</v>
      </c>
      <c r="B16" s="4">
        <f>COUNTIFS(step3_combined_data!$AG$2:$AG$404,"Oppose", step3_combined_data!$E$2:$E$404,"30 - 39")</f>
        <v>0</v>
      </c>
      <c r="C16" s="4">
        <f>COUNTIFS(step3_combined_data!$AG$2:$AG$404,"Neutral", step3_combined_data!$E$2:$E$404,"30 - 39")</f>
        <v>3</v>
      </c>
      <c r="D16" s="4">
        <f>COUNTIFS(step3_combined_data!$AG$2:$AG$404,"Support", step3_combined_data!$E$2:$E$404,"30 - 39")</f>
        <v>128</v>
      </c>
      <c r="E16" s="4">
        <f t="shared" si="3"/>
        <v>131</v>
      </c>
      <c r="G16" s="4" t="s">
        <v>73</v>
      </c>
      <c r="H16" s="43">
        <f t="shared" si="0"/>
        <v>0</v>
      </c>
      <c r="I16" s="43">
        <f t="shared" si="1"/>
        <v>2.2900763358778626E-2</v>
      </c>
      <c r="J16" s="43">
        <f t="shared" si="2"/>
        <v>0.97709923664122134</v>
      </c>
    </row>
    <row r="17" spans="1:10" x14ac:dyDescent="0.45">
      <c r="A17" s="4" t="s">
        <v>79</v>
      </c>
      <c r="B17" s="4">
        <f>COUNTIFS(step3_combined_data!$AG$2:$AG$404,"Oppose", step3_combined_data!$E$2:$E$404,"40 - 49")</f>
        <v>0</v>
      </c>
      <c r="C17" s="4">
        <f>COUNTIFS(step3_combined_data!$AG$2:$AG$404,"Neutral", step3_combined_data!$E$2:$E$404,"40 - 49")</f>
        <v>2</v>
      </c>
      <c r="D17" s="4">
        <f>COUNTIFS(step3_combined_data!$AG$2:$AG$404,"Support", step3_combined_data!$E$2:$E$404,"40 - 49")</f>
        <v>77</v>
      </c>
      <c r="E17" s="4">
        <f t="shared" si="3"/>
        <v>79</v>
      </c>
      <c r="G17" s="4" t="s">
        <v>79</v>
      </c>
      <c r="H17" s="43">
        <f t="shared" si="0"/>
        <v>0</v>
      </c>
      <c r="I17" s="43">
        <f t="shared" si="1"/>
        <v>2.5316455696202531E-2</v>
      </c>
      <c r="J17" s="43">
        <f t="shared" si="2"/>
        <v>0.97468354430379744</v>
      </c>
    </row>
    <row r="18" spans="1:10" x14ac:dyDescent="0.45">
      <c r="A18" s="4" t="s">
        <v>191</v>
      </c>
      <c r="B18" s="4">
        <f>COUNTIFS(step3_combined_data!$AG$2:$AG$404,"Oppose", step3_combined_data!$E$2:$E$404,"50 - 54")</f>
        <v>0</v>
      </c>
      <c r="C18" s="4">
        <f>COUNTIFS(step3_combined_data!$AG$2:$AG$404,"Neutral", step3_combined_data!$E$2:$E$404,"50 - 54")</f>
        <v>0</v>
      </c>
      <c r="D18" s="4">
        <f>COUNTIFS(step3_combined_data!$AG$2:$AG$404,"Support", step3_combined_data!$E$2:$E$404,"50 - 54")</f>
        <v>31</v>
      </c>
      <c r="E18" s="4">
        <f t="shared" si="3"/>
        <v>31</v>
      </c>
      <c r="G18" s="4" t="s">
        <v>191</v>
      </c>
      <c r="H18" s="43">
        <f t="shared" si="0"/>
        <v>0</v>
      </c>
      <c r="I18" s="43">
        <f t="shared" si="1"/>
        <v>0</v>
      </c>
      <c r="J18" s="43">
        <f t="shared" si="2"/>
        <v>1</v>
      </c>
    </row>
    <row r="19" spans="1:10" x14ac:dyDescent="0.45">
      <c r="A19" s="4" t="s">
        <v>193</v>
      </c>
      <c r="B19" s="4">
        <f>COUNTIFS(step3_combined_data!$AG$2:$AG$404,"Oppose", step3_combined_data!$E$2:$E$404,"55 - 64")</f>
        <v>0</v>
      </c>
      <c r="C19" s="4">
        <f>COUNTIFS(step3_combined_data!$AG$2:$AG$404,"Neutral", step3_combined_data!$E$2:$E$404,"55 - 64")</f>
        <v>1</v>
      </c>
      <c r="D19" s="4">
        <f>COUNTIFS(step3_combined_data!$AG$2:$AG$404,"Support", step3_combined_data!$E$2:$E$404,"55 - 64")</f>
        <v>26</v>
      </c>
      <c r="E19" s="4">
        <f t="shared" si="3"/>
        <v>27</v>
      </c>
      <c r="G19" s="4" t="s">
        <v>193</v>
      </c>
      <c r="H19" s="43">
        <f t="shared" si="0"/>
        <v>0</v>
      </c>
      <c r="I19" s="43">
        <f t="shared" si="1"/>
        <v>3.7037037037037035E-2</v>
      </c>
      <c r="J19" s="43">
        <f t="shared" si="2"/>
        <v>0.96296296296296291</v>
      </c>
    </row>
    <row r="21" spans="1:10" x14ac:dyDescent="0.45">
      <c r="A21" s="41" t="s">
        <v>17</v>
      </c>
      <c r="B21" s="41" t="s">
        <v>1</v>
      </c>
      <c r="C21" s="41" t="s">
        <v>2</v>
      </c>
      <c r="D21" s="41" t="s">
        <v>3</v>
      </c>
      <c r="E21" s="41">
        <f>SUM(E22:E27)</f>
        <v>402</v>
      </c>
      <c r="G21" s="41" t="s">
        <v>17</v>
      </c>
      <c r="H21" s="41" t="s">
        <v>1</v>
      </c>
      <c r="I21" s="41" t="s">
        <v>2</v>
      </c>
      <c r="J21" s="41" t="s">
        <v>3</v>
      </c>
    </row>
    <row r="22" spans="1:10" x14ac:dyDescent="0.45">
      <c r="A22" s="4" t="s">
        <v>189</v>
      </c>
      <c r="B22" s="4">
        <f>COUNTIFS(step3_combined_data!$AL$2:$AL$404,"Oppose", step3_combined_data!$E$2:$E$404,"18 - 24")</f>
        <v>0</v>
      </c>
      <c r="C22" s="4">
        <f>COUNTIFS(step3_combined_data!$AL$2:$AL$404,"Neutral", step3_combined_data!$E$2:$E$404,"18 - 24")</f>
        <v>21</v>
      </c>
      <c r="D22" s="4">
        <f>COUNTIFS(step3_combined_data!$AL$2:$AL$404,"Support", step3_combined_data!$E$2:$E$404,"18 - 24")</f>
        <v>34</v>
      </c>
      <c r="E22" s="4">
        <f>SUM(B22:D22)</f>
        <v>55</v>
      </c>
      <c r="G22" s="4" t="s">
        <v>189</v>
      </c>
      <c r="H22" s="43">
        <f t="shared" ref="H22:H27" si="4">B22/E22</f>
        <v>0</v>
      </c>
      <c r="I22" s="43">
        <f t="shared" ref="I22:I27" si="5">C22/E22</f>
        <v>0.38181818181818183</v>
      </c>
      <c r="J22" s="43">
        <f t="shared" ref="J22:J27" si="6">D22/E22</f>
        <v>0.61818181818181817</v>
      </c>
    </row>
    <row r="23" spans="1:10" x14ac:dyDescent="0.45">
      <c r="A23" s="4" t="s">
        <v>81</v>
      </c>
      <c r="B23" s="4">
        <f>COUNTIFS(step3_combined_data!$AL$2:$AL$404,"Oppose", step3_combined_data!$E$2:$E$404,"25 - 29")</f>
        <v>0</v>
      </c>
      <c r="C23" s="4">
        <f>COUNTIFS(step3_combined_data!$AL$2:$AL$404,"Neutral", step3_combined_data!$E$2:$E$404,"25 - 29")</f>
        <v>40</v>
      </c>
      <c r="D23" s="4">
        <f>COUNTIFS(step3_combined_data!$AL$2:$AL$404,"Support", step3_combined_data!$E$2:$E$404,"25 - 29")</f>
        <v>39</v>
      </c>
      <c r="E23" s="4">
        <f t="shared" ref="E23:E27" si="7">SUM(B23:D23)</f>
        <v>79</v>
      </c>
      <c r="G23" s="4" t="s">
        <v>81</v>
      </c>
      <c r="H23" s="43">
        <f t="shared" si="4"/>
        <v>0</v>
      </c>
      <c r="I23" s="43">
        <f t="shared" si="5"/>
        <v>0.50632911392405067</v>
      </c>
      <c r="J23" s="43">
        <f t="shared" si="6"/>
        <v>0.49367088607594939</v>
      </c>
    </row>
    <row r="24" spans="1:10" x14ac:dyDescent="0.45">
      <c r="A24" s="4" t="s">
        <v>73</v>
      </c>
      <c r="B24" s="4">
        <f>COUNTIFS(step3_combined_data!$AL$2:$AL$404,"Oppose", step3_combined_data!$E$2:$E$404,"30 - 39")</f>
        <v>0</v>
      </c>
      <c r="C24" s="4">
        <f>COUNTIFS(step3_combined_data!$AL$2:$AL$404,"Neutral", step3_combined_data!$E$2:$E$404,"30 - 39")</f>
        <v>63</v>
      </c>
      <c r="D24" s="4">
        <f>COUNTIFS(step3_combined_data!$AL$2:$AL$404,"Support", step3_combined_data!$E$2:$E$404,"30 - 39")</f>
        <v>68</v>
      </c>
      <c r="E24" s="4">
        <f t="shared" si="7"/>
        <v>131</v>
      </c>
      <c r="G24" s="4" t="s">
        <v>73</v>
      </c>
      <c r="H24" s="43">
        <f t="shared" si="4"/>
        <v>0</v>
      </c>
      <c r="I24" s="43">
        <f t="shared" si="5"/>
        <v>0.48091603053435117</v>
      </c>
      <c r="J24" s="43">
        <f t="shared" si="6"/>
        <v>0.51908396946564883</v>
      </c>
    </row>
    <row r="25" spans="1:10" x14ac:dyDescent="0.45">
      <c r="A25" s="4" t="s">
        <v>79</v>
      </c>
      <c r="B25" s="4">
        <f>COUNTIFS(step3_combined_data!$AL$2:$AL$404,"Oppose", step3_combined_data!$E$2:$E$404,"40 - 49")</f>
        <v>0</v>
      </c>
      <c r="C25" s="4">
        <f>COUNTIFS(step3_combined_data!$AL$2:$AL$404,"Neutral", step3_combined_data!$E$2:$E$404,"40 - 49")</f>
        <v>33</v>
      </c>
      <c r="D25" s="4">
        <f>COUNTIFS(step3_combined_data!$AL$2:$AL$404,"Support", step3_combined_data!$E$2:$E$404,"40 - 49")</f>
        <v>46</v>
      </c>
      <c r="E25" s="4">
        <f t="shared" si="7"/>
        <v>79</v>
      </c>
      <c r="G25" s="4" t="s">
        <v>79</v>
      </c>
      <c r="H25" s="43">
        <f t="shared" si="4"/>
        <v>0</v>
      </c>
      <c r="I25" s="43">
        <f t="shared" si="5"/>
        <v>0.41772151898734178</v>
      </c>
      <c r="J25" s="43">
        <f t="shared" si="6"/>
        <v>0.58227848101265822</v>
      </c>
    </row>
    <row r="26" spans="1:10" x14ac:dyDescent="0.45">
      <c r="A26" s="4" t="s">
        <v>191</v>
      </c>
      <c r="B26" s="4">
        <f>COUNTIFS(step3_combined_data!$AL$2:$AL$404,"Oppose", step3_combined_data!$E$2:$E$404,"50 - 54")</f>
        <v>0</v>
      </c>
      <c r="C26" s="4">
        <f>COUNTIFS(step3_combined_data!$AL$2:$AL$404,"Neutral", step3_combined_data!$E$2:$E$404,"50 - 54")</f>
        <v>17</v>
      </c>
      <c r="D26" s="4">
        <f>COUNTIFS(step3_combined_data!$AL$2:$AL$404,"Support", step3_combined_data!$E$2:$E$404,"50 - 54")</f>
        <v>14</v>
      </c>
      <c r="E26" s="4">
        <f t="shared" si="7"/>
        <v>31</v>
      </c>
      <c r="G26" s="4" t="s">
        <v>191</v>
      </c>
      <c r="H26" s="43">
        <f t="shared" si="4"/>
        <v>0</v>
      </c>
      <c r="I26" s="43">
        <f t="shared" si="5"/>
        <v>0.54838709677419351</v>
      </c>
      <c r="J26" s="43">
        <f t="shared" si="6"/>
        <v>0.45161290322580644</v>
      </c>
    </row>
    <row r="27" spans="1:10" x14ac:dyDescent="0.45">
      <c r="A27" s="4" t="s">
        <v>193</v>
      </c>
      <c r="B27" s="4">
        <f>COUNTIFS(step3_combined_data!$AL$2:$AL$404,"Oppose", step3_combined_data!$E$2:$E$404,"55 - 64")</f>
        <v>0</v>
      </c>
      <c r="C27" s="4">
        <f>COUNTIFS(step3_combined_data!$AL$2:$AL$404,"Neutral", step3_combined_data!$E$2:$E$404,"55 - 64")</f>
        <v>11</v>
      </c>
      <c r="D27" s="4">
        <f>COUNTIFS(step3_combined_data!$AL$2:$AL$404,"Support", step3_combined_data!$E$2:$E$404,"55 - 64")</f>
        <v>16</v>
      </c>
      <c r="E27" s="4">
        <f t="shared" si="7"/>
        <v>27</v>
      </c>
      <c r="G27" s="4" t="s">
        <v>193</v>
      </c>
      <c r="H27" s="43">
        <f t="shared" si="4"/>
        <v>0</v>
      </c>
      <c r="I27" s="43">
        <f t="shared" si="5"/>
        <v>0.40740740740740738</v>
      </c>
      <c r="J27" s="43">
        <f t="shared" si="6"/>
        <v>0.59259259259259256</v>
      </c>
    </row>
    <row r="29" spans="1:10" x14ac:dyDescent="0.45">
      <c r="A29" s="41" t="s">
        <v>18</v>
      </c>
      <c r="B29" s="41" t="s">
        <v>1</v>
      </c>
      <c r="C29" s="41" t="s">
        <v>2</v>
      </c>
      <c r="D29" s="41" t="s">
        <v>3</v>
      </c>
      <c r="E29" s="41">
        <f>SUM(E30:E35)</f>
        <v>402</v>
      </c>
      <c r="G29" s="41" t="s">
        <v>18</v>
      </c>
      <c r="H29" s="41" t="s">
        <v>1</v>
      </c>
      <c r="I29" s="41" t="s">
        <v>2</v>
      </c>
      <c r="J29" s="41" t="s">
        <v>3</v>
      </c>
    </row>
    <row r="30" spans="1:10" x14ac:dyDescent="0.45">
      <c r="A30" s="4" t="s">
        <v>189</v>
      </c>
      <c r="B30" s="4">
        <f>COUNTIFS(step3_combined_data!$AQ$2:$AQ$404,"Oppose", step3_combined_data!$E$2:$E$404,"18 - 24")</f>
        <v>0</v>
      </c>
      <c r="C30" s="4">
        <f>COUNTIFS(step3_combined_data!$AQ$2:$AQ$404,"Neutral", step3_combined_data!$E$2:$E$404,"18 - 24")</f>
        <v>1</v>
      </c>
      <c r="D30" s="4">
        <f>COUNTIFS(step3_combined_data!$AQ$2:$AQ$404,"Support", step3_combined_data!$E$2:$E$404,"18 - 24")</f>
        <v>54</v>
      </c>
      <c r="E30" s="4">
        <f>SUM(B30:D30)</f>
        <v>55</v>
      </c>
      <c r="G30" s="4" t="s">
        <v>189</v>
      </c>
      <c r="H30" s="43">
        <f t="shared" ref="H30:H35" si="8">B30/E30</f>
        <v>0</v>
      </c>
      <c r="I30" s="43">
        <f t="shared" ref="I30:I35" si="9">C30/E30</f>
        <v>1.8181818181818181E-2</v>
      </c>
      <c r="J30" s="43">
        <f t="shared" ref="J30:J35" si="10">D30/E30</f>
        <v>0.98181818181818181</v>
      </c>
    </row>
    <row r="31" spans="1:10" x14ac:dyDescent="0.45">
      <c r="A31" s="4" t="s">
        <v>81</v>
      </c>
      <c r="B31" s="4">
        <f>COUNTIFS(step3_combined_data!$AQ$2:$AQ$404,"Oppose", step3_combined_data!$E$2:$E$404,"25 - 29")</f>
        <v>0</v>
      </c>
      <c r="C31" s="4">
        <f>COUNTIFS(step3_combined_data!$AQ$2:$AQ$404,"Neutral", step3_combined_data!$E$2:$E$404,"25 - 29")</f>
        <v>2</v>
      </c>
      <c r="D31" s="4">
        <f>COUNTIFS(step3_combined_data!$AQ$2:$AQ$404,"Support", step3_combined_data!$E$2:$E$404,"25 - 29")</f>
        <v>77</v>
      </c>
      <c r="E31" s="4">
        <f t="shared" ref="E31:E35" si="11">SUM(B31:D31)</f>
        <v>79</v>
      </c>
      <c r="G31" s="4" t="s">
        <v>81</v>
      </c>
      <c r="H31" s="43">
        <f t="shared" si="8"/>
        <v>0</v>
      </c>
      <c r="I31" s="43">
        <f t="shared" si="9"/>
        <v>2.5316455696202531E-2</v>
      </c>
      <c r="J31" s="43">
        <f t="shared" si="10"/>
        <v>0.97468354430379744</v>
      </c>
    </row>
    <row r="32" spans="1:10" x14ac:dyDescent="0.45">
      <c r="A32" s="4" t="s">
        <v>73</v>
      </c>
      <c r="B32" s="4">
        <f>COUNTIFS(step3_combined_data!$AQ$2:$AQ$404,"Oppose", step3_combined_data!$E$2:$E$404,"30 - 39")</f>
        <v>0</v>
      </c>
      <c r="C32" s="4">
        <f>COUNTIFS(step3_combined_data!$AQ$2:$AQ$404,"Neutral", step3_combined_data!$E$2:$E$404,"30 - 39")</f>
        <v>1</v>
      </c>
      <c r="D32" s="4">
        <f>COUNTIFS(step3_combined_data!$AQ$2:$AQ$404,"Support", step3_combined_data!$E$2:$E$404,"30 - 39")</f>
        <v>130</v>
      </c>
      <c r="E32" s="4">
        <f t="shared" si="11"/>
        <v>131</v>
      </c>
      <c r="G32" s="4" t="s">
        <v>73</v>
      </c>
      <c r="H32" s="43">
        <f t="shared" si="8"/>
        <v>0</v>
      </c>
      <c r="I32" s="43">
        <f t="shared" si="9"/>
        <v>7.6335877862595417E-3</v>
      </c>
      <c r="J32" s="43">
        <f t="shared" si="10"/>
        <v>0.99236641221374045</v>
      </c>
    </row>
    <row r="33" spans="1:10" x14ac:dyDescent="0.45">
      <c r="A33" s="4" t="s">
        <v>79</v>
      </c>
      <c r="B33" s="4">
        <f>COUNTIFS(step3_combined_data!$AQ$2:$AQ$404,"Oppose", step3_combined_data!$E$2:$E$404,"40 - 49")</f>
        <v>0</v>
      </c>
      <c r="C33" s="4">
        <f>COUNTIFS(step3_combined_data!$AQ$2:$AQ$404,"Neutral", step3_combined_data!$E$2:$E$404,"40 - 49")</f>
        <v>2</v>
      </c>
      <c r="D33" s="4">
        <f>COUNTIFS(step3_combined_data!$AQ$2:$AQ$404,"Support", step3_combined_data!$E$2:$E$404,"40 - 49")</f>
        <v>77</v>
      </c>
      <c r="E33" s="4">
        <f t="shared" si="11"/>
        <v>79</v>
      </c>
      <c r="G33" s="4" t="s">
        <v>79</v>
      </c>
      <c r="H33" s="43">
        <f t="shared" si="8"/>
        <v>0</v>
      </c>
      <c r="I33" s="43">
        <f t="shared" si="9"/>
        <v>2.5316455696202531E-2</v>
      </c>
      <c r="J33" s="43">
        <f t="shared" si="10"/>
        <v>0.97468354430379744</v>
      </c>
    </row>
    <row r="34" spans="1:10" x14ac:dyDescent="0.45">
      <c r="A34" s="4" t="s">
        <v>191</v>
      </c>
      <c r="B34" s="4">
        <f>COUNTIFS(step3_combined_data!$AQ$2:$AQ$404,"Oppose", step3_combined_data!$E$2:$E$404,"50 - 54")</f>
        <v>0</v>
      </c>
      <c r="C34" s="4">
        <f>COUNTIFS(step3_combined_data!$AQ$2:$AQ$404,"Neutral", step3_combined_data!$E$2:$E$404,"50 - 54")</f>
        <v>1</v>
      </c>
      <c r="D34" s="4">
        <f>COUNTIFS(step3_combined_data!$AQ$2:$AQ$404,"Support", step3_combined_data!$E$2:$E$404,"50 - 54")</f>
        <v>30</v>
      </c>
      <c r="E34" s="4">
        <f t="shared" si="11"/>
        <v>31</v>
      </c>
      <c r="G34" s="4" t="s">
        <v>191</v>
      </c>
      <c r="H34" s="43">
        <f t="shared" si="8"/>
        <v>0</v>
      </c>
      <c r="I34" s="43">
        <f t="shared" si="9"/>
        <v>3.2258064516129031E-2</v>
      </c>
      <c r="J34" s="43">
        <f t="shared" si="10"/>
        <v>0.967741935483871</v>
      </c>
    </row>
    <row r="35" spans="1:10" x14ac:dyDescent="0.45">
      <c r="A35" s="4" t="s">
        <v>193</v>
      </c>
      <c r="B35" s="4">
        <f>COUNTIFS(step3_combined_data!$AQ$2:$AQ$404,"Oppose", step3_combined_data!$E$2:$E$404,"55 - 64")</f>
        <v>0</v>
      </c>
      <c r="C35" s="4">
        <f>COUNTIFS(step3_combined_data!$AQ$2:$AQ$404,"Neutral", step3_combined_data!$E$2:$E$404,"55 - 64")</f>
        <v>4</v>
      </c>
      <c r="D35" s="4">
        <f>COUNTIFS(step3_combined_data!$AQ$2:$AQ$404,"Support", step3_combined_data!$E$2:$E$404,"55 - 64")</f>
        <v>23</v>
      </c>
      <c r="E35" s="4">
        <f t="shared" si="11"/>
        <v>27</v>
      </c>
      <c r="G35" s="4" t="s">
        <v>193</v>
      </c>
      <c r="H35" s="43">
        <f t="shared" si="8"/>
        <v>0</v>
      </c>
      <c r="I35" s="43">
        <f t="shared" si="9"/>
        <v>0.14814814814814814</v>
      </c>
      <c r="J35" s="43">
        <f t="shared" si="10"/>
        <v>0.85185185185185186</v>
      </c>
    </row>
    <row r="37" spans="1:10" x14ac:dyDescent="0.45">
      <c r="A37" s="41" t="s">
        <v>19</v>
      </c>
      <c r="B37" s="41" t="s">
        <v>1</v>
      </c>
      <c r="C37" s="41" t="s">
        <v>2</v>
      </c>
      <c r="D37" s="41" t="s">
        <v>3</v>
      </c>
      <c r="E37" s="41">
        <f>SUM(E38:E43)</f>
        <v>402</v>
      </c>
      <c r="G37" s="41" t="s">
        <v>19</v>
      </c>
      <c r="H37" s="41" t="s">
        <v>1</v>
      </c>
      <c r="I37" s="41" t="s">
        <v>2</v>
      </c>
      <c r="J37" s="41" t="s">
        <v>3</v>
      </c>
    </row>
    <row r="38" spans="1:10" x14ac:dyDescent="0.45">
      <c r="A38" s="4" t="s">
        <v>189</v>
      </c>
      <c r="B38" s="4">
        <f>COUNTIFS(step3_combined_data!$AV$2:$AV$404,"Oppose", step3_combined_data!$E$2:$E$404,"18 - 24")</f>
        <v>0</v>
      </c>
      <c r="C38" s="4">
        <f>COUNTIFS(step3_combined_data!$AV$2:$AV$404,"Neutral", step3_combined_data!$E$2:$E$404,"18 - 24")</f>
        <v>18</v>
      </c>
      <c r="D38" s="4">
        <f>COUNTIFS(step3_combined_data!$AV$2:$AV$404,"Support", step3_combined_data!$E$2:$E$404,"18 - 24")</f>
        <v>37</v>
      </c>
      <c r="E38" s="4">
        <f>SUM(B38:D38)</f>
        <v>55</v>
      </c>
      <c r="G38" s="4" t="s">
        <v>189</v>
      </c>
      <c r="H38" s="43">
        <f t="shared" ref="H38:H43" si="12">B38/E38</f>
        <v>0</v>
      </c>
      <c r="I38" s="43">
        <f t="shared" ref="I38:I43" si="13">C38/E38</f>
        <v>0.32727272727272727</v>
      </c>
      <c r="J38" s="43">
        <f t="shared" ref="J38:J43" si="14">D38/E38</f>
        <v>0.67272727272727273</v>
      </c>
    </row>
    <row r="39" spans="1:10" x14ac:dyDescent="0.45">
      <c r="A39" s="4" t="s">
        <v>81</v>
      </c>
      <c r="B39" s="4">
        <f>COUNTIFS(step3_combined_data!$AV$2:$AV$404,"Oppose", step3_combined_data!$E$2:$E$404,"25 - 29")</f>
        <v>0</v>
      </c>
      <c r="C39" s="4">
        <f>COUNTIFS(step3_combined_data!$AV$2:$AV$404,"Neutral", step3_combined_data!$E$2:$E$404,"25 - 29")</f>
        <v>33</v>
      </c>
      <c r="D39" s="4">
        <f>COUNTIFS(step3_combined_data!$AV$2:$AV$404,"Support", step3_combined_data!$E$2:$E$404,"25 - 29")</f>
        <v>46</v>
      </c>
      <c r="E39" s="4">
        <f t="shared" ref="E39:E43" si="15">SUM(B39:D39)</f>
        <v>79</v>
      </c>
      <c r="G39" s="4" t="s">
        <v>81</v>
      </c>
      <c r="H39" s="43">
        <f t="shared" si="12"/>
        <v>0</v>
      </c>
      <c r="I39" s="43">
        <f t="shared" si="13"/>
        <v>0.41772151898734178</v>
      </c>
      <c r="J39" s="43">
        <f t="shared" si="14"/>
        <v>0.58227848101265822</v>
      </c>
    </row>
    <row r="40" spans="1:10" x14ac:dyDescent="0.45">
      <c r="A40" s="4" t="s">
        <v>73</v>
      </c>
      <c r="B40" s="4">
        <f>COUNTIFS(step3_combined_data!$AV$2:$AV$404,"Oppose", step3_combined_data!$E$2:$E$404,"30 - 39")</f>
        <v>0</v>
      </c>
      <c r="C40" s="4">
        <f>COUNTIFS(step3_combined_data!$AV$2:$AV$404,"Neutral", step3_combined_data!$E$2:$E$404,"30 - 39")</f>
        <v>57</v>
      </c>
      <c r="D40" s="4">
        <f>COUNTIFS(step3_combined_data!$AV$2:$AV$404,"Support", step3_combined_data!$E$2:$E$404,"30 - 39")</f>
        <v>74</v>
      </c>
      <c r="E40" s="4">
        <f t="shared" si="15"/>
        <v>131</v>
      </c>
      <c r="G40" s="4" t="s">
        <v>73</v>
      </c>
      <c r="H40" s="43">
        <f t="shared" si="12"/>
        <v>0</v>
      </c>
      <c r="I40" s="43">
        <f t="shared" si="13"/>
        <v>0.4351145038167939</v>
      </c>
      <c r="J40" s="43">
        <f t="shared" si="14"/>
        <v>0.56488549618320616</v>
      </c>
    </row>
    <row r="41" spans="1:10" x14ac:dyDescent="0.45">
      <c r="A41" s="4" t="s">
        <v>79</v>
      </c>
      <c r="B41" s="4">
        <f>COUNTIFS(step3_combined_data!$AV$2:$AV$404,"Oppose", step3_combined_data!$E$2:$E$404,"40 - 49")</f>
        <v>0</v>
      </c>
      <c r="C41" s="4">
        <f>COUNTIFS(step3_combined_data!$AV$2:$AV$404,"Neutral", step3_combined_data!$E$2:$E$404,"40 - 49")</f>
        <v>35</v>
      </c>
      <c r="D41" s="4">
        <f>COUNTIFS(step3_combined_data!$AV$2:$AV$404,"Support", step3_combined_data!$E$2:$E$404,"40 - 49")</f>
        <v>44</v>
      </c>
      <c r="E41" s="4">
        <f t="shared" si="15"/>
        <v>79</v>
      </c>
      <c r="G41" s="4" t="s">
        <v>79</v>
      </c>
      <c r="H41" s="43">
        <f t="shared" si="12"/>
        <v>0</v>
      </c>
      <c r="I41" s="43">
        <f t="shared" si="13"/>
        <v>0.44303797468354428</v>
      </c>
      <c r="J41" s="43">
        <f t="shared" si="14"/>
        <v>0.55696202531645567</v>
      </c>
    </row>
    <row r="42" spans="1:10" x14ac:dyDescent="0.45">
      <c r="A42" s="4" t="s">
        <v>191</v>
      </c>
      <c r="B42" s="4">
        <f>COUNTIFS(step3_combined_data!$AV$2:$AV$404,"Oppose", step3_combined_data!$E$2:$E$404,"50 - 54")</f>
        <v>1</v>
      </c>
      <c r="C42" s="4">
        <f>COUNTIFS(step3_combined_data!$AV$2:$AV$404,"Neutral", step3_combined_data!$E$2:$E$404,"50 - 54")</f>
        <v>10</v>
      </c>
      <c r="D42" s="4">
        <f>COUNTIFS(step3_combined_data!$AV$2:$AV$404,"Support", step3_combined_data!$E$2:$E$404,"50 - 54")</f>
        <v>20</v>
      </c>
      <c r="E42" s="4">
        <f t="shared" si="15"/>
        <v>31</v>
      </c>
      <c r="G42" s="4" t="s">
        <v>191</v>
      </c>
      <c r="H42" s="43">
        <f t="shared" si="12"/>
        <v>3.2258064516129031E-2</v>
      </c>
      <c r="I42" s="43">
        <f t="shared" si="13"/>
        <v>0.32258064516129031</v>
      </c>
      <c r="J42" s="43">
        <f t="shared" si="14"/>
        <v>0.64516129032258063</v>
      </c>
    </row>
    <row r="43" spans="1:10" x14ac:dyDescent="0.45">
      <c r="A43" s="4" t="s">
        <v>193</v>
      </c>
      <c r="B43" s="4">
        <f>COUNTIFS(step3_combined_data!$AV$2:$AV$404,"Oppose", step3_combined_data!$E$2:$E$404,"55 - 64")</f>
        <v>0</v>
      </c>
      <c r="C43" s="4">
        <f>COUNTIFS(step3_combined_data!$AV$2:$AV$404,"Neutral", step3_combined_data!$E$2:$E$404,"55 - 64")</f>
        <v>12</v>
      </c>
      <c r="D43" s="4">
        <f>COUNTIFS(step3_combined_data!$AV$2:$AV$404,"Support", step3_combined_data!$E$2:$E$404,"55 - 64")</f>
        <v>15</v>
      </c>
      <c r="E43" s="4">
        <f t="shared" si="15"/>
        <v>27</v>
      </c>
      <c r="G43" s="4" t="s">
        <v>193</v>
      </c>
      <c r="H43" s="43">
        <f t="shared" si="12"/>
        <v>0</v>
      </c>
      <c r="I43" s="43">
        <f t="shared" si="13"/>
        <v>0.44444444444444442</v>
      </c>
      <c r="J43" s="43">
        <f t="shared" si="14"/>
        <v>0.55555555555555558</v>
      </c>
    </row>
    <row r="45" spans="1:10" x14ac:dyDescent="0.45">
      <c r="A45" s="41" t="s">
        <v>20</v>
      </c>
      <c r="B45" s="41" t="s">
        <v>1</v>
      </c>
      <c r="C45" s="41" t="s">
        <v>2</v>
      </c>
      <c r="D45" s="41" t="s">
        <v>3</v>
      </c>
      <c r="E45" s="41">
        <f>SUM(E46:E51)</f>
        <v>402</v>
      </c>
      <c r="G45" s="41" t="s">
        <v>20</v>
      </c>
      <c r="H45" s="41" t="s">
        <v>1</v>
      </c>
      <c r="I45" s="41" t="s">
        <v>2</v>
      </c>
      <c r="J45" s="41" t="s">
        <v>3</v>
      </c>
    </row>
    <row r="46" spans="1:10" x14ac:dyDescent="0.45">
      <c r="A46" s="4" t="s">
        <v>189</v>
      </c>
      <c r="B46" s="4">
        <f>COUNTIFS(step3_combined_data!$BA$2:$BA$404,"Oppose", step3_combined_data!$E$2:$E$404,"18 - 24")</f>
        <v>0</v>
      </c>
      <c r="C46" s="4">
        <f>COUNTIFS(step3_combined_data!$BA$2:$BA$404,"Neutral", step3_combined_data!$E$2:$E$404,"18 - 24")</f>
        <v>22</v>
      </c>
      <c r="D46" s="4">
        <f>COUNTIFS(step3_combined_data!$BA$2:$BA$404,"Support", step3_combined_data!$E$2:$E$404,"18 - 24")</f>
        <v>33</v>
      </c>
      <c r="E46" s="4">
        <f>SUM(B46:D46)</f>
        <v>55</v>
      </c>
      <c r="G46" s="4" t="s">
        <v>189</v>
      </c>
      <c r="H46" s="43">
        <f t="shared" ref="H46:H51" si="16">B46/E46</f>
        <v>0</v>
      </c>
      <c r="I46" s="43">
        <f t="shared" ref="I46:I51" si="17">C46/E46</f>
        <v>0.4</v>
      </c>
      <c r="J46" s="43">
        <f t="shared" ref="J46:J51" si="18">D46/E46</f>
        <v>0.6</v>
      </c>
    </row>
    <row r="47" spans="1:10" x14ac:dyDescent="0.45">
      <c r="A47" s="4" t="s">
        <v>81</v>
      </c>
      <c r="B47" s="4">
        <f>COUNTIFS(step3_combined_data!$BA$2:$BA$404,"Oppose", step3_combined_data!$E$2:$E$404,"25 - 29")</f>
        <v>0</v>
      </c>
      <c r="C47" s="4">
        <f>COUNTIFS(step3_combined_data!$BA$2:$BA$404,"Neutral", step3_combined_data!$E$2:$E$404,"25 - 29")</f>
        <v>32</v>
      </c>
      <c r="D47" s="4">
        <f>COUNTIFS(step3_combined_data!$BA$2:$BA$404,"Support", step3_combined_data!$E$2:$E$404,"25 - 29")</f>
        <v>47</v>
      </c>
      <c r="E47" s="4">
        <f t="shared" ref="E47:E51" si="19">SUM(B47:D47)</f>
        <v>79</v>
      </c>
      <c r="G47" s="4" t="s">
        <v>81</v>
      </c>
      <c r="H47" s="43">
        <f t="shared" si="16"/>
        <v>0</v>
      </c>
      <c r="I47" s="43">
        <f t="shared" si="17"/>
        <v>0.4050632911392405</v>
      </c>
      <c r="J47" s="43">
        <f t="shared" si="18"/>
        <v>0.59493670886075944</v>
      </c>
    </row>
    <row r="48" spans="1:10" x14ac:dyDescent="0.45">
      <c r="A48" s="4" t="s">
        <v>73</v>
      </c>
      <c r="B48" s="4">
        <f>COUNTIFS(step3_combined_data!$BA$2:$BA$404,"Oppose", step3_combined_data!$E$2:$E$404,"30 - 39")</f>
        <v>0</v>
      </c>
      <c r="C48" s="4">
        <f>COUNTIFS(step3_combined_data!$BA$2:$BA$404,"Neutral", step3_combined_data!$E$2:$E$404,"30 - 39")</f>
        <v>62</v>
      </c>
      <c r="D48" s="4">
        <f>COUNTIFS(step3_combined_data!$BA$2:$BA$404,"Support", step3_combined_data!$E$2:$E$404,"30 - 39")</f>
        <v>69</v>
      </c>
      <c r="E48" s="4">
        <f t="shared" si="19"/>
        <v>131</v>
      </c>
      <c r="G48" s="4" t="s">
        <v>73</v>
      </c>
      <c r="H48" s="43">
        <f t="shared" si="16"/>
        <v>0</v>
      </c>
      <c r="I48" s="43">
        <f t="shared" si="17"/>
        <v>0.47328244274809161</v>
      </c>
      <c r="J48" s="43">
        <f t="shared" si="18"/>
        <v>0.52671755725190839</v>
      </c>
    </row>
    <row r="49" spans="1:10" x14ac:dyDescent="0.45">
      <c r="A49" s="4" t="s">
        <v>79</v>
      </c>
      <c r="B49" s="4">
        <f>COUNTIFS(step3_combined_data!$BA$2:$BA$404,"Oppose", step3_combined_data!$E$2:$E$404,"40 - 49")</f>
        <v>0</v>
      </c>
      <c r="C49" s="4">
        <f>COUNTIFS(step3_combined_data!$BA$2:$BA$404,"Neutral", step3_combined_data!$E$2:$E$404,"40 - 49")</f>
        <v>32</v>
      </c>
      <c r="D49" s="4">
        <f>COUNTIFS(step3_combined_data!$BA$2:$BA$404,"Support", step3_combined_data!$E$2:$E$404,"40 - 49")</f>
        <v>47</v>
      </c>
      <c r="E49" s="4">
        <f t="shared" si="19"/>
        <v>79</v>
      </c>
      <c r="G49" s="4" t="s">
        <v>79</v>
      </c>
      <c r="H49" s="43">
        <f t="shared" si="16"/>
        <v>0</v>
      </c>
      <c r="I49" s="43">
        <f t="shared" si="17"/>
        <v>0.4050632911392405</v>
      </c>
      <c r="J49" s="43">
        <f t="shared" si="18"/>
        <v>0.59493670886075944</v>
      </c>
    </row>
    <row r="50" spans="1:10" x14ac:dyDescent="0.45">
      <c r="A50" s="4" t="s">
        <v>191</v>
      </c>
      <c r="B50" s="4">
        <f>COUNTIFS(step3_combined_data!$BA$2:$BA$404,"Oppose", step3_combined_data!$E$2:$E$404,"50 - 54")</f>
        <v>0</v>
      </c>
      <c r="C50" s="4">
        <f>COUNTIFS(step3_combined_data!$BA$2:$BA$404,"Neutral", step3_combined_data!$E$2:$E$404,"50 - 54")</f>
        <v>20</v>
      </c>
      <c r="D50" s="4">
        <f>COUNTIFS(step3_combined_data!$BA$2:$BA$404,"Support", step3_combined_data!$E$2:$E$404,"50 - 54")</f>
        <v>11</v>
      </c>
      <c r="E50" s="4">
        <f t="shared" si="19"/>
        <v>31</v>
      </c>
      <c r="G50" s="4" t="s">
        <v>191</v>
      </c>
      <c r="H50" s="43">
        <f t="shared" si="16"/>
        <v>0</v>
      </c>
      <c r="I50" s="43">
        <f t="shared" si="17"/>
        <v>0.64516129032258063</v>
      </c>
      <c r="J50" s="43">
        <f t="shared" si="18"/>
        <v>0.35483870967741937</v>
      </c>
    </row>
    <row r="51" spans="1:10" x14ac:dyDescent="0.45">
      <c r="A51" s="4" t="s">
        <v>193</v>
      </c>
      <c r="B51" s="4">
        <f>COUNTIFS(step3_combined_data!$BA$2:$BA$404,"Oppose", step3_combined_data!$E$2:$E$404,"55 - 64")</f>
        <v>0</v>
      </c>
      <c r="C51" s="4">
        <f>COUNTIFS(step3_combined_data!$BA$2:$BA$404,"Neutral", step3_combined_data!$E$2:$E$404,"55 - 64")</f>
        <v>16</v>
      </c>
      <c r="D51" s="4">
        <f>COUNTIFS(step3_combined_data!$BA$2:$BA$404,"Support", step3_combined_data!$E$2:$E$404,"55 - 64")</f>
        <v>11</v>
      </c>
      <c r="E51" s="4">
        <f t="shared" si="19"/>
        <v>27</v>
      </c>
      <c r="G51" s="4" t="s">
        <v>193</v>
      </c>
      <c r="H51" s="43">
        <f t="shared" si="16"/>
        <v>0</v>
      </c>
      <c r="I51" s="43">
        <f t="shared" si="17"/>
        <v>0.59259259259259256</v>
      </c>
      <c r="J51" s="43">
        <f t="shared" si="18"/>
        <v>0.40740740740740738</v>
      </c>
    </row>
    <row r="53" spans="1:10" x14ac:dyDescent="0.45">
      <c r="A53" s="41" t="s">
        <v>18</v>
      </c>
      <c r="B53" s="41" t="s">
        <v>1</v>
      </c>
      <c r="C53" s="41" t="s">
        <v>2</v>
      </c>
      <c r="D53" s="41" t="s">
        <v>3</v>
      </c>
      <c r="E53" s="41">
        <f>SUM(E54:E61)</f>
        <v>402</v>
      </c>
      <c r="G53" s="41" t="s">
        <v>18</v>
      </c>
      <c r="H53" s="41" t="s">
        <v>1</v>
      </c>
      <c r="I53" s="41" t="s">
        <v>2</v>
      </c>
      <c r="J53" s="41" t="s">
        <v>3</v>
      </c>
    </row>
    <row r="54" spans="1:10" x14ac:dyDescent="0.45">
      <c r="A54" s="4" t="s">
        <v>194</v>
      </c>
      <c r="B54" s="4">
        <f>COUNTIFS(step3_combined_data!$AQ$2:$AQ$404,"Oppose", step3_combined_data!$N$2:$N$404,"Dưới 12 triệu VNĐ")</f>
        <v>0</v>
      </c>
      <c r="C54" s="4">
        <f>COUNTIFS(step3_combined_data!$AQ$2:$AQ$404,"Neutral", step3_combined_data!$N$2:$N$404,"Dưới 12 triệu VNĐ")</f>
        <v>2</v>
      </c>
      <c r="D54" s="4">
        <f>COUNTIFS(step3_combined_data!$AQ$2:$AQ$404,"Support", step3_combined_data!$N$2:$N$404,"Dưới 12 triệu VNĐ")</f>
        <v>39</v>
      </c>
      <c r="E54" s="4">
        <f>SUM(B54:D54)</f>
        <v>41</v>
      </c>
      <c r="G54" s="4" t="s">
        <v>194</v>
      </c>
      <c r="H54" s="43">
        <f t="shared" ref="H54:H61" si="20">B54/E54</f>
        <v>0</v>
      </c>
      <c r="I54" s="43">
        <f t="shared" ref="I54:I61" si="21">C54/E54</f>
        <v>4.878048780487805E-2</v>
      </c>
      <c r="J54" s="43">
        <f t="shared" ref="J54:J61" si="22">D54/E54</f>
        <v>0.95121951219512191</v>
      </c>
    </row>
    <row r="55" spans="1:10" x14ac:dyDescent="0.45">
      <c r="A55" s="4" t="s">
        <v>104</v>
      </c>
      <c r="B55" s="4">
        <f>COUNTIFS(step3_combined_data!$AQ$2:$AQ$404,"Oppose", step3_combined_data!$N$2:$N$404,"Từ 12 - 18 triệu VNĐ")</f>
        <v>0</v>
      </c>
      <c r="C55" s="4">
        <f>COUNTIFS(step3_combined_data!$AQ$2:$AQ$404,"Neutral", step3_combined_data!$N$2:$N$404,"Từ 12 - 18 triệu VNĐ")</f>
        <v>3</v>
      </c>
      <c r="D55" s="4">
        <f>COUNTIFS(step3_combined_data!$AQ$2:$AQ$404,"Support", step3_combined_data!$N$2:$N$404,"Từ 12 - 18 triệu VNĐ")</f>
        <v>76</v>
      </c>
      <c r="E55" s="4">
        <f t="shared" ref="E55:E61" si="23">SUM(B55:D55)</f>
        <v>79</v>
      </c>
      <c r="G55" s="4" t="s">
        <v>104</v>
      </c>
      <c r="H55" s="43">
        <f t="shared" si="20"/>
        <v>0</v>
      </c>
      <c r="I55" s="43">
        <f t="shared" si="21"/>
        <v>3.7974683544303799E-2</v>
      </c>
      <c r="J55" s="43">
        <f t="shared" si="22"/>
        <v>0.96202531645569622</v>
      </c>
    </row>
    <row r="56" spans="1:10" x14ac:dyDescent="0.45">
      <c r="A56" s="4" t="s">
        <v>196</v>
      </c>
      <c r="B56" s="4">
        <f>COUNTIFS(step3_combined_data!$AQ$2:$AQ$404,"Oppose", step3_combined_data!$N$2:$N$404,"Từ 18 - 23 triệu VNĐ")</f>
        <v>0</v>
      </c>
      <c r="C56" s="4">
        <f>COUNTIFS(step3_combined_data!$AQ$2:$AQ$404,"Neutral", step3_combined_data!$N$2:$N$404,"Từ 18 - 23 triệu VNĐ")</f>
        <v>0</v>
      </c>
      <c r="D56" s="4">
        <f>COUNTIFS(step3_combined_data!$AQ$2:$AQ$404,"Support", step3_combined_data!$N$2:$N$404,"Từ 18 - 23 triệu VNĐ")</f>
        <v>41</v>
      </c>
      <c r="E56" s="4">
        <f t="shared" si="23"/>
        <v>41</v>
      </c>
      <c r="G56" s="4" t="s">
        <v>196</v>
      </c>
      <c r="H56" s="43">
        <f t="shared" si="20"/>
        <v>0</v>
      </c>
      <c r="I56" s="43">
        <f t="shared" si="21"/>
        <v>0</v>
      </c>
      <c r="J56" s="43">
        <f t="shared" si="22"/>
        <v>1</v>
      </c>
    </row>
    <row r="57" spans="1:10" x14ac:dyDescent="0.45">
      <c r="A57" s="4" t="s">
        <v>101</v>
      </c>
      <c r="B57" s="4">
        <f>COUNTIFS(step3_combined_data!$AQ$2:$AQ$404,"Oppose", step3_combined_data!$N$2:$N$404,"Từ 23 - 32 triệu VNĐ")</f>
        <v>0</v>
      </c>
      <c r="C57" s="4">
        <f>COUNTIFS(step3_combined_data!$AQ$2:$AQ$404,"Neutral", step3_combined_data!$N$2:$N$404,"Từ 23 - 32 triệu VNĐ")</f>
        <v>0</v>
      </c>
      <c r="D57" s="4">
        <f>COUNTIFS(step3_combined_data!$AQ$2:$AQ$404,"Support", step3_combined_data!$N$2:$N$404,"Từ 23 - 32 triệu VNĐ")</f>
        <v>53</v>
      </c>
      <c r="E57" s="4">
        <f t="shared" si="23"/>
        <v>53</v>
      </c>
      <c r="G57" s="4" t="s">
        <v>101</v>
      </c>
      <c r="H57" s="43">
        <f t="shared" si="20"/>
        <v>0</v>
      </c>
      <c r="I57" s="43">
        <f t="shared" si="21"/>
        <v>0</v>
      </c>
      <c r="J57" s="43">
        <f t="shared" si="22"/>
        <v>1</v>
      </c>
    </row>
    <row r="58" spans="1:10" x14ac:dyDescent="0.45">
      <c r="A58" s="4" t="s">
        <v>109</v>
      </c>
      <c r="B58" s="4">
        <f>COUNTIFS(step3_combined_data!$AQ$2:$AQ$404,"Oppose", step3_combined_data!$N$2:$N$404,"Từ 32 - 48 triệu VNĐ")</f>
        <v>0</v>
      </c>
      <c r="C58" s="4">
        <f>COUNTIFS(step3_combined_data!$AQ$2:$AQ$404,"Neutral", step3_combined_data!$N$2:$N$404,"Từ 32 - 48 triệu VNĐ")</f>
        <v>1</v>
      </c>
      <c r="D58" s="4">
        <f>COUNTIFS(step3_combined_data!$AQ$2:$AQ$404,"Support", step3_combined_data!$N$2:$N$404,"Từ 32 - 48 triệu VNĐ")</f>
        <v>52</v>
      </c>
      <c r="E58" s="4">
        <f t="shared" si="23"/>
        <v>53</v>
      </c>
      <c r="G58" s="4" t="s">
        <v>109</v>
      </c>
      <c r="H58" s="43">
        <f t="shared" si="20"/>
        <v>0</v>
      </c>
      <c r="I58" s="43">
        <f t="shared" si="21"/>
        <v>1.8867924528301886E-2</v>
      </c>
      <c r="J58" s="43">
        <f t="shared" si="22"/>
        <v>0.98113207547169812</v>
      </c>
    </row>
    <row r="59" spans="1:10" x14ac:dyDescent="0.45">
      <c r="A59" s="4" t="s">
        <v>111</v>
      </c>
      <c r="B59" s="4">
        <f>COUNTIFS(step3_combined_data!$AQ$2:$AQ$404,"Oppose", step3_combined_data!$N$2:$N$404,"Từ 48 - 70 triệu VNĐ")</f>
        <v>0</v>
      </c>
      <c r="C59" s="4">
        <f>COUNTIFS(step3_combined_data!$AQ$2:$AQ$404,"Neutral", step3_combined_data!$N$2:$N$404,"Từ 48 - 70 triệu VNĐ")</f>
        <v>3</v>
      </c>
      <c r="D59" s="4">
        <f>COUNTIFS(step3_combined_data!$AQ$2:$AQ$404,"Support", step3_combined_data!$N$2:$N$404,"Từ 48 - 70 triệu VNĐ")</f>
        <v>59</v>
      </c>
      <c r="E59" s="4">
        <f t="shared" si="23"/>
        <v>62</v>
      </c>
      <c r="G59" s="4" t="s">
        <v>111</v>
      </c>
      <c r="H59" s="43">
        <f t="shared" si="20"/>
        <v>0</v>
      </c>
      <c r="I59" s="43">
        <f t="shared" si="21"/>
        <v>4.8387096774193547E-2</v>
      </c>
      <c r="J59" s="43">
        <f t="shared" si="22"/>
        <v>0.95161290322580649</v>
      </c>
    </row>
    <row r="60" spans="1:10" x14ac:dyDescent="0.45">
      <c r="A60" s="4" t="s">
        <v>107</v>
      </c>
      <c r="B60" s="4">
        <f>COUNTIFS(step3_combined_data!$AQ$2:$AQ$404,"Oppose", step3_combined_data!$N$2:$N$404,"Từ 70 - 102 triệu VNĐ")</f>
        <v>0</v>
      </c>
      <c r="C60" s="4">
        <f>COUNTIFS(step3_combined_data!$AQ$2:$AQ$404,"Neutral", step3_combined_data!$N$2:$N$404,"Từ 70 - 102 triệu VNĐ")</f>
        <v>1</v>
      </c>
      <c r="D60" s="4">
        <f>COUNTIFS(step3_combined_data!$AQ$2:$AQ$404,"Support", step3_combined_data!$N$2:$N$404,"Từ 70 - 102 triệu VNĐ")</f>
        <v>37</v>
      </c>
      <c r="E60" s="4">
        <f t="shared" si="23"/>
        <v>38</v>
      </c>
      <c r="G60" s="4" t="s">
        <v>107</v>
      </c>
      <c r="H60" s="43">
        <f t="shared" si="20"/>
        <v>0</v>
      </c>
      <c r="I60" s="43">
        <f t="shared" si="21"/>
        <v>2.6315789473684209E-2</v>
      </c>
      <c r="J60" s="43">
        <f t="shared" si="22"/>
        <v>0.97368421052631582</v>
      </c>
    </row>
    <row r="61" spans="1:10" x14ac:dyDescent="0.45">
      <c r="A61" s="4" t="s">
        <v>108</v>
      </c>
      <c r="B61" s="4">
        <f>COUNTIFS(step3_combined_data!$AQ$2:$AQ$404,"Oppose", step3_combined_data!$N$2:$N$404,"Trên 102 triệu VNĐ")</f>
        <v>0</v>
      </c>
      <c r="C61" s="4">
        <f>COUNTIFS(step3_combined_data!$AQ$2:$AQ$404,"Neutral", step3_combined_data!$N$2:$N$404,"Trên 102 triệu VNĐ")</f>
        <v>1</v>
      </c>
      <c r="D61" s="4">
        <f>COUNTIFS(step3_combined_data!$AQ$2:$AQ$404,"Support", step3_combined_data!$N$2:$N$404,"Trên 102 triệu VNĐ")</f>
        <v>34</v>
      </c>
      <c r="E61" s="4">
        <f t="shared" si="23"/>
        <v>35</v>
      </c>
      <c r="G61" s="4" t="s">
        <v>108</v>
      </c>
      <c r="H61" s="43">
        <f t="shared" si="20"/>
        <v>0</v>
      </c>
      <c r="I61" s="43">
        <f t="shared" si="21"/>
        <v>2.8571428571428571E-2</v>
      </c>
      <c r="J61" s="43">
        <f t="shared" si="22"/>
        <v>0.97142857142857142</v>
      </c>
    </row>
    <row r="63" spans="1:10" x14ac:dyDescent="0.45">
      <c r="A63" s="41" t="s">
        <v>19</v>
      </c>
      <c r="B63" s="41" t="s">
        <v>1</v>
      </c>
      <c r="C63" s="41" t="s">
        <v>2</v>
      </c>
      <c r="D63" s="41" t="s">
        <v>3</v>
      </c>
      <c r="E63" s="41">
        <f>SUM(E64:E71)</f>
        <v>402</v>
      </c>
      <c r="G63" s="41" t="s">
        <v>19</v>
      </c>
      <c r="H63" s="41" t="s">
        <v>1</v>
      </c>
      <c r="I63" s="41" t="s">
        <v>2</v>
      </c>
      <c r="J63" s="41" t="s">
        <v>3</v>
      </c>
    </row>
    <row r="64" spans="1:10" x14ac:dyDescent="0.45">
      <c r="A64" s="4" t="s">
        <v>194</v>
      </c>
      <c r="B64" s="4">
        <f>COUNTIFS(step3_combined_data!$AV$2:$AV$404,"Oppose", step3_combined_data!$N$2:$N$404,"Dưới 12 triệu VNĐ")</f>
        <v>0</v>
      </c>
      <c r="C64" s="4">
        <f>COUNTIFS(step3_combined_data!$AV$2:$AV$404,"Neutral", step3_combined_data!$N$2:$N$404,"Dưới 12 triệu VNĐ")</f>
        <v>12</v>
      </c>
      <c r="D64" s="4">
        <f>COUNTIFS(step3_combined_data!$AV$2:$AV$404,"Support", step3_combined_data!$N$2:$N$404,"Dưới 12 triệu VNĐ")</f>
        <v>29</v>
      </c>
      <c r="E64" s="4">
        <f>SUM(B64:D64)</f>
        <v>41</v>
      </c>
      <c r="G64" s="4" t="s">
        <v>194</v>
      </c>
      <c r="H64" s="43">
        <f t="shared" ref="H64:H71" si="24">B64/E64</f>
        <v>0</v>
      </c>
      <c r="I64" s="43">
        <f t="shared" ref="I64:I71" si="25">C64/E64</f>
        <v>0.29268292682926828</v>
      </c>
      <c r="J64" s="43">
        <f t="shared" ref="J64:J71" si="26">D64/E64</f>
        <v>0.70731707317073167</v>
      </c>
    </row>
    <row r="65" spans="1:10" x14ac:dyDescent="0.45">
      <c r="A65" s="4" t="s">
        <v>104</v>
      </c>
      <c r="B65" s="4">
        <f>COUNTIFS(step3_combined_data!$AV$2:$AV$404,"Oppose", step3_combined_data!$N$2:$N$404,"Từ 12 - 18 triệu VNĐ")</f>
        <v>0</v>
      </c>
      <c r="C65" s="4">
        <f>COUNTIFS(step3_combined_data!$AV$2:$AV$404,"Neutral", step3_combined_data!$N$2:$N$404,"Từ 12 - 18 triệu VNĐ")</f>
        <v>26</v>
      </c>
      <c r="D65" s="4">
        <f>COUNTIFS(step3_combined_data!$AV$2:$AV$404,"Support", step3_combined_data!$N$2:$N$404,"Từ 12 - 18 triệu VNĐ")</f>
        <v>53</v>
      </c>
      <c r="E65" s="4">
        <f t="shared" ref="E65:E71" si="27">SUM(B65:D65)</f>
        <v>79</v>
      </c>
      <c r="G65" s="4" t="s">
        <v>104</v>
      </c>
      <c r="H65" s="43">
        <f t="shared" si="24"/>
        <v>0</v>
      </c>
      <c r="I65" s="43">
        <f t="shared" si="25"/>
        <v>0.32911392405063289</v>
      </c>
      <c r="J65" s="43">
        <f t="shared" si="26"/>
        <v>0.67088607594936711</v>
      </c>
    </row>
    <row r="66" spans="1:10" x14ac:dyDescent="0.45">
      <c r="A66" s="4" t="s">
        <v>196</v>
      </c>
      <c r="B66" s="4">
        <f>COUNTIFS(step3_combined_data!$AV$2:$AV$404,"Oppose", step3_combined_data!$N$2:$N$404,"Từ 18 - 23 triệu VNĐ")</f>
        <v>0</v>
      </c>
      <c r="C66" s="4">
        <f>COUNTIFS(step3_combined_data!$AV$2:$AV$404,"Neutral", step3_combined_data!$N$2:$N$404,"Từ 18 - 23 triệu VNĐ")</f>
        <v>16</v>
      </c>
      <c r="D66" s="4">
        <f>COUNTIFS(step3_combined_data!$AV$2:$AV$404,"Support", step3_combined_data!$N$2:$N$404,"Từ 18 - 23 triệu VNĐ")</f>
        <v>25</v>
      </c>
      <c r="E66" s="4">
        <f t="shared" si="27"/>
        <v>41</v>
      </c>
      <c r="G66" s="4" t="s">
        <v>196</v>
      </c>
      <c r="H66" s="43">
        <f t="shared" si="24"/>
        <v>0</v>
      </c>
      <c r="I66" s="43">
        <f t="shared" si="25"/>
        <v>0.3902439024390244</v>
      </c>
      <c r="J66" s="43">
        <f t="shared" si="26"/>
        <v>0.6097560975609756</v>
      </c>
    </row>
    <row r="67" spans="1:10" x14ac:dyDescent="0.45">
      <c r="A67" s="4" t="s">
        <v>101</v>
      </c>
      <c r="B67" s="4">
        <f>COUNTIFS(step3_combined_data!$AV$2:$AV$404,"Oppose", step3_combined_data!$N$2:$N$404,"Từ 23 - 32 triệu VNĐ")</f>
        <v>0</v>
      </c>
      <c r="C67" s="4">
        <f>COUNTIFS(step3_combined_data!$AV$2:$AV$404,"Neutral", step3_combined_data!$N$2:$N$404,"Từ 23 - 32 triệu VNĐ")</f>
        <v>24</v>
      </c>
      <c r="D67" s="4">
        <f>COUNTIFS(step3_combined_data!$AV$2:$AV$404,"Support", step3_combined_data!$N$2:$N$404,"Từ 23 - 32 triệu VNĐ")</f>
        <v>29</v>
      </c>
      <c r="E67" s="4">
        <f t="shared" si="27"/>
        <v>53</v>
      </c>
      <c r="G67" s="4" t="s">
        <v>101</v>
      </c>
      <c r="H67" s="43">
        <f t="shared" si="24"/>
        <v>0</v>
      </c>
      <c r="I67" s="43">
        <f t="shared" si="25"/>
        <v>0.45283018867924529</v>
      </c>
      <c r="J67" s="43">
        <f t="shared" si="26"/>
        <v>0.54716981132075471</v>
      </c>
    </row>
    <row r="68" spans="1:10" x14ac:dyDescent="0.45">
      <c r="A68" s="4" t="s">
        <v>109</v>
      </c>
      <c r="B68" s="4">
        <f>COUNTIFS(step3_combined_data!$AV$2:$AV$404,"Oppose", step3_combined_data!$N$2:$N$404,"Từ 32 - 48 triệu VNĐ")</f>
        <v>0</v>
      </c>
      <c r="C68" s="4">
        <f>COUNTIFS(step3_combined_data!$AV$2:$AV$404,"Neutral", step3_combined_data!$N$2:$N$404,"Từ 32 - 48 triệu VNĐ")</f>
        <v>24</v>
      </c>
      <c r="D68" s="4">
        <f>COUNTIFS(step3_combined_data!$AV$2:$AV$404,"Support", step3_combined_data!$N$2:$N$404,"Từ 32 - 48 triệu VNĐ")</f>
        <v>29</v>
      </c>
      <c r="E68" s="4">
        <f t="shared" si="27"/>
        <v>53</v>
      </c>
      <c r="G68" s="4" t="s">
        <v>109</v>
      </c>
      <c r="H68" s="43">
        <f t="shared" si="24"/>
        <v>0</v>
      </c>
      <c r="I68" s="43">
        <f t="shared" si="25"/>
        <v>0.45283018867924529</v>
      </c>
      <c r="J68" s="43">
        <f t="shared" si="26"/>
        <v>0.54716981132075471</v>
      </c>
    </row>
    <row r="69" spans="1:10" x14ac:dyDescent="0.45">
      <c r="A69" s="4" t="s">
        <v>111</v>
      </c>
      <c r="B69" s="4">
        <f>COUNTIFS(step3_combined_data!$AV$2:$AV$404,"Oppose", step3_combined_data!$N$2:$N$404,"Từ 48 - 70 triệu VNĐ")</f>
        <v>0</v>
      </c>
      <c r="C69" s="4">
        <f>COUNTIFS(step3_combined_data!$AV$2:$AV$404,"Neutral", step3_combined_data!$N$2:$N$404,"Từ 48 - 70 triệu VNĐ")</f>
        <v>33</v>
      </c>
      <c r="D69" s="4">
        <f>COUNTIFS(step3_combined_data!$AV$2:$AV$404,"Support", step3_combined_data!$N$2:$N$404,"Từ 48 - 70 triệu VNĐ")</f>
        <v>29</v>
      </c>
      <c r="E69" s="4">
        <f t="shared" si="27"/>
        <v>62</v>
      </c>
      <c r="G69" s="4" t="s">
        <v>111</v>
      </c>
      <c r="H69" s="43">
        <f t="shared" si="24"/>
        <v>0</v>
      </c>
      <c r="I69" s="43">
        <f t="shared" si="25"/>
        <v>0.532258064516129</v>
      </c>
      <c r="J69" s="43">
        <f t="shared" si="26"/>
        <v>0.46774193548387094</v>
      </c>
    </row>
    <row r="70" spans="1:10" x14ac:dyDescent="0.45">
      <c r="A70" s="4" t="s">
        <v>107</v>
      </c>
      <c r="B70" s="4">
        <f>COUNTIFS(step3_combined_data!$AV$2:$AV$404,"Oppose", step3_combined_data!$N$2:$N$404,"Từ 70 - 102 triệu VNĐ")</f>
        <v>0</v>
      </c>
      <c r="C70" s="4">
        <f>COUNTIFS(step3_combined_data!$AV$2:$AV$404,"Neutral", step3_combined_data!$N$2:$N$404,"Từ 70 - 102 triệu VNĐ")</f>
        <v>13</v>
      </c>
      <c r="D70" s="4">
        <f>COUNTIFS(step3_combined_data!$AV$2:$AV$404,"Support", step3_combined_data!$N$2:$N$404,"Từ 70 - 102 triệu VNĐ")</f>
        <v>25</v>
      </c>
      <c r="E70" s="4">
        <f t="shared" si="27"/>
        <v>38</v>
      </c>
      <c r="G70" s="4" t="s">
        <v>107</v>
      </c>
      <c r="H70" s="43">
        <f t="shared" si="24"/>
        <v>0</v>
      </c>
      <c r="I70" s="43">
        <f t="shared" si="25"/>
        <v>0.34210526315789475</v>
      </c>
      <c r="J70" s="43">
        <f t="shared" si="26"/>
        <v>0.65789473684210531</v>
      </c>
    </row>
    <row r="71" spans="1:10" x14ac:dyDescent="0.45">
      <c r="A71" s="4" t="s">
        <v>108</v>
      </c>
      <c r="B71" s="4">
        <f>COUNTIFS(step3_combined_data!$AV$2:$AV$404,"Oppose", step3_combined_data!$N$2:$N$404,"Trên 102 triệu VNĐ")</f>
        <v>1</v>
      </c>
      <c r="C71" s="4">
        <f>COUNTIFS(step3_combined_data!$AV$2:$AV$404,"Neutral", step3_combined_data!$N$2:$N$404,"Trên 102 triệu VNĐ")</f>
        <v>17</v>
      </c>
      <c r="D71" s="4">
        <f>COUNTIFS(step3_combined_data!$AV$2:$AV$404,"Support", step3_combined_data!$N$2:$N$404,"Trên 102 triệu VNĐ")</f>
        <v>17</v>
      </c>
      <c r="E71" s="4">
        <f t="shared" si="27"/>
        <v>35</v>
      </c>
      <c r="G71" s="4" t="s">
        <v>108</v>
      </c>
      <c r="H71" s="43">
        <f t="shared" si="24"/>
        <v>2.8571428571428571E-2</v>
      </c>
      <c r="I71" s="43">
        <f t="shared" si="25"/>
        <v>0.48571428571428571</v>
      </c>
      <c r="J71" s="43">
        <f t="shared" si="26"/>
        <v>0.48571428571428571</v>
      </c>
    </row>
    <row r="73" spans="1:10" x14ac:dyDescent="0.45">
      <c r="A73" s="41" t="s">
        <v>3812</v>
      </c>
      <c r="B73" s="41" t="s">
        <v>1</v>
      </c>
      <c r="C73" s="41" t="s">
        <v>2</v>
      </c>
      <c r="D73" s="41" t="s">
        <v>3</v>
      </c>
      <c r="E73" s="41">
        <f>SUM(E74:E79)</f>
        <v>402</v>
      </c>
      <c r="G73" s="41" t="s">
        <v>3812</v>
      </c>
      <c r="H73" s="41" t="s">
        <v>1</v>
      </c>
      <c r="I73" s="41" t="s">
        <v>2</v>
      </c>
      <c r="J73" s="41" t="s">
        <v>3</v>
      </c>
    </row>
    <row r="74" spans="1:10" x14ac:dyDescent="0.45">
      <c r="A74" s="4" t="s">
        <v>189</v>
      </c>
      <c r="B74" s="4">
        <f>COUNTIFS(step3_combined_data!$BF$2:$BF$404,"Oppose", step3_combined_data!$E$2:$E$404,"18 - 24")</f>
        <v>0</v>
      </c>
      <c r="C74" s="4">
        <f>COUNTIFS(step3_combined_data!$BF$2:$BF$404,"Neutral", step3_combined_data!$E$2:$E$404,"18 - 24")</f>
        <v>0</v>
      </c>
      <c r="D74" s="4">
        <f>COUNTIFS(step3_combined_data!$BF$2:$BF$404,"Support", step3_combined_data!$E$2:$E$404,"18 - 24")</f>
        <v>55</v>
      </c>
      <c r="E74" s="4">
        <f>SUM(B74:D74)</f>
        <v>55</v>
      </c>
      <c r="G74" s="4" t="s">
        <v>189</v>
      </c>
      <c r="H74" s="43">
        <f t="shared" ref="H74:H79" si="28">B74/E74</f>
        <v>0</v>
      </c>
      <c r="I74" s="43">
        <f t="shared" ref="I74:I79" si="29">C74/E74</f>
        <v>0</v>
      </c>
      <c r="J74" s="43">
        <f t="shared" ref="J74:J79" si="30">D74/E74</f>
        <v>1</v>
      </c>
    </row>
    <row r="75" spans="1:10" x14ac:dyDescent="0.45">
      <c r="A75" s="4" t="s">
        <v>81</v>
      </c>
      <c r="B75" s="4">
        <f>COUNTIFS(step3_combined_data!$BF$2:$BF$404,"Oppose", step3_combined_data!$E$2:$E$404,"25 - 29")</f>
        <v>0</v>
      </c>
      <c r="C75" s="4">
        <f>COUNTIFS(step3_combined_data!$BF$2:$BF$404,"Neutral", step3_combined_data!$E$2:$E$404,"25 - 29")</f>
        <v>3</v>
      </c>
      <c r="D75" s="4">
        <f>COUNTIFS(step3_combined_data!$BF$2:$BF$404,"Support", step3_combined_data!$E$2:$E$404,"25 - 29")</f>
        <v>76</v>
      </c>
      <c r="E75" s="4">
        <f t="shared" ref="E75:E79" si="31">SUM(B75:D75)</f>
        <v>79</v>
      </c>
      <c r="G75" s="4" t="s">
        <v>81</v>
      </c>
      <c r="H75" s="43">
        <f t="shared" si="28"/>
        <v>0</v>
      </c>
      <c r="I75" s="43">
        <f t="shared" si="29"/>
        <v>3.7974683544303799E-2</v>
      </c>
      <c r="J75" s="43">
        <f t="shared" si="30"/>
        <v>0.96202531645569622</v>
      </c>
    </row>
    <row r="76" spans="1:10" x14ac:dyDescent="0.45">
      <c r="A76" s="4" t="s">
        <v>73</v>
      </c>
      <c r="B76" s="4">
        <f>COUNTIFS(step3_combined_data!$BF$2:$BF$404,"Oppose", step3_combined_data!$E$2:$E$404,"30 - 39")</f>
        <v>0</v>
      </c>
      <c r="C76" s="4">
        <f>COUNTIFS(step3_combined_data!$BF$2:$BF$404,"Neutral", step3_combined_data!$E$2:$E$404,"30 - 39")</f>
        <v>5</v>
      </c>
      <c r="D76" s="4">
        <f>COUNTIFS(step3_combined_data!$BF$2:$BF$404,"Support", step3_combined_data!$E$2:$E$404,"30 - 39")</f>
        <v>126</v>
      </c>
      <c r="E76" s="4">
        <f t="shared" si="31"/>
        <v>131</v>
      </c>
      <c r="G76" s="4" t="s">
        <v>73</v>
      </c>
      <c r="H76" s="43">
        <f t="shared" si="28"/>
        <v>0</v>
      </c>
      <c r="I76" s="43">
        <f t="shared" si="29"/>
        <v>3.8167938931297711E-2</v>
      </c>
      <c r="J76" s="43">
        <f t="shared" si="30"/>
        <v>0.96183206106870234</v>
      </c>
    </row>
    <row r="77" spans="1:10" x14ac:dyDescent="0.45">
      <c r="A77" s="4" t="s">
        <v>79</v>
      </c>
      <c r="B77" s="4">
        <f>COUNTIFS(step3_combined_data!$BF$2:$BF$404,"Oppose", step3_combined_data!$E$2:$E$404,"40 - 49")</f>
        <v>0</v>
      </c>
      <c r="C77" s="4">
        <f>COUNTIFS(step3_combined_data!$BF$2:$BF$404,"Neutral", step3_combined_data!$E$2:$E$404,"40 - 49")</f>
        <v>4</v>
      </c>
      <c r="D77" s="4">
        <f>COUNTIFS(step3_combined_data!$BF$2:$BF$404,"Support", step3_combined_data!$E$2:$E$404,"40 - 49")</f>
        <v>75</v>
      </c>
      <c r="E77" s="4">
        <f t="shared" si="31"/>
        <v>79</v>
      </c>
      <c r="G77" s="4" t="s">
        <v>79</v>
      </c>
      <c r="H77" s="43">
        <f t="shared" si="28"/>
        <v>0</v>
      </c>
      <c r="I77" s="43">
        <f t="shared" si="29"/>
        <v>5.0632911392405063E-2</v>
      </c>
      <c r="J77" s="43">
        <f t="shared" si="30"/>
        <v>0.94936708860759489</v>
      </c>
    </row>
    <row r="78" spans="1:10" x14ac:dyDescent="0.45">
      <c r="A78" s="4" t="s">
        <v>191</v>
      </c>
      <c r="B78" s="4">
        <f>COUNTIFS(step3_combined_data!$BF$2:$BF$404,"Oppose", step3_combined_data!$E$2:$E$404,"50 - 54")</f>
        <v>0</v>
      </c>
      <c r="C78" s="4">
        <f>COUNTIFS(step3_combined_data!$BF$2:$BF$404,"Neutral", step3_combined_data!$E$2:$E$404,"50 - 54")</f>
        <v>0</v>
      </c>
      <c r="D78" s="4">
        <f>COUNTIFS(step3_combined_data!$BF$2:$BF$404,"Support", step3_combined_data!$E$2:$E$404,"50 - 54")</f>
        <v>31</v>
      </c>
      <c r="E78" s="4">
        <f t="shared" si="31"/>
        <v>31</v>
      </c>
      <c r="G78" s="4" t="s">
        <v>191</v>
      </c>
      <c r="H78" s="43">
        <f t="shared" si="28"/>
        <v>0</v>
      </c>
      <c r="I78" s="43">
        <f t="shared" si="29"/>
        <v>0</v>
      </c>
      <c r="J78" s="43">
        <f t="shared" si="30"/>
        <v>1</v>
      </c>
    </row>
    <row r="79" spans="1:10" x14ac:dyDescent="0.45">
      <c r="A79" s="4" t="s">
        <v>193</v>
      </c>
      <c r="B79" s="4">
        <f>COUNTIFS(step3_combined_data!$BF$2:$BF$404,"Oppose", step3_combined_data!$E$2:$E$404,"55 - 64")</f>
        <v>0</v>
      </c>
      <c r="C79" s="4">
        <f>COUNTIFS(step3_combined_data!$BF$2:$BF$404,"Neutral", step3_combined_data!$E$2:$E$404,"55 - 64")</f>
        <v>1</v>
      </c>
      <c r="D79" s="4">
        <f>COUNTIFS(step3_combined_data!$BF$2:$BF$404,"Support", step3_combined_data!$E$2:$E$404,"55 - 64")</f>
        <v>26</v>
      </c>
      <c r="E79" s="4">
        <f t="shared" si="31"/>
        <v>27</v>
      </c>
      <c r="G79" s="4" t="s">
        <v>193</v>
      </c>
      <c r="H79" s="43">
        <f t="shared" si="28"/>
        <v>0</v>
      </c>
      <c r="I79" s="43">
        <f t="shared" si="29"/>
        <v>3.7037037037037035E-2</v>
      </c>
      <c r="J79" s="43">
        <f t="shared" si="30"/>
        <v>0.96296296296296291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G1" workbookViewId="0">
      <selection activeCell="Y2" sqref="Y2:Y404"/>
    </sheetView>
  </sheetViews>
  <sheetFormatPr defaultRowHeight="14.25" x14ac:dyDescent="0.45"/>
  <sheetData>
    <row r="1" spans="1:27" x14ac:dyDescent="0.45">
      <c r="A1" s="8" t="s">
        <v>45</v>
      </c>
      <c r="B1" s="35" t="s">
        <v>126</v>
      </c>
      <c r="C1" s="8" t="s">
        <v>206</v>
      </c>
      <c r="D1" s="8" t="s">
        <v>48</v>
      </c>
      <c r="E1" s="8" t="s">
        <v>131</v>
      </c>
      <c r="F1" s="8" t="s">
        <v>207</v>
      </c>
      <c r="G1" s="8" t="s">
        <v>51</v>
      </c>
      <c r="H1" s="8" t="s">
        <v>135</v>
      </c>
      <c r="I1" s="8" t="s">
        <v>208</v>
      </c>
      <c r="J1" s="8" t="s">
        <v>54</v>
      </c>
      <c r="K1" s="8" t="s">
        <v>139</v>
      </c>
      <c r="L1" s="8" t="s">
        <v>209</v>
      </c>
      <c r="M1" t="s">
        <v>57</v>
      </c>
      <c r="N1" t="s">
        <v>143</v>
      </c>
      <c r="O1" s="8" t="s">
        <v>210</v>
      </c>
      <c r="P1" t="s">
        <v>60</v>
      </c>
      <c r="Q1" t="s">
        <v>147</v>
      </c>
      <c r="R1" s="8" t="s">
        <v>211</v>
      </c>
      <c r="S1" t="s">
        <v>63</v>
      </c>
      <c r="T1" t="s">
        <v>151</v>
      </c>
      <c r="U1" s="8" t="s">
        <v>212</v>
      </c>
      <c r="V1" t="s">
        <v>66</v>
      </c>
      <c r="W1" t="s">
        <v>155</v>
      </c>
      <c r="X1" s="8" t="s">
        <v>213</v>
      </c>
      <c r="Y1" t="s">
        <v>69</v>
      </c>
      <c r="Z1" t="s">
        <v>159</v>
      </c>
      <c r="AA1" s="8" t="s">
        <v>214</v>
      </c>
    </row>
    <row r="2" spans="1:27" x14ac:dyDescent="0.45">
      <c r="A2">
        <v>2</v>
      </c>
      <c r="B2" s="36">
        <v>1</v>
      </c>
      <c r="C2" s="32">
        <f>ABS(B2-A2)</f>
        <v>1</v>
      </c>
      <c r="D2">
        <v>2</v>
      </c>
      <c r="E2" s="36">
        <v>1</v>
      </c>
      <c r="F2" s="32">
        <f>ABS(E2-D2)</f>
        <v>1</v>
      </c>
      <c r="G2">
        <v>5</v>
      </c>
      <c r="H2" s="36">
        <v>1</v>
      </c>
      <c r="I2" s="32">
        <f>ABS(H2-G2)</f>
        <v>4</v>
      </c>
      <c r="J2">
        <v>6</v>
      </c>
      <c r="K2" s="36">
        <v>1</v>
      </c>
      <c r="L2" s="32">
        <f>ABS(K2-J2)</f>
        <v>5</v>
      </c>
      <c r="M2">
        <v>0</v>
      </c>
      <c r="N2" s="36">
        <v>1</v>
      </c>
      <c r="O2" s="32">
        <f>ABS(N2-M2)</f>
        <v>1</v>
      </c>
      <c r="P2">
        <v>0</v>
      </c>
      <c r="Q2" s="36">
        <v>1</v>
      </c>
      <c r="R2" s="32">
        <f>ABS(Q2-P2)</f>
        <v>1</v>
      </c>
      <c r="S2">
        <v>0</v>
      </c>
      <c r="T2" s="36">
        <v>1</v>
      </c>
      <c r="U2" s="32">
        <f>ABS(T2-S2)</f>
        <v>1</v>
      </c>
      <c r="V2">
        <v>0</v>
      </c>
      <c r="W2" s="36">
        <v>1</v>
      </c>
      <c r="X2" s="32">
        <f>ABS(W2-V2)</f>
        <v>1</v>
      </c>
      <c r="Y2">
        <v>0</v>
      </c>
      <c r="Z2" s="36">
        <v>1</v>
      </c>
      <c r="AA2" s="32">
        <f>ABS(Z2-Y2)</f>
        <v>1</v>
      </c>
    </row>
    <row r="3" spans="1:27" x14ac:dyDescent="0.45">
      <c r="A3">
        <v>3</v>
      </c>
      <c r="B3" s="36">
        <v>1</v>
      </c>
      <c r="C3" s="32">
        <f t="shared" ref="C3:C66" si="0">ABS(B3-A3)</f>
        <v>2</v>
      </c>
      <c r="D3">
        <v>3</v>
      </c>
      <c r="E3" s="36">
        <v>1</v>
      </c>
      <c r="F3" s="32">
        <f t="shared" ref="F3:F66" si="1">ABS(E3-D3)</f>
        <v>2</v>
      </c>
      <c r="G3">
        <v>5</v>
      </c>
      <c r="H3" s="36">
        <v>1</v>
      </c>
      <c r="I3" s="32">
        <f t="shared" ref="I3:I66" si="2">ABS(H3-G3)</f>
        <v>4</v>
      </c>
      <c r="J3">
        <v>7</v>
      </c>
      <c r="K3" s="36">
        <v>1</v>
      </c>
      <c r="L3" s="32">
        <f t="shared" ref="L3:L66" si="3">ABS(K3-J3)</f>
        <v>6</v>
      </c>
      <c r="M3">
        <v>0</v>
      </c>
      <c r="N3" s="36">
        <v>1</v>
      </c>
      <c r="O3" s="32">
        <f t="shared" ref="O3:O66" si="4">ABS(N3-M3)</f>
        <v>1</v>
      </c>
      <c r="P3">
        <v>0</v>
      </c>
      <c r="Q3" s="36">
        <v>1</v>
      </c>
      <c r="R3" s="32">
        <f t="shared" ref="R3:R66" si="5">ABS(Q3-P3)</f>
        <v>1</v>
      </c>
      <c r="S3">
        <v>0</v>
      </c>
      <c r="T3" s="36">
        <v>1</v>
      </c>
      <c r="U3" s="32">
        <f t="shared" ref="U3:U66" si="6">ABS(T3-S3)</f>
        <v>1</v>
      </c>
      <c r="V3">
        <v>0</v>
      </c>
      <c r="W3" s="36">
        <v>1</v>
      </c>
      <c r="X3" s="32">
        <f t="shared" ref="X3:X66" si="7">ABS(W3-V3)</f>
        <v>1</v>
      </c>
      <c r="Y3">
        <v>0</v>
      </c>
      <c r="Z3" s="36">
        <v>1</v>
      </c>
      <c r="AA3" s="32">
        <f t="shared" ref="AA3:AA66" si="8">ABS(Z3-Y3)</f>
        <v>1</v>
      </c>
    </row>
    <row r="4" spans="1:27" x14ac:dyDescent="0.45">
      <c r="A4">
        <v>4</v>
      </c>
      <c r="B4" s="36">
        <v>1</v>
      </c>
      <c r="C4" s="32">
        <f t="shared" si="0"/>
        <v>3</v>
      </c>
      <c r="D4">
        <v>3</v>
      </c>
      <c r="E4" s="36">
        <v>1</v>
      </c>
      <c r="F4" s="32">
        <f t="shared" si="1"/>
        <v>2</v>
      </c>
      <c r="G4">
        <v>5</v>
      </c>
      <c r="H4" s="36">
        <v>1</v>
      </c>
      <c r="I4" s="32">
        <f t="shared" si="2"/>
        <v>4</v>
      </c>
      <c r="J4">
        <v>7</v>
      </c>
      <c r="K4" s="36">
        <v>1</v>
      </c>
      <c r="L4" s="32">
        <f t="shared" si="3"/>
        <v>6</v>
      </c>
      <c r="M4">
        <v>4</v>
      </c>
      <c r="N4" s="36">
        <v>1</v>
      </c>
      <c r="O4" s="32">
        <f t="shared" si="4"/>
        <v>3</v>
      </c>
      <c r="P4">
        <v>0</v>
      </c>
      <c r="Q4" s="36">
        <v>1</v>
      </c>
      <c r="R4" s="32">
        <f t="shared" si="5"/>
        <v>1</v>
      </c>
      <c r="S4">
        <v>0</v>
      </c>
      <c r="T4" s="36">
        <v>1</v>
      </c>
      <c r="U4" s="32">
        <f t="shared" si="6"/>
        <v>1</v>
      </c>
      <c r="V4">
        <v>0</v>
      </c>
      <c r="W4" s="36">
        <v>1</v>
      </c>
      <c r="X4" s="32">
        <f t="shared" si="7"/>
        <v>1</v>
      </c>
      <c r="Y4">
        <v>0</v>
      </c>
      <c r="Z4" s="36">
        <v>1</v>
      </c>
      <c r="AA4" s="32">
        <f t="shared" si="8"/>
        <v>1</v>
      </c>
    </row>
    <row r="5" spans="1:27" x14ac:dyDescent="0.45">
      <c r="A5">
        <v>4</v>
      </c>
      <c r="B5" s="36">
        <v>1</v>
      </c>
      <c r="C5" s="32">
        <f t="shared" si="0"/>
        <v>3</v>
      </c>
      <c r="D5">
        <v>5</v>
      </c>
      <c r="E5" s="36">
        <v>1</v>
      </c>
      <c r="F5" s="32">
        <f t="shared" si="1"/>
        <v>4</v>
      </c>
      <c r="G5">
        <v>5</v>
      </c>
      <c r="H5" s="36">
        <v>1</v>
      </c>
      <c r="I5" s="32">
        <f t="shared" si="2"/>
        <v>4</v>
      </c>
      <c r="J5">
        <v>7</v>
      </c>
      <c r="K5" s="36">
        <v>1</v>
      </c>
      <c r="L5" s="32">
        <f t="shared" si="3"/>
        <v>6</v>
      </c>
      <c r="M5">
        <v>5</v>
      </c>
      <c r="N5" s="36">
        <v>1</v>
      </c>
      <c r="O5" s="32">
        <f t="shared" si="4"/>
        <v>4</v>
      </c>
      <c r="P5">
        <v>5</v>
      </c>
      <c r="Q5" s="36">
        <v>1</v>
      </c>
      <c r="R5" s="32">
        <f t="shared" si="5"/>
        <v>4</v>
      </c>
      <c r="S5">
        <v>5</v>
      </c>
      <c r="T5" s="36">
        <v>1</v>
      </c>
      <c r="U5" s="32">
        <f t="shared" si="6"/>
        <v>4</v>
      </c>
      <c r="V5">
        <v>5</v>
      </c>
      <c r="W5" s="36">
        <v>1</v>
      </c>
      <c r="X5" s="32">
        <f t="shared" si="7"/>
        <v>4</v>
      </c>
      <c r="Y5">
        <v>6</v>
      </c>
      <c r="Z5" s="36">
        <v>1</v>
      </c>
      <c r="AA5" s="32">
        <f t="shared" si="8"/>
        <v>5</v>
      </c>
    </row>
    <row r="6" spans="1:27" x14ac:dyDescent="0.45">
      <c r="A6">
        <v>5</v>
      </c>
      <c r="B6" s="36">
        <v>1</v>
      </c>
      <c r="C6" s="32">
        <f t="shared" si="0"/>
        <v>4</v>
      </c>
      <c r="D6">
        <v>5</v>
      </c>
      <c r="E6" s="36">
        <v>1</v>
      </c>
      <c r="F6" s="32">
        <f t="shared" si="1"/>
        <v>4</v>
      </c>
      <c r="G6">
        <v>6</v>
      </c>
      <c r="H6" s="36">
        <v>1</v>
      </c>
      <c r="I6" s="32">
        <f t="shared" si="2"/>
        <v>5</v>
      </c>
      <c r="J6">
        <v>7</v>
      </c>
      <c r="K6" s="36">
        <v>1</v>
      </c>
      <c r="L6" s="32">
        <f t="shared" si="3"/>
        <v>6</v>
      </c>
      <c r="M6">
        <v>5</v>
      </c>
      <c r="N6" s="36">
        <v>1</v>
      </c>
      <c r="O6" s="32">
        <f t="shared" si="4"/>
        <v>4</v>
      </c>
      <c r="P6">
        <v>6</v>
      </c>
      <c r="Q6" s="36">
        <v>1</v>
      </c>
      <c r="R6" s="32">
        <f t="shared" si="5"/>
        <v>5</v>
      </c>
      <c r="S6">
        <v>5</v>
      </c>
      <c r="T6" s="36">
        <v>1</v>
      </c>
      <c r="U6" s="32">
        <f t="shared" si="6"/>
        <v>4</v>
      </c>
      <c r="V6">
        <v>5</v>
      </c>
      <c r="W6" s="36">
        <v>1</v>
      </c>
      <c r="X6" s="32">
        <f t="shared" si="7"/>
        <v>4</v>
      </c>
      <c r="Y6">
        <v>6</v>
      </c>
      <c r="Z6" s="36">
        <v>1</v>
      </c>
      <c r="AA6" s="32">
        <f t="shared" si="8"/>
        <v>5</v>
      </c>
    </row>
    <row r="7" spans="1:27" x14ac:dyDescent="0.45">
      <c r="A7">
        <v>5</v>
      </c>
      <c r="B7" s="36">
        <v>1</v>
      </c>
      <c r="C7" s="32">
        <f t="shared" si="0"/>
        <v>4</v>
      </c>
      <c r="D7">
        <v>5</v>
      </c>
      <c r="E7" s="36">
        <v>1</v>
      </c>
      <c r="F7" s="32">
        <f t="shared" si="1"/>
        <v>4</v>
      </c>
      <c r="G7">
        <v>6</v>
      </c>
      <c r="H7" s="36">
        <v>1</v>
      </c>
      <c r="I7" s="32">
        <f t="shared" si="2"/>
        <v>5</v>
      </c>
      <c r="J7">
        <v>7</v>
      </c>
      <c r="K7" s="36">
        <v>1</v>
      </c>
      <c r="L7" s="32">
        <f t="shared" si="3"/>
        <v>6</v>
      </c>
      <c r="M7">
        <v>5</v>
      </c>
      <c r="N7" s="36">
        <v>1</v>
      </c>
      <c r="O7" s="32">
        <f t="shared" si="4"/>
        <v>4</v>
      </c>
      <c r="P7">
        <v>6</v>
      </c>
      <c r="Q7" s="36">
        <v>1</v>
      </c>
      <c r="R7" s="32">
        <f t="shared" si="5"/>
        <v>5</v>
      </c>
      <c r="S7">
        <v>6</v>
      </c>
      <c r="T7" s="36">
        <v>1</v>
      </c>
      <c r="U7" s="32">
        <f t="shared" si="6"/>
        <v>5</v>
      </c>
      <c r="V7">
        <v>5</v>
      </c>
      <c r="W7" s="36">
        <v>1</v>
      </c>
      <c r="X7" s="32">
        <f t="shared" si="7"/>
        <v>4</v>
      </c>
      <c r="Y7">
        <v>6</v>
      </c>
      <c r="Z7" s="36">
        <v>1</v>
      </c>
      <c r="AA7" s="32">
        <f t="shared" si="8"/>
        <v>5</v>
      </c>
    </row>
    <row r="8" spans="1:27" x14ac:dyDescent="0.45">
      <c r="A8">
        <v>5</v>
      </c>
      <c r="B8" s="36">
        <v>1</v>
      </c>
      <c r="C8" s="32">
        <f t="shared" si="0"/>
        <v>4</v>
      </c>
      <c r="D8">
        <v>5</v>
      </c>
      <c r="E8" s="36">
        <v>1</v>
      </c>
      <c r="F8" s="32">
        <f t="shared" si="1"/>
        <v>4</v>
      </c>
      <c r="G8">
        <v>6</v>
      </c>
      <c r="H8" s="36">
        <v>1</v>
      </c>
      <c r="I8" s="32">
        <f t="shared" si="2"/>
        <v>5</v>
      </c>
      <c r="J8">
        <v>7</v>
      </c>
      <c r="K8" s="36">
        <v>2</v>
      </c>
      <c r="L8" s="32">
        <f t="shared" si="3"/>
        <v>5</v>
      </c>
      <c r="M8">
        <v>6</v>
      </c>
      <c r="N8" s="36">
        <v>1</v>
      </c>
      <c r="O8" s="32">
        <f t="shared" si="4"/>
        <v>5</v>
      </c>
      <c r="P8">
        <v>7</v>
      </c>
      <c r="Q8" s="36">
        <v>1</v>
      </c>
      <c r="R8" s="32">
        <f t="shared" si="5"/>
        <v>6</v>
      </c>
      <c r="S8">
        <v>6</v>
      </c>
      <c r="T8" s="36">
        <v>1</v>
      </c>
      <c r="U8" s="32">
        <f t="shared" si="6"/>
        <v>5</v>
      </c>
      <c r="V8">
        <v>5</v>
      </c>
      <c r="W8" s="36">
        <v>1</v>
      </c>
      <c r="X8" s="32">
        <f t="shared" si="7"/>
        <v>4</v>
      </c>
      <c r="Y8">
        <v>7</v>
      </c>
      <c r="Z8" s="36">
        <v>1</v>
      </c>
      <c r="AA8" s="32">
        <f t="shared" si="8"/>
        <v>6</v>
      </c>
    </row>
    <row r="9" spans="1:27" x14ac:dyDescent="0.45">
      <c r="A9">
        <v>5</v>
      </c>
      <c r="B9" s="36">
        <v>1</v>
      </c>
      <c r="C9" s="32">
        <f t="shared" si="0"/>
        <v>4</v>
      </c>
      <c r="D9">
        <v>5</v>
      </c>
      <c r="E9" s="36">
        <v>1</v>
      </c>
      <c r="F9" s="32">
        <f t="shared" si="1"/>
        <v>4</v>
      </c>
      <c r="G9">
        <v>6</v>
      </c>
      <c r="H9" s="36">
        <v>1</v>
      </c>
      <c r="I9" s="32">
        <f t="shared" si="2"/>
        <v>5</v>
      </c>
      <c r="J9">
        <v>7</v>
      </c>
      <c r="K9" s="36">
        <v>2</v>
      </c>
      <c r="L9" s="32">
        <f t="shared" si="3"/>
        <v>5</v>
      </c>
      <c r="M9">
        <v>6</v>
      </c>
      <c r="N9" s="36">
        <v>1</v>
      </c>
      <c r="O9" s="32">
        <f t="shared" si="4"/>
        <v>5</v>
      </c>
      <c r="P9">
        <v>7</v>
      </c>
      <c r="Q9" s="36">
        <v>1</v>
      </c>
      <c r="R9" s="32">
        <f t="shared" si="5"/>
        <v>6</v>
      </c>
      <c r="S9">
        <v>6</v>
      </c>
      <c r="T9" s="36">
        <v>1</v>
      </c>
      <c r="U9" s="32">
        <f t="shared" si="6"/>
        <v>5</v>
      </c>
      <c r="V9">
        <v>5</v>
      </c>
      <c r="W9" s="36">
        <v>1</v>
      </c>
      <c r="X9" s="32">
        <f t="shared" si="7"/>
        <v>4</v>
      </c>
      <c r="Y9">
        <v>7</v>
      </c>
      <c r="Z9" s="36">
        <v>1</v>
      </c>
      <c r="AA9" s="32">
        <f t="shared" si="8"/>
        <v>6</v>
      </c>
    </row>
    <row r="10" spans="1:27" x14ac:dyDescent="0.45">
      <c r="A10">
        <v>5</v>
      </c>
      <c r="B10" s="36">
        <v>1</v>
      </c>
      <c r="C10" s="32">
        <f t="shared" si="0"/>
        <v>4</v>
      </c>
      <c r="D10">
        <v>5</v>
      </c>
      <c r="E10" s="36">
        <v>1</v>
      </c>
      <c r="F10" s="32">
        <f t="shared" si="1"/>
        <v>4</v>
      </c>
      <c r="G10">
        <v>6</v>
      </c>
      <c r="H10" s="36">
        <v>1</v>
      </c>
      <c r="I10" s="32">
        <f t="shared" si="2"/>
        <v>5</v>
      </c>
      <c r="J10">
        <v>7</v>
      </c>
      <c r="K10" s="36">
        <v>2</v>
      </c>
      <c r="L10" s="32">
        <f t="shared" si="3"/>
        <v>5</v>
      </c>
      <c r="M10">
        <v>6</v>
      </c>
      <c r="N10" s="36">
        <v>1</v>
      </c>
      <c r="O10" s="32">
        <f t="shared" si="4"/>
        <v>5</v>
      </c>
      <c r="P10">
        <v>7</v>
      </c>
      <c r="Q10" s="36">
        <v>1</v>
      </c>
      <c r="R10" s="32">
        <f t="shared" si="5"/>
        <v>6</v>
      </c>
      <c r="S10">
        <v>6</v>
      </c>
      <c r="T10" s="36">
        <v>1</v>
      </c>
      <c r="U10" s="32">
        <f t="shared" si="6"/>
        <v>5</v>
      </c>
      <c r="V10">
        <v>5</v>
      </c>
      <c r="W10" s="36">
        <v>1</v>
      </c>
      <c r="X10" s="32">
        <f t="shared" si="7"/>
        <v>4</v>
      </c>
      <c r="Y10">
        <v>7</v>
      </c>
      <c r="Z10" s="36">
        <v>1</v>
      </c>
      <c r="AA10" s="32">
        <f t="shared" si="8"/>
        <v>6</v>
      </c>
    </row>
    <row r="11" spans="1:27" x14ac:dyDescent="0.45">
      <c r="A11">
        <v>5</v>
      </c>
      <c r="B11" s="36">
        <v>1</v>
      </c>
      <c r="C11" s="32">
        <f t="shared" si="0"/>
        <v>4</v>
      </c>
      <c r="D11">
        <v>5</v>
      </c>
      <c r="E11" s="36">
        <v>1</v>
      </c>
      <c r="F11" s="32">
        <f t="shared" si="1"/>
        <v>4</v>
      </c>
      <c r="G11">
        <v>6</v>
      </c>
      <c r="H11" s="36">
        <v>1</v>
      </c>
      <c r="I11" s="32">
        <f t="shared" si="2"/>
        <v>5</v>
      </c>
      <c r="J11">
        <v>7</v>
      </c>
      <c r="K11" s="36">
        <v>2</v>
      </c>
      <c r="L11" s="32">
        <f t="shared" si="3"/>
        <v>5</v>
      </c>
      <c r="M11">
        <v>6</v>
      </c>
      <c r="N11" s="36">
        <v>1</v>
      </c>
      <c r="O11" s="32">
        <f t="shared" si="4"/>
        <v>5</v>
      </c>
      <c r="P11">
        <v>7</v>
      </c>
      <c r="Q11" s="36">
        <v>1</v>
      </c>
      <c r="R11" s="32">
        <f t="shared" si="5"/>
        <v>6</v>
      </c>
      <c r="S11">
        <v>6</v>
      </c>
      <c r="T11" s="36">
        <v>1</v>
      </c>
      <c r="U11" s="32">
        <f t="shared" si="6"/>
        <v>5</v>
      </c>
      <c r="V11">
        <v>6</v>
      </c>
      <c r="W11" s="36">
        <v>1</v>
      </c>
      <c r="X11" s="32">
        <f t="shared" si="7"/>
        <v>5</v>
      </c>
      <c r="Y11">
        <v>7</v>
      </c>
      <c r="Z11" s="36">
        <v>1</v>
      </c>
      <c r="AA11" s="32">
        <f t="shared" si="8"/>
        <v>6</v>
      </c>
    </row>
    <row r="12" spans="1:27" x14ac:dyDescent="0.45">
      <c r="A12">
        <v>5</v>
      </c>
      <c r="B12" s="36">
        <v>1</v>
      </c>
      <c r="C12" s="32">
        <f t="shared" si="0"/>
        <v>4</v>
      </c>
      <c r="D12">
        <v>5</v>
      </c>
      <c r="E12" s="36">
        <v>1</v>
      </c>
      <c r="F12" s="32">
        <f t="shared" si="1"/>
        <v>4</v>
      </c>
      <c r="G12">
        <v>6</v>
      </c>
      <c r="H12" s="36">
        <v>1</v>
      </c>
      <c r="I12" s="32">
        <f t="shared" si="2"/>
        <v>5</v>
      </c>
      <c r="J12">
        <v>7</v>
      </c>
      <c r="K12" s="36">
        <v>2</v>
      </c>
      <c r="L12" s="32">
        <f t="shared" si="3"/>
        <v>5</v>
      </c>
      <c r="M12">
        <v>6</v>
      </c>
      <c r="N12" s="36">
        <v>1</v>
      </c>
      <c r="O12" s="32">
        <f t="shared" si="4"/>
        <v>5</v>
      </c>
      <c r="P12">
        <v>7</v>
      </c>
      <c r="Q12" s="36">
        <v>1</v>
      </c>
      <c r="R12" s="32">
        <f t="shared" si="5"/>
        <v>6</v>
      </c>
      <c r="S12">
        <v>6</v>
      </c>
      <c r="T12" s="36">
        <v>1</v>
      </c>
      <c r="U12" s="32">
        <f t="shared" si="6"/>
        <v>5</v>
      </c>
      <c r="V12">
        <v>6</v>
      </c>
      <c r="W12" s="36">
        <v>1</v>
      </c>
      <c r="X12" s="32">
        <f t="shared" si="7"/>
        <v>5</v>
      </c>
      <c r="Y12">
        <v>7</v>
      </c>
      <c r="Z12" s="36">
        <v>1</v>
      </c>
      <c r="AA12" s="32">
        <f t="shared" si="8"/>
        <v>6</v>
      </c>
    </row>
    <row r="13" spans="1:27" x14ac:dyDescent="0.45">
      <c r="A13">
        <v>5</v>
      </c>
      <c r="B13" s="36">
        <v>2</v>
      </c>
      <c r="C13" s="32">
        <f t="shared" si="0"/>
        <v>3</v>
      </c>
      <c r="D13">
        <v>6</v>
      </c>
      <c r="E13" s="36">
        <v>1</v>
      </c>
      <c r="F13" s="32">
        <f t="shared" si="1"/>
        <v>5</v>
      </c>
      <c r="G13">
        <v>6</v>
      </c>
      <c r="H13" s="36">
        <v>1</v>
      </c>
      <c r="I13" s="32">
        <f t="shared" si="2"/>
        <v>5</v>
      </c>
      <c r="J13">
        <v>8</v>
      </c>
      <c r="K13" s="36">
        <v>3</v>
      </c>
      <c r="L13" s="32">
        <f t="shared" si="3"/>
        <v>5</v>
      </c>
      <c r="M13">
        <v>6</v>
      </c>
      <c r="N13" s="36">
        <v>1</v>
      </c>
      <c r="O13" s="32">
        <f t="shared" si="4"/>
        <v>5</v>
      </c>
      <c r="P13">
        <v>7</v>
      </c>
      <c r="Q13" s="36">
        <v>1</v>
      </c>
      <c r="R13" s="32">
        <f t="shared" si="5"/>
        <v>6</v>
      </c>
      <c r="S13">
        <v>6</v>
      </c>
      <c r="T13" s="36">
        <v>1</v>
      </c>
      <c r="U13" s="32">
        <f t="shared" si="6"/>
        <v>5</v>
      </c>
      <c r="V13">
        <v>6</v>
      </c>
      <c r="W13" s="36">
        <v>1</v>
      </c>
      <c r="X13" s="32">
        <f t="shared" si="7"/>
        <v>5</v>
      </c>
      <c r="Y13">
        <v>7</v>
      </c>
      <c r="Z13" s="36">
        <v>1</v>
      </c>
      <c r="AA13" s="32">
        <f t="shared" si="8"/>
        <v>6</v>
      </c>
    </row>
    <row r="14" spans="1:27" x14ac:dyDescent="0.45">
      <c r="A14">
        <v>5</v>
      </c>
      <c r="B14" s="36">
        <v>2</v>
      </c>
      <c r="C14" s="32">
        <f t="shared" si="0"/>
        <v>3</v>
      </c>
      <c r="D14">
        <v>6</v>
      </c>
      <c r="E14" s="36">
        <v>1</v>
      </c>
      <c r="F14" s="32">
        <f t="shared" si="1"/>
        <v>5</v>
      </c>
      <c r="G14">
        <v>6</v>
      </c>
      <c r="H14" s="36">
        <v>1</v>
      </c>
      <c r="I14" s="32">
        <f t="shared" si="2"/>
        <v>5</v>
      </c>
      <c r="J14">
        <v>8</v>
      </c>
      <c r="K14" s="36">
        <v>4</v>
      </c>
      <c r="L14" s="32">
        <f t="shared" si="3"/>
        <v>4</v>
      </c>
      <c r="M14">
        <v>6</v>
      </c>
      <c r="N14" s="36">
        <v>1</v>
      </c>
      <c r="O14" s="32">
        <f t="shared" si="4"/>
        <v>5</v>
      </c>
      <c r="P14">
        <v>7</v>
      </c>
      <c r="Q14" s="36">
        <v>1</v>
      </c>
      <c r="R14" s="32">
        <f t="shared" si="5"/>
        <v>6</v>
      </c>
      <c r="S14">
        <v>6</v>
      </c>
      <c r="T14" s="36">
        <v>1</v>
      </c>
      <c r="U14" s="32">
        <f t="shared" si="6"/>
        <v>5</v>
      </c>
      <c r="V14">
        <v>6</v>
      </c>
      <c r="W14" s="36">
        <v>1</v>
      </c>
      <c r="X14" s="32">
        <f t="shared" si="7"/>
        <v>5</v>
      </c>
      <c r="Y14">
        <v>7</v>
      </c>
      <c r="Z14" s="36">
        <v>1</v>
      </c>
      <c r="AA14" s="32">
        <f t="shared" si="8"/>
        <v>6</v>
      </c>
    </row>
    <row r="15" spans="1:27" x14ac:dyDescent="0.45">
      <c r="A15">
        <v>5</v>
      </c>
      <c r="B15" s="36">
        <v>2</v>
      </c>
      <c r="C15" s="32">
        <f t="shared" si="0"/>
        <v>3</v>
      </c>
      <c r="D15">
        <v>6</v>
      </c>
      <c r="E15" s="36">
        <v>1</v>
      </c>
      <c r="F15" s="32">
        <f t="shared" si="1"/>
        <v>5</v>
      </c>
      <c r="G15">
        <v>6</v>
      </c>
      <c r="H15" s="36">
        <v>1</v>
      </c>
      <c r="I15" s="32">
        <f t="shared" si="2"/>
        <v>5</v>
      </c>
      <c r="J15">
        <v>8</v>
      </c>
      <c r="K15" s="36">
        <v>4</v>
      </c>
      <c r="L15" s="32">
        <f t="shared" si="3"/>
        <v>4</v>
      </c>
      <c r="M15">
        <v>6</v>
      </c>
      <c r="N15" s="36">
        <v>1</v>
      </c>
      <c r="O15" s="32">
        <f t="shared" si="4"/>
        <v>5</v>
      </c>
      <c r="P15">
        <v>7</v>
      </c>
      <c r="Q15" s="36">
        <v>1</v>
      </c>
      <c r="R15" s="32">
        <f t="shared" si="5"/>
        <v>6</v>
      </c>
      <c r="S15">
        <v>6</v>
      </c>
      <c r="T15" s="36">
        <v>1</v>
      </c>
      <c r="U15" s="32">
        <f t="shared" si="6"/>
        <v>5</v>
      </c>
      <c r="V15">
        <v>6</v>
      </c>
      <c r="W15" s="36">
        <v>1</v>
      </c>
      <c r="X15" s="32">
        <f t="shared" si="7"/>
        <v>5</v>
      </c>
      <c r="Y15">
        <v>7</v>
      </c>
      <c r="Z15" s="36">
        <v>2</v>
      </c>
      <c r="AA15" s="32">
        <f t="shared" si="8"/>
        <v>5</v>
      </c>
    </row>
    <row r="16" spans="1:27" x14ac:dyDescent="0.45">
      <c r="A16">
        <v>5</v>
      </c>
      <c r="B16" s="36">
        <v>2</v>
      </c>
      <c r="C16" s="32">
        <f t="shared" si="0"/>
        <v>3</v>
      </c>
      <c r="D16">
        <v>6</v>
      </c>
      <c r="E16" s="36">
        <v>2</v>
      </c>
      <c r="F16" s="32">
        <f t="shared" si="1"/>
        <v>4</v>
      </c>
      <c r="G16">
        <v>6</v>
      </c>
      <c r="H16" s="36">
        <v>1</v>
      </c>
      <c r="I16" s="32">
        <f t="shared" si="2"/>
        <v>5</v>
      </c>
      <c r="J16">
        <v>8</v>
      </c>
      <c r="K16" s="36">
        <v>4</v>
      </c>
      <c r="L16" s="32">
        <f t="shared" si="3"/>
        <v>4</v>
      </c>
      <c r="M16">
        <v>6</v>
      </c>
      <c r="N16" s="36">
        <v>1</v>
      </c>
      <c r="O16" s="32">
        <f t="shared" si="4"/>
        <v>5</v>
      </c>
      <c r="P16">
        <v>7</v>
      </c>
      <c r="Q16" s="36">
        <v>1</v>
      </c>
      <c r="R16" s="32">
        <f t="shared" si="5"/>
        <v>6</v>
      </c>
      <c r="S16">
        <v>6</v>
      </c>
      <c r="T16" s="36">
        <v>1</v>
      </c>
      <c r="U16" s="32">
        <f t="shared" si="6"/>
        <v>5</v>
      </c>
      <c r="V16">
        <v>6</v>
      </c>
      <c r="W16" s="36">
        <v>2</v>
      </c>
      <c r="X16" s="32">
        <f t="shared" si="7"/>
        <v>4</v>
      </c>
      <c r="Y16">
        <v>7</v>
      </c>
      <c r="Z16" s="36">
        <v>2</v>
      </c>
      <c r="AA16" s="32">
        <f t="shared" si="8"/>
        <v>5</v>
      </c>
    </row>
    <row r="17" spans="1:27" x14ac:dyDescent="0.45">
      <c r="A17">
        <v>5</v>
      </c>
      <c r="B17" s="36">
        <v>2</v>
      </c>
      <c r="C17" s="32">
        <f t="shared" si="0"/>
        <v>3</v>
      </c>
      <c r="D17">
        <v>6</v>
      </c>
      <c r="E17" s="36">
        <v>2</v>
      </c>
      <c r="F17" s="32">
        <f t="shared" si="1"/>
        <v>4</v>
      </c>
      <c r="G17">
        <v>6</v>
      </c>
      <c r="H17" s="36">
        <v>1</v>
      </c>
      <c r="I17" s="32">
        <f t="shared" si="2"/>
        <v>5</v>
      </c>
      <c r="J17">
        <v>8</v>
      </c>
      <c r="K17" s="36">
        <v>4</v>
      </c>
      <c r="L17" s="32">
        <f t="shared" si="3"/>
        <v>4</v>
      </c>
      <c r="M17">
        <v>6</v>
      </c>
      <c r="N17" s="36">
        <v>1</v>
      </c>
      <c r="O17" s="32">
        <f t="shared" si="4"/>
        <v>5</v>
      </c>
      <c r="P17">
        <v>7</v>
      </c>
      <c r="Q17" s="36">
        <v>1</v>
      </c>
      <c r="R17" s="32">
        <f t="shared" si="5"/>
        <v>6</v>
      </c>
      <c r="S17">
        <v>6</v>
      </c>
      <c r="T17" s="36">
        <v>1</v>
      </c>
      <c r="U17" s="32">
        <f t="shared" si="6"/>
        <v>5</v>
      </c>
      <c r="V17">
        <v>6</v>
      </c>
      <c r="W17" s="36">
        <v>2</v>
      </c>
      <c r="X17" s="32">
        <f t="shared" si="7"/>
        <v>4</v>
      </c>
      <c r="Y17">
        <v>7</v>
      </c>
      <c r="Z17" s="36">
        <v>2</v>
      </c>
      <c r="AA17" s="32">
        <f t="shared" si="8"/>
        <v>5</v>
      </c>
    </row>
    <row r="18" spans="1:27" x14ac:dyDescent="0.45">
      <c r="A18">
        <v>6</v>
      </c>
      <c r="B18" s="36">
        <v>2</v>
      </c>
      <c r="C18" s="32">
        <f t="shared" si="0"/>
        <v>4</v>
      </c>
      <c r="D18">
        <v>6</v>
      </c>
      <c r="E18" s="36">
        <v>2</v>
      </c>
      <c r="F18" s="32">
        <f t="shared" si="1"/>
        <v>4</v>
      </c>
      <c r="G18">
        <v>6</v>
      </c>
      <c r="H18" s="36">
        <v>1</v>
      </c>
      <c r="I18" s="32">
        <f t="shared" si="2"/>
        <v>5</v>
      </c>
      <c r="J18">
        <v>8</v>
      </c>
      <c r="K18" s="36">
        <v>4</v>
      </c>
      <c r="L18" s="32">
        <f t="shared" si="3"/>
        <v>4</v>
      </c>
      <c r="M18">
        <v>6</v>
      </c>
      <c r="N18" s="36">
        <v>1</v>
      </c>
      <c r="O18" s="32">
        <f t="shared" si="4"/>
        <v>5</v>
      </c>
      <c r="P18">
        <v>7</v>
      </c>
      <c r="Q18" s="36">
        <v>1</v>
      </c>
      <c r="R18" s="32">
        <f t="shared" si="5"/>
        <v>6</v>
      </c>
      <c r="S18">
        <v>6</v>
      </c>
      <c r="T18" s="36">
        <v>1</v>
      </c>
      <c r="U18" s="32">
        <f t="shared" si="6"/>
        <v>5</v>
      </c>
      <c r="V18">
        <v>6</v>
      </c>
      <c r="W18" s="36">
        <v>3</v>
      </c>
      <c r="X18" s="32">
        <f t="shared" si="7"/>
        <v>3</v>
      </c>
      <c r="Y18">
        <v>7</v>
      </c>
      <c r="Z18" s="36">
        <v>3</v>
      </c>
      <c r="AA18" s="32">
        <f t="shared" si="8"/>
        <v>4</v>
      </c>
    </row>
    <row r="19" spans="1:27" x14ac:dyDescent="0.45">
      <c r="A19">
        <v>6</v>
      </c>
      <c r="B19" s="36">
        <v>2</v>
      </c>
      <c r="C19" s="32">
        <f t="shared" si="0"/>
        <v>4</v>
      </c>
      <c r="D19">
        <v>6</v>
      </c>
      <c r="E19" s="36">
        <v>2</v>
      </c>
      <c r="F19" s="32">
        <f t="shared" si="1"/>
        <v>4</v>
      </c>
      <c r="G19">
        <v>6</v>
      </c>
      <c r="H19" s="36">
        <v>1</v>
      </c>
      <c r="I19" s="32">
        <f t="shared" si="2"/>
        <v>5</v>
      </c>
      <c r="J19">
        <v>8</v>
      </c>
      <c r="K19" s="36">
        <v>4</v>
      </c>
      <c r="L19" s="32">
        <f t="shared" si="3"/>
        <v>4</v>
      </c>
      <c r="M19">
        <v>6</v>
      </c>
      <c r="N19" s="36">
        <v>1</v>
      </c>
      <c r="O19" s="32">
        <f t="shared" si="4"/>
        <v>5</v>
      </c>
      <c r="P19">
        <v>8</v>
      </c>
      <c r="Q19" s="36">
        <v>1</v>
      </c>
      <c r="R19" s="32">
        <f t="shared" si="5"/>
        <v>7</v>
      </c>
      <c r="S19">
        <v>6</v>
      </c>
      <c r="T19" s="36">
        <v>1</v>
      </c>
      <c r="U19" s="32">
        <f t="shared" si="6"/>
        <v>5</v>
      </c>
      <c r="V19">
        <v>6</v>
      </c>
      <c r="W19" s="36">
        <v>3</v>
      </c>
      <c r="X19" s="32">
        <f t="shared" si="7"/>
        <v>3</v>
      </c>
      <c r="Y19">
        <v>7</v>
      </c>
      <c r="Z19" s="36">
        <v>3</v>
      </c>
      <c r="AA19" s="32">
        <f t="shared" si="8"/>
        <v>4</v>
      </c>
    </row>
    <row r="20" spans="1:27" x14ac:dyDescent="0.45">
      <c r="A20">
        <v>6</v>
      </c>
      <c r="B20" s="36">
        <v>2</v>
      </c>
      <c r="C20" s="32">
        <f t="shared" si="0"/>
        <v>4</v>
      </c>
      <c r="D20">
        <v>6</v>
      </c>
      <c r="E20" s="36">
        <v>2</v>
      </c>
      <c r="F20" s="32">
        <f t="shared" si="1"/>
        <v>4</v>
      </c>
      <c r="G20">
        <v>6</v>
      </c>
      <c r="H20" s="36">
        <v>1</v>
      </c>
      <c r="I20" s="32">
        <f t="shared" si="2"/>
        <v>5</v>
      </c>
      <c r="J20">
        <v>8</v>
      </c>
      <c r="K20" s="36">
        <v>4</v>
      </c>
      <c r="L20" s="32">
        <f t="shared" si="3"/>
        <v>4</v>
      </c>
      <c r="M20">
        <v>6</v>
      </c>
      <c r="N20" s="36">
        <v>2</v>
      </c>
      <c r="O20" s="32">
        <f t="shared" si="4"/>
        <v>4</v>
      </c>
      <c r="P20">
        <v>8</v>
      </c>
      <c r="Q20" s="36">
        <v>1</v>
      </c>
      <c r="R20" s="32">
        <f t="shared" si="5"/>
        <v>7</v>
      </c>
      <c r="S20">
        <v>6</v>
      </c>
      <c r="T20" s="36">
        <v>1</v>
      </c>
      <c r="U20" s="32">
        <f t="shared" si="6"/>
        <v>5</v>
      </c>
      <c r="V20">
        <v>6</v>
      </c>
      <c r="W20" s="36">
        <v>3</v>
      </c>
      <c r="X20" s="32">
        <f t="shared" si="7"/>
        <v>3</v>
      </c>
      <c r="Y20">
        <v>7</v>
      </c>
      <c r="Z20" s="36">
        <v>3</v>
      </c>
      <c r="AA20" s="32">
        <f t="shared" si="8"/>
        <v>4</v>
      </c>
    </row>
    <row r="21" spans="1:27" x14ac:dyDescent="0.45">
      <c r="A21">
        <v>6</v>
      </c>
      <c r="B21" s="36">
        <v>2</v>
      </c>
      <c r="C21" s="32">
        <f t="shared" si="0"/>
        <v>4</v>
      </c>
      <c r="D21">
        <v>6</v>
      </c>
      <c r="E21" s="36">
        <v>3</v>
      </c>
      <c r="F21" s="32">
        <f t="shared" si="1"/>
        <v>3</v>
      </c>
      <c r="G21">
        <v>6</v>
      </c>
      <c r="H21" s="36">
        <v>1</v>
      </c>
      <c r="I21" s="32">
        <f t="shared" si="2"/>
        <v>5</v>
      </c>
      <c r="J21">
        <v>8</v>
      </c>
      <c r="K21" s="36">
        <v>4</v>
      </c>
      <c r="L21" s="32">
        <f t="shared" si="3"/>
        <v>4</v>
      </c>
      <c r="M21">
        <v>6</v>
      </c>
      <c r="N21" s="36">
        <v>2</v>
      </c>
      <c r="O21" s="32">
        <f t="shared" si="4"/>
        <v>4</v>
      </c>
      <c r="P21">
        <v>8</v>
      </c>
      <c r="Q21" s="36">
        <v>1</v>
      </c>
      <c r="R21" s="32">
        <f t="shared" si="5"/>
        <v>7</v>
      </c>
      <c r="S21">
        <v>6</v>
      </c>
      <c r="T21" s="36">
        <v>1</v>
      </c>
      <c r="U21" s="32">
        <f t="shared" si="6"/>
        <v>5</v>
      </c>
      <c r="V21">
        <v>6</v>
      </c>
      <c r="W21" s="36">
        <v>3</v>
      </c>
      <c r="X21" s="32">
        <f t="shared" si="7"/>
        <v>3</v>
      </c>
      <c r="Y21">
        <v>7</v>
      </c>
      <c r="Z21" s="36">
        <v>3</v>
      </c>
      <c r="AA21" s="32">
        <f t="shared" si="8"/>
        <v>4</v>
      </c>
    </row>
    <row r="22" spans="1:27" x14ac:dyDescent="0.45">
      <c r="A22">
        <v>6</v>
      </c>
      <c r="B22" s="36">
        <v>3</v>
      </c>
      <c r="C22" s="32">
        <f t="shared" si="0"/>
        <v>3</v>
      </c>
      <c r="D22">
        <v>6</v>
      </c>
      <c r="E22" s="36">
        <v>3</v>
      </c>
      <c r="F22" s="32">
        <f t="shared" si="1"/>
        <v>3</v>
      </c>
      <c r="G22">
        <v>6</v>
      </c>
      <c r="H22" s="36">
        <v>1</v>
      </c>
      <c r="I22" s="32">
        <f t="shared" si="2"/>
        <v>5</v>
      </c>
      <c r="J22">
        <v>8</v>
      </c>
      <c r="K22" s="36">
        <v>4</v>
      </c>
      <c r="L22" s="32">
        <f t="shared" si="3"/>
        <v>4</v>
      </c>
      <c r="M22">
        <v>6</v>
      </c>
      <c r="N22" s="36">
        <v>2</v>
      </c>
      <c r="O22" s="32">
        <f t="shared" si="4"/>
        <v>4</v>
      </c>
      <c r="P22">
        <v>8</v>
      </c>
      <c r="Q22" s="36">
        <v>1</v>
      </c>
      <c r="R22" s="32">
        <f t="shared" si="5"/>
        <v>7</v>
      </c>
      <c r="S22">
        <v>6</v>
      </c>
      <c r="T22" s="36">
        <v>1</v>
      </c>
      <c r="U22" s="32">
        <f t="shared" si="6"/>
        <v>5</v>
      </c>
      <c r="V22">
        <v>6</v>
      </c>
      <c r="W22" s="36">
        <v>3</v>
      </c>
      <c r="X22" s="32">
        <f t="shared" si="7"/>
        <v>3</v>
      </c>
      <c r="Y22">
        <v>7</v>
      </c>
      <c r="Z22" s="36">
        <v>3</v>
      </c>
      <c r="AA22" s="32">
        <f t="shared" si="8"/>
        <v>4</v>
      </c>
    </row>
    <row r="23" spans="1:27" x14ac:dyDescent="0.45">
      <c r="A23">
        <v>6</v>
      </c>
      <c r="B23" s="36">
        <v>3</v>
      </c>
      <c r="C23" s="32">
        <f t="shared" si="0"/>
        <v>3</v>
      </c>
      <c r="D23">
        <v>6</v>
      </c>
      <c r="E23" s="36">
        <v>3</v>
      </c>
      <c r="F23" s="32">
        <f t="shared" si="1"/>
        <v>3</v>
      </c>
      <c r="G23">
        <v>6</v>
      </c>
      <c r="H23" s="36">
        <v>1</v>
      </c>
      <c r="I23" s="32">
        <f t="shared" si="2"/>
        <v>5</v>
      </c>
      <c r="J23">
        <v>8</v>
      </c>
      <c r="K23" s="36">
        <v>5</v>
      </c>
      <c r="L23" s="32">
        <f t="shared" si="3"/>
        <v>3</v>
      </c>
      <c r="M23">
        <v>6</v>
      </c>
      <c r="N23" s="36">
        <v>2</v>
      </c>
      <c r="O23" s="32">
        <f t="shared" si="4"/>
        <v>4</v>
      </c>
      <c r="P23">
        <v>8</v>
      </c>
      <c r="Q23" s="36">
        <v>1</v>
      </c>
      <c r="R23" s="32">
        <f t="shared" si="5"/>
        <v>7</v>
      </c>
      <c r="S23">
        <v>6</v>
      </c>
      <c r="T23" s="36">
        <v>1</v>
      </c>
      <c r="U23" s="32">
        <f t="shared" si="6"/>
        <v>5</v>
      </c>
      <c r="V23">
        <v>6</v>
      </c>
      <c r="W23" s="36">
        <v>3</v>
      </c>
      <c r="X23" s="32">
        <f t="shared" si="7"/>
        <v>3</v>
      </c>
      <c r="Y23">
        <v>8</v>
      </c>
      <c r="Z23" s="36">
        <v>3</v>
      </c>
      <c r="AA23" s="32">
        <f t="shared" si="8"/>
        <v>5</v>
      </c>
    </row>
    <row r="24" spans="1:27" x14ac:dyDescent="0.45">
      <c r="A24">
        <v>6</v>
      </c>
      <c r="B24" s="36">
        <v>3</v>
      </c>
      <c r="C24" s="32">
        <f t="shared" si="0"/>
        <v>3</v>
      </c>
      <c r="D24">
        <v>6</v>
      </c>
      <c r="E24" s="36">
        <v>3</v>
      </c>
      <c r="F24" s="32">
        <f t="shared" si="1"/>
        <v>3</v>
      </c>
      <c r="G24">
        <v>6</v>
      </c>
      <c r="H24" s="36">
        <v>1</v>
      </c>
      <c r="I24" s="32">
        <f t="shared" si="2"/>
        <v>5</v>
      </c>
      <c r="J24">
        <v>8</v>
      </c>
      <c r="K24" s="36">
        <v>5</v>
      </c>
      <c r="L24" s="32">
        <f t="shared" si="3"/>
        <v>3</v>
      </c>
      <c r="M24">
        <v>6</v>
      </c>
      <c r="N24" s="36">
        <v>2</v>
      </c>
      <c r="O24" s="32">
        <f t="shared" si="4"/>
        <v>4</v>
      </c>
      <c r="P24">
        <v>8</v>
      </c>
      <c r="Q24" s="36">
        <v>1</v>
      </c>
      <c r="R24" s="32">
        <f t="shared" si="5"/>
        <v>7</v>
      </c>
      <c r="S24">
        <v>6</v>
      </c>
      <c r="T24" s="36">
        <v>1</v>
      </c>
      <c r="U24" s="32">
        <f t="shared" si="6"/>
        <v>5</v>
      </c>
      <c r="V24">
        <v>6</v>
      </c>
      <c r="W24" s="36">
        <v>3</v>
      </c>
      <c r="X24" s="32">
        <f t="shared" si="7"/>
        <v>3</v>
      </c>
      <c r="Y24">
        <v>8</v>
      </c>
      <c r="Z24" s="36">
        <v>3</v>
      </c>
      <c r="AA24" s="32">
        <f t="shared" si="8"/>
        <v>5</v>
      </c>
    </row>
    <row r="25" spans="1:27" x14ac:dyDescent="0.45">
      <c r="A25">
        <v>6</v>
      </c>
      <c r="B25" s="36">
        <v>3</v>
      </c>
      <c r="C25" s="32">
        <f t="shared" si="0"/>
        <v>3</v>
      </c>
      <c r="D25">
        <v>6</v>
      </c>
      <c r="E25" s="36">
        <v>3</v>
      </c>
      <c r="F25" s="32">
        <f t="shared" si="1"/>
        <v>3</v>
      </c>
      <c r="G25">
        <v>6</v>
      </c>
      <c r="H25" s="36">
        <v>1</v>
      </c>
      <c r="I25" s="32">
        <f t="shared" si="2"/>
        <v>5</v>
      </c>
      <c r="J25">
        <v>8</v>
      </c>
      <c r="K25" s="36">
        <v>5</v>
      </c>
      <c r="L25" s="32">
        <f t="shared" si="3"/>
        <v>3</v>
      </c>
      <c r="M25">
        <v>6</v>
      </c>
      <c r="N25" s="36">
        <v>2</v>
      </c>
      <c r="O25" s="32">
        <f t="shared" si="4"/>
        <v>4</v>
      </c>
      <c r="P25">
        <v>8</v>
      </c>
      <c r="Q25" s="36">
        <v>2</v>
      </c>
      <c r="R25" s="32">
        <f t="shared" si="5"/>
        <v>6</v>
      </c>
      <c r="S25">
        <v>6</v>
      </c>
      <c r="T25" s="36">
        <v>1</v>
      </c>
      <c r="U25" s="32">
        <f t="shared" si="6"/>
        <v>5</v>
      </c>
      <c r="V25">
        <v>6</v>
      </c>
      <c r="W25" s="36">
        <v>3</v>
      </c>
      <c r="X25" s="32">
        <f t="shared" si="7"/>
        <v>3</v>
      </c>
      <c r="Y25">
        <v>8</v>
      </c>
      <c r="Z25" s="36">
        <v>4</v>
      </c>
      <c r="AA25" s="32">
        <f t="shared" si="8"/>
        <v>4</v>
      </c>
    </row>
    <row r="26" spans="1:27" x14ac:dyDescent="0.45">
      <c r="A26">
        <v>6</v>
      </c>
      <c r="B26">
        <v>3</v>
      </c>
      <c r="C26" s="32">
        <f t="shared" si="0"/>
        <v>3</v>
      </c>
      <c r="D26">
        <v>6</v>
      </c>
      <c r="E26" s="36">
        <v>3</v>
      </c>
      <c r="F26" s="32">
        <f t="shared" si="1"/>
        <v>3</v>
      </c>
      <c r="G26">
        <v>6</v>
      </c>
      <c r="H26" s="36">
        <v>1</v>
      </c>
      <c r="I26" s="32">
        <f t="shared" si="2"/>
        <v>5</v>
      </c>
      <c r="J26">
        <v>8</v>
      </c>
      <c r="K26" s="36">
        <v>5</v>
      </c>
      <c r="L26" s="32">
        <f t="shared" si="3"/>
        <v>3</v>
      </c>
      <c r="M26">
        <v>6</v>
      </c>
      <c r="N26" s="36">
        <v>3</v>
      </c>
      <c r="O26" s="32">
        <f t="shared" si="4"/>
        <v>3</v>
      </c>
      <c r="P26">
        <v>8</v>
      </c>
      <c r="Q26" s="36">
        <v>2</v>
      </c>
      <c r="R26" s="32">
        <f t="shared" si="5"/>
        <v>6</v>
      </c>
      <c r="S26">
        <v>6</v>
      </c>
      <c r="T26" s="36">
        <v>1</v>
      </c>
      <c r="U26" s="32">
        <f t="shared" si="6"/>
        <v>5</v>
      </c>
      <c r="V26">
        <v>6</v>
      </c>
      <c r="W26" s="36">
        <v>3</v>
      </c>
      <c r="X26" s="32">
        <f t="shared" si="7"/>
        <v>3</v>
      </c>
      <c r="Y26">
        <v>8</v>
      </c>
      <c r="Z26" s="36">
        <v>4</v>
      </c>
      <c r="AA26" s="32">
        <f t="shared" si="8"/>
        <v>4</v>
      </c>
    </row>
    <row r="27" spans="1:27" x14ac:dyDescent="0.45">
      <c r="A27">
        <v>6</v>
      </c>
      <c r="B27">
        <v>3</v>
      </c>
      <c r="C27" s="32">
        <f t="shared" si="0"/>
        <v>3</v>
      </c>
      <c r="D27">
        <v>6</v>
      </c>
      <c r="E27">
        <v>3</v>
      </c>
      <c r="F27" s="32">
        <f t="shared" si="1"/>
        <v>3</v>
      </c>
      <c r="G27">
        <v>6</v>
      </c>
      <c r="H27">
        <v>1</v>
      </c>
      <c r="I27" s="32">
        <f t="shared" si="2"/>
        <v>5</v>
      </c>
      <c r="J27">
        <v>8</v>
      </c>
      <c r="K27">
        <v>5</v>
      </c>
      <c r="L27" s="32">
        <f t="shared" si="3"/>
        <v>3</v>
      </c>
      <c r="M27">
        <v>6</v>
      </c>
      <c r="N27">
        <v>3</v>
      </c>
      <c r="O27" s="32">
        <f t="shared" si="4"/>
        <v>3</v>
      </c>
      <c r="P27">
        <v>8</v>
      </c>
      <c r="Q27">
        <v>2</v>
      </c>
      <c r="R27" s="32">
        <f t="shared" si="5"/>
        <v>6</v>
      </c>
      <c r="S27">
        <v>6</v>
      </c>
      <c r="T27">
        <v>1</v>
      </c>
      <c r="U27" s="32">
        <f t="shared" si="6"/>
        <v>5</v>
      </c>
      <c r="V27">
        <v>6</v>
      </c>
      <c r="W27">
        <v>3</v>
      </c>
      <c r="X27" s="32">
        <f t="shared" si="7"/>
        <v>3</v>
      </c>
      <c r="Y27">
        <v>8</v>
      </c>
      <c r="Z27">
        <v>4</v>
      </c>
      <c r="AA27" s="32">
        <f t="shared" si="8"/>
        <v>4</v>
      </c>
    </row>
    <row r="28" spans="1:27" x14ac:dyDescent="0.45">
      <c r="A28">
        <v>6</v>
      </c>
      <c r="B28">
        <v>3</v>
      </c>
      <c r="C28" s="32">
        <f t="shared" si="0"/>
        <v>3</v>
      </c>
      <c r="D28">
        <v>6</v>
      </c>
      <c r="E28">
        <v>3</v>
      </c>
      <c r="F28" s="32">
        <f t="shared" si="1"/>
        <v>3</v>
      </c>
      <c r="G28">
        <v>6</v>
      </c>
      <c r="H28">
        <v>1</v>
      </c>
      <c r="I28" s="32">
        <f t="shared" si="2"/>
        <v>5</v>
      </c>
      <c r="J28">
        <v>8</v>
      </c>
      <c r="K28">
        <v>5</v>
      </c>
      <c r="L28" s="32">
        <f t="shared" si="3"/>
        <v>3</v>
      </c>
      <c r="M28">
        <v>6</v>
      </c>
      <c r="N28">
        <v>3</v>
      </c>
      <c r="O28" s="32">
        <f t="shared" si="4"/>
        <v>3</v>
      </c>
      <c r="P28">
        <v>8</v>
      </c>
      <c r="Q28">
        <v>2</v>
      </c>
      <c r="R28" s="32">
        <f t="shared" si="5"/>
        <v>6</v>
      </c>
      <c r="S28">
        <v>6</v>
      </c>
      <c r="T28">
        <v>1</v>
      </c>
      <c r="U28" s="32">
        <f t="shared" si="6"/>
        <v>5</v>
      </c>
      <c r="V28">
        <v>6</v>
      </c>
      <c r="W28">
        <v>3</v>
      </c>
      <c r="X28" s="32">
        <f t="shared" si="7"/>
        <v>3</v>
      </c>
      <c r="Y28">
        <v>8</v>
      </c>
      <c r="Z28">
        <v>4</v>
      </c>
      <c r="AA28" s="32">
        <f t="shared" si="8"/>
        <v>4</v>
      </c>
    </row>
    <row r="29" spans="1:27" x14ac:dyDescent="0.45">
      <c r="A29">
        <v>6</v>
      </c>
      <c r="B29">
        <v>3</v>
      </c>
      <c r="C29" s="32">
        <f t="shared" si="0"/>
        <v>3</v>
      </c>
      <c r="D29">
        <v>6</v>
      </c>
      <c r="E29">
        <v>3</v>
      </c>
      <c r="F29" s="32">
        <f t="shared" si="1"/>
        <v>3</v>
      </c>
      <c r="G29">
        <v>6</v>
      </c>
      <c r="H29">
        <v>1</v>
      </c>
      <c r="I29" s="32">
        <f t="shared" si="2"/>
        <v>5</v>
      </c>
      <c r="J29">
        <v>8</v>
      </c>
      <c r="K29">
        <v>5</v>
      </c>
      <c r="L29" s="32">
        <f t="shared" si="3"/>
        <v>3</v>
      </c>
      <c r="M29">
        <v>6</v>
      </c>
      <c r="N29">
        <v>3</v>
      </c>
      <c r="O29" s="32">
        <f t="shared" si="4"/>
        <v>3</v>
      </c>
      <c r="P29">
        <v>8</v>
      </c>
      <c r="Q29">
        <v>2</v>
      </c>
      <c r="R29" s="32">
        <f t="shared" si="5"/>
        <v>6</v>
      </c>
      <c r="S29">
        <v>6</v>
      </c>
      <c r="T29">
        <v>1</v>
      </c>
      <c r="U29" s="32">
        <f t="shared" si="6"/>
        <v>5</v>
      </c>
      <c r="V29">
        <v>6</v>
      </c>
      <c r="W29">
        <v>3</v>
      </c>
      <c r="X29" s="32">
        <f t="shared" si="7"/>
        <v>3</v>
      </c>
      <c r="Y29">
        <v>8</v>
      </c>
      <c r="Z29">
        <v>4</v>
      </c>
      <c r="AA29" s="32">
        <f t="shared" si="8"/>
        <v>4</v>
      </c>
    </row>
    <row r="30" spans="1:27" x14ac:dyDescent="0.45">
      <c r="A30">
        <v>6</v>
      </c>
      <c r="B30">
        <v>4</v>
      </c>
      <c r="C30" s="32">
        <f t="shared" si="0"/>
        <v>2</v>
      </c>
      <c r="D30">
        <v>6</v>
      </c>
      <c r="E30">
        <v>3</v>
      </c>
      <c r="F30" s="32">
        <f t="shared" si="1"/>
        <v>3</v>
      </c>
      <c r="G30">
        <v>6</v>
      </c>
      <c r="H30">
        <v>1</v>
      </c>
      <c r="I30" s="32">
        <f t="shared" si="2"/>
        <v>5</v>
      </c>
      <c r="J30">
        <v>8</v>
      </c>
      <c r="K30">
        <v>5</v>
      </c>
      <c r="L30" s="32">
        <f t="shared" si="3"/>
        <v>3</v>
      </c>
      <c r="M30">
        <v>6</v>
      </c>
      <c r="N30">
        <v>3</v>
      </c>
      <c r="O30" s="32">
        <f t="shared" si="4"/>
        <v>3</v>
      </c>
      <c r="P30">
        <v>8</v>
      </c>
      <c r="Q30">
        <v>2</v>
      </c>
      <c r="R30" s="32">
        <f t="shared" si="5"/>
        <v>6</v>
      </c>
      <c r="S30">
        <v>6</v>
      </c>
      <c r="T30">
        <v>1</v>
      </c>
      <c r="U30" s="32">
        <f t="shared" si="6"/>
        <v>5</v>
      </c>
      <c r="V30">
        <v>6</v>
      </c>
      <c r="W30">
        <v>3</v>
      </c>
      <c r="X30" s="32">
        <f t="shared" si="7"/>
        <v>3</v>
      </c>
      <c r="Y30">
        <v>8</v>
      </c>
      <c r="Z30">
        <v>4</v>
      </c>
      <c r="AA30" s="32">
        <f t="shared" si="8"/>
        <v>4</v>
      </c>
    </row>
    <row r="31" spans="1:27" x14ac:dyDescent="0.45">
      <c r="A31">
        <v>6</v>
      </c>
      <c r="B31">
        <v>4</v>
      </c>
      <c r="C31" s="32">
        <f t="shared" si="0"/>
        <v>2</v>
      </c>
      <c r="D31">
        <v>6</v>
      </c>
      <c r="E31">
        <v>4</v>
      </c>
      <c r="F31" s="32">
        <f t="shared" si="1"/>
        <v>2</v>
      </c>
      <c r="G31">
        <v>6</v>
      </c>
      <c r="H31">
        <v>2</v>
      </c>
      <c r="I31" s="32">
        <f t="shared" si="2"/>
        <v>4</v>
      </c>
      <c r="J31">
        <v>8</v>
      </c>
      <c r="K31">
        <v>5</v>
      </c>
      <c r="L31" s="32">
        <f t="shared" si="3"/>
        <v>3</v>
      </c>
      <c r="M31">
        <v>6</v>
      </c>
      <c r="N31">
        <v>3</v>
      </c>
      <c r="O31" s="32">
        <f t="shared" si="4"/>
        <v>3</v>
      </c>
      <c r="P31">
        <v>8</v>
      </c>
      <c r="Q31">
        <v>2</v>
      </c>
      <c r="R31" s="32">
        <f t="shared" si="5"/>
        <v>6</v>
      </c>
      <c r="S31">
        <v>6</v>
      </c>
      <c r="T31">
        <v>1</v>
      </c>
      <c r="U31" s="32">
        <f t="shared" si="6"/>
        <v>5</v>
      </c>
      <c r="V31">
        <v>6</v>
      </c>
      <c r="W31">
        <v>3</v>
      </c>
      <c r="X31" s="32">
        <f t="shared" si="7"/>
        <v>3</v>
      </c>
      <c r="Y31">
        <v>8</v>
      </c>
      <c r="Z31">
        <v>4</v>
      </c>
      <c r="AA31" s="32">
        <f t="shared" si="8"/>
        <v>4</v>
      </c>
    </row>
    <row r="32" spans="1:27" x14ac:dyDescent="0.45">
      <c r="A32">
        <v>6</v>
      </c>
      <c r="B32">
        <v>4</v>
      </c>
      <c r="C32" s="32">
        <f t="shared" si="0"/>
        <v>2</v>
      </c>
      <c r="D32">
        <v>6</v>
      </c>
      <c r="E32">
        <v>4</v>
      </c>
      <c r="F32" s="32">
        <f t="shared" si="1"/>
        <v>2</v>
      </c>
      <c r="G32">
        <v>6</v>
      </c>
      <c r="H32">
        <v>2</v>
      </c>
      <c r="I32" s="32">
        <f t="shared" si="2"/>
        <v>4</v>
      </c>
      <c r="J32">
        <v>8</v>
      </c>
      <c r="K32">
        <v>5</v>
      </c>
      <c r="L32" s="32">
        <f t="shared" si="3"/>
        <v>3</v>
      </c>
      <c r="M32">
        <v>6</v>
      </c>
      <c r="N32">
        <v>3</v>
      </c>
      <c r="O32" s="32">
        <f t="shared" si="4"/>
        <v>3</v>
      </c>
      <c r="P32">
        <v>8</v>
      </c>
      <c r="Q32">
        <v>2</v>
      </c>
      <c r="R32" s="32">
        <f t="shared" si="5"/>
        <v>6</v>
      </c>
      <c r="S32">
        <v>7</v>
      </c>
      <c r="T32">
        <v>1</v>
      </c>
      <c r="U32" s="32">
        <f t="shared" si="6"/>
        <v>6</v>
      </c>
      <c r="V32">
        <v>6</v>
      </c>
      <c r="W32">
        <v>3</v>
      </c>
      <c r="X32" s="32">
        <f t="shared" si="7"/>
        <v>3</v>
      </c>
      <c r="Y32">
        <v>8</v>
      </c>
      <c r="Z32">
        <v>4</v>
      </c>
      <c r="AA32" s="32">
        <f t="shared" si="8"/>
        <v>4</v>
      </c>
    </row>
    <row r="33" spans="1:27" x14ac:dyDescent="0.45">
      <c r="A33">
        <v>6</v>
      </c>
      <c r="B33">
        <v>4</v>
      </c>
      <c r="C33" s="32">
        <f t="shared" si="0"/>
        <v>2</v>
      </c>
      <c r="D33">
        <v>6</v>
      </c>
      <c r="E33">
        <v>4</v>
      </c>
      <c r="F33" s="32">
        <f t="shared" si="1"/>
        <v>2</v>
      </c>
      <c r="G33">
        <v>6</v>
      </c>
      <c r="H33">
        <v>2</v>
      </c>
      <c r="I33" s="32">
        <f t="shared" si="2"/>
        <v>4</v>
      </c>
      <c r="J33">
        <v>8</v>
      </c>
      <c r="K33">
        <v>5</v>
      </c>
      <c r="L33" s="32">
        <f t="shared" si="3"/>
        <v>3</v>
      </c>
      <c r="M33">
        <v>6</v>
      </c>
      <c r="N33">
        <v>3</v>
      </c>
      <c r="O33" s="32">
        <f t="shared" si="4"/>
        <v>3</v>
      </c>
      <c r="P33">
        <v>8</v>
      </c>
      <c r="Q33">
        <v>3</v>
      </c>
      <c r="R33" s="32">
        <f t="shared" si="5"/>
        <v>5</v>
      </c>
      <c r="S33">
        <v>7</v>
      </c>
      <c r="T33">
        <v>1</v>
      </c>
      <c r="U33" s="32">
        <f t="shared" si="6"/>
        <v>6</v>
      </c>
      <c r="V33">
        <v>6</v>
      </c>
      <c r="W33">
        <v>4</v>
      </c>
      <c r="X33" s="32">
        <f t="shared" si="7"/>
        <v>2</v>
      </c>
      <c r="Y33">
        <v>8</v>
      </c>
      <c r="Z33">
        <v>4</v>
      </c>
      <c r="AA33" s="32">
        <f t="shared" si="8"/>
        <v>4</v>
      </c>
    </row>
    <row r="34" spans="1:27" x14ac:dyDescent="0.45">
      <c r="A34">
        <v>6</v>
      </c>
      <c r="B34">
        <v>4</v>
      </c>
      <c r="C34" s="32">
        <f t="shared" si="0"/>
        <v>2</v>
      </c>
      <c r="D34">
        <v>6</v>
      </c>
      <c r="E34">
        <v>4</v>
      </c>
      <c r="F34" s="32">
        <f t="shared" si="1"/>
        <v>2</v>
      </c>
      <c r="G34">
        <v>6</v>
      </c>
      <c r="H34">
        <v>2</v>
      </c>
      <c r="I34" s="32">
        <f t="shared" si="2"/>
        <v>4</v>
      </c>
      <c r="J34">
        <v>8</v>
      </c>
      <c r="K34">
        <v>5</v>
      </c>
      <c r="L34" s="32">
        <f t="shared" si="3"/>
        <v>3</v>
      </c>
      <c r="M34">
        <v>6</v>
      </c>
      <c r="N34">
        <v>3</v>
      </c>
      <c r="O34" s="32">
        <f t="shared" si="4"/>
        <v>3</v>
      </c>
      <c r="P34">
        <v>8</v>
      </c>
      <c r="Q34">
        <v>3</v>
      </c>
      <c r="R34" s="32">
        <f t="shared" si="5"/>
        <v>5</v>
      </c>
      <c r="S34">
        <v>7</v>
      </c>
      <c r="T34">
        <v>1</v>
      </c>
      <c r="U34" s="32">
        <f t="shared" si="6"/>
        <v>6</v>
      </c>
      <c r="V34">
        <v>6</v>
      </c>
      <c r="W34">
        <v>4</v>
      </c>
      <c r="X34" s="32">
        <f t="shared" si="7"/>
        <v>2</v>
      </c>
      <c r="Y34">
        <v>8</v>
      </c>
      <c r="Z34">
        <v>4</v>
      </c>
      <c r="AA34" s="32">
        <f t="shared" si="8"/>
        <v>4</v>
      </c>
    </row>
    <row r="35" spans="1:27" x14ac:dyDescent="0.45">
      <c r="A35">
        <v>6</v>
      </c>
      <c r="B35">
        <v>4</v>
      </c>
      <c r="C35" s="32">
        <f t="shared" si="0"/>
        <v>2</v>
      </c>
      <c r="D35">
        <v>6</v>
      </c>
      <c r="E35">
        <v>4</v>
      </c>
      <c r="F35" s="32">
        <f t="shared" si="1"/>
        <v>2</v>
      </c>
      <c r="G35">
        <v>6</v>
      </c>
      <c r="H35">
        <v>2</v>
      </c>
      <c r="I35" s="32">
        <f t="shared" si="2"/>
        <v>4</v>
      </c>
      <c r="J35">
        <v>8</v>
      </c>
      <c r="K35">
        <v>5</v>
      </c>
      <c r="L35" s="32">
        <f t="shared" si="3"/>
        <v>3</v>
      </c>
      <c r="M35">
        <v>6</v>
      </c>
      <c r="N35">
        <v>3</v>
      </c>
      <c r="O35" s="32">
        <f t="shared" si="4"/>
        <v>3</v>
      </c>
      <c r="P35">
        <v>8</v>
      </c>
      <c r="Q35">
        <v>3</v>
      </c>
      <c r="R35" s="32">
        <f t="shared" si="5"/>
        <v>5</v>
      </c>
      <c r="S35">
        <v>7</v>
      </c>
      <c r="T35">
        <v>1</v>
      </c>
      <c r="U35" s="32">
        <f t="shared" si="6"/>
        <v>6</v>
      </c>
      <c r="V35">
        <v>6</v>
      </c>
      <c r="W35">
        <v>4</v>
      </c>
      <c r="X35" s="32">
        <f t="shared" si="7"/>
        <v>2</v>
      </c>
      <c r="Y35">
        <v>8</v>
      </c>
      <c r="Z35">
        <v>4</v>
      </c>
      <c r="AA35" s="32">
        <f t="shared" si="8"/>
        <v>4</v>
      </c>
    </row>
    <row r="36" spans="1:27" x14ac:dyDescent="0.45">
      <c r="A36">
        <v>6</v>
      </c>
      <c r="B36">
        <v>4</v>
      </c>
      <c r="C36" s="32">
        <f t="shared" si="0"/>
        <v>2</v>
      </c>
      <c r="D36">
        <v>6</v>
      </c>
      <c r="E36">
        <v>4</v>
      </c>
      <c r="F36" s="32">
        <f t="shared" si="1"/>
        <v>2</v>
      </c>
      <c r="G36">
        <v>7</v>
      </c>
      <c r="H36">
        <v>2</v>
      </c>
      <c r="I36" s="32">
        <f t="shared" si="2"/>
        <v>5</v>
      </c>
      <c r="J36">
        <v>8</v>
      </c>
      <c r="K36">
        <v>5</v>
      </c>
      <c r="L36" s="32">
        <f t="shared" si="3"/>
        <v>3</v>
      </c>
      <c r="M36">
        <v>6</v>
      </c>
      <c r="N36">
        <v>3</v>
      </c>
      <c r="O36" s="32">
        <f t="shared" si="4"/>
        <v>3</v>
      </c>
      <c r="P36">
        <v>8</v>
      </c>
      <c r="Q36">
        <v>3</v>
      </c>
      <c r="R36" s="32">
        <f t="shared" si="5"/>
        <v>5</v>
      </c>
      <c r="S36">
        <v>7</v>
      </c>
      <c r="T36">
        <v>1</v>
      </c>
      <c r="U36" s="32">
        <f t="shared" si="6"/>
        <v>6</v>
      </c>
      <c r="V36">
        <v>6</v>
      </c>
      <c r="W36">
        <v>4</v>
      </c>
      <c r="X36" s="32">
        <f t="shared" si="7"/>
        <v>2</v>
      </c>
      <c r="Y36">
        <v>8</v>
      </c>
      <c r="Z36">
        <v>4</v>
      </c>
      <c r="AA36" s="32">
        <f t="shared" si="8"/>
        <v>4</v>
      </c>
    </row>
    <row r="37" spans="1:27" x14ac:dyDescent="0.45">
      <c r="A37">
        <v>6</v>
      </c>
      <c r="B37">
        <v>4</v>
      </c>
      <c r="C37" s="32">
        <f t="shared" si="0"/>
        <v>2</v>
      </c>
      <c r="D37">
        <v>6</v>
      </c>
      <c r="E37">
        <v>4</v>
      </c>
      <c r="F37" s="32">
        <f t="shared" si="1"/>
        <v>2</v>
      </c>
      <c r="G37">
        <v>7</v>
      </c>
      <c r="H37">
        <v>2</v>
      </c>
      <c r="I37" s="32">
        <f t="shared" si="2"/>
        <v>5</v>
      </c>
      <c r="J37">
        <v>8</v>
      </c>
      <c r="K37">
        <v>5</v>
      </c>
      <c r="L37" s="32">
        <f t="shared" si="3"/>
        <v>3</v>
      </c>
      <c r="M37">
        <v>6</v>
      </c>
      <c r="N37">
        <v>3</v>
      </c>
      <c r="O37" s="32">
        <f t="shared" si="4"/>
        <v>3</v>
      </c>
      <c r="P37">
        <v>8</v>
      </c>
      <c r="Q37">
        <v>3</v>
      </c>
      <c r="R37" s="32">
        <f t="shared" si="5"/>
        <v>5</v>
      </c>
      <c r="S37">
        <v>7</v>
      </c>
      <c r="T37">
        <v>2</v>
      </c>
      <c r="U37" s="32">
        <f t="shared" si="6"/>
        <v>5</v>
      </c>
      <c r="V37">
        <v>6</v>
      </c>
      <c r="W37">
        <v>4</v>
      </c>
      <c r="X37" s="32">
        <f t="shared" si="7"/>
        <v>2</v>
      </c>
      <c r="Y37">
        <v>8</v>
      </c>
      <c r="Z37">
        <v>5</v>
      </c>
      <c r="AA37" s="32">
        <f t="shared" si="8"/>
        <v>3</v>
      </c>
    </row>
    <row r="38" spans="1:27" x14ac:dyDescent="0.45">
      <c r="A38">
        <v>6</v>
      </c>
      <c r="B38">
        <v>4</v>
      </c>
      <c r="C38" s="32">
        <f t="shared" si="0"/>
        <v>2</v>
      </c>
      <c r="D38">
        <v>6</v>
      </c>
      <c r="E38">
        <v>4</v>
      </c>
      <c r="F38" s="32">
        <f t="shared" si="1"/>
        <v>2</v>
      </c>
      <c r="G38">
        <v>7</v>
      </c>
      <c r="H38">
        <v>2</v>
      </c>
      <c r="I38" s="32">
        <f t="shared" si="2"/>
        <v>5</v>
      </c>
      <c r="J38">
        <v>8</v>
      </c>
      <c r="K38">
        <v>5</v>
      </c>
      <c r="L38" s="32">
        <f t="shared" si="3"/>
        <v>3</v>
      </c>
      <c r="M38">
        <v>6</v>
      </c>
      <c r="N38">
        <v>3</v>
      </c>
      <c r="O38" s="32">
        <f t="shared" si="4"/>
        <v>3</v>
      </c>
      <c r="P38">
        <v>8</v>
      </c>
      <c r="Q38">
        <v>3</v>
      </c>
      <c r="R38" s="32">
        <f t="shared" si="5"/>
        <v>5</v>
      </c>
      <c r="S38">
        <v>7</v>
      </c>
      <c r="T38">
        <v>2</v>
      </c>
      <c r="U38" s="32">
        <f t="shared" si="6"/>
        <v>5</v>
      </c>
      <c r="V38">
        <v>6</v>
      </c>
      <c r="W38">
        <v>4</v>
      </c>
      <c r="X38" s="32">
        <f t="shared" si="7"/>
        <v>2</v>
      </c>
      <c r="Y38">
        <v>8</v>
      </c>
      <c r="Z38">
        <v>5</v>
      </c>
      <c r="AA38" s="32">
        <f t="shared" si="8"/>
        <v>3</v>
      </c>
    </row>
    <row r="39" spans="1:27" x14ac:dyDescent="0.45">
      <c r="A39">
        <v>6</v>
      </c>
      <c r="B39">
        <v>4</v>
      </c>
      <c r="C39" s="32">
        <f t="shared" si="0"/>
        <v>2</v>
      </c>
      <c r="D39">
        <v>6</v>
      </c>
      <c r="E39">
        <v>4</v>
      </c>
      <c r="F39" s="32">
        <f t="shared" si="1"/>
        <v>2</v>
      </c>
      <c r="G39">
        <v>7</v>
      </c>
      <c r="H39">
        <v>2</v>
      </c>
      <c r="I39" s="32">
        <f t="shared" si="2"/>
        <v>5</v>
      </c>
      <c r="J39">
        <v>8</v>
      </c>
      <c r="K39">
        <v>5</v>
      </c>
      <c r="L39" s="32">
        <f t="shared" si="3"/>
        <v>3</v>
      </c>
      <c r="M39">
        <v>6</v>
      </c>
      <c r="N39">
        <v>3</v>
      </c>
      <c r="O39" s="32">
        <f t="shared" si="4"/>
        <v>3</v>
      </c>
      <c r="P39">
        <v>8</v>
      </c>
      <c r="Q39">
        <v>3</v>
      </c>
      <c r="R39" s="32">
        <f t="shared" si="5"/>
        <v>5</v>
      </c>
      <c r="S39">
        <v>7</v>
      </c>
      <c r="T39">
        <v>2</v>
      </c>
      <c r="U39" s="32">
        <f t="shared" si="6"/>
        <v>5</v>
      </c>
      <c r="V39">
        <v>6</v>
      </c>
      <c r="W39">
        <v>4</v>
      </c>
      <c r="X39" s="32">
        <f t="shared" si="7"/>
        <v>2</v>
      </c>
      <c r="Y39">
        <v>8</v>
      </c>
      <c r="Z39">
        <v>5</v>
      </c>
      <c r="AA39" s="32">
        <f t="shared" si="8"/>
        <v>3</v>
      </c>
    </row>
    <row r="40" spans="1:27" x14ac:dyDescent="0.45">
      <c r="A40">
        <v>6</v>
      </c>
      <c r="B40">
        <v>4</v>
      </c>
      <c r="C40" s="32">
        <f t="shared" si="0"/>
        <v>2</v>
      </c>
      <c r="D40">
        <v>6</v>
      </c>
      <c r="E40">
        <v>4</v>
      </c>
      <c r="F40" s="32">
        <f t="shared" si="1"/>
        <v>2</v>
      </c>
      <c r="G40">
        <v>7</v>
      </c>
      <c r="H40">
        <v>2</v>
      </c>
      <c r="I40" s="32">
        <f t="shared" si="2"/>
        <v>5</v>
      </c>
      <c r="J40">
        <v>8</v>
      </c>
      <c r="K40">
        <v>5</v>
      </c>
      <c r="L40" s="32">
        <f t="shared" si="3"/>
        <v>3</v>
      </c>
      <c r="M40">
        <v>6</v>
      </c>
      <c r="N40">
        <v>3</v>
      </c>
      <c r="O40" s="32">
        <f t="shared" si="4"/>
        <v>3</v>
      </c>
      <c r="P40">
        <v>8</v>
      </c>
      <c r="Q40">
        <v>3</v>
      </c>
      <c r="R40" s="32">
        <f t="shared" si="5"/>
        <v>5</v>
      </c>
      <c r="S40">
        <v>7</v>
      </c>
      <c r="T40">
        <v>2</v>
      </c>
      <c r="U40" s="32">
        <f t="shared" si="6"/>
        <v>5</v>
      </c>
      <c r="V40">
        <v>6</v>
      </c>
      <c r="W40">
        <v>4</v>
      </c>
      <c r="X40" s="32">
        <f t="shared" si="7"/>
        <v>2</v>
      </c>
      <c r="Y40">
        <v>8</v>
      </c>
      <c r="Z40">
        <v>5</v>
      </c>
      <c r="AA40" s="32">
        <f t="shared" si="8"/>
        <v>3</v>
      </c>
    </row>
    <row r="41" spans="1:27" x14ac:dyDescent="0.45">
      <c r="A41">
        <v>6</v>
      </c>
      <c r="B41">
        <v>4</v>
      </c>
      <c r="C41" s="32">
        <f t="shared" si="0"/>
        <v>2</v>
      </c>
      <c r="D41">
        <v>6</v>
      </c>
      <c r="E41">
        <v>4</v>
      </c>
      <c r="F41" s="32">
        <f t="shared" si="1"/>
        <v>2</v>
      </c>
      <c r="G41">
        <v>7</v>
      </c>
      <c r="H41">
        <v>2</v>
      </c>
      <c r="I41" s="32">
        <f t="shared" si="2"/>
        <v>5</v>
      </c>
      <c r="J41">
        <v>8</v>
      </c>
      <c r="K41">
        <v>5</v>
      </c>
      <c r="L41" s="32">
        <f t="shared" si="3"/>
        <v>3</v>
      </c>
      <c r="M41">
        <v>6</v>
      </c>
      <c r="N41">
        <v>3</v>
      </c>
      <c r="O41" s="32">
        <f t="shared" si="4"/>
        <v>3</v>
      </c>
      <c r="P41">
        <v>8</v>
      </c>
      <c r="Q41">
        <v>3</v>
      </c>
      <c r="R41" s="32">
        <f t="shared" si="5"/>
        <v>5</v>
      </c>
      <c r="S41">
        <v>7</v>
      </c>
      <c r="T41">
        <v>2</v>
      </c>
      <c r="U41" s="32">
        <f t="shared" si="6"/>
        <v>5</v>
      </c>
      <c r="V41">
        <v>6</v>
      </c>
      <c r="W41">
        <v>4</v>
      </c>
      <c r="X41" s="32">
        <f t="shared" si="7"/>
        <v>2</v>
      </c>
      <c r="Y41">
        <v>8</v>
      </c>
      <c r="Z41">
        <v>5</v>
      </c>
      <c r="AA41" s="32">
        <f t="shared" si="8"/>
        <v>3</v>
      </c>
    </row>
    <row r="42" spans="1:27" x14ac:dyDescent="0.45">
      <c r="A42">
        <v>6</v>
      </c>
      <c r="B42">
        <v>4</v>
      </c>
      <c r="C42" s="32">
        <f t="shared" si="0"/>
        <v>2</v>
      </c>
      <c r="D42">
        <v>6</v>
      </c>
      <c r="E42">
        <v>4</v>
      </c>
      <c r="F42" s="32">
        <f t="shared" si="1"/>
        <v>2</v>
      </c>
      <c r="G42">
        <v>7</v>
      </c>
      <c r="H42">
        <v>3</v>
      </c>
      <c r="I42" s="32">
        <f t="shared" si="2"/>
        <v>4</v>
      </c>
      <c r="J42">
        <v>8</v>
      </c>
      <c r="K42">
        <v>5</v>
      </c>
      <c r="L42" s="32">
        <f t="shared" si="3"/>
        <v>3</v>
      </c>
      <c r="M42">
        <v>7</v>
      </c>
      <c r="N42">
        <v>4</v>
      </c>
      <c r="O42" s="32">
        <f t="shared" si="4"/>
        <v>3</v>
      </c>
      <c r="P42">
        <v>8</v>
      </c>
      <c r="Q42">
        <v>3</v>
      </c>
      <c r="R42" s="32">
        <f t="shared" si="5"/>
        <v>5</v>
      </c>
      <c r="S42">
        <v>7</v>
      </c>
      <c r="T42">
        <v>2</v>
      </c>
      <c r="U42" s="32">
        <f t="shared" si="6"/>
        <v>5</v>
      </c>
      <c r="V42">
        <v>6</v>
      </c>
      <c r="W42">
        <v>4</v>
      </c>
      <c r="X42" s="32">
        <f t="shared" si="7"/>
        <v>2</v>
      </c>
      <c r="Y42">
        <v>8</v>
      </c>
      <c r="Z42">
        <v>5</v>
      </c>
      <c r="AA42" s="32">
        <f t="shared" si="8"/>
        <v>3</v>
      </c>
    </row>
    <row r="43" spans="1:27" x14ac:dyDescent="0.45">
      <c r="A43">
        <v>6</v>
      </c>
      <c r="B43">
        <v>4</v>
      </c>
      <c r="C43" s="32">
        <f t="shared" si="0"/>
        <v>2</v>
      </c>
      <c r="D43">
        <v>6</v>
      </c>
      <c r="E43">
        <v>4</v>
      </c>
      <c r="F43" s="32">
        <f t="shared" si="1"/>
        <v>2</v>
      </c>
      <c r="G43">
        <v>7</v>
      </c>
      <c r="H43">
        <v>3</v>
      </c>
      <c r="I43" s="32">
        <f t="shared" si="2"/>
        <v>4</v>
      </c>
      <c r="J43">
        <v>8</v>
      </c>
      <c r="K43">
        <v>5</v>
      </c>
      <c r="L43" s="32">
        <f t="shared" si="3"/>
        <v>3</v>
      </c>
      <c r="M43">
        <v>7</v>
      </c>
      <c r="N43">
        <v>4</v>
      </c>
      <c r="O43" s="32">
        <f t="shared" si="4"/>
        <v>3</v>
      </c>
      <c r="P43">
        <v>8</v>
      </c>
      <c r="Q43">
        <v>3</v>
      </c>
      <c r="R43" s="32">
        <f t="shared" si="5"/>
        <v>5</v>
      </c>
      <c r="S43">
        <v>7</v>
      </c>
      <c r="T43">
        <v>2</v>
      </c>
      <c r="U43" s="32">
        <f t="shared" si="6"/>
        <v>5</v>
      </c>
      <c r="V43">
        <v>6</v>
      </c>
      <c r="W43">
        <v>4</v>
      </c>
      <c r="X43" s="32">
        <f t="shared" si="7"/>
        <v>2</v>
      </c>
      <c r="Y43">
        <v>8</v>
      </c>
      <c r="Z43">
        <v>5</v>
      </c>
      <c r="AA43" s="32">
        <f t="shared" si="8"/>
        <v>3</v>
      </c>
    </row>
    <row r="44" spans="1:27" x14ac:dyDescent="0.45">
      <c r="A44">
        <v>6</v>
      </c>
      <c r="B44">
        <v>4</v>
      </c>
      <c r="C44" s="32">
        <f t="shared" si="0"/>
        <v>2</v>
      </c>
      <c r="D44">
        <v>6</v>
      </c>
      <c r="E44">
        <v>4</v>
      </c>
      <c r="F44" s="32">
        <f t="shared" si="1"/>
        <v>2</v>
      </c>
      <c r="G44">
        <v>7</v>
      </c>
      <c r="H44">
        <v>3</v>
      </c>
      <c r="I44" s="32">
        <f t="shared" si="2"/>
        <v>4</v>
      </c>
      <c r="J44">
        <v>8</v>
      </c>
      <c r="K44">
        <v>5</v>
      </c>
      <c r="L44" s="32">
        <f t="shared" si="3"/>
        <v>3</v>
      </c>
      <c r="M44">
        <v>7</v>
      </c>
      <c r="N44">
        <v>4</v>
      </c>
      <c r="O44" s="32">
        <f t="shared" si="4"/>
        <v>3</v>
      </c>
      <c r="P44">
        <v>8</v>
      </c>
      <c r="Q44">
        <v>3</v>
      </c>
      <c r="R44" s="32">
        <f t="shared" si="5"/>
        <v>5</v>
      </c>
      <c r="S44">
        <v>7</v>
      </c>
      <c r="T44">
        <v>2</v>
      </c>
      <c r="U44" s="32">
        <f t="shared" si="6"/>
        <v>5</v>
      </c>
      <c r="V44">
        <v>6</v>
      </c>
      <c r="W44">
        <v>4</v>
      </c>
      <c r="X44" s="32">
        <f t="shared" si="7"/>
        <v>2</v>
      </c>
      <c r="Y44">
        <v>8</v>
      </c>
      <c r="Z44">
        <v>5</v>
      </c>
      <c r="AA44" s="32">
        <f t="shared" si="8"/>
        <v>3</v>
      </c>
    </row>
    <row r="45" spans="1:27" x14ac:dyDescent="0.45">
      <c r="A45">
        <v>6</v>
      </c>
      <c r="B45">
        <v>4</v>
      </c>
      <c r="C45" s="32">
        <f t="shared" si="0"/>
        <v>2</v>
      </c>
      <c r="D45">
        <v>6</v>
      </c>
      <c r="E45">
        <v>4</v>
      </c>
      <c r="F45" s="32">
        <f t="shared" si="1"/>
        <v>2</v>
      </c>
      <c r="G45">
        <v>7</v>
      </c>
      <c r="H45">
        <v>3</v>
      </c>
      <c r="I45" s="32">
        <f t="shared" si="2"/>
        <v>4</v>
      </c>
      <c r="J45">
        <v>8</v>
      </c>
      <c r="K45">
        <v>5</v>
      </c>
      <c r="L45" s="32">
        <f t="shared" si="3"/>
        <v>3</v>
      </c>
      <c r="M45">
        <v>7</v>
      </c>
      <c r="N45">
        <v>4</v>
      </c>
      <c r="O45" s="32">
        <f t="shared" si="4"/>
        <v>3</v>
      </c>
      <c r="P45">
        <v>8</v>
      </c>
      <c r="Q45">
        <v>3</v>
      </c>
      <c r="R45" s="32">
        <f t="shared" si="5"/>
        <v>5</v>
      </c>
      <c r="S45">
        <v>7</v>
      </c>
      <c r="T45">
        <v>2</v>
      </c>
      <c r="U45" s="32">
        <f t="shared" si="6"/>
        <v>5</v>
      </c>
      <c r="V45">
        <v>6</v>
      </c>
      <c r="W45">
        <v>4</v>
      </c>
      <c r="X45" s="32">
        <f t="shared" si="7"/>
        <v>2</v>
      </c>
      <c r="Y45">
        <v>8</v>
      </c>
      <c r="Z45">
        <v>5</v>
      </c>
      <c r="AA45" s="32">
        <f t="shared" si="8"/>
        <v>3</v>
      </c>
    </row>
    <row r="46" spans="1:27" x14ac:dyDescent="0.45">
      <c r="A46">
        <v>6</v>
      </c>
      <c r="B46">
        <v>4</v>
      </c>
      <c r="C46" s="32">
        <f t="shared" si="0"/>
        <v>2</v>
      </c>
      <c r="D46">
        <v>6</v>
      </c>
      <c r="E46">
        <v>4</v>
      </c>
      <c r="F46" s="32">
        <f t="shared" si="1"/>
        <v>2</v>
      </c>
      <c r="G46">
        <v>7</v>
      </c>
      <c r="H46">
        <v>3</v>
      </c>
      <c r="I46" s="32">
        <f t="shared" si="2"/>
        <v>4</v>
      </c>
      <c r="J46">
        <v>8</v>
      </c>
      <c r="K46">
        <v>5</v>
      </c>
      <c r="L46" s="32">
        <f t="shared" si="3"/>
        <v>3</v>
      </c>
      <c r="M46">
        <v>7</v>
      </c>
      <c r="N46">
        <v>4</v>
      </c>
      <c r="O46" s="32">
        <f t="shared" si="4"/>
        <v>3</v>
      </c>
      <c r="P46">
        <v>8</v>
      </c>
      <c r="Q46">
        <v>3</v>
      </c>
      <c r="R46" s="32">
        <f t="shared" si="5"/>
        <v>5</v>
      </c>
      <c r="S46">
        <v>7</v>
      </c>
      <c r="T46">
        <v>2</v>
      </c>
      <c r="U46" s="32">
        <f t="shared" si="6"/>
        <v>5</v>
      </c>
      <c r="V46">
        <v>6</v>
      </c>
      <c r="W46">
        <v>4</v>
      </c>
      <c r="X46" s="32">
        <f t="shared" si="7"/>
        <v>2</v>
      </c>
      <c r="Y46">
        <v>8</v>
      </c>
      <c r="Z46">
        <v>5</v>
      </c>
      <c r="AA46" s="32">
        <f t="shared" si="8"/>
        <v>3</v>
      </c>
    </row>
    <row r="47" spans="1:27" x14ac:dyDescent="0.45">
      <c r="A47">
        <v>6</v>
      </c>
      <c r="B47">
        <v>4</v>
      </c>
      <c r="C47" s="32">
        <f t="shared" si="0"/>
        <v>2</v>
      </c>
      <c r="D47">
        <v>6</v>
      </c>
      <c r="E47">
        <v>5</v>
      </c>
      <c r="F47" s="32">
        <f t="shared" si="1"/>
        <v>1</v>
      </c>
      <c r="G47">
        <v>7</v>
      </c>
      <c r="H47">
        <v>3</v>
      </c>
      <c r="I47" s="32">
        <f t="shared" si="2"/>
        <v>4</v>
      </c>
      <c r="J47">
        <v>8</v>
      </c>
      <c r="K47">
        <v>5</v>
      </c>
      <c r="L47" s="32">
        <f t="shared" si="3"/>
        <v>3</v>
      </c>
      <c r="M47">
        <v>7</v>
      </c>
      <c r="N47">
        <v>4</v>
      </c>
      <c r="O47" s="32">
        <f t="shared" si="4"/>
        <v>3</v>
      </c>
      <c r="P47">
        <v>8</v>
      </c>
      <c r="Q47">
        <v>3</v>
      </c>
      <c r="R47" s="32">
        <f t="shared" si="5"/>
        <v>5</v>
      </c>
      <c r="S47">
        <v>7</v>
      </c>
      <c r="T47">
        <v>2</v>
      </c>
      <c r="U47" s="32">
        <f t="shared" si="6"/>
        <v>5</v>
      </c>
      <c r="V47">
        <v>6</v>
      </c>
      <c r="W47">
        <v>4</v>
      </c>
      <c r="X47" s="32">
        <f t="shared" si="7"/>
        <v>2</v>
      </c>
      <c r="Y47">
        <v>8</v>
      </c>
      <c r="Z47">
        <v>5</v>
      </c>
      <c r="AA47" s="32">
        <f t="shared" si="8"/>
        <v>3</v>
      </c>
    </row>
    <row r="48" spans="1:27" x14ac:dyDescent="0.45">
      <c r="A48">
        <v>6</v>
      </c>
      <c r="B48">
        <v>4</v>
      </c>
      <c r="C48" s="32">
        <f t="shared" si="0"/>
        <v>2</v>
      </c>
      <c r="D48">
        <v>6</v>
      </c>
      <c r="E48">
        <v>5</v>
      </c>
      <c r="F48" s="32">
        <f t="shared" si="1"/>
        <v>1</v>
      </c>
      <c r="G48">
        <v>7</v>
      </c>
      <c r="H48">
        <v>3</v>
      </c>
      <c r="I48" s="32">
        <f t="shared" si="2"/>
        <v>4</v>
      </c>
      <c r="J48">
        <v>8</v>
      </c>
      <c r="K48">
        <v>5</v>
      </c>
      <c r="L48" s="32">
        <f t="shared" si="3"/>
        <v>3</v>
      </c>
      <c r="M48">
        <v>7</v>
      </c>
      <c r="N48">
        <v>4</v>
      </c>
      <c r="O48" s="32">
        <f t="shared" si="4"/>
        <v>3</v>
      </c>
      <c r="P48">
        <v>8</v>
      </c>
      <c r="Q48">
        <v>3</v>
      </c>
      <c r="R48" s="32">
        <f t="shared" si="5"/>
        <v>5</v>
      </c>
      <c r="S48">
        <v>7</v>
      </c>
      <c r="T48">
        <v>2</v>
      </c>
      <c r="U48" s="32">
        <f t="shared" si="6"/>
        <v>5</v>
      </c>
      <c r="V48">
        <v>6</v>
      </c>
      <c r="W48">
        <v>5</v>
      </c>
      <c r="X48" s="32">
        <f t="shared" si="7"/>
        <v>1</v>
      </c>
      <c r="Y48">
        <v>8</v>
      </c>
      <c r="Z48">
        <v>5</v>
      </c>
      <c r="AA48" s="32">
        <f t="shared" si="8"/>
        <v>3</v>
      </c>
    </row>
    <row r="49" spans="1:27" x14ac:dyDescent="0.45">
      <c r="A49">
        <v>6</v>
      </c>
      <c r="B49">
        <v>4</v>
      </c>
      <c r="C49" s="32">
        <f t="shared" si="0"/>
        <v>2</v>
      </c>
      <c r="D49">
        <v>6</v>
      </c>
      <c r="E49">
        <v>5</v>
      </c>
      <c r="F49" s="32">
        <f t="shared" si="1"/>
        <v>1</v>
      </c>
      <c r="G49">
        <v>7</v>
      </c>
      <c r="H49">
        <v>3</v>
      </c>
      <c r="I49" s="32">
        <f t="shared" si="2"/>
        <v>4</v>
      </c>
      <c r="J49">
        <v>8</v>
      </c>
      <c r="K49">
        <v>5</v>
      </c>
      <c r="L49" s="32">
        <f t="shared" si="3"/>
        <v>3</v>
      </c>
      <c r="M49">
        <v>7</v>
      </c>
      <c r="N49">
        <v>4</v>
      </c>
      <c r="O49" s="32">
        <f t="shared" si="4"/>
        <v>3</v>
      </c>
      <c r="P49">
        <v>8</v>
      </c>
      <c r="Q49">
        <v>3</v>
      </c>
      <c r="R49" s="32">
        <f t="shared" si="5"/>
        <v>5</v>
      </c>
      <c r="S49">
        <v>7</v>
      </c>
      <c r="T49">
        <v>2</v>
      </c>
      <c r="U49" s="32">
        <f t="shared" si="6"/>
        <v>5</v>
      </c>
      <c r="V49">
        <v>6</v>
      </c>
      <c r="W49">
        <v>5</v>
      </c>
      <c r="X49" s="32">
        <f t="shared" si="7"/>
        <v>1</v>
      </c>
      <c r="Y49">
        <v>8</v>
      </c>
      <c r="Z49">
        <v>5</v>
      </c>
      <c r="AA49" s="32">
        <f t="shared" si="8"/>
        <v>3</v>
      </c>
    </row>
    <row r="50" spans="1:27" x14ac:dyDescent="0.45">
      <c r="A50">
        <v>6</v>
      </c>
      <c r="B50">
        <v>4</v>
      </c>
      <c r="C50" s="32">
        <f t="shared" si="0"/>
        <v>2</v>
      </c>
      <c r="D50">
        <v>6</v>
      </c>
      <c r="E50">
        <v>5</v>
      </c>
      <c r="F50" s="32">
        <f t="shared" si="1"/>
        <v>1</v>
      </c>
      <c r="G50">
        <v>7</v>
      </c>
      <c r="H50">
        <v>3</v>
      </c>
      <c r="I50" s="32">
        <f t="shared" si="2"/>
        <v>4</v>
      </c>
      <c r="J50">
        <v>8</v>
      </c>
      <c r="K50">
        <v>5</v>
      </c>
      <c r="L50" s="32">
        <f t="shared" si="3"/>
        <v>3</v>
      </c>
      <c r="M50">
        <v>7</v>
      </c>
      <c r="N50">
        <v>4</v>
      </c>
      <c r="O50" s="32">
        <f t="shared" si="4"/>
        <v>3</v>
      </c>
      <c r="P50">
        <v>8</v>
      </c>
      <c r="Q50">
        <v>3</v>
      </c>
      <c r="R50" s="32">
        <f t="shared" si="5"/>
        <v>5</v>
      </c>
      <c r="S50">
        <v>7</v>
      </c>
      <c r="T50">
        <v>3</v>
      </c>
      <c r="U50" s="32">
        <f t="shared" si="6"/>
        <v>4</v>
      </c>
      <c r="V50">
        <v>6</v>
      </c>
      <c r="W50">
        <v>5</v>
      </c>
      <c r="X50" s="32">
        <f t="shared" si="7"/>
        <v>1</v>
      </c>
      <c r="Y50">
        <v>8</v>
      </c>
      <c r="Z50">
        <v>5</v>
      </c>
      <c r="AA50" s="32">
        <f t="shared" si="8"/>
        <v>3</v>
      </c>
    </row>
    <row r="51" spans="1:27" x14ac:dyDescent="0.45">
      <c r="A51">
        <v>6</v>
      </c>
      <c r="B51">
        <v>4</v>
      </c>
      <c r="C51" s="32">
        <f t="shared" si="0"/>
        <v>2</v>
      </c>
      <c r="D51">
        <v>6</v>
      </c>
      <c r="E51">
        <v>5</v>
      </c>
      <c r="F51" s="32">
        <f t="shared" si="1"/>
        <v>1</v>
      </c>
      <c r="G51">
        <v>7</v>
      </c>
      <c r="H51">
        <v>3</v>
      </c>
      <c r="I51" s="32">
        <f t="shared" si="2"/>
        <v>4</v>
      </c>
      <c r="J51">
        <v>8</v>
      </c>
      <c r="K51">
        <v>5</v>
      </c>
      <c r="L51" s="32">
        <f t="shared" si="3"/>
        <v>3</v>
      </c>
      <c r="M51">
        <v>7</v>
      </c>
      <c r="N51">
        <v>4</v>
      </c>
      <c r="O51" s="32">
        <f t="shared" si="4"/>
        <v>3</v>
      </c>
      <c r="P51">
        <v>8</v>
      </c>
      <c r="Q51">
        <v>3</v>
      </c>
      <c r="R51" s="32">
        <f t="shared" si="5"/>
        <v>5</v>
      </c>
      <c r="S51">
        <v>7</v>
      </c>
      <c r="T51">
        <v>3</v>
      </c>
      <c r="U51" s="32">
        <f t="shared" si="6"/>
        <v>4</v>
      </c>
      <c r="V51">
        <v>6</v>
      </c>
      <c r="W51">
        <v>5</v>
      </c>
      <c r="X51" s="32">
        <f t="shared" si="7"/>
        <v>1</v>
      </c>
      <c r="Y51">
        <v>8</v>
      </c>
      <c r="Z51">
        <v>5</v>
      </c>
      <c r="AA51" s="32">
        <f t="shared" si="8"/>
        <v>3</v>
      </c>
    </row>
    <row r="52" spans="1:27" x14ac:dyDescent="0.45">
      <c r="A52">
        <v>6</v>
      </c>
      <c r="B52">
        <v>4</v>
      </c>
      <c r="C52" s="32">
        <f t="shared" si="0"/>
        <v>2</v>
      </c>
      <c r="D52">
        <v>6</v>
      </c>
      <c r="E52">
        <v>5</v>
      </c>
      <c r="F52" s="32">
        <f t="shared" si="1"/>
        <v>1</v>
      </c>
      <c r="G52">
        <v>7</v>
      </c>
      <c r="H52">
        <v>3</v>
      </c>
      <c r="I52" s="32">
        <f t="shared" si="2"/>
        <v>4</v>
      </c>
      <c r="J52">
        <v>8</v>
      </c>
      <c r="K52">
        <v>5</v>
      </c>
      <c r="L52" s="32">
        <f t="shared" si="3"/>
        <v>3</v>
      </c>
      <c r="M52">
        <v>7</v>
      </c>
      <c r="N52">
        <v>4</v>
      </c>
      <c r="O52" s="32">
        <f t="shared" si="4"/>
        <v>3</v>
      </c>
      <c r="P52">
        <v>8</v>
      </c>
      <c r="Q52">
        <v>3</v>
      </c>
      <c r="R52" s="32">
        <f t="shared" si="5"/>
        <v>5</v>
      </c>
      <c r="S52">
        <v>7</v>
      </c>
      <c r="T52">
        <v>3</v>
      </c>
      <c r="U52" s="32">
        <f t="shared" si="6"/>
        <v>4</v>
      </c>
      <c r="V52">
        <v>6</v>
      </c>
      <c r="W52">
        <v>5</v>
      </c>
      <c r="X52" s="32">
        <f t="shared" si="7"/>
        <v>1</v>
      </c>
      <c r="Y52">
        <v>8</v>
      </c>
      <c r="Z52">
        <v>5</v>
      </c>
      <c r="AA52" s="32">
        <f t="shared" si="8"/>
        <v>3</v>
      </c>
    </row>
    <row r="53" spans="1:27" x14ac:dyDescent="0.45">
      <c r="A53">
        <v>6</v>
      </c>
      <c r="B53">
        <v>4</v>
      </c>
      <c r="C53" s="32">
        <f t="shared" si="0"/>
        <v>2</v>
      </c>
      <c r="D53">
        <v>6</v>
      </c>
      <c r="E53">
        <v>5</v>
      </c>
      <c r="F53" s="32">
        <f t="shared" si="1"/>
        <v>1</v>
      </c>
      <c r="G53">
        <v>7</v>
      </c>
      <c r="H53">
        <v>3</v>
      </c>
      <c r="I53" s="32">
        <f t="shared" si="2"/>
        <v>4</v>
      </c>
      <c r="J53">
        <v>8</v>
      </c>
      <c r="K53">
        <v>5</v>
      </c>
      <c r="L53" s="32">
        <f t="shared" si="3"/>
        <v>3</v>
      </c>
      <c r="M53">
        <v>7</v>
      </c>
      <c r="N53">
        <v>4</v>
      </c>
      <c r="O53" s="32">
        <f t="shared" si="4"/>
        <v>3</v>
      </c>
      <c r="P53">
        <v>8</v>
      </c>
      <c r="Q53">
        <v>3</v>
      </c>
      <c r="R53" s="32">
        <f t="shared" si="5"/>
        <v>5</v>
      </c>
      <c r="S53">
        <v>7</v>
      </c>
      <c r="T53">
        <v>3</v>
      </c>
      <c r="U53" s="32">
        <f t="shared" si="6"/>
        <v>4</v>
      </c>
      <c r="V53">
        <v>6</v>
      </c>
      <c r="W53">
        <v>5</v>
      </c>
      <c r="X53" s="32">
        <f t="shared" si="7"/>
        <v>1</v>
      </c>
      <c r="Y53">
        <v>8</v>
      </c>
      <c r="Z53">
        <v>5</v>
      </c>
      <c r="AA53" s="32">
        <f t="shared" si="8"/>
        <v>3</v>
      </c>
    </row>
    <row r="54" spans="1:27" x14ac:dyDescent="0.45">
      <c r="A54">
        <v>6</v>
      </c>
      <c r="B54">
        <v>4</v>
      </c>
      <c r="C54" s="32">
        <f t="shared" si="0"/>
        <v>2</v>
      </c>
      <c r="D54">
        <v>6</v>
      </c>
      <c r="E54">
        <v>5</v>
      </c>
      <c r="F54" s="32">
        <f t="shared" si="1"/>
        <v>1</v>
      </c>
      <c r="G54">
        <v>7</v>
      </c>
      <c r="H54">
        <v>3</v>
      </c>
      <c r="I54" s="32">
        <f t="shared" si="2"/>
        <v>4</v>
      </c>
      <c r="J54">
        <v>8</v>
      </c>
      <c r="K54">
        <v>5</v>
      </c>
      <c r="L54" s="32">
        <f t="shared" si="3"/>
        <v>3</v>
      </c>
      <c r="M54">
        <v>7</v>
      </c>
      <c r="N54">
        <v>4</v>
      </c>
      <c r="O54" s="32">
        <f t="shared" si="4"/>
        <v>3</v>
      </c>
      <c r="P54">
        <v>8</v>
      </c>
      <c r="Q54">
        <v>3</v>
      </c>
      <c r="R54" s="32">
        <f t="shared" si="5"/>
        <v>5</v>
      </c>
      <c r="S54">
        <v>7</v>
      </c>
      <c r="T54">
        <v>3</v>
      </c>
      <c r="U54" s="32">
        <f t="shared" si="6"/>
        <v>4</v>
      </c>
      <c r="V54">
        <v>6</v>
      </c>
      <c r="W54">
        <v>5</v>
      </c>
      <c r="X54" s="32">
        <f t="shared" si="7"/>
        <v>1</v>
      </c>
      <c r="Y54">
        <v>8</v>
      </c>
      <c r="Z54">
        <v>5</v>
      </c>
      <c r="AA54" s="32">
        <f t="shared" si="8"/>
        <v>3</v>
      </c>
    </row>
    <row r="55" spans="1:27" x14ac:dyDescent="0.45">
      <c r="A55">
        <v>6</v>
      </c>
      <c r="B55">
        <v>4</v>
      </c>
      <c r="C55" s="32">
        <f t="shared" si="0"/>
        <v>2</v>
      </c>
      <c r="D55">
        <v>6</v>
      </c>
      <c r="E55">
        <v>5</v>
      </c>
      <c r="F55" s="32">
        <f t="shared" si="1"/>
        <v>1</v>
      </c>
      <c r="G55">
        <v>7</v>
      </c>
      <c r="H55">
        <v>3</v>
      </c>
      <c r="I55" s="32">
        <f t="shared" si="2"/>
        <v>4</v>
      </c>
      <c r="J55">
        <v>8</v>
      </c>
      <c r="K55">
        <v>5</v>
      </c>
      <c r="L55" s="32">
        <f t="shared" si="3"/>
        <v>3</v>
      </c>
      <c r="M55">
        <v>7</v>
      </c>
      <c r="N55">
        <v>4</v>
      </c>
      <c r="O55" s="32">
        <f t="shared" si="4"/>
        <v>3</v>
      </c>
      <c r="P55">
        <v>8</v>
      </c>
      <c r="Q55">
        <v>4</v>
      </c>
      <c r="R55" s="32">
        <f t="shared" si="5"/>
        <v>4</v>
      </c>
      <c r="S55">
        <v>7</v>
      </c>
      <c r="T55">
        <v>3</v>
      </c>
      <c r="U55" s="32">
        <f t="shared" si="6"/>
        <v>4</v>
      </c>
      <c r="V55">
        <v>6</v>
      </c>
      <c r="W55">
        <v>5</v>
      </c>
      <c r="X55" s="32">
        <f t="shared" si="7"/>
        <v>1</v>
      </c>
      <c r="Y55">
        <v>8</v>
      </c>
      <c r="Z55">
        <v>5</v>
      </c>
      <c r="AA55" s="32">
        <f t="shared" si="8"/>
        <v>3</v>
      </c>
    </row>
    <row r="56" spans="1:27" x14ac:dyDescent="0.45">
      <c r="A56">
        <v>6</v>
      </c>
      <c r="B56">
        <v>4</v>
      </c>
      <c r="C56" s="32">
        <f t="shared" si="0"/>
        <v>2</v>
      </c>
      <c r="D56">
        <v>6</v>
      </c>
      <c r="E56">
        <v>5</v>
      </c>
      <c r="F56" s="32">
        <f t="shared" si="1"/>
        <v>1</v>
      </c>
      <c r="G56">
        <v>7</v>
      </c>
      <c r="H56">
        <v>3</v>
      </c>
      <c r="I56" s="32">
        <f t="shared" si="2"/>
        <v>4</v>
      </c>
      <c r="J56">
        <v>8</v>
      </c>
      <c r="K56">
        <v>5</v>
      </c>
      <c r="L56" s="32">
        <f t="shared" si="3"/>
        <v>3</v>
      </c>
      <c r="M56">
        <v>7</v>
      </c>
      <c r="N56">
        <v>4</v>
      </c>
      <c r="O56" s="32">
        <f t="shared" si="4"/>
        <v>3</v>
      </c>
      <c r="P56">
        <v>8</v>
      </c>
      <c r="Q56">
        <v>4</v>
      </c>
      <c r="R56" s="32">
        <f t="shared" si="5"/>
        <v>4</v>
      </c>
      <c r="S56">
        <v>7</v>
      </c>
      <c r="T56">
        <v>3</v>
      </c>
      <c r="U56" s="32">
        <f t="shared" si="6"/>
        <v>4</v>
      </c>
      <c r="V56">
        <v>6</v>
      </c>
      <c r="W56">
        <v>5</v>
      </c>
      <c r="X56" s="32">
        <f t="shared" si="7"/>
        <v>1</v>
      </c>
      <c r="Y56">
        <v>8</v>
      </c>
      <c r="Z56">
        <v>5</v>
      </c>
      <c r="AA56" s="32">
        <f t="shared" si="8"/>
        <v>3</v>
      </c>
    </row>
    <row r="57" spans="1:27" x14ac:dyDescent="0.45">
      <c r="A57">
        <v>6</v>
      </c>
      <c r="B57">
        <v>5</v>
      </c>
      <c r="C57" s="32">
        <f t="shared" si="0"/>
        <v>1</v>
      </c>
      <c r="D57">
        <v>6</v>
      </c>
      <c r="E57">
        <v>5</v>
      </c>
      <c r="F57" s="32">
        <f t="shared" si="1"/>
        <v>1</v>
      </c>
      <c r="G57">
        <v>7</v>
      </c>
      <c r="H57">
        <v>3</v>
      </c>
      <c r="I57" s="32">
        <f t="shared" si="2"/>
        <v>4</v>
      </c>
      <c r="J57">
        <v>8</v>
      </c>
      <c r="K57">
        <v>5</v>
      </c>
      <c r="L57" s="32">
        <f t="shared" si="3"/>
        <v>3</v>
      </c>
      <c r="M57">
        <v>7</v>
      </c>
      <c r="N57">
        <v>4</v>
      </c>
      <c r="O57" s="32">
        <f t="shared" si="4"/>
        <v>3</v>
      </c>
      <c r="P57">
        <v>8</v>
      </c>
      <c r="Q57">
        <v>4</v>
      </c>
      <c r="R57" s="32">
        <f t="shared" si="5"/>
        <v>4</v>
      </c>
      <c r="S57">
        <v>7</v>
      </c>
      <c r="T57">
        <v>3</v>
      </c>
      <c r="U57" s="32">
        <f t="shared" si="6"/>
        <v>4</v>
      </c>
      <c r="V57">
        <v>6</v>
      </c>
      <c r="W57">
        <v>5</v>
      </c>
      <c r="X57" s="32">
        <f t="shared" si="7"/>
        <v>1</v>
      </c>
      <c r="Y57">
        <v>8</v>
      </c>
      <c r="Z57">
        <v>5</v>
      </c>
      <c r="AA57" s="32">
        <f t="shared" si="8"/>
        <v>3</v>
      </c>
    </row>
    <row r="58" spans="1:27" x14ac:dyDescent="0.45">
      <c r="A58">
        <v>6</v>
      </c>
      <c r="B58">
        <v>5</v>
      </c>
      <c r="C58" s="32">
        <f t="shared" si="0"/>
        <v>1</v>
      </c>
      <c r="D58">
        <v>6</v>
      </c>
      <c r="E58">
        <v>5</v>
      </c>
      <c r="F58" s="32">
        <f t="shared" si="1"/>
        <v>1</v>
      </c>
      <c r="G58">
        <v>7</v>
      </c>
      <c r="H58">
        <v>3</v>
      </c>
      <c r="I58" s="32">
        <f t="shared" si="2"/>
        <v>4</v>
      </c>
      <c r="J58">
        <v>8</v>
      </c>
      <c r="K58">
        <v>5</v>
      </c>
      <c r="L58" s="32">
        <f t="shared" si="3"/>
        <v>3</v>
      </c>
      <c r="M58">
        <v>7</v>
      </c>
      <c r="N58">
        <v>4</v>
      </c>
      <c r="O58" s="32">
        <f t="shared" si="4"/>
        <v>3</v>
      </c>
      <c r="P58">
        <v>8</v>
      </c>
      <c r="Q58">
        <v>4</v>
      </c>
      <c r="R58" s="32">
        <f t="shared" si="5"/>
        <v>4</v>
      </c>
      <c r="S58">
        <v>7</v>
      </c>
      <c r="T58">
        <v>3</v>
      </c>
      <c r="U58" s="32">
        <f t="shared" si="6"/>
        <v>4</v>
      </c>
      <c r="V58">
        <v>6</v>
      </c>
      <c r="W58">
        <v>5</v>
      </c>
      <c r="X58" s="32">
        <f t="shared" si="7"/>
        <v>1</v>
      </c>
      <c r="Y58">
        <v>8</v>
      </c>
      <c r="Z58">
        <v>5</v>
      </c>
      <c r="AA58" s="32">
        <f t="shared" si="8"/>
        <v>3</v>
      </c>
    </row>
    <row r="59" spans="1:27" x14ac:dyDescent="0.45">
      <c r="A59">
        <v>6</v>
      </c>
      <c r="B59">
        <v>5</v>
      </c>
      <c r="C59" s="32">
        <f t="shared" si="0"/>
        <v>1</v>
      </c>
      <c r="D59">
        <v>6</v>
      </c>
      <c r="E59">
        <v>5</v>
      </c>
      <c r="F59" s="32">
        <f t="shared" si="1"/>
        <v>1</v>
      </c>
      <c r="G59">
        <v>7</v>
      </c>
      <c r="H59">
        <v>3</v>
      </c>
      <c r="I59" s="32">
        <f t="shared" si="2"/>
        <v>4</v>
      </c>
      <c r="J59">
        <v>8</v>
      </c>
      <c r="K59">
        <v>5</v>
      </c>
      <c r="L59" s="32">
        <f t="shared" si="3"/>
        <v>3</v>
      </c>
      <c r="M59">
        <v>7</v>
      </c>
      <c r="N59">
        <v>5</v>
      </c>
      <c r="O59" s="32">
        <f t="shared" si="4"/>
        <v>2</v>
      </c>
      <c r="P59">
        <v>8</v>
      </c>
      <c r="Q59">
        <v>4</v>
      </c>
      <c r="R59" s="32">
        <f t="shared" si="5"/>
        <v>4</v>
      </c>
      <c r="S59">
        <v>7</v>
      </c>
      <c r="T59">
        <v>4</v>
      </c>
      <c r="U59" s="32">
        <f t="shared" si="6"/>
        <v>3</v>
      </c>
      <c r="V59">
        <v>6</v>
      </c>
      <c r="W59">
        <v>5</v>
      </c>
      <c r="X59" s="32">
        <f t="shared" si="7"/>
        <v>1</v>
      </c>
      <c r="Y59">
        <v>8</v>
      </c>
      <c r="Z59">
        <v>5</v>
      </c>
      <c r="AA59" s="32">
        <f t="shared" si="8"/>
        <v>3</v>
      </c>
    </row>
    <row r="60" spans="1:27" x14ac:dyDescent="0.45">
      <c r="A60">
        <v>6</v>
      </c>
      <c r="B60">
        <v>5</v>
      </c>
      <c r="C60" s="32">
        <f t="shared" si="0"/>
        <v>1</v>
      </c>
      <c r="D60">
        <v>6</v>
      </c>
      <c r="E60">
        <v>5</v>
      </c>
      <c r="F60" s="32">
        <f t="shared" si="1"/>
        <v>1</v>
      </c>
      <c r="G60">
        <v>7</v>
      </c>
      <c r="H60">
        <v>4</v>
      </c>
      <c r="I60" s="32">
        <f t="shared" si="2"/>
        <v>3</v>
      </c>
      <c r="J60">
        <v>8</v>
      </c>
      <c r="K60">
        <v>5</v>
      </c>
      <c r="L60" s="32">
        <f t="shared" si="3"/>
        <v>3</v>
      </c>
      <c r="M60">
        <v>7</v>
      </c>
      <c r="N60">
        <v>5</v>
      </c>
      <c r="O60" s="32">
        <f t="shared" si="4"/>
        <v>2</v>
      </c>
      <c r="P60">
        <v>8</v>
      </c>
      <c r="Q60">
        <v>4</v>
      </c>
      <c r="R60" s="32">
        <f t="shared" si="5"/>
        <v>4</v>
      </c>
      <c r="S60">
        <v>7</v>
      </c>
      <c r="T60">
        <v>4</v>
      </c>
      <c r="U60" s="32">
        <f t="shared" si="6"/>
        <v>3</v>
      </c>
      <c r="V60">
        <v>6</v>
      </c>
      <c r="W60">
        <v>5</v>
      </c>
      <c r="X60" s="32">
        <f t="shared" si="7"/>
        <v>1</v>
      </c>
      <c r="Y60">
        <v>8</v>
      </c>
      <c r="Z60">
        <v>5</v>
      </c>
      <c r="AA60" s="32">
        <f t="shared" si="8"/>
        <v>3</v>
      </c>
    </row>
    <row r="61" spans="1:27" x14ac:dyDescent="0.45">
      <c r="A61">
        <v>6</v>
      </c>
      <c r="B61">
        <v>5</v>
      </c>
      <c r="C61" s="32">
        <f t="shared" si="0"/>
        <v>1</v>
      </c>
      <c r="D61">
        <v>6</v>
      </c>
      <c r="E61">
        <v>5</v>
      </c>
      <c r="F61" s="32">
        <f t="shared" si="1"/>
        <v>1</v>
      </c>
      <c r="G61">
        <v>7</v>
      </c>
      <c r="H61">
        <v>4</v>
      </c>
      <c r="I61" s="32">
        <f t="shared" si="2"/>
        <v>3</v>
      </c>
      <c r="J61">
        <v>8</v>
      </c>
      <c r="K61">
        <v>5</v>
      </c>
      <c r="L61" s="32">
        <f t="shared" si="3"/>
        <v>3</v>
      </c>
      <c r="M61">
        <v>7</v>
      </c>
      <c r="N61">
        <v>5</v>
      </c>
      <c r="O61" s="32">
        <f t="shared" si="4"/>
        <v>2</v>
      </c>
      <c r="P61">
        <v>8</v>
      </c>
      <c r="Q61">
        <v>4</v>
      </c>
      <c r="R61" s="32">
        <f t="shared" si="5"/>
        <v>4</v>
      </c>
      <c r="S61">
        <v>7</v>
      </c>
      <c r="T61">
        <v>4</v>
      </c>
      <c r="U61" s="32">
        <f t="shared" si="6"/>
        <v>3</v>
      </c>
      <c r="V61">
        <v>6</v>
      </c>
      <c r="W61">
        <v>5</v>
      </c>
      <c r="X61" s="32">
        <f t="shared" si="7"/>
        <v>1</v>
      </c>
      <c r="Y61">
        <v>8</v>
      </c>
      <c r="Z61">
        <v>5</v>
      </c>
      <c r="AA61" s="32">
        <f t="shared" si="8"/>
        <v>3</v>
      </c>
    </row>
    <row r="62" spans="1:27" x14ac:dyDescent="0.45">
      <c r="A62">
        <v>6</v>
      </c>
      <c r="B62">
        <v>5</v>
      </c>
      <c r="C62" s="32">
        <f t="shared" si="0"/>
        <v>1</v>
      </c>
      <c r="D62">
        <v>6</v>
      </c>
      <c r="E62">
        <v>5</v>
      </c>
      <c r="F62" s="32">
        <f t="shared" si="1"/>
        <v>1</v>
      </c>
      <c r="G62">
        <v>7</v>
      </c>
      <c r="H62">
        <v>4</v>
      </c>
      <c r="I62" s="32">
        <f t="shared" si="2"/>
        <v>3</v>
      </c>
      <c r="J62">
        <v>8</v>
      </c>
      <c r="K62">
        <v>5</v>
      </c>
      <c r="L62" s="32">
        <f t="shared" si="3"/>
        <v>3</v>
      </c>
      <c r="M62">
        <v>7</v>
      </c>
      <c r="N62">
        <v>5</v>
      </c>
      <c r="O62" s="32">
        <f t="shared" si="4"/>
        <v>2</v>
      </c>
      <c r="P62">
        <v>8</v>
      </c>
      <c r="Q62">
        <v>4</v>
      </c>
      <c r="R62" s="32">
        <f t="shared" si="5"/>
        <v>4</v>
      </c>
      <c r="S62">
        <v>7</v>
      </c>
      <c r="T62">
        <v>4</v>
      </c>
      <c r="U62" s="32">
        <f t="shared" si="6"/>
        <v>3</v>
      </c>
      <c r="V62">
        <v>6</v>
      </c>
      <c r="W62">
        <v>5</v>
      </c>
      <c r="X62" s="32">
        <f t="shared" si="7"/>
        <v>1</v>
      </c>
      <c r="Y62">
        <v>8</v>
      </c>
      <c r="Z62">
        <v>5</v>
      </c>
      <c r="AA62" s="32">
        <f t="shared" si="8"/>
        <v>3</v>
      </c>
    </row>
    <row r="63" spans="1:27" x14ac:dyDescent="0.45">
      <c r="A63">
        <v>6</v>
      </c>
      <c r="B63">
        <v>5</v>
      </c>
      <c r="C63" s="32">
        <f t="shared" si="0"/>
        <v>1</v>
      </c>
      <c r="D63">
        <v>6</v>
      </c>
      <c r="E63">
        <v>5</v>
      </c>
      <c r="F63" s="32">
        <f t="shared" si="1"/>
        <v>1</v>
      </c>
      <c r="G63">
        <v>7</v>
      </c>
      <c r="H63">
        <v>4</v>
      </c>
      <c r="I63" s="32">
        <f t="shared" si="2"/>
        <v>3</v>
      </c>
      <c r="J63">
        <v>8</v>
      </c>
      <c r="K63">
        <v>5</v>
      </c>
      <c r="L63" s="32">
        <f t="shared" si="3"/>
        <v>3</v>
      </c>
      <c r="M63">
        <v>7</v>
      </c>
      <c r="N63">
        <v>5</v>
      </c>
      <c r="O63" s="32">
        <f t="shared" si="4"/>
        <v>2</v>
      </c>
      <c r="P63">
        <v>8</v>
      </c>
      <c r="Q63">
        <v>4</v>
      </c>
      <c r="R63" s="32">
        <f t="shared" si="5"/>
        <v>4</v>
      </c>
      <c r="S63">
        <v>7</v>
      </c>
      <c r="T63">
        <v>4</v>
      </c>
      <c r="U63" s="32">
        <f t="shared" si="6"/>
        <v>3</v>
      </c>
      <c r="V63">
        <v>6</v>
      </c>
      <c r="W63">
        <v>5</v>
      </c>
      <c r="X63" s="32">
        <f t="shared" si="7"/>
        <v>1</v>
      </c>
      <c r="Y63">
        <v>8</v>
      </c>
      <c r="Z63">
        <v>5</v>
      </c>
      <c r="AA63" s="32">
        <f t="shared" si="8"/>
        <v>3</v>
      </c>
    </row>
    <row r="64" spans="1:27" x14ac:dyDescent="0.45">
      <c r="A64">
        <v>6</v>
      </c>
      <c r="B64">
        <v>5</v>
      </c>
      <c r="C64" s="32">
        <f t="shared" si="0"/>
        <v>1</v>
      </c>
      <c r="D64">
        <v>6</v>
      </c>
      <c r="E64">
        <v>5</v>
      </c>
      <c r="F64" s="32">
        <f t="shared" si="1"/>
        <v>1</v>
      </c>
      <c r="G64">
        <v>7</v>
      </c>
      <c r="H64">
        <v>4</v>
      </c>
      <c r="I64" s="32">
        <f t="shared" si="2"/>
        <v>3</v>
      </c>
      <c r="J64">
        <v>8</v>
      </c>
      <c r="K64">
        <v>5</v>
      </c>
      <c r="L64" s="32">
        <f t="shared" si="3"/>
        <v>3</v>
      </c>
      <c r="M64">
        <v>7</v>
      </c>
      <c r="N64">
        <v>5</v>
      </c>
      <c r="O64" s="32">
        <f t="shared" si="4"/>
        <v>2</v>
      </c>
      <c r="P64">
        <v>8</v>
      </c>
      <c r="Q64">
        <v>4</v>
      </c>
      <c r="R64" s="32">
        <f t="shared" si="5"/>
        <v>4</v>
      </c>
      <c r="S64">
        <v>7</v>
      </c>
      <c r="T64">
        <v>4</v>
      </c>
      <c r="U64" s="32">
        <f t="shared" si="6"/>
        <v>3</v>
      </c>
      <c r="V64">
        <v>6</v>
      </c>
      <c r="W64">
        <v>5</v>
      </c>
      <c r="X64" s="32">
        <f t="shared" si="7"/>
        <v>1</v>
      </c>
      <c r="Y64">
        <v>8</v>
      </c>
      <c r="Z64">
        <v>5</v>
      </c>
      <c r="AA64" s="32">
        <f t="shared" si="8"/>
        <v>3</v>
      </c>
    </row>
    <row r="65" spans="1:27" x14ac:dyDescent="0.45">
      <c r="A65">
        <v>6</v>
      </c>
      <c r="B65">
        <v>5</v>
      </c>
      <c r="C65" s="32">
        <f t="shared" si="0"/>
        <v>1</v>
      </c>
      <c r="D65">
        <v>6</v>
      </c>
      <c r="E65">
        <v>5</v>
      </c>
      <c r="F65" s="32">
        <f t="shared" si="1"/>
        <v>1</v>
      </c>
      <c r="G65">
        <v>7</v>
      </c>
      <c r="H65">
        <v>4</v>
      </c>
      <c r="I65" s="32">
        <f t="shared" si="2"/>
        <v>3</v>
      </c>
      <c r="J65">
        <v>8</v>
      </c>
      <c r="K65">
        <v>5</v>
      </c>
      <c r="L65" s="32">
        <f t="shared" si="3"/>
        <v>3</v>
      </c>
      <c r="M65">
        <v>7</v>
      </c>
      <c r="N65">
        <v>5</v>
      </c>
      <c r="O65" s="32">
        <f t="shared" si="4"/>
        <v>2</v>
      </c>
      <c r="P65">
        <v>8</v>
      </c>
      <c r="Q65">
        <v>4</v>
      </c>
      <c r="R65" s="32">
        <f t="shared" si="5"/>
        <v>4</v>
      </c>
      <c r="S65">
        <v>7</v>
      </c>
      <c r="T65">
        <v>4</v>
      </c>
      <c r="U65" s="32">
        <f t="shared" si="6"/>
        <v>3</v>
      </c>
      <c r="V65">
        <v>6</v>
      </c>
      <c r="W65">
        <v>5</v>
      </c>
      <c r="X65" s="32">
        <f t="shared" si="7"/>
        <v>1</v>
      </c>
      <c r="Y65">
        <v>8</v>
      </c>
      <c r="Z65">
        <v>5</v>
      </c>
      <c r="AA65" s="32">
        <f t="shared" si="8"/>
        <v>3</v>
      </c>
    </row>
    <row r="66" spans="1:27" x14ac:dyDescent="0.45">
      <c r="A66">
        <v>6</v>
      </c>
      <c r="B66">
        <v>5</v>
      </c>
      <c r="C66" s="32">
        <f t="shared" si="0"/>
        <v>1</v>
      </c>
      <c r="D66">
        <v>6</v>
      </c>
      <c r="E66">
        <v>5</v>
      </c>
      <c r="F66" s="32">
        <f t="shared" si="1"/>
        <v>1</v>
      </c>
      <c r="G66">
        <v>7</v>
      </c>
      <c r="H66">
        <v>4</v>
      </c>
      <c r="I66" s="32">
        <f t="shared" si="2"/>
        <v>3</v>
      </c>
      <c r="J66">
        <v>8</v>
      </c>
      <c r="K66">
        <v>5</v>
      </c>
      <c r="L66" s="32">
        <f t="shared" si="3"/>
        <v>3</v>
      </c>
      <c r="M66">
        <v>7</v>
      </c>
      <c r="N66">
        <v>5</v>
      </c>
      <c r="O66" s="32">
        <f t="shared" si="4"/>
        <v>2</v>
      </c>
      <c r="P66">
        <v>8</v>
      </c>
      <c r="Q66">
        <v>4</v>
      </c>
      <c r="R66" s="32">
        <f t="shared" si="5"/>
        <v>4</v>
      </c>
      <c r="S66">
        <v>7</v>
      </c>
      <c r="T66">
        <v>4</v>
      </c>
      <c r="U66" s="32">
        <f t="shared" si="6"/>
        <v>3</v>
      </c>
      <c r="V66">
        <v>6</v>
      </c>
      <c r="W66">
        <v>5</v>
      </c>
      <c r="X66" s="32">
        <f t="shared" si="7"/>
        <v>1</v>
      </c>
      <c r="Y66">
        <v>8</v>
      </c>
      <c r="Z66">
        <v>5</v>
      </c>
      <c r="AA66" s="32">
        <f t="shared" si="8"/>
        <v>3</v>
      </c>
    </row>
    <row r="67" spans="1:27" x14ac:dyDescent="0.45">
      <c r="A67">
        <v>6</v>
      </c>
      <c r="B67">
        <v>5</v>
      </c>
      <c r="C67" s="32">
        <f t="shared" ref="C67:C130" si="9">ABS(B67-A67)</f>
        <v>1</v>
      </c>
      <c r="D67">
        <v>6</v>
      </c>
      <c r="E67">
        <v>5</v>
      </c>
      <c r="F67" s="32">
        <f t="shared" ref="F67:F130" si="10">ABS(E67-D67)</f>
        <v>1</v>
      </c>
      <c r="G67">
        <v>7</v>
      </c>
      <c r="H67">
        <v>4</v>
      </c>
      <c r="I67" s="32">
        <f t="shared" ref="I67:I130" si="11">ABS(H67-G67)</f>
        <v>3</v>
      </c>
      <c r="J67">
        <v>8</v>
      </c>
      <c r="K67">
        <v>5</v>
      </c>
      <c r="L67" s="32">
        <f t="shared" ref="L67:L130" si="12">ABS(K67-J67)</f>
        <v>3</v>
      </c>
      <c r="M67">
        <v>7</v>
      </c>
      <c r="N67">
        <v>5</v>
      </c>
      <c r="O67" s="32">
        <f t="shared" ref="O67:O130" si="13">ABS(N67-M67)</f>
        <v>2</v>
      </c>
      <c r="P67">
        <v>8</v>
      </c>
      <c r="Q67">
        <v>4</v>
      </c>
      <c r="R67" s="32">
        <f t="shared" ref="R67:R130" si="14">ABS(Q67-P67)</f>
        <v>4</v>
      </c>
      <c r="S67">
        <v>7</v>
      </c>
      <c r="T67">
        <v>4</v>
      </c>
      <c r="U67" s="32">
        <f t="shared" ref="U67:U130" si="15">ABS(T67-S67)</f>
        <v>3</v>
      </c>
      <c r="V67">
        <v>6</v>
      </c>
      <c r="W67">
        <v>5</v>
      </c>
      <c r="X67" s="32">
        <f t="shared" ref="X67:X130" si="16">ABS(W67-V67)</f>
        <v>1</v>
      </c>
      <c r="Y67">
        <v>8</v>
      </c>
      <c r="Z67">
        <v>5</v>
      </c>
      <c r="AA67" s="32">
        <f t="shared" ref="AA67:AA130" si="17">ABS(Z67-Y67)</f>
        <v>3</v>
      </c>
    </row>
    <row r="68" spans="1:27" x14ac:dyDescent="0.45">
      <c r="A68">
        <v>6</v>
      </c>
      <c r="B68">
        <v>5</v>
      </c>
      <c r="C68" s="32">
        <f t="shared" si="9"/>
        <v>1</v>
      </c>
      <c r="D68">
        <v>6</v>
      </c>
      <c r="E68">
        <v>5</v>
      </c>
      <c r="F68" s="32">
        <f t="shared" si="10"/>
        <v>1</v>
      </c>
      <c r="G68">
        <v>7</v>
      </c>
      <c r="H68">
        <v>4</v>
      </c>
      <c r="I68" s="32">
        <f t="shared" si="11"/>
        <v>3</v>
      </c>
      <c r="J68">
        <v>8</v>
      </c>
      <c r="K68">
        <v>5</v>
      </c>
      <c r="L68" s="32">
        <f t="shared" si="12"/>
        <v>3</v>
      </c>
      <c r="M68">
        <v>7</v>
      </c>
      <c r="N68">
        <v>5</v>
      </c>
      <c r="O68" s="32">
        <f t="shared" si="13"/>
        <v>2</v>
      </c>
      <c r="P68">
        <v>8</v>
      </c>
      <c r="Q68">
        <v>4</v>
      </c>
      <c r="R68" s="32">
        <f t="shared" si="14"/>
        <v>4</v>
      </c>
      <c r="S68">
        <v>7</v>
      </c>
      <c r="T68">
        <v>4</v>
      </c>
      <c r="U68" s="32">
        <f t="shared" si="15"/>
        <v>3</v>
      </c>
      <c r="V68">
        <v>6</v>
      </c>
      <c r="W68">
        <v>5</v>
      </c>
      <c r="X68" s="32">
        <f t="shared" si="16"/>
        <v>1</v>
      </c>
      <c r="Y68">
        <v>8</v>
      </c>
      <c r="Z68">
        <v>5</v>
      </c>
      <c r="AA68" s="32">
        <f t="shared" si="17"/>
        <v>3</v>
      </c>
    </row>
    <row r="69" spans="1:27" x14ac:dyDescent="0.45">
      <c r="A69">
        <v>6</v>
      </c>
      <c r="B69">
        <v>5</v>
      </c>
      <c r="C69" s="32">
        <f t="shared" si="9"/>
        <v>1</v>
      </c>
      <c r="D69">
        <v>6</v>
      </c>
      <c r="E69">
        <v>5</v>
      </c>
      <c r="F69" s="32">
        <f t="shared" si="10"/>
        <v>1</v>
      </c>
      <c r="G69">
        <v>7</v>
      </c>
      <c r="H69">
        <v>4</v>
      </c>
      <c r="I69" s="32">
        <f t="shared" si="11"/>
        <v>3</v>
      </c>
      <c r="J69">
        <v>8</v>
      </c>
      <c r="K69">
        <v>5</v>
      </c>
      <c r="L69" s="32">
        <f t="shared" si="12"/>
        <v>3</v>
      </c>
      <c r="M69">
        <v>7</v>
      </c>
      <c r="N69">
        <v>5</v>
      </c>
      <c r="O69" s="32">
        <f t="shared" si="13"/>
        <v>2</v>
      </c>
      <c r="P69">
        <v>8</v>
      </c>
      <c r="Q69">
        <v>4</v>
      </c>
      <c r="R69" s="32">
        <f t="shared" si="14"/>
        <v>4</v>
      </c>
      <c r="S69">
        <v>7</v>
      </c>
      <c r="T69">
        <v>4</v>
      </c>
      <c r="U69" s="32">
        <f t="shared" si="15"/>
        <v>3</v>
      </c>
      <c r="V69">
        <v>6</v>
      </c>
      <c r="W69">
        <v>5</v>
      </c>
      <c r="X69" s="32">
        <f t="shared" si="16"/>
        <v>1</v>
      </c>
      <c r="Y69">
        <v>8</v>
      </c>
      <c r="Z69">
        <v>5</v>
      </c>
      <c r="AA69" s="32">
        <f t="shared" si="17"/>
        <v>3</v>
      </c>
    </row>
    <row r="70" spans="1:27" x14ac:dyDescent="0.45">
      <c r="A70">
        <v>6</v>
      </c>
      <c r="B70">
        <v>5</v>
      </c>
      <c r="C70" s="32">
        <f t="shared" si="9"/>
        <v>1</v>
      </c>
      <c r="D70">
        <v>6</v>
      </c>
      <c r="E70">
        <v>5</v>
      </c>
      <c r="F70" s="32">
        <f t="shared" si="10"/>
        <v>1</v>
      </c>
      <c r="G70">
        <v>7</v>
      </c>
      <c r="H70">
        <v>4</v>
      </c>
      <c r="I70" s="32">
        <f t="shared" si="11"/>
        <v>3</v>
      </c>
      <c r="J70">
        <v>8</v>
      </c>
      <c r="K70">
        <v>5</v>
      </c>
      <c r="L70" s="32">
        <f t="shared" si="12"/>
        <v>3</v>
      </c>
      <c r="M70">
        <v>7</v>
      </c>
      <c r="N70">
        <v>5</v>
      </c>
      <c r="O70" s="32">
        <f t="shared" si="13"/>
        <v>2</v>
      </c>
      <c r="P70">
        <v>8</v>
      </c>
      <c r="Q70">
        <v>4</v>
      </c>
      <c r="R70" s="32">
        <f t="shared" si="14"/>
        <v>4</v>
      </c>
      <c r="S70">
        <v>7</v>
      </c>
      <c r="T70">
        <v>4</v>
      </c>
      <c r="U70" s="32">
        <f t="shared" si="15"/>
        <v>3</v>
      </c>
      <c r="V70">
        <v>6</v>
      </c>
      <c r="W70">
        <v>5</v>
      </c>
      <c r="X70" s="32">
        <f t="shared" si="16"/>
        <v>1</v>
      </c>
      <c r="Y70">
        <v>8</v>
      </c>
      <c r="Z70">
        <v>5</v>
      </c>
      <c r="AA70" s="32">
        <f t="shared" si="17"/>
        <v>3</v>
      </c>
    </row>
    <row r="71" spans="1:27" x14ac:dyDescent="0.45">
      <c r="A71">
        <v>6</v>
      </c>
      <c r="B71">
        <v>5</v>
      </c>
      <c r="C71" s="32">
        <f t="shared" si="9"/>
        <v>1</v>
      </c>
      <c r="D71">
        <v>6</v>
      </c>
      <c r="E71">
        <v>5</v>
      </c>
      <c r="F71" s="32">
        <f t="shared" si="10"/>
        <v>1</v>
      </c>
      <c r="G71">
        <v>7</v>
      </c>
      <c r="H71">
        <v>4</v>
      </c>
      <c r="I71" s="32">
        <f t="shared" si="11"/>
        <v>3</v>
      </c>
      <c r="J71">
        <v>8</v>
      </c>
      <c r="K71">
        <v>5</v>
      </c>
      <c r="L71" s="32">
        <f t="shared" si="12"/>
        <v>3</v>
      </c>
      <c r="M71">
        <v>7</v>
      </c>
      <c r="N71">
        <v>5</v>
      </c>
      <c r="O71" s="32">
        <f t="shared" si="13"/>
        <v>2</v>
      </c>
      <c r="P71">
        <v>8</v>
      </c>
      <c r="Q71">
        <v>4</v>
      </c>
      <c r="R71" s="32">
        <f t="shared" si="14"/>
        <v>4</v>
      </c>
      <c r="S71">
        <v>7</v>
      </c>
      <c r="T71">
        <v>4</v>
      </c>
      <c r="U71" s="32">
        <f t="shared" si="15"/>
        <v>3</v>
      </c>
      <c r="V71">
        <v>6</v>
      </c>
      <c r="W71">
        <v>5</v>
      </c>
      <c r="X71" s="32">
        <f t="shared" si="16"/>
        <v>1</v>
      </c>
      <c r="Y71">
        <v>8</v>
      </c>
      <c r="Z71">
        <v>5</v>
      </c>
      <c r="AA71" s="32">
        <f t="shared" si="17"/>
        <v>3</v>
      </c>
    </row>
    <row r="72" spans="1:27" x14ac:dyDescent="0.45">
      <c r="A72">
        <v>6</v>
      </c>
      <c r="B72">
        <v>5</v>
      </c>
      <c r="C72" s="32">
        <f t="shared" si="9"/>
        <v>1</v>
      </c>
      <c r="D72">
        <v>6</v>
      </c>
      <c r="E72">
        <v>5</v>
      </c>
      <c r="F72" s="32">
        <f t="shared" si="10"/>
        <v>1</v>
      </c>
      <c r="G72">
        <v>7</v>
      </c>
      <c r="H72">
        <v>4</v>
      </c>
      <c r="I72" s="32">
        <f t="shared" si="11"/>
        <v>3</v>
      </c>
      <c r="J72">
        <v>8</v>
      </c>
      <c r="K72">
        <v>5</v>
      </c>
      <c r="L72" s="32">
        <f t="shared" si="12"/>
        <v>3</v>
      </c>
      <c r="M72">
        <v>7</v>
      </c>
      <c r="N72">
        <v>5</v>
      </c>
      <c r="O72" s="32">
        <f t="shared" si="13"/>
        <v>2</v>
      </c>
      <c r="P72">
        <v>8</v>
      </c>
      <c r="Q72">
        <v>5</v>
      </c>
      <c r="R72" s="32">
        <f t="shared" si="14"/>
        <v>3</v>
      </c>
      <c r="S72">
        <v>7</v>
      </c>
      <c r="T72">
        <v>4</v>
      </c>
      <c r="U72" s="32">
        <f t="shared" si="15"/>
        <v>3</v>
      </c>
      <c r="V72">
        <v>6</v>
      </c>
      <c r="W72">
        <v>5</v>
      </c>
      <c r="X72" s="32">
        <f t="shared" si="16"/>
        <v>1</v>
      </c>
      <c r="Y72">
        <v>8</v>
      </c>
      <c r="Z72">
        <v>5</v>
      </c>
      <c r="AA72" s="32">
        <f t="shared" si="17"/>
        <v>3</v>
      </c>
    </row>
    <row r="73" spans="1:27" x14ac:dyDescent="0.45">
      <c r="A73">
        <v>6</v>
      </c>
      <c r="B73">
        <v>5</v>
      </c>
      <c r="C73" s="32">
        <f t="shared" si="9"/>
        <v>1</v>
      </c>
      <c r="D73">
        <v>6</v>
      </c>
      <c r="E73">
        <v>5</v>
      </c>
      <c r="F73" s="32">
        <f t="shared" si="10"/>
        <v>1</v>
      </c>
      <c r="G73">
        <v>7</v>
      </c>
      <c r="H73">
        <v>4</v>
      </c>
      <c r="I73" s="32">
        <f t="shared" si="11"/>
        <v>3</v>
      </c>
      <c r="J73">
        <v>8</v>
      </c>
      <c r="K73">
        <v>5</v>
      </c>
      <c r="L73" s="32">
        <f t="shared" si="12"/>
        <v>3</v>
      </c>
      <c r="M73">
        <v>7</v>
      </c>
      <c r="N73">
        <v>5</v>
      </c>
      <c r="O73" s="32">
        <f t="shared" si="13"/>
        <v>2</v>
      </c>
      <c r="P73">
        <v>8</v>
      </c>
      <c r="Q73">
        <v>5</v>
      </c>
      <c r="R73" s="32">
        <f t="shared" si="14"/>
        <v>3</v>
      </c>
      <c r="S73">
        <v>7</v>
      </c>
      <c r="T73">
        <v>4</v>
      </c>
      <c r="U73" s="32">
        <f t="shared" si="15"/>
        <v>3</v>
      </c>
      <c r="V73">
        <v>6</v>
      </c>
      <c r="W73">
        <v>5</v>
      </c>
      <c r="X73" s="32">
        <f t="shared" si="16"/>
        <v>1</v>
      </c>
      <c r="Y73">
        <v>8</v>
      </c>
      <c r="Z73">
        <v>5</v>
      </c>
      <c r="AA73" s="32">
        <f t="shared" si="17"/>
        <v>3</v>
      </c>
    </row>
    <row r="74" spans="1:27" x14ac:dyDescent="0.45">
      <c r="A74">
        <v>6</v>
      </c>
      <c r="B74">
        <v>5</v>
      </c>
      <c r="C74" s="32">
        <f t="shared" si="9"/>
        <v>1</v>
      </c>
      <c r="D74">
        <v>6</v>
      </c>
      <c r="E74">
        <v>5</v>
      </c>
      <c r="F74" s="32">
        <f t="shared" si="10"/>
        <v>1</v>
      </c>
      <c r="G74">
        <v>7</v>
      </c>
      <c r="H74">
        <v>4</v>
      </c>
      <c r="I74" s="32">
        <f t="shared" si="11"/>
        <v>3</v>
      </c>
      <c r="J74">
        <v>8</v>
      </c>
      <c r="K74">
        <v>5</v>
      </c>
      <c r="L74" s="32">
        <f t="shared" si="12"/>
        <v>3</v>
      </c>
      <c r="M74">
        <v>7</v>
      </c>
      <c r="N74">
        <v>5</v>
      </c>
      <c r="O74" s="32">
        <f t="shared" si="13"/>
        <v>2</v>
      </c>
      <c r="P74">
        <v>8</v>
      </c>
      <c r="Q74">
        <v>5</v>
      </c>
      <c r="R74" s="32">
        <f t="shared" si="14"/>
        <v>3</v>
      </c>
      <c r="S74">
        <v>7</v>
      </c>
      <c r="T74">
        <v>5</v>
      </c>
      <c r="U74" s="32">
        <f t="shared" si="15"/>
        <v>2</v>
      </c>
      <c r="V74">
        <v>6</v>
      </c>
      <c r="W74">
        <v>5</v>
      </c>
      <c r="X74" s="32">
        <f t="shared" si="16"/>
        <v>1</v>
      </c>
      <c r="Y74">
        <v>8</v>
      </c>
      <c r="Z74">
        <v>5</v>
      </c>
      <c r="AA74" s="32">
        <f t="shared" si="17"/>
        <v>3</v>
      </c>
    </row>
    <row r="75" spans="1:27" x14ac:dyDescent="0.45">
      <c r="A75">
        <v>6</v>
      </c>
      <c r="B75">
        <v>5</v>
      </c>
      <c r="C75" s="32">
        <f t="shared" si="9"/>
        <v>1</v>
      </c>
      <c r="D75">
        <v>6</v>
      </c>
      <c r="E75">
        <v>5</v>
      </c>
      <c r="F75" s="32">
        <f t="shared" si="10"/>
        <v>1</v>
      </c>
      <c r="G75">
        <v>7</v>
      </c>
      <c r="H75">
        <v>4</v>
      </c>
      <c r="I75" s="32">
        <f t="shared" si="11"/>
        <v>3</v>
      </c>
      <c r="J75">
        <v>8</v>
      </c>
      <c r="K75">
        <v>5</v>
      </c>
      <c r="L75" s="32">
        <f t="shared" si="12"/>
        <v>3</v>
      </c>
      <c r="M75">
        <v>7</v>
      </c>
      <c r="N75">
        <v>5</v>
      </c>
      <c r="O75" s="32">
        <f t="shared" si="13"/>
        <v>2</v>
      </c>
      <c r="P75">
        <v>8</v>
      </c>
      <c r="Q75">
        <v>5</v>
      </c>
      <c r="R75" s="32">
        <f t="shared" si="14"/>
        <v>3</v>
      </c>
      <c r="S75">
        <v>7</v>
      </c>
      <c r="T75">
        <v>5</v>
      </c>
      <c r="U75" s="32">
        <f t="shared" si="15"/>
        <v>2</v>
      </c>
      <c r="V75">
        <v>6</v>
      </c>
      <c r="W75">
        <v>5</v>
      </c>
      <c r="X75" s="32">
        <f t="shared" si="16"/>
        <v>1</v>
      </c>
      <c r="Y75">
        <v>8</v>
      </c>
      <c r="Z75">
        <v>5</v>
      </c>
      <c r="AA75" s="32">
        <f t="shared" si="17"/>
        <v>3</v>
      </c>
    </row>
    <row r="76" spans="1:27" x14ac:dyDescent="0.45">
      <c r="A76">
        <v>6</v>
      </c>
      <c r="B76">
        <v>5</v>
      </c>
      <c r="C76" s="32">
        <f t="shared" si="9"/>
        <v>1</v>
      </c>
      <c r="D76">
        <v>6</v>
      </c>
      <c r="E76">
        <v>5</v>
      </c>
      <c r="F76" s="32">
        <f t="shared" si="10"/>
        <v>1</v>
      </c>
      <c r="G76">
        <v>7</v>
      </c>
      <c r="H76">
        <v>4</v>
      </c>
      <c r="I76" s="32">
        <f t="shared" si="11"/>
        <v>3</v>
      </c>
      <c r="J76">
        <v>8</v>
      </c>
      <c r="K76">
        <v>5</v>
      </c>
      <c r="L76" s="32">
        <f t="shared" si="12"/>
        <v>3</v>
      </c>
      <c r="M76">
        <v>7</v>
      </c>
      <c r="N76">
        <v>5</v>
      </c>
      <c r="O76" s="32">
        <f t="shared" si="13"/>
        <v>2</v>
      </c>
      <c r="P76">
        <v>8</v>
      </c>
      <c r="Q76">
        <v>5</v>
      </c>
      <c r="R76" s="32">
        <f t="shared" si="14"/>
        <v>3</v>
      </c>
      <c r="S76">
        <v>7</v>
      </c>
      <c r="T76">
        <v>5</v>
      </c>
      <c r="U76" s="32">
        <f t="shared" si="15"/>
        <v>2</v>
      </c>
      <c r="V76">
        <v>6</v>
      </c>
      <c r="W76">
        <v>5</v>
      </c>
      <c r="X76" s="32">
        <f t="shared" si="16"/>
        <v>1</v>
      </c>
      <c r="Y76">
        <v>8</v>
      </c>
      <c r="Z76">
        <v>5</v>
      </c>
      <c r="AA76" s="32">
        <f t="shared" si="17"/>
        <v>3</v>
      </c>
    </row>
    <row r="77" spans="1:27" x14ac:dyDescent="0.45">
      <c r="A77">
        <v>6</v>
      </c>
      <c r="B77">
        <v>5</v>
      </c>
      <c r="C77" s="32">
        <f t="shared" si="9"/>
        <v>1</v>
      </c>
      <c r="D77">
        <v>6</v>
      </c>
      <c r="E77">
        <v>5</v>
      </c>
      <c r="F77" s="32">
        <f t="shared" si="10"/>
        <v>1</v>
      </c>
      <c r="G77">
        <v>7</v>
      </c>
      <c r="H77">
        <v>4</v>
      </c>
      <c r="I77" s="32">
        <f t="shared" si="11"/>
        <v>3</v>
      </c>
      <c r="J77">
        <v>8</v>
      </c>
      <c r="K77">
        <v>6</v>
      </c>
      <c r="L77" s="32">
        <f t="shared" si="12"/>
        <v>2</v>
      </c>
      <c r="M77">
        <v>7</v>
      </c>
      <c r="N77">
        <v>5</v>
      </c>
      <c r="O77" s="32">
        <f t="shared" si="13"/>
        <v>2</v>
      </c>
      <c r="P77">
        <v>8</v>
      </c>
      <c r="Q77">
        <v>5</v>
      </c>
      <c r="R77" s="32">
        <f t="shared" si="14"/>
        <v>3</v>
      </c>
      <c r="S77">
        <v>7</v>
      </c>
      <c r="T77">
        <v>5</v>
      </c>
      <c r="U77" s="32">
        <f t="shared" si="15"/>
        <v>2</v>
      </c>
      <c r="V77">
        <v>7</v>
      </c>
      <c r="W77">
        <v>5</v>
      </c>
      <c r="X77" s="32">
        <f t="shared" si="16"/>
        <v>2</v>
      </c>
      <c r="Y77">
        <v>8</v>
      </c>
      <c r="Z77">
        <v>5</v>
      </c>
      <c r="AA77" s="32">
        <f t="shared" si="17"/>
        <v>3</v>
      </c>
    </row>
    <row r="78" spans="1:27" x14ac:dyDescent="0.45">
      <c r="A78">
        <v>6</v>
      </c>
      <c r="B78">
        <v>5</v>
      </c>
      <c r="C78" s="32">
        <f t="shared" si="9"/>
        <v>1</v>
      </c>
      <c r="D78">
        <v>6</v>
      </c>
      <c r="E78">
        <v>5</v>
      </c>
      <c r="F78" s="32">
        <f t="shared" si="10"/>
        <v>1</v>
      </c>
      <c r="G78">
        <v>7</v>
      </c>
      <c r="H78">
        <v>4</v>
      </c>
      <c r="I78" s="32">
        <f t="shared" si="11"/>
        <v>3</v>
      </c>
      <c r="J78">
        <v>8</v>
      </c>
      <c r="K78">
        <v>6</v>
      </c>
      <c r="L78" s="32">
        <f t="shared" si="12"/>
        <v>2</v>
      </c>
      <c r="M78">
        <v>7</v>
      </c>
      <c r="N78">
        <v>5</v>
      </c>
      <c r="O78" s="32">
        <f t="shared" si="13"/>
        <v>2</v>
      </c>
      <c r="P78">
        <v>8</v>
      </c>
      <c r="Q78">
        <v>5</v>
      </c>
      <c r="R78" s="32">
        <f t="shared" si="14"/>
        <v>3</v>
      </c>
      <c r="S78">
        <v>7</v>
      </c>
      <c r="T78">
        <v>5</v>
      </c>
      <c r="U78" s="32">
        <f t="shared" si="15"/>
        <v>2</v>
      </c>
      <c r="V78">
        <v>7</v>
      </c>
      <c r="W78">
        <v>5</v>
      </c>
      <c r="X78" s="32">
        <f t="shared" si="16"/>
        <v>2</v>
      </c>
      <c r="Y78">
        <v>8</v>
      </c>
      <c r="Z78">
        <v>5</v>
      </c>
      <c r="AA78" s="32">
        <f t="shared" si="17"/>
        <v>3</v>
      </c>
    </row>
    <row r="79" spans="1:27" x14ac:dyDescent="0.45">
      <c r="A79">
        <v>6</v>
      </c>
      <c r="B79">
        <v>5</v>
      </c>
      <c r="C79" s="32">
        <f t="shared" si="9"/>
        <v>1</v>
      </c>
      <c r="D79">
        <v>6</v>
      </c>
      <c r="E79">
        <v>5</v>
      </c>
      <c r="F79" s="32">
        <f t="shared" si="10"/>
        <v>1</v>
      </c>
      <c r="G79">
        <v>7</v>
      </c>
      <c r="H79">
        <v>4</v>
      </c>
      <c r="I79" s="32">
        <f t="shared" si="11"/>
        <v>3</v>
      </c>
      <c r="J79">
        <v>8</v>
      </c>
      <c r="K79">
        <v>6</v>
      </c>
      <c r="L79" s="32">
        <f t="shared" si="12"/>
        <v>2</v>
      </c>
      <c r="M79">
        <v>7</v>
      </c>
      <c r="N79">
        <v>5</v>
      </c>
      <c r="O79" s="32">
        <f t="shared" si="13"/>
        <v>2</v>
      </c>
      <c r="P79">
        <v>8</v>
      </c>
      <c r="Q79">
        <v>5</v>
      </c>
      <c r="R79" s="32">
        <f t="shared" si="14"/>
        <v>3</v>
      </c>
      <c r="S79">
        <v>7</v>
      </c>
      <c r="T79">
        <v>5</v>
      </c>
      <c r="U79" s="32">
        <f t="shared" si="15"/>
        <v>2</v>
      </c>
      <c r="V79">
        <v>7</v>
      </c>
      <c r="W79">
        <v>5</v>
      </c>
      <c r="X79" s="32">
        <f t="shared" si="16"/>
        <v>2</v>
      </c>
      <c r="Y79">
        <v>8</v>
      </c>
      <c r="Z79">
        <v>5</v>
      </c>
      <c r="AA79" s="32">
        <f t="shared" si="17"/>
        <v>3</v>
      </c>
    </row>
    <row r="80" spans="1:27" x14ac:dyDescent="0.45">
      <c r="A80">
        <v>6</v>
      </c>
      <c r="B80">
        <v>5</v>
      </c>
      <c r="C80" s="32">
        <f t="shared" si="9"/>
        <v>1</v>
      </c>
      <c r="D80">
        <v>6</v>
      </c>
      <c r="E80">
        <v>5</v>
      </c>
      <c r="F80" s="32">
        <f t="shared" si="10"/>
        <v>1</v>
      </c>
      <c r="G80">
        <v>7</v>
      </c>
      <c r="H80">
        <v>4</v>
      </c>
      <c r="I80" s="32">
        <f t="shared" si="11"/>
        <v>3</v>
      </c>
      <c r="J80">
        <v>8</v>
      </c>
      <c r="K80">
        <v>6</v>
      </c>
      <c r="L80" s="32">
        <f t="shared" si="12"/>
        <v>2</v>
      </c>
      <c r="M80">
        <v>7</v>
      </c>
      <c r="N80">
        <v>5</v>
      </c>
      <c r="O80" s="32">
        <f t="shared" si="13"/>
        <v>2</v>
      </c>
      <c r="P80">
        <v>8</v>
      </c>
      <c r="Q80">
        <v>5</v>
      </c>
      <c r="R80" s="32">
        <f t="shared" si="14"/>
        <v>3</v>
      </c>
      <c r="S80">
        <v>7</v>
      </c>
      <c r="T80">
        <v>5</v>
      </c>
      <c r="U80" s="32">
        <f t="shared" si="15"/>
        <v>2</v>
      </c>
      <c r="V80">
        <v>7</v>
      </c>
      <c r="W80">
        <v>5</v>
      </c>
      <c r="X80" s="32">
        <f t="shared" si="16"/>
        <v>2</v>
      </c>
      <c r="Y80">
        <v>8</v>
      </c>
      <c r="Z80">
        <v>5</v>
      </c>
      <c r="AA80" s="32">
        <f t="shared" si="17"/>
        <v>3</v>
      </c>
    </row>
    <row r="81" spans="1:27" x14ac:dyDescent="0.45">
      <c r="A81">
        <v>6</v>
      </c>
      <c r="B81">
        <v>5</v>
      </c>
      <c r="C81" s="32">
        <f t="shared" si="9"/>
        <v>1</v>
      </c>
      <c r="D81">
        <v>6</v>
      </c>
      <c r="E81">
        <v>5</v>
      </c>
      <c r="F81" s="32">
        <f t="shared" si="10"/>
        <v>1</v>
      </c>
      <c r="G81">
        <v>7</v>
      </c>
      <c r="H81">
        <v>4</v>
      </c>
      <c r="I81" s="32">
        <f t="shared" si="11"/>
        <v>3</v>
      </c>
      <c r="J81">
        <v>8</v>
      </c>
      <c r="K81">
        <v>6</v>
      </c>
      <c r="L81" s="32">
        <f t="shared" si="12"/>
        <v>2</v>
      </c>
      <c r="M81">
        <v>7</v>
      </c>
      <c r="N81">
        <v>5</v>
      </c>
      <c r="O81" s="32">
        <f t="shared" si="13"/>
        <v>2</v>
      </c>
      <c r="P81">
        <v>8</v>
      </c>
      <c r="Q81">
        <v>5</v>
      </c>
      <c r="R81" s="32">
        <f t="shared" si="14"/>
        <v>3</v>
      </c>
      <c r="S81">
        <v>7</v>
      </c>
      <c r="T81">
        <v>5</v>
      </c>
      <c r="U81" s="32">
        <f t="shared" si="15"/>
        <v>2</v>
      </c>
      <c r="V81">
        <v>7</v>
      </c>
      <c r="W81">
        <v>5</v>
      </c>
      <c r="X81" s="32">
        <f t="shared" si="16"/>
        <v>2</v>
      </c>
      <c r="Y81">
        <v>8</v>
      </c>
      <c r="Z81">
        <v>5</v>
      </c>
      <c r="AA81" s="32">
        <f t="shared" si="17"/>
        <v>3</v>
      </c>
    </row>
    <row r="82" spans="1:27" x14ac:dyDescent="0.45">
      <c r="A82">
        <v>6</v>
      </c>
      <c r="B82">
        <v>5</v>
      </c>
      <c r="C82" s="32">
        <f t="shared" si="9"/>
        <v>1</v>
      </c>
      <c r="D82">
        <v>6</v>
      </c>
      <c r="E82">
        <v>5</v>
      </c>
      <c r="F82" s="32">
        <f t="shared" si="10"/>
        <v>1</v>
      </c>
      <c r="G82">
        <v>7</v>
      </c>
      <c r="H82">
        <v>4</v>
      </c>
      <c r="I82" s="32">
        <f t="shared" si="11"/>
        <v>3</v>
      </c>
      <c r="J82">
        <v>8</v>
      </c>
      <c r="K82">
        <v>6</v>
      </c>
      <c r="L82" s="32">
        <f t="shared" si="12"/>
        <v>2</v>
      </c>
      <c r="M82">
        <v>7</v>
      </c>
      <c r="N82">
        <v>5</v>
      </c>
      <c r="O82" s="32">
        <f t="shared" si="13"/>
        <v>2</v>
      </c>
      <c r="P82">
        <v>8</v>
      </c>
      <c r="Q82">
        <v>5</v>
      </c>
      <c r="R82" s="32">
        <f t="shared" si="14"/>
        <v>3</v>
      </c>
      <c r="S82">
        <v>7</v>
      </c>
      <c r="T82">
        <v>5</v>
      </c>
      <c r="U82" s="32">
        <f t="shared" si="15"/>
        <v>2</v>
      </c>
      <c r="V82">
        <v>7</v>
      </c>
      <c r="W82">
        <v>5</v>
      </c>
      <c r="X82" s="32">
        <f t="shared" si="16"/>
        <v>2</v>
      </c>
      <c r="Y82">
        <v>8</v>
      </c>
      <c r="Z82">
        <v>5</v>
      </c>
      <c r="AA82" s="32">
        <f t="shared" si="17"/>
        <v>3</v>
      </c>
    </row>
    <row r="83" spans="1:27" x14ac:dyDescent="0.45">
      <c r="A83">
        <v>6</v>
      </c>
      <c r="B83">
        <v>5</v>
      </c>
      <c r="C83" s="32">
        <f t="shared" si="9"/>
        <v>1</v>
      </c>
      <c r="D83">
        <v>6</v>
      </c>
      <c r="E83">
        <v>5</v>
      </c>
      <c r="F83" s="32">
        <f t="shared" si="10"/>
        <v>1</v>
      </c>
      <c r="G83">
        <v>7</v>
      </c>
      <c r="H83">
        <v>4</v>
      </c>
      <c r="I83" s="32">
        <f t="shared" si="11"/>
        <v>3</v>
      </c>
      <c r="J83">
        <v>8</v>
      </c>
      <c r="K83">
        <v>6</v>
      </c>
      <c r="L83" s="32">
        <f t="shared" si="12"/>
        <v>2</v>
      </c>
      <c r="M83">
        <v>7</v>
      </c>
      <c r="N83">
        <v>5</v>
      </c>
      <c r="O83" s="32">
        <f t="shared" si="13"/>
        <v>2</v>
      </c>
      <c r="P83">
        <v>8</v>
      </c>
      <c r="Q83">
        <v>5</v>
      </c>
      <c r="R83" s="32">
        <f t="shared" si="14"/>
        <v>3</v>
      </c>
      <c r="S83">
        <v>7</v>
      </c>
      <c r="T83">
        <v>5</v>
      </c>
      <c r="U83" s="32">
        <f t="shared" si="15"/>
        <v>2</v>
      </c>
      <c r="V83">
        <v>7</v>
      </c>
      <c r="W83">
        <v>5</v>
      </c>
      <c r="X83" s="32">
        <f t="shared" si="16"/>
        <v>2</v>
      </c>
      <c r="Y83">
        <v>8</v>
      </c>
      <c r="Z83">
        <v>5</v>
      </c>
      <c r="AA83" s="32">
        <f t="shared" si="17"/>
        <v>3</v>
      </c>
    </row>
    <row r="84" spans="1:27" x14ac:dyDescent="0.45">
      <c r="A84">
        <v>6</v>
      </c>
      <c r="B84">
        <v>5</v>
      </c>
      <c r="C84" s="32">
        <f t="shared" si="9"/>
        <v>1</v>
      </c>
      <c r="D84">
        <v>6</v>
      </c>
      <c r="E84">
        <v>5</v>
      </c>
      <c r="F84" s="32">
        <f t="shared" si="10"/>
        <v>1</v>
      </c>
      <c r="G84">
        <v>7</v>
      </c>
      <c r="H84">
        <v>4</v>
      </c>
      <c r="I84" s="32">
        <f t="shared" si="11"/>
        <v>3</v>
      </c>
      <c r="J84">
        <v>8</v>
      </c>
      <c r="K84">
        <v>6</v>
      </c>
      <c r="L84" s="32">
        <f t="shared" si="12"/>
        <v>2</v>
      </c>
      <c r="M84">
        <v>7</v>
      </c>
      <c r="N84">
        <v>5</v>
      </c>
      <c r="O84" s="32">
        <f t="shared" si="13"/>
        <v>2</v>
      </c>
      <c r="P84">
        <v>8</v>
      </c>
      <c r="Q84">
        <v>5</v>
      </c>
      <c r="R84" s="32">
        <f t="shared" si="14"/>
        <v>3</v>
      </c>
      <c r="S84">
        <v>7</v>
      </c>
      <c r="T84">
        <v>5</v>
      </c>
      <c r="U84" s="32">
        <f t="shared" si="15"/>
        <v>2</v>
      </c>
      <c r="V84">
        <v>7</v>
      </c>
      <c r="W84">
        <v>5</v>
      </c>
      <c r="X84" s="32">
        <f t="shared" si="16"/>
        <v>2</v>
      </c>
      <c r="Y84">
        <v>8</v>
      </c>
      <c r="Z84">
        <v>5</v>
      </c>
      <c r="AA84" s="32">
        <f t="shared" si="17"/>
        <v>3</v>
      </c>
    </row>
    <row r="85" spans="1:27" x14ac:dyDescent="0.45">
      <c r="A85">
        <v>6</v>
      </c>
      <c r="B85">
        <v>5</v>
      </c>
      <c r="C85" s="32">
        <f t="shared" si="9"/>
        <v>1</v>
      </c>
      <c r="D85">
        <v>6</v>
      </c>
      <c r="E85">
        <v>5</v>
      </c>
      <c r="F85" s="32">
        <f t="shared" si="10"/>
        <v>1</v>
      </c>
      <c r="G85">
        <v>8</v>
      </c>
      <c r="H85">
        <v>5</v>
      </c>
      <c r="I85" s="32">
        <f t="shared" si="11"/>
        <v>3</v>
      </c>
      <c r="J85">
        <v>8</v>
      </c>
      <c r="K85">
        <v>6</v>
      </c>
      <c r="L85" s="32">
        <f t="shared" si="12"/>
        <v>2</v>
      </c>
      <c r="M85">
        <v>7</v>
      </c>
      <c r="N85">
        <v>5</v>
      </c>
      <c r="O85" s="32">
        <f t="shared" si="13"/>
        <v>2</v>
      </c>
      <c r="P85">
        <v>8</v>
      </c>
      <c r="Q85">
        <v>5</v>
      </c>
      <c r="R85" s="32">
        <f t="shared" si="14"/>
        <v>3</v>
      </c>
      <c r="S85">
        <v>7</v>
      </c>
      <c r="T85">
        <v>5</v>
      </c>
      <c r="U85" s="32">
        <f t="shared" si="15"/>
        <v>2</v>
      </c>
      <c r="V85">
        <v>7</v>
      </c>
      <c r="W85">
        <v>5</v>
      </c>
      <c r="X85" s="32">
        <f t="shared" si="16"/>
        <v>2</v>
      </c>
      <c r="Y85">
        <v>8</v>
      </c>
      <c r="Z85">
        <v>5</v>
      </c>
      <c r="AA85" s="32">
        <f t="shared" si="17"/>
        <v>3</v>
      </c>
    </row>
    <row r="86" spans="1:27" x14ac:dyDescent="0.45">
      <c r="A86">
        <v>6</v>
      </c>
      <c r="B86">
        <v>5</v>
      </c>
      <c r="C86" s="32">
        <f t="shared" si="9"/>
        <v>1</v>
      </c>
      <c r="D86">
        <v>6</v>
      </c>
      <c r="E86">
        <v>5</v>
      </c>
      <c r="F86" s="32">
        <f t="shared" si="10"/>
        <v>1</v>
      </c>
      <c r="G86">
        <v>8</v>
      </c>
      <c r="H86">
        <v>5</v>
      </c>
      <c r="I86" s="32">
        <f t="shared" si="11"/>
        <v>3</v>
      </c>
      <c r="J86">
        <v>8</v>
      </c>
      <c r="K86">
        <v>6</v>
      </c>
      <c r="L86" s="32">
        <f t="shared" si="12"/>
        <v>2</v>
      </c>
      <c r="M86">
        <v>7</v>
      </c>
      <c r="N86">
        <v>5</v>
      </c>
      <c r="O86" s="32">
        <f t="shared" si="13"/>
        <v>2</v>
      </c>
      <c r="P86">
        <v>8</v>
      </c>
      <c r="Q86">
        <v>5</v>
      </c>
      <c r="R86" s="32">
        <f t="shared" si="14"/>
        <v>3</v>
      </c>
      <c r="S86">
        <v>7</v>
      </c>
      <c r="T86">
        <v>5</v>
      </c>
      <c r="U86" s="32">
        <f t="shared" si="15"/>
        <v>2</v>
      </c>
      <c r="V86">
        <v>7</v>
      </c>
      <c r="W86">
        <v>5</v>
      </c>
      <c r="X86" s="32">
        <f t="shared" si="16"/>
        <v>2</v>
      </c>
      <c r="Y86">
        <v>8</v>
      </c>
      <c r="Z86">
        <v>5</v>
      </c>
      <c r="AA86" s="32">
        <f t="shared" si="17"/>
        <v>3</v>
      </c>
    </row>
    <row r="87" spans="1:27" x14ac:dyDescent="0.45">
      <c r="A87">
        <v>6</v>
      </c>
      <c r="B87">
        <v>5</v>
      </c>
      <c r="C87" s="32">
        <f t="shared" si="9"/>
        <v>1</v>
      </c>
      <c r="D87">
        <v>6</v>
      </c>
      <c r="E87">
        <v>5</v>
      </c>
      <c r="F87" s="32">
        <f t="shared" si="10"/>
        <v>1</v>
      </c>
      <c r="G87">
        <v>8</v>
      </c>
      <c r="H87">
        <v>5</v>
      </c>
      <c r="I87" s="32">
        <f t="shared" si="11"/>
        <v>3</v>
      </c>
      <c r="J87">
        <v>8</v>
      </c>
      <c r="K87">
        <v>6</v>
      </c>
      <c r="L87" s="32">
        <f t="shared" si="12"/>
        <v>2</v>
      </c>
      <c r="M87">
        <v>7</v>
      </c>
      <c r="N87">
        <v>5</v>
      </c>
      <c r="O87" s="32">
        <f t="shared" si="13"/>
        <v>2</v>
      </c>
      <c r="P87">
        <v>8</v>
      </c>
      <c r="Q87">
        <v>5</v>
      </c>
      <c r="R87" s="32">
        <f t="shared" si="14"/>
        <v>3</v>
      </c>
      <c r="S87">
        <v>7</v>
      </c>
      <c r="T87">
        <v>5</v>
      </c>
      <c r="U87" s="32">
        <f t="shared" si="15"/>
        <v>2</v>
      </c>
      <c r="V87">
        <v>7</v>
      </c>
      <c r="W87">
        <v>5</v>
      </c>
      <c r="X87" s="32">
        <f t="shared" si="16"/>
        <v>2</v>
      </c>
      <c r="Y87">
        <v>8</v>
      </c>
      <c r="Z87">
        <v>5</v>
      </c>
      <c r="AA87" s="32">
        <f t="shared" si="17"/>
        <v>3</v>
      </c>
    </row>
    <row r="88" spans="1:27" x14ac:dyDescent="0.45">
      <c r="A88">
        <v>6</v>
      </c>
      <c r="B88">
        <v>5</v>
      </c>
      <c r="C88" s="32">
        <f t="shared" si="9"/>
        <v>1</v>
      </c>
      <c r="D88">
        <v>6</v>
      </c>
      <c r="E88">
        <v>5</v>
      </c>
      <c r="F88" s="32">
        <f t="shared" si="10"/>
        <v>1</v>
      </c>
      <c r="G88">
        <v>8</v>
      </c>
      <c r="H88">
        <v>5</v>
      </c>
      <c r="I88" s="32">
        <f t="shared" si="11"/>
        <v>3</v>
      </c>
      <c r="J88">
        <v>8</v>
      </c>
      <c r="K88">
        <v>6</v>
      </c>
      <c r="L88" s="32">
        <f t="shared" si="12"/>
        <v>2</v>
      </c>
      <c r="M88">
        <v>7</v>
      </c>
      <c r="N88">
        <v>5</v>
      </c>
      <c r="O88" s="32">
        <f t="shared" si="13"/>
        <v>2</v>
      </c>
      <c r="P88">
        <v>8</v>
      </c>
      <c r="Q88">
        <v>5</v>
      </c>
      <c r="R88" s="32">
        <f t="shared" si="14"/>
        <v>3</v>
      </c>
      <c r="S88">
        <v>7</v>
      </c>
      <c r="T88">
        <v>5</v>
      </c>
      <c r="U88" s="32">
        <f t="shared" si="15"/>
        <v>2</v>
      </c>
      <c r="V88">
        <v>7</v>
      </c>
      <c r="W88">
        <v>5</v>
      </c>
      <c r="X88" s="32">
        <f t="shared" si="16"/>
        <v>2</v>
      </c>
      <c r="Y88">
        <v>8</v>
      </c>
      <c r="Z88">
        <v>5</v>
      </c>
      <c r="AA88" s="32">
        <f t="shared" si="17"/>
        <v>3</v>
      </c>
    </row>
    <row r="89" spans="1:27" x14ac:dyDescent="0.45">
      <c r="A89">
        <v>6</v>
      </c>
      <c r="B89">
        <v>5</v>
      </c>
      <c r="C89" s="32">
        <f t="shared" si="9"/>
        <v>1</v>
      </c>
      <c r="D89">
        <v>6</v>
      </c>
      <c r="E89">
        <v>5</v>
      </c>
      <c r="F89" s="32">
        <f t="shared" si="10"/>
        <v>1</v>
      </c>
      <c r="G89">
        <v>8</v>
      </c>
      <c r="H89">
        <v>5</v>
      </c>
      <c r="I89" s="32">
        <f t="shared" si="11"/>
        <v>3</v>
      </c>
      <c r="J89">
        <v>8</v>
      </c>
      <c r="K89">
        <v>6</v>
      </c>
      <c r="L89" s="32">
        <f t="shared" si="12"/>
        <v>2</v>
      </c>
      <c r="M89">
        <v>7</v>
      </c>
      <c r="N89">
        <v>5</v>
      </c>
      <c r="O89" s="32">
        <f t="shared" si="13"/>
        <v>2</v>
      </c>
      <c r="P89">
        <v>8</v>
      </c>
      <c r="Q89">
        <v>5</v>
      </c>
      <c r="R89" s="32">
        <f t="shared" si="14"/>
        <v>3</v>
      </c>
      <c r="S89">
        <v>7</v>
      </c>
      <c r="T89">
        <v>5</v>
      </c>
      <c r="U89" s="32">
        <f t="shared" si="15"/>
        <v>2</v>
      </c>
      <c r="V89">
        <v>7</v>
      </c>
      <c r="W89">
        <v>5</v>
      </c>
      <c r="X89" s="32">
        <f t="shared" si="16"/>
        <v>2</v>
      </c>
      <c r="Y89">
        <v>8</v>
      </c>
      <c r="Z89">
        <v>5</v>
      </c>
      <c r="AA89" s="32">
        <f t="shared" si="17"/>
        <v>3</v>
      </c>
    </row>
    <row r="90" spans="1:27" x14ac:dyDescent="0.45">
      <c r="A90">
        <v>6</v>
      </c>
      <c r="B90">
        <v>5</v>
      </c>
      <c r="C90" s="32">
        <f t="shared" si="9"/>
        <v>1</v>
      </c>
      <c r="D90">
        <v>6</v>
      </c>
      <c r="E90">
        <v>5</v>
      </c>
      <c r="F90" s="32">
        <f t="shared" si="10"/>
        <v>1</v>
      </c>
      <c r="G90">
        <v>8</v>
      </c>
      <c r="H90">
        <v>5</v>
      </c>
      <c r="I90" s="32">
        <f t="shared" si="11"/>
        <v>3</v>
      </c>
      <c r="J90">
        <v>8</v>
      </c>
      <c r="K90">
        <v>6</v>
      </c>
      <c r="L90" s="32">
        <f t="shared" si="12"/>
        <v>2</v>
      </c>
      <c r="M90">
        <v>7</v>
      </c>
      <c r="N90">
        <v>5</v>
      </c>
      <c r="O90" s="32">
        <f t="shared" si="13"/>
        <v>2</v>
      </c>
      <c r="P90">
        <v>8</v>
      </c>
      <c r="Q90">
        <v>5</v>
      </c>
      <c r="R90" s="32">
        <f t="shared" si="14"/>
        <v>3</v>
      </c>
      <c r="S90">
        <v>7</v>
      </c>
      <c r="T90">
        <v>5</v>
      </c>
      <c r="U90" s="32">
        <f t="shared" si="15"/>
        <v>2</v>
      </c>
      <c r="V90">
        <v>7</v>
      </c>
      <c r="W90">
        <v>5</v>
      </c>
      <c r="X90" s="32">
        <f t="shared" si="16"/>
        <v>2</v>
      </c>
      <c r="Y90">
        <v>8</v>
      </c>
      <c r="Z90">
        <v>5</v>
      </c>
      <c r="AA90" s="32">
        <f t="shared" si="17"/>
        <v>3</v>
      </c>
    </row>
    <row r="91" spans="1:27" x14ac:dyDescent="0.45">
      <c r="A91">
        <v>6</v>
      </c>
      <c r="B91">
        <v>5</v>
      </c>
      <c r="C91" s="32">
        <f t="shared" si="9"/>
        <v>1</v>
      </c>
      <c r="D91">
        <v>6</v>
      </c>
      <c r="E91">
        <v>5</v>
      </c>
      <c r="F91" s="32">
        <f t="shared" si="10"/>
        <v>1</v>
      </c>
      <c r="G91">
        <v>8</v>
      </c>
      <c r="H91">
        <v>5</v>
      </c>
      <c r="I91" s="32">
        <f t="shared" si="11"/>
        <v>3</v>
      </c>
      <c r="J91">
        <v>8</v>
      </c>
      <c r="K91">
        <v>6</v>
      </c>
      <c r="L91" s="32">
        <f t="shared" si="12"/>
        <v>2</v>
      </c>
      <c r="M91">
        <v>7</v>
      </c>
      <c r="N91">
        <v>5</v>
      </c>
      <c r="O91" s="32">
        <f t="shared" si="13"/>
        <v>2</v>
      </c>
      <c r="P91">
        <v>8</v>
      </c>
      <c r="Q91">
        <v>5</v>
      </c>
      <c r="R91" s="32">
        <f t="shared" si="14"/>
        <v>3</v>
      </c>
      <c r="S91">
        <v>7</v>
      </c>
      <c r="T91">
        <v>5</v>
      </c>
      <c r="U91" s="32">
        <f t="shared" si="15"/>
        <v>2</v>
      </c>
      <c r="V91">
        <v>7</v>
      </c>
      <c r="W91">
        <v>5</v>
      </c>
      <c r="X91" s="32">
        <f t="shared" si="16"/>
        <v>2</v>
      </c>
      <c r="Y91">
        <v>8</v>
      </c>
      <c r="Z91">
        <v>5</v>
      </c>
      <c r="AA91" s="32">
        <f t="shared" si="17"/>
        <v>3</v>
      </c>
    </row>
    <row r="92" spans="1:27" x14ac:dyDescent="0.45">
      <c r="A92">
        <v>6</v>
      </c>
      <c r="B92">
        <v>5</v>
      </c>
      <c r="C92" s="32">
        <f t="shared" si="9"/>
        <v>1</v>
      </c>
      <c r="D92">
        <v>6</v>
      </c>
      <c r="E92">
        <v>6</v>
      </c>
      <c r="F92" s="32">
        <f t="shared" si="10"/>
        <v>0</v>
      </c>
      <c r="G92">
        <v>8</v>
      </c>
      <c r="H92">
        <v>5</v>
      </c>
      <c r="I92" s="32">
        <f t="shared" si="11"/>
        <v>3</v>
      </c>
      <c r="J92">
        <v>8</v>
      </c>
      <c r="K92">
        <v>6</v>
      </c>
      <c r="L92" s="32">
        <f t="shared" si="12"/>
        <v>2</v>
      </c>
      <c r="M92">
        <v>7</v>
      </c>
      <c r="N92">
        <v>5</v>
      </c>
      <c r="O92" s="32">
        <f t="shared" si="13"/>
        <v>2</v>
      </c>
      <c r="P92">
        <v>8</v>
      </c>
      <c r="Q92">
        <v>5</v>
      </c>
      <c r="R92" s="32">
        <f t="shared" si="14"/>
        <v>3</v>
      </c>
      <c r="S92">
        <v>7</v>
      </c>
      <c r="T92">
        <v>5</v>
      </c>
      <c r="U92" s="32">
        <f t="shared" si="15"/>
        <v>2</v>
      </c>
      <c r="V92">
        <v>7</v>
      </c>
      <c r="W92">
        <v>5</v>
      </c>
      <c r="X92" s="32">
        <f t="shared" si="16"/>
        <v>2</v>
      </c>
      <c r="Y92">
        <v>8</v>
      </c>
      <c r="Z92">
        <v>5</v>
      </c>
      <c r="AA92" s="32">
        <f t="shared" si="17"/>
        <v>3</v>
      </c>
    </row>
    <row r="93" spans="1:27" x14ac:dyDescent="0.45">
      <c r="A93">
        <v>6</v>
      </c>
      <c r="B93">
        <v>5</v>
      </c>
      <c r="C93" s="32">
        <f t="shared" si="9"/>
        <v>1</v>
      </c>
      <c r="D93">
        <v>6</v>
      </c>
      <c r="E93">
        <v>6</v>
      </c>
      <c r="F93" s="32">
        <f t="shared" si="10"/>
        <v>0</v>
      </c>
      <c r="G93">
        <v>8</v>
      </c>
      <c r="H93">
        <v>5</v>
      </c>
      <c r="I93" s="32">
        <f t="shared" si="11"/>
        <v>3</v>
      </c>
      <c r="J93">
        <v>8</v>
      </c>
      <c r="K93">
        <v>6</v>
      </c>
      <c r="L93" s="32">
        <f t="shared" si="12"/>
        <v>2</v>
      </c>
      <c r="M93">
        <v>7</v>
      </c>
      <c r="N93">
        <v>5</v>
      </c>
      <c r="O93" s="32">
        <f t="shared" si="13"/>
        <v>2</v>
      </c>
      <c r="P93">
        <v>8</v>
      </c>
      <c r="Q93">
        <v>5</v>
      </c>
      <c r="R93" s="32">
        <f t="shared" si="14"/>
        <v>3</v>
      </c>
      <c r="S93">
        <v>7</v>
      </c>
      <c r="T93">
        <v>5</v>
      </c>
      <c r="U93" s="32">
        <f t="shared" si="15"/>
        <v>2</v>
      </c>
      <c r="V93">
        <v>7</v>
      </c>
      <c r="W93">
        <v>5</v>
      </c>
      <c r="X93" s="32">
        <f t="shared" si="16"/>
        <v>2</v>
      </c>
      <c r="Y93">
        <v>8</v>
      </c>
      <c r="Z93">
        <v>5</v>
      </c>
      <c r="AA93" s="32">
        <f t="shared" si="17"/>
        <v>3</v>
      </c>
    </row>
    <row r="94" spans="1:27" x14ac:dyDescent="0.45">
      <c r="A94">
        <v>6</v>
      </c>
      <c r="B94">
        <v>5</v>
      </c>
      <c r="C94" s="32">
        <f t="shared" si="9"/>
        <v>1</v>
      </c>
      <c r="D94">
        <v>6</v>
      </c>
      <c r="E94">
        <v>6</v>
      </c>
      <c r="F94" s="32">
        <f t="shared" si="10"/>
        <v>0</v>
      </c>
      <c r="G94">
        <v>8</v>
      </c>
      <c r="H94">
        <v>5</v>
      </c>
      <c r="I94" s="32">
        <f t="shared" si="11"/>
        <v>3</v>
      </c>
      <c r="J94">
        <v>8</v>
      </c>
      <c r="K94">
        <v>6</v>
      </c>
      <c r="L94" s="32">
        <f t="shared" si="12"/>
        <v>2</v>
      </c>
      <c r="M94">
        <v>7</v>
      </c>
      <c r="N94">
        <v>5</v>
      </c>
      <c r="O94" s="32">
        <f t="shared" si="13"/>
        <v>2</v>
      </c>
      <c r="P94">
        <v>8</v>
      </c>
      <c r="Q94">
        <v>5</v>
      </c>
      <c r="R94" s="32">
        <f t="shared" si="14"/>
        <v>3</v>
      </c>
      <c r="S94">
        <v>7</v>
      </c>
      <c r="T94">
        <v>5</v>
      </c>
      <c r="U94" s="32">
        <f t="shared" si="15"/>
        <v>2</v>
      </c>
      <c r="V94">
        <v>7</v>
      </c>
      <c r="W94">
        <v>5</v>
      </c>
      <c r="X94" s="32">
        <f t="shared" si="16"/>
        <v>2</v>
      </c>
      <c r="Y94">
        <v>8</v>
      </c>
      <c r="Z94">
        <v>5</v>
      </c>
      <c r="AA94" s="32">
        <f t="shared" si="17"/>
        <v>3</v>
      </c>
    </row>
    <row r="95" spans="1:27" x14ac:dyDescent="0.45">
      <c r="A95">
        <v>6</v>
      </c>
      <c r="B95">
        <v>5</v>
      </c>
      <c r="C95" s="32">
        <f t="shared" si="9"/>
        <v>1</v>
      </c>
      <c r="D95">
        <v>6</v>
      </c>
      <c r="E95">
        <v>6</v>
      </c>
      <c r="F95" s="32">
        <f t="shared" si="10"/>
        <v>0</v>
      </c>
      <c r="G95">
        <v>8</v>
      </c>
      <c r="H95">
        <v>5</v>
      </c>
      <c r="I95" s="32">
        <f t="shared" si="11"/>
        <v>3</v>
      </c>
      <c r="J95">
        <v>8</v>
      </c>
      <c r="K95">
        <v>6</v>
      </c>
      <c r="L95" s="32">
        <f t="shared" si="12"/>
        <v>2</v>
      </c>
      <c r="M95">
        <v>7</v>
      </c>
      <c r="N95">
        <v>5</v>
      </c>
      <c r="O95" s="32">
        <f t="shared" si="13"/>
        <v>2</v>
      </c>
      <c r="P95">
        <v>8</v>
      </c>
      <c r="Q95">
        <v>5</v>
      </c>
      <c r="R95" s="32">
        <f t="shared" si="14"/>
        <v>3</v>
      </c>
      <c r="S95">
        <v>7</v>
      </c>
      <c r="T95">
        <v>5</v>
      </c>
      <c r="U95" s="32">
        <f t="shared" si="15"/>
        <v>2</v>
      </c>
      <c r="V95">
        <v>7</v>
      </c>
      <c r="W95">
        <v>5</v>
      </c>
      <c r="X95" s="32">
        <f t="shared" si="16"/>
        <v>2</v>
      </c>
      <c r="Y95">
        <v>8</v>
      </c>
      <c r="Z95">
        <v>5</v>
      </c>
      <c r="AA95" s="32">
        <f t="shared" si="17"/>
        <v>3</v>
      </c>
    </row>
    <row r="96" spans="1:27" x14ac:dyDescent="0.45">
      <c r="A96">
        <v>6</v>
      </c>
      <c r="B96">
        <v>6</v>
      </c>
      <c r="C96" s="32">
        <f t="shared" si="9"/>
        <v>0</v>
      </c>
      <c r="D96">
        <v>6</v>
      </c>
      <c r="E96">
        <v>6</v>
      </c>
      <c r="F96" s="32">
        <f t="shared" si="10"/>
        <v>0</v>
      </c>
      <c r="G96">
        <v>8</v>
      </c>
      <c r="H96">
        <v>5</v>
      </c>
      <c r="I96" s="32">
        <f t="shared" si="11"/>
        <v>3</v>
      </c>
      <c r="J96">
        <v>8</v>
      </c>
      <c r="K96">
        <v>6</v>
      </c>
      <c r="L96" s="32">
        <f t="shared" si="12"/>
        <v>2</v>
      </c>
      <c r="M96">
        <v>7</v>
      </c>
      <c r="N96">
        <v>5</v>
      </c>
      <c r="O96" s="32">
        <f t="shared" si="13"/>
        <v>2</v>
      </c>
      <c r="P96">
        <v>8</v>
      </c>
      <c r="Q96">
        <v>5</v>
      </c>
      <c r="R96" s="32">
        <f t="shared" si="14"/>
        <v>3</v>
      </c>
      <c r="S96">
        <v>7</v>
      </c>
      <c r="T96">
        <v>5</v>
      </c>
      <c r="U96" s="32">
        <f t="shared" si="15"/>
        <v>2</v>
      </c>
      <c r="V96">
        <v>7</v>
      </c>
      <c r="W96">
        <v>5</v>
      </c>
      <c r="X96" s="32">
        <f t="shared" si="16"/>
        <v>2</v>
      </c>
      <c r="Y96">
        <v>8</v>
      </c>
      <c r="Z96">
        <v>5</v>
      </c>
      <c r="AA96" s="32">
        <f t="shared" si="17"/>
        <v>3</v>
      </c>
    </row>
    <row r="97" spans="1:27" x14ac:dyDescent="0.45">
      <c r="A97">
        <v>6</v>
      </c>
      <c r="B97">
        <v>6</v>
      </c>
      <c r="C97" s="32">
        <f t="shared" si="9"/>
        <v>0</v>
      </c>
      <c r="D97">
        <v>6</v>
      </c>
      <c r="E97">
        <v>6</v>
      </c>
      <c r="F97" s="32">
        <f t="shared" si="10"/>
        <v>0</v>
      </c>
      <c r="G97">
        <v>8</v>
      </c>
      <c r="H97">
        <v>5</v>
      </c>
      <c r="I97" s="32">
        <f t="shared" si="11"/>
        <v>3</v>
      </c>
      <c r="J97">
        <v>8</v>
      </c>
      <c r="K97">
        <v>6</v>
      </c>
      <c r="L97" s="32">
        <f t="shared" si="12"/>
        <v>2</v>
      </c>
      <c r="M97">
        <v>7</v>
      </c>
      <c r="N97">
        <v>5</v>
      </c>
      <c r="O97" s="32">
        <f t="shared" si="13"/>
        <v>2</v>
      </c>
      <c r="P97">
        <v>8</v>
      </c>
      <c r="Q97">
        <v>5</v>
      </c>
      <c r="R97" s="32">
        <f t="shared" si="14"/>
        <v>3</v>
      </c>
      <c r="S97">
        <v>7</v>
      </c>
      <c r="T97">
        <v>5</v>
      </c>
      <c r="U97" s="32">
        <f t="shared" si="15"/>
        <v>2</v>
      </c>
      <c r="V97">
        <v>7</v>
      </c>
      <c r="W97">
        <v>5</v>
      </c>
      <c r="X97" s="32">
        <f t="shared" si="16"/>
        <v>2</v>
      </c>
      <c r="Y97">
        <v>8</v>
      </c>
      <c r="Z97">
        <v>5</v>
      </c>
      <c r="AA97" s="32">
        <f t="shared" si="17"/>
        <v>3</v>
      </c>
    </row>
    <row r="98" spans="1:27" x14ac:dyDescent="0.45">
      <c r="A98">
        <v>6</v>
      </c>
      <c r="B98">
        <v>6</v>
      </c>
      <c r="C98" s="32">
        <f t="shared" si="9"/>
        <v>0</v>
      </c>
      <c r="D98">
        <v>6</v>
      </c>
      <c r="E98">
        <v>6</v>
      </c>
      <c r="F98" s="32">
        <f t="shared" si="10"/>
        <v>0</v>
      </c>
      <c r="G98">
        <v>8</v>
      </c>
      <c r="H98">
        <v>5</v>
      </c>
      <c r="I98" s="32">
        <f t="shared" si="11"/>
        <v>3</v>
      </c>
      <c r="J98">
        <v>8</v>
      </c>
      <c r="K98">
        <v>6</v>
      </c>
      <c r="L98" s="32">
        <f t="shared" si="12"/>
        <v>2</v>
      </c>
      <c r="M98">
        <v>7</v>
      </c>
      <c r="N98">
        <v>5</v>
      </c>
      <c r="O98" s="32">
        <f t="shared" si="13"/>
        <v>2</v>
      </c>
      <c r="P98">
        <v>8</v>
      </c>
      <c r="Q98">
        <v>5</v>
      </c>
      <c r="R98" s="32">
        <f t="shared" si="14"/>
        <v>3</v>
      </c>
      <c r="S98">
        <v>7</v>
      </c>
      <c r="T98">
        <v>5</v>
      </c>
      <c r="U98" s="32">
        <f t="shared" si="15"/>
        <v>2</v>
      </c>
      <c r="V98">
        <v>7</v>
      </c>
      <c r="W98">
        <v>5</v>
      </c>
      <c r="X98" s="32">
        <f t="shared" si="16"/>
        <v>2</v>
      </c>
      <c r="Y98">
        <v>8</v>
      </c>
      <c r="Z98">
        <v>5</v>
      </c>
      <c r="AA98" s="32">
        <f t="shared" si="17"/>
        <v>3</v>
      </c>
    </row>
    <row r="99" spans="1:27" x14ac:dyDescent="0.45">
      <c r="A99">
        <v>6</v>
      </c>
      <c r="B99">
        <v>6</v>
      </c>
      <c r="C99" s="32">
        <f t="shared" si="9"/>
        <v>0</v>
      </c>
      <c r="D99">
        <v>6</v>
      </c>
      <c r="E99">
        <v>6</v>
      </c>
      <c r="F99" s="32">
        <f t="shared" si="10"/>
        <v>0</v>
      </c>
      <c r="G99">
        <v>8</v>
      </c>
      <c r="H99">
        <v>5</v>
      </c>
      <c r="I99" s="32">
        <f t="shared" si="11"/>
        <v>3</v>
      </c>
      <c r="J99">
        <v>8</v>
      </c>
      <c r="K99">
        <v>6</v>
      </c>
      <c r="L99" s="32">
        <f t="shared" si="12"/>
        <v>2</v>
      </c>
      <c r="M99">
        <v>7</v>
      </c>
      <c r="N99">
        <v>5</v>
      </c>
      <c r="O99" s="32">
        <f t="shared" si="13"/>
        <v>2</v>
      </c>
      <c r="P99">
        <v>8</v>
      </c>
      <c r="Q99">
        <v>5</v>
      </c>
      <c r="R99" s="32">
        <f t="shared" si="14"/>
        <v>3</v>
      </c>
      <c r="S99">
        <v>7</v>
      </c>
      <c r="T99">
        <v>5</v>
      </c>
      <c r="U99" s="32">
        <f t="shared" si="15"/>
        <v>2</v>
      </c>
      <c r="V99">
        <v>7</v>
      </c>
      <c r="W99">
        <v>5</v>
      </c>
      <c r="X99" s="32">
        <f t="shared" si="16"/>
        <v>2</v>
      </c>
      <c r="Y99">
        <v>8</v>
      </c>
      <c r="Z99">
        <v>5</v>
      </c>
      <c r="AA99" s="32">
        <f t="shared" si="17"/>
        <v>3</v>
      </c>
    </row>
    <row r="100" spans="1:27" x14ac:dyDescent="0.45">
      <c r="A100">
        <v>6</v>
      </c>
      <c r="B100">
        <v>6</v>
      </c>
      <c r="C100" s="32">
        <f t="shared" si="9"/>
        <v>0</v>
      </c>
      <c r="D100">
        <v>6</v>
      </c>
      <c r="E100">
        <v>6</v>
      </c>
      <c r="F100" s="32">
        <f t="shared" si="10"/>
        <v>0</v>
      </c>
      <c r="G100">
        <v>8</v>
      </c>
      <c r="H100">
        <v>5</v>
      </c>
      <c r="I100" s="32">
        <f t="shared" si="11"/>
        <v>3</v>
      </c>
      <c r="J100">
        <v>8</v>
      </c>
      <c r="K100">
        <v>6</v>
      </c>
      <c r="L100" s="32">
        <f t="shared" si="12"/>
        <v>2</v>
      </c>
      <c r="M100">
        <v>7</v>
      </c>
      <c r="N100">
        <v>5</v>
      </c>
      <c r="O100" s="32">
        <f t="shared" si="13"/>
        <v>2</v>
      </c>
      <c r="P100">
        <v>8</v>
      </c>
      <c r="Q100">
        <v>5</v>
      </c>
      <c r="R100" s="32">
        <f t="shared" si="14"/>
        <v>3</v>
      </c>
      <c r="S100">
        <v>7</v>
      </c>
      <c r="T100">
        <v>5</v>
      </c>
      <c r="U100" s="32">
        <f t="shared" si="15"/>
        <v>2</v>
      </c>
      <c r="V100">
        <v>7</v>
      </c>
      <c r="W100">
        <v>5</v>
      </c>
      <c r="X100" s="32">
        <f t="shared" si="16"/>
        <v>2</v>
      </c>
      <c r="Y100">
        <v>8</v>
      </c>
      <c r="Z100">
        <v>5</v>
      </c>
      <c r="AA100" s="32">
        <f t="shared" si="17"/>
        <v>3</v>
      </c>
    </row>
    <row r="101" spans="1:27" x14ac:dyDescent="0.45">
      <c r="A101">
        <v>6</v>
      </c>
      <c r="B101">
        <v>6</v>
      </c>
      <c r="C101" s="32">
        <f t="shared" si="9"/>
        <v>0</v>
      </c>
      <c r="D101">
        <v>6</v>
      </c>
      <c r="E101">
        <v>6</v>
      </c>
      <c r="F101" s="32">
        <f t="shared" si="10"/>
        <v>0</v>
      </c>
      <c r="G101">
        <v>8</v>
      </c>
      <c r="H101">
        <v>5</v>
      </c>
      <c r="I101" s="32">
        <f t="shared" si="11"/>
        <v>3</v>
      </c>
      <c r="J101">
        <v>8</v>
      </c>
      <c r="K101">
        <v>6</v>
      </c>
      <c r="L101" s="32">
        <f t="shared" si="12"/>
        <v>2</v>
      </c>
      <c r="M101">
        <v>7</v>
      </c>
      <c r="N101">
        <v>5</v>
      </c>
      <c r="O101" s="32">
        <f t="shared" si="13"/>
        <v>2</v>
      </c>
      <c r="P101">
        <v>8</v>
      </c>
      <c r="Q101">
        <v>5</v>
      </c>
      <c r="R101" s="32">
        <f t="shared" si="14"/>
        <v>3</v>
      </c>
      <c r="S101">
        <v>7</v>
      </c>
      <c r="T101">
        <v>5</v>
      </c>
      <c r="U101" s="32">
        <f t="shared" si="15"/>
        <v>2</v>
      </c>
      <c r="V101">
        <v>7</v>
      </c>
      <c r="W101">
        <v>5</v>
      </c>
      <c r="X101" s="32">
        <f t="shared" si="16"/>
        <v>2</v>
      </c>
      <c r="Y101">
        <v>8</v>
      </c>
      <c r="Z101">
        <v>5</v>
      </c>
      <c r="AA101" s="32">
        <f t="shared" si="17"/>
        <v>3</v>
      </c>
    </row>
    <row r="102" spans="1:27" x14ac:dyDescent="0.45">
      <c r="A102">
        <v>6</v>
      </c>
      <c r="B102">
        <v>6</v>
      </c>
      <c r="C102" s="32">
        <f t="shared" si="9"/>
        <v>0</v>
      </c>
      <c r="D102">
        <v>6</v>
      </c>
      <c r="E102">
        <v>6</v>
      </c>
      <c r="F102" s="32">
        <f t="shared" si="10"/>
        <v>0</v>
      </c>
      <c r="G102">
        <v>8</v>
      </c>
      <c r="H102">
        <v>5</v>
      </c>
      <c r="I102" s="32">
        <f t="shared" si="11"/>
        <v>3</v>
      </c>
      <c r="J102">
        <v>8</v>
      </c>
      <c r="K102">
        <v>6</v>
      </c>
      <c r="L102" s="32">
        <f t="shared" si="12"/>
        <v>2</v>
      </c>
      <c r="M102">
        <v>7</v>
      </c>
      <c r="N102">
        <v>5</v>
      </c>
      <c r="O102" s="32">
        <f t="shared" si="13"/>
        <v>2</v>
      </c>
      <c r="P102">
        <v>8</v>
      </c>
      <c r="Q102">
        <v>5</v>
      </c>
      <c r="R102" s="32">
        <f t="shared" si="14"/>
        <v>3</v>
      </c>
      <c r="S102">
        <v>7</v>
      </c>
      <c r="T102">
        <v>5</v>
      </c>
      <c r="U102" s="32">
        <f t="shared" si="15"/>
        <v>2</v>
      </c>
      <c r="V102">
        <v>7</v>
      </c>
      <c r="W102">
        <v>5</v>
      </c>
      <c r="X102" s="32">
        <f t="shared" si="16"/>
        <v>2</v>
      </c>
      <c r="Y102">
        <v>8</v>
      </c>
      <c r="Z102">
        <v>5</v>
      </c>
      <c r="AA102" s="32">
        <f t="shared" si="17"/>
        <v>3</v>
      </c>
    </row>
    <row r="103" spans="1:27" x14ac:dyDescent="0.45">
      <c r="A103">
        <v>6</v>
      </c>
      <c r="B103">
        <v>6</v>
      </c>
      <c r="C103" s="32">
        <f t="shared" si="9"/>
        <v>0</v>
      </c>
      <c r="D103">
        <v>6</v>
      </c>
      <c r="E103">
        <v>6</v>
      </c>
      <c r="F103" s="32">
        <f t="shared" si="10"/>
        <v>0</v>
      </c>
      <c r="G103">
        <v>8</v>
      </c>
      <c r="H103">
        <v>5</v>
      </c>
      <c r="I103" s="32">
        <f t="shared" si="11"/>
        <v>3</v>
      </c>
      <c r="J103">
        <v>8</v>
      </c>
      <c r="K103">
        <v>6</v>
      </c>
      <c r="L103" s="32">
        <f t="shared" si="12"/>
        <v>2</v>
      </c>
      <c r="M103">
        <v>7</v>
      </c>
      <c r="N103">
        <v>5</v>
      </c>
      <c r="O103" s="32">
        <f t="shared" si="13"/>
        <v>2</v>
      </c>
      <c r="P103">
        <v>8</v>
      </c>
      <c r="Q103">
        <v>5</v>
      </c>
      <c r="R103" s="32">
        <f t="shared" si="14"/>
        <v>3</v>
      </c>
      <c r="S103">
        <v>7</v>
      </c>
      <c r="T103">
        <v>5</v>
      </c>
      <c r="U103" s="32">
        <f t="shared" si="15"/>
        <v>2</v>
      </c>
      <c r="V103">
        <v>7</v>
      </c>
      <c r="W103">
        <v>5</v>
      </c>
      <c r="X103" s="32">
        <f t="shared" si="16"/>
        <v>2</v>
      </c>
      <c r="Y103">
        <v>8</v>
      </c>
      <c r="Z103">
        <v>5</v>
      </c>
      <c r="AA103" s="32">
        <f t="shared" si="17"/>
        <v>3</v>
      </c>
    </row>
    <row r="104" spans="1:27" x14ac:dyDescent="0.45">
      <c r="A104">
        <v>6</v>
      </c>
      <c r="B104">
        <v>6</v>
      </c>
      <c r="C104" s="32">
        <f t="shared" si="9"/>
        <v>0</v>
      </c>
      <c r="D104">
        <v>6</v>
      </c>
      <c r="E104">
        <v>6</v>
      </c>
      <c r="F104" s="32">
        <f t="shared" si="10"/>
        <v>0</v>
      </c>
      <c r="G104">
        <v>8</v>
      </c>
      <c r="H104">
        <v>5</v>
      </c>
      <c r="I104" s="32">
        <f t="shared" si="11"/>
        <v>3</v>
      </c>
      <c r="J104">
        <v>8</v>
      </c>
      <c r="K104">
        <v>6</v>
      </c>
      <c r="L104" s="32">
        <f t="shared" si="12"/>
        <v>2</v>
      </c>
      <c r="M104">
        <v>7</v>
      </c>
      <c r="N104">
        <v>5</v>
      </c>
      <c r="O104" s="32">
        <f t="shared" si="13"/>
        <v>2</v>
      </c>
      <c r="P104">
        <v>8</v>
      </c>
      <c r="Q104">
        <v>5</v>
      </c>
      <c r="R104" s="32">
        <f t="shared" si="14"/>
        <v>3</v>
      </c>
      <c r="S104">
        <v>7</v>
      </c>
      <c r="T104">
        <v>5</v>
      </c>
      <c r="U104" s="32">
        <f t="shared" si="15"/>
        <v>2</v>
      </c>
      <c r="V104">
        <v>7</v>
      </c>
      <c r="W104">
        <v>5</v>
      </c>
      <c r="X104" s="32">
        <f t="shared" si="16"/>
        <v>2</v>
      </c>
      <c r="Y104">
        <v>8</v>
      </c>
      <c r="Z104">
        <v>5</v>
      </c>
      <c r="AA104" s="32">
        <f t="shared" si="17"/>
        <v>3</v>
      </c>
    </row>
    <row r="105" spans="1:27" x14ac:dyDescent="0.45">
      <c r="A105">
        <v>6</v>
      </c>
      <c r="B105">
        <v>6</v>
      </c>
      <c r="C105" s="32">
        <f t="shared" si="9"/>
        <v>0</v>
      </c>
      <c r="D105">
        <v>6</v>
      </c>
      <c r="E105">
        <v>6</v>
      </c>
      <c r="F105" s="32">
        <f t="shared" si="10"/>
        <v>0</v>
      </c>
      <c r="G105">
        <v>8</v>
      </c>
      <c r="H105">
        <v>5</v>
      </c>
      <c r="I105" s="32">
        <f t="shared" si="11"/>
        <v>3</v>
      </c>
      <c r="J105">
        <v>8</v>
      </c>
      <c r="K105">
        <v>6</v>
      </c>
      <c r="L105" s="32">
        <f t="shared" si="12"/>
        <v>2</v>
      </c>
      <c r="M105">
        <v>7</v>
      </c>
      <c r="N105">
        <v>5</v>
      </c>
      <c r="O105" s="32">
        <f t="shared" si="13"/>
        <v>2</v>
      </c>
      <c r="P105">
        <v>8</v>
      </c>
      <c r="Q105">
        <v>5</v>
      </c>
      <c r="R105" s="32">
        <f t="shared" si="14"/>
        <v>3</v>
      </c>
      <c r="S105">
        <v>7</v>
      </c>
      <c r="T105">
        <v>5</v>
      </c>
      <c r="U105" s="32">
        <f t="shared" si="15"/>
        <v>2</v>
      </c>
      <c r="V105">
        <v>7</v>
      </c>
      <c r="W105">
        <v>5</v>
      </c>
      <c r="X105" s="32">
        <f t="shared" si="16"/>
        <v>2</v>
      </c>
      <c r="Y105">
        <v>8</v>
      </c>
      <c r="Z105">
        <v>6</v>
      </c>
      <c r="AA105" s="32">
        <f t="shared" si="17"/>
        <v>2</v>
      </c>
    </row>
    <row r="106" spans="1:27" x14ac:dyDescent="0.45">
      <c r="A106">
        <v>6</v>
      </c>
      <c r="B106">
        <v>6</v>
      </c>
      <c r="C106" s="32">
        <f t="shared" si="9"/>
        <v>0</v>
      </c>
      <c r="D106">
        <v>6</v>
      </c>
      <c r="E106">
        <v>6</v>
      </c>
      <c r="F106" s="32">
        <f t="shared" si="10"/>
        <v>0</v>
      </c>
      <c r="G106">
        <v>8</v>
      </c>
      <c r="H106">
        <v>5</v>
      </c>
      <c r="I106" s="32">
        <f t="shared" si="11"/>
        <v>3</v>
      </c>
      <c r="J106">
        <v>8</v>
      </c>
      <c r="K106">
        <v>6</v>
      </c>
      <c r="L106" s="32">
        <f t="shared" si="12"/>
        <v>2</v>
      </c>
      <c r="M106">
        <v>7</v>
      </c>
      <c r="N106">
        <v>5</v>
      </c>
      <c r="O106" s="32">
        <f t="shared" si="13"/>
        <v>2</v>
      </c>
      <c r="P106">
        <v>8</v>
      </c>
      <c r="Q106">
        <v>5</v>
      </c>
      <c r="R106" s="32">
        <f t="shared" si="14"/>
        <v>3</v>
      </c>
      <c r="S106">
        <v>7</v>
      </c>
      <c r="T106">
        <v>5</v>
      </c>
      <c r="U106" s="32">
        <f t="shared" si="15"/>
        <v>2</v>
      </c>
      <c r="V106">
        <v>7</v>
      </c>
      <c r="W106">
        <v>5</v>
      </c>
      <c r="X106" s="32">
        <f t="shared" si="16"/>
        <v>2</v>
      </c>
      <c r="Y106">
        <v>8</v>
      </c>
      <c r="Z106">
        <v>6</v>
      </c>
      <c r="AA106" s="32">
        <f t="shared" si="17"/>
        <v>2</v>
      </c>
    </row>
    <row r="107" spans="1:27" x14ac:dyDescent="0.45">
      <c r="A107">
        <v>6</v>
      </c>
      <c r="B107">
        <v>6</v>
      </c>
      <c r="C107" s="32">
        <f t="shared" si="9"/>
        <v>0</v>
      </c>
      <c r="D107">
        <v>6</v>
      </c>
      <c r="E107">
        <v>6</v>
      </c>
      <c r="F107" s="32">
        <f t="shared" si="10"/>
        <v>0</v>
      </c>
      <c r="G107">
        <v>8</v>
      </c>
      <c r="H107">
        <v>5</v>
      </c>
      <c r="I107" s="32">
        <f t="shared" si="11"/>
        <v>3</v>
      </c>
      <c r="J107">
        <v>8</v>
      </c>
      <c r="K107">
        <v>6</v>
      </c>
      <c r="L107" s="32">
        <f t="shared" si="12"/>
        <v>2</v>
      </c>
      <c r="M107">
        <v>7</v>
      </c>
      <c r="N107">
        <v>5</v>
      </c>
      <c r="O107" s="32">
        <f t="shared" si="13"/>
        <v>2</v>
      </c>
      <c r="P107">
        <v>8</v>
      </c>
      <c r="Q107">
        <v>5</v>
      </c>
      <c r="R107" s="32">
        <f t="shared" si="14"/>
        <v>3</v>
      </c>
      <c r="S107">
        <v>7</v>
      </c>
      <c r="T107">
        <v>5</v>
      </c>
      <c r="U107" s="32">
        <f t="shared" si="15"/>
        <v>2</v>
      </c>
      <c r="V107">
        <v>7</v>
      </c>
      <c r="W107">
        <v>5</v>
      </c>
      <c r="X107" s="32">
        <f t="shared" si="16"/>
        <v>2</v>
      </c>
      <c r="Y107">
        <v>8</v>
      </c>
      <c r="Z107">
        <v>6</v>
      </c>
      <c r="AA107" s="32">
        <f t="shared" si="17"/>
        <v>2</v>
      </c>
    </row>
    <row r="108" spans="1:27" x14ac:dyDescent="0.45">
      <c r="A108">
        <v>7</v>
      </c>
      <c r="B108">
        <v>6</v>
      </c>
      <c r="C108" s="32">
        <f t="shared" si="9"/>
        <v>1</v>
      </c>
      <c r="D108">
        <v>6</v>
      </c>
      <c r="E108">
        <v>6</v>
      </c>
      <c r="F108" s="32">
        <f t="shared" si="10"/>
        <v>0</v>
      </c>
      <c r="G108">
        <v>8</v>
      </c>
      <c r="H108">
        <v>5</v>
      </c>
      <c r="I108" s="32">
        <f t="shared" si="11"/>
        <v>3</v>
      </c>
      <c r="J108">
        <v>8</v>
      </c>
      <c r="K108">
        <v>6</v>
      </c>
      <c r="L108" s="32">
        <f t="shared" si="12"/>
        <v>2</v>
      </c>
      <c r="M108">
        <v>7</v>
      </c>
      <c r="N108">
        <v>5</v>
      </c>
      <c r="O108" s="32">
        <f t="shared" si="13"/>
        <v>2</v>
      </c>
      <c r="P108">
        <v>8</v>
      </c>
      <c r="Q108">
        <v>5</v>
      </c>
      <c r="R108" s="32">
        <f t="shared" si="14"/>
        <v>3</v>
      </c>
      <c r="S108">
        <v>7</v>
      </c>
      <c r="T108">
        <v>5</v>
      </c>
      <c r="U108" s="32">
        <f t="shared" si="15"/>
        <v>2</v>
      </c>
      <c r="V108">
        <v>7</v>
      </c>
      <c r="W108">
        <v>5</v>
      </c>
      <c r="X108" s="32">
        <f t="shared" si="16"/>
        <v>2</v>
      </c>
      <c r="Y108">
        <v>8</v>
      </c>
      <c r="Z108">
        <v>6</v>
      </c>
      <c r="AA108" s="32">
        <f t="shared" si="17"/>
        <v>2</v>
      </c>
    </row>
    <row r="109" spans="1:27" x14ac:dyDescent="0.45">
      <c r="A109">
        <v>7</v>
      </c>
      <c r="B109">
        <v>6</v>
      </c>
      <c r="C109" s="32">
        <f t="shared" si="9"/>
        <v>1</v>
      </c>
      <c r="D109">
        <v>6</v>
      </c>
      <c r="E109">
        <v>6</v>
      </c>
      <c r="F109" s="32">
        <f t="shared" si="10"/>
        <v>0</v>
      </c>
      <c r="G109">
        <v>8</v>
      </c>
      <c r="H109">
        <v>5</v>
      </c>
      <c r="I109" s="32">
        <f t="shared" si="11"/>
        <v>3</v>
      </c>
      <c r="J109">
        <v>8</v>
      </c>
      <c r="K109">
        <v>6</v>
      </c>
      <c r="L109" s="32">
        <f t="shared" si="12"/>
        <v>2</v>
      </c>
      <c r="M109">
        <v>7</v>
      </c>
      <c r="N109">
        <v>5</v>
      </c>
      <c r="O109" s="32">
        <f t="shared" si="13"/>
        <v>2</v>
      </c>
      <c r="P109">
        <v>8</v>
      </c>
      <c r="Q109">
        <v>5</v>
      </c>
      <c r="R109" s="32">
        <f t="shared" si="14"/>
        <v>3</v>
      </c>
      <c r="S109">
        <v>7</v>
      </c>
      <c r="T109">
        <v>5</v>
      </c>
      <c r="U109" s="32">
        <f t="shared" si="15"/>
        <v>2</v>
      </c>
      <c r="V109">
        <v>7</v>
      </c>
      <c r="W109">
        <v>5</v>
      </c>
      <c r="X109" s="32">
        <f t="shared" si="16"/>
        <v>2</v>
      </c>
      <c r="Y109">
        <v>8</v>
      </c>
      <c r="Z109">
        <v>6</v>
      </c>
      <c r="AA109" s="32">
        <f t="shared" si="17"/>
        <v>2</v>
      </c>
    </row>
    <row r="110" spans="1:27" x14ac:dyDescent="0.45">
      <c r="A110">
        <v>7</v>
      </c>
      <c r="B110">
        <v>6</v>
      </c>
      <c r="C110" s="32">
        <f t="shared" si="9"/>
        <v>1</v>
      </c>
      <c r="D110">
        <v>6</v>
      </c>
      <c r="E110">
        <v>6</v>
      </c>
      <c r="F110" s="32">
        <f t="shared" si="10"/>
        <v>0</v>
      </c>
      <c r="G110">
        <v>8</v>
      </c>
      <c r="H110">
        <v>5</v>
      </c>
      <c r="I110" s="32">
        <f t="shared" si="11"/>
        <v>3</v>
      </c>
      <c r="J110">
        <v>8</v>
      </c>
      <c r="K110">
        <v>6</v>
      </c>
      <c r="L110" s="32">
        <f t="shared" si="12"/>
        <v>2</v>
      </c>
      <c r="M110">
        <v>7</v>
      </c>
      <c r="N110">
        <v>5</v>
      </c>
      <c r="O110" s="32">
        <f t="shared" si="13"/>
        <v>2</v>
      </c>
      <c r="P110">
        <v>8</v>
      </c>
      <c r="Q110">
        <v>5</v>
      </c>
      <c r="R110" s="32">
        <f t="shared" si="14"/>
        <v>3</v>
      </c>
      <c r="S110">
        <v>7</v>
      </c>
      <c r="T110">
        <v>5</v>
      </c>
      <c r="U110" s="32">
        <f t="shared" si="15"/>
        <v>2</v>
      </c>
      <c r="V110">
        <v>7</v>
      </c>
      <c r="W110">
        <v>5</v>
      </c>
      <c r="X110" s="32">
        <f t="shared" si="16"/>
        <v>2</v>
      </c>
      <c r="Y110">
        <v>8</v>
      </c>
      <c r="Z110">
        <v>6</v>
      </c>
      <c r="AA110" s="32">
        <f t="shared" si="17"/>
        <v>2</v>
      </c>
    </row>
    <row r="111" spans="1:27" x14ac:dyDescent="0.45">
      <c r="A111">
        <v>7</v>
      </c>
      <c r="B111">
        <v>6</v>
      </c>
      <c r="C111" s="32">
        <f t="shared" si="9"/>
        <v>1</v>
      </c>
      <c r="D111">
        <v>7</v>
      </c>
      <c r="E111">
        <v>6</v>
      </c>
      <c r="F111" s="32">
        <f t="shared" si="10"/>
        <v>1</v>
      </c>
      <c r="G111">
        <v>8</v>
      </c>
      <c r="H111">
        <v>5</v>
      </c>
      <c r="I111" s="32">
        <f t="shared" si="11"/>
        <v>3</v>
      </c>
      <c r="J111">
        <v>8</v>
      </c>
      <c r="K111">
        <v>6</v>
      </c>
      <c r="L111" s="32">
        <f t="shared" si="12"/>
        <v>2</v>
      </c>
      <c r="M111">
        <v>7</v>
      </c>
      <c r="N111">
        <v>5</v>
      </c>
      <c r="O111" s="32">
        <f t="shared" si="13"/>
        <v>2</v>
      </c>
      <c r="P111">
        <v>8</v>
      </c>
      <c r="Q111">
        <v>5</v>
      </c>
      <c r="R111" s="32">
        <f t="shared" si="14"/>
        <v>3</v>
      </c>
      <c r="S111">
        <v>7</v>
      </c>
      <c r="T111">
        <v>5</v>
      </c>
      <c r="U111" s="32">
        <f t="shared" si="15"/>
        <v>2</v>
      </c>
      <c r="V111">
        <v>7</v>
      </c>
      <c r="W111">
        <v>5</v>
      </c>
      <c r="X111" s="32">
        <f t="shared" si="16"/>
        <v>2</v>
      </c>
      <c r="Y111">
        <v>8</v>
      </c>
      <c r="Z111">
        <v>6</v>
      </c>
      <c r="AA111" s="32">
        <f t="shared" si="17"/>
        <v>2</v>
      </c>
    </row>
    <row r="112" spans="1:27" x14ac:dyDescent="0.45">
      <c r="A112">
        <v>7</v>
      </c>
      <c r="B112">
        <v>6</v>
      </c>
      <c r="C112" s="32">
        <f t="shared" si="9"/>
        <v>1</v>
      </c>
      <c r="D112">
        <v>7</v>
      </c>
      <c r="E112">
        <v>6</v>
      </c>
      <c r="F112" s="32">
        <f t="shared" si="10"/>
        <v>1</v>
      </c>
      <c r="G112">
        <v>8</v>
      </c>
      <c r="H112">
        <v>5</v>
      </c>
      <c r="I112" s="32">
        <f t="shared" si="11"/>
        <v>3</v>
      </c>
      <c r="J112">
        <v>8</v>
      </c>
      <c r="K112">
        <v>6</v>
      </c>
      <c r="L112" s="32">
        <f t="shared" si="12"/>
        <v>2</v>
      </c>
      <c r="M112">
        <v>7</v>
      </c>
      <c r="N112">
        <v>5</v>
      </c>
      <c r="O112" s="32">
        <f t="shared" si="13"/>
        <v>2</v>
      </c>
      <c r="P112">
        <v>8</v>
      </c>
      <c r="Q112">
        <v>5</v>
      </c>
      <c r="R112" s="32">
        <f t="shared" si="14"/>
        <v>3</v>
      </c>
      <c r="S112">
        <v>7</v>
      </c>
      <c r="T112">
        <v>5</v>
      </c>
      <c r="U112" s="32">
        <f t="shared" si="15"/>
        <v>2</v>
      </c>
      <c r="V112">
        <v>7</v>
      </c>
      <c r="W112">
        <v>5</v>
      </c>
      <c r="X112" s="32">
        <f t="shared" si="16"/>
        <v>2</v>
      </c>
      <c r="Y112">
        <v>8</v>
      </c>
      <c r="Z112">
        <v>6</v>
      </c>
      <c r="AA112" s="32">
        <f t="shared" si="17"/>
        <v>2</v>
      </c>
    </row>
    <row r="113" spans="1:27" x14ac:dyDescent="0.45">
      <c r="A113">
        <v>7</v>
      </c>
      <c r="B113">
        <v>6</v>
      </c>
      <c r="C113" s="32">
        <f t="shared" si="9"/>
        <v>1</v>
      </c>
      <c r="D113">
        <v>7</v>
      </c>
      <c r="E113">
        <v>6</v>
      </c>
      <c r="F113" s="32">
        <f t="shared" si="10"/>
        <v>1</v>
      </c>
      <c r="G113">
        <v>8</v>
      </c>
      <c r="H113">
        <v>5</v>
      </c>
      <c r="I113" s="32">
        <f t="shared" si="11"/>
        <v>3</v>
      </c>
      <c r="J113">
        <v>8</v>
      </c>
      <c r="K113">
        <v>6</v>
      </c>
      <c r="L113" s="32">
        <f t="shared" si="12"/>
        <v>2</v>
      </c>
      <c r="M113">
        <v>7</v>
      </c>
      <c r="N113">
        <v>5</v>
      </c>
      <c r="O113" s="32">
        <f t="shared" si="13"/>
        <v>2</v>
      </c>
      <c r="P113">
        <v>8</v>
      </c>
      <c r="Q113">
        <v>5</v>
      </c>
      <c r="R113" s="32">
        <f t="shared" si="14"/>
        <v>3</v>
      </c>
      <c r="S113">
        <v>7</v>
      </c>
      <c r="T113">
        <v>5</v>
      </c>
      <c r="U113" s="32">
        <f t="shared" si="15"/>
        <v>2</v>
      </c>
      <c r="V113">
        <v>7</v>
      </c>
      <c r="W113">
        <v>5</v>
      </c>
      <c r="X113" s="32">
        <f t="shared" si="16"/>
        <v>2</v>
      </c>
      <c r="Y113">
        <v>8</v>
      </c>
      <c r="Z113">
        <v>6</v>
      </c>
      <c r="AA113" s="32">
        <f t="shared" si="17"/>
        <v>2</v>
      </c>
    </row>
    <row r="114" spans="1:27" x14ac:dyDescent="0.45">
      <c r="A114">
        <v>7</v>
      </c>
      <c r="B114">
        <v>6</v>
      </c>
      <c r="C114" s="32">
        <f t="shared" si="9"/>
        <v>1</v>
      </c>
      <c r="D114">
        <v>7</v>
      </c>
      <c r="E114">
        <v>6</v>
      </c>
      <c r="F114" s="32">
        <f t="shared" si="10"/>
        <v>1</v>
      </c>
      <c r="G114">
        <v>8</v>
      </c>
      <c r="H114">
        <v>5</v>
      </c>
      <c r="I114" s="32">
        <f t="shared" si="11"/>
        <v>3</v>
      </c>
      <c r="J114">
        <v>8</v>
      </c>
      <c r="K114">
        <v>6</v>
      </c>
      <c r="L114" s="32">
        <f t="shared" si="12"/>
        <v>2</v>
      </c>
      <c r="M114">
        <v>7</v>
      </c>
      <c r="N114">
        <v>5</v>
      </c>
      <c r="O114" s="32">
        <f t="shared" si="13"/>
        <v>2</v>
      </c>
      <c r="P114">
        <v>8</v>
      </c>
      <c r="Q114">
        <v>5</v>
      </c>
      <c r="R114" s="32">
        <f t="shared" si="14"/>
        <v>3</v>
      </c>
      <c r="S114">
        <v>7</v>
      </c>
      <c r="T114">
        <v>5</v>
      </c>
      <c r="U114" s="32">
        <f t="shared" si="15"/>
        <v>2</v>
      </c>
      <c r="V114">
        <v>7</v>
      </c>
      <c r="W114">
        <v>5</v>
      </c>
      <c r="X114" s="32">
        <f t="shared" si="16"/>
        <v>2</v>
      </c>
      <c r="Y114">
        <v>8</v>
      </c>
      <c r="Z114">
        <v>6</v>
      </c>
      <c r="AA114" s="32">
        <f t="shared" si="17"/>
        <v>2</v>
      </c>
    </row>
    <row r="115" spans="1:27" x14ac:dyDescent="0.45">
      <c r="A115">
        <v>7</v>
      </c>
      <c r="B115">
        <v>6</v>
      </c>
      <c r="C115" s="32">
        <f t="shared" si="9"/>
        <v>1</v>
      </c>
      <c r="D115">
        <v>7</v>
      </c>
      <c r="E115">
        <v>6</v>
      </c>
      <c r="F115" s="32">
        <f t="shared" si="10"/>
        <v>1</v>
      </c>
      <c r="G115">
        <v>8</v>
      </c>
      <c r="H115">
        <v>5</v>
      </c>
      <c r="I115" s="32">
        <f t="shared" si="11"/>
        <v>3</v>
      </c>
      <c r="J115">
        <v>8</v>
      </c>
      <c r="K115">
        <v>6</v>
      </c>
      <c r="L115" s="32">
        <f t="shared" si="12"/>
        <v>2</v>
      </c>
      <c r="M115">
        <v>7</v>
      </c>
      <c r="N115">
        <v>5</v>
      </c>
      <c r="O115" s="32">
        <f t="shared" si="13"/>
        <v>2</v>
      </c>
      <c r="P115">
        <v>8</v>
      </c>
      <c r="Q115">
        <v>5</v>
      </c>
      <c r="R115" s="32">
        <f t="shared" si="14"/>
        <v>3</v>
      </c>
      <c r="S115">
        <v>7</v>
      </c>
      <c r="T115">
        <v>5</v>
      </c>
      <c r="U115" s="32">
        <f t="shared" si="15"/>
        <v>2</v>
      </c>
      <c r="V115">
        <v>7</v>
      </c>
      <c r="W115">
        <v>5</v>
      </c>
      <c r="X115" s="32">
        <f t="shared" si="16"/>
        <v>2</v>
      </c>
      <c r="Y115">
        <v>8</v>
      </c>
      <c r="Z115">
        <v>6</v>
      </c>
      <c r="AA115" s="32">
        <f t="shared" si="17"/>
        <v>2</v>
      </c>
    </row>
    <row r="116" spans="1:27" x14ac:dyDescent="0.45">
      <c r="A116">
        <v>7</v>
      </c>
      <c r="B116">
        <v>6</v>
      </c>
      <c r="C116" s="32">
        <f t="shared" si="9"/>
        <v>1</v>
      </c>
      <c r="D116">
        <v>7</v>
      </c>
      <c r="E116">
        <v>6</v>
      </c>
      <c r="F116" s="32">
        <f t="shared" si="10"/>
        <v>1</v>
      </c>
      <c r="G116">
        <v>8</v>
      </c>
      <c r="H116">
        <v>5</v>
      </c>
      <c r="I116" s="32">
        <f t="shared" si="11"/>
        <v>3</v>
      </c>
      <c r="J116">
        <v>8</v>
      </c>
      <c r="K116">
        <v>6</v>
      </c>
      <c r="L116" s="32">
        <f t="shared" si="12"/>
        <v>2</v>
      </c>
      <c r="M116">
        <v>7</v>
      </c>
      <c r="N116">
        <v>5</v>
      </c>
      <c r="O116" s="32">
        <f t="shared" si="13"/>
        <v>2</v>
      </c>
      <c r="P116">
        <v>8</v>
      </c>
      <c r="Q116">
        <v>5</v>
      </c>
      <c r="R116" s="32">
        <f t="shared" si="14"/>
        <v>3</v>
      </c>
      <c r="S116">
        <v>7</v>
      </c>
      <c r="T116">
        <v>5</v>
      </c>
      <c r="U116" s="32">
        <f t="shared" si="15"/>
        <v>2</v>
      </c>
      <c r="V116">
        <v>7</v>
      </c>
      <c r="W116">
        <v>5</v>
      </c>
      <c r="X116" s="32">
        <f t="shared" si="16"/>
        <v>2</v>
      </c>
      <c r="Y116">
        <v>8</v>
      </c>
      <c r="Z116">
        <v>6</v>
      </c>
      <c r="AA116" s="32">
        <f t="shared" si="17"/>
        <v>2</v>
      </c>
    </row>
    <row r="117" spans="1:27" x14ac:dyDescent="0.45">
      <c r="A117">
        <v>7</v>
      </c>
      <c r="B117">
        <v>6</v>
      </c>
      <c r="C117" s="32">
        <f t="shared" si="9"/>
        <v>1</v>
      </c>
      <c r="D117">
        <v>7</v>
      </c>
      <c r="E117">
        <v>6</v>
      </c>
      <c r="F117" s="32">
        <f t="shared" si="10"/>
        <v>1</v>
      </c>
      <c r="G117">
        <v>8</v>
      </c>
      <c r="H117">
        <v>5</v>
      </c>
      <c r="I117" s="32">
        <f t="shared" si="11"/>
        <v>3</v>
      </c>
      <c r="J117">
        <v>8</v>
      </c>
      <c r="K117">
        <v>6</v>
      </c>
      <c r="L117" s="32">
        <f t="shared" si="12"/>
        <v>2</v>
      </c>
      <c r="M117">
        <v>7</v>
      </c>
      <c r="N117">
        <v>5</v>
      </c>
      <c r="O117" s="32">
        <f t="shared" si="13"/>
        <v>2</v>
      </c>
      <c r="P117">
        <v>8</v>
      </c>
      <c r="Q117">
        <v>5</v>
      </c>
      <c r="R117" s="32">
        <f t="shared" si="14"/>
        <v>3</v>
      </c>
      <c r="S117">
        <v>7</v>
      </c>
      <c r="T117">
        <v>5</v>
      </c>
      <c r="U117" s="32">
        <f t="shared" si="15"/>
        <v>2</v>
      </c>
      <c r="V117">
        <v>7</v>
      </c>
      <c r="W117">
        <v>5</v>
      </c>
      <c r="X117" s="32">
        <f t="shared" si="16"/>
        <v>2</v>
      </c>
      <c r="Y117">
        <v>8</v>
      </c>
      <c r="Z117">
        <v>6</v>
      </c>
      <c r="AA117" s="32">
        <f t="shared" si="17"/>
        <v>2</v>
      </c>
    </row>
    <row r="118" spans="1:27" x14ac:dyDescent="0.45">
      <c r="A118">
        <v>7</v>
      </c>
      <c r="B118">
        <v>6</v>
      </c>
      <c r="C118" s="32">
        <f t="shared" si="9"/>
        <v>1</v>
      </c>
      <c r="D118">
        <v>7</v>
      </c>
      <c r="E118">
        <v>6</v>
      </c>
      <c r="F118" s="32">
        <f t="shared" si="10"/>
        <v>1</v>
      </c>
      <c r="G118">
        <v>8</v>
      </c>
      <c r="H118">
        <v>5</v>
      </c>
      <c r="I118" s="32">
        <f t="shared" si="11"/>
        <v>3</v>
      </c>
      <c r="J118">
        <v>8</v>
      </c>
      <c r="K118">
        <v>6</v>
      </c>
      <c r="L118" s="32">
        <f t="shared" si="12"/>
        <v>2</v>
      </c>
      <c r="M118">
        <v>7</v>
      </c>
      <c r="N118">
        <v>5</v>
      </c>
      <c r="O118" s="32">
        <f t="shared" si="13"/>
        <v>2</v>
      </c>
      <c r="P118">
        <v>8</v>
      </c>
      <c r="Q118">
        <v>5</v>
      </c>
      <c r="R118" s="32">
        <f t="shared" si="14"/>
        <v>3</v>
      </c>
      <c r="S118">
        <v>7</v>
      </c>
      <c r="T118">
        <v>5</v>
      </c>
      <c r="U118" s="32">
        <f t="shared" si="15"/>
        <v>2</v>
      </c>
      <c r="V118">
        <v>7</v>
      </c>
      <c r="W118">
        <v>5</v>
      </c>
      <c r="X118" s="32">
        <f t="shared" si="16"/>
        <v>2</v>
      </c>
      <c r="Y118">
        <v>8</v>
      </c>
      <c r="Z118">
        <v>6</v>
      </c>
      <c r="AA118" s="32">
        <f t="shared" si="17"/>
        <v>2</v>
      </c>
    </row>
    <row r="119" spans="1:27" x14ac:dyDescent="0.45">
      <c r="A119">
        <v>7</v>
      </c>
      <c r="B119">
        <v>6</v>
      </c>
      <c r="C119" s="32">
        <f t="shared" si="9"/>
        <v>1</v>
      </c>
      <c r="D119">
        <v>7</v>
      </c>
      <c r="E119">
        <v>6</v>
      </c>
      <c r="F119" s="32">
        <f t="shared" si="10"/>
        <v>1</v>
      </c>
      <c r="G119">
        <v>8</v>
      </c>
      <c r="H119">
        <v>5</v>
      </c>
      <c r="I119" s="32">
        <f t="shared" si="11"/>
        <v>3</v>
      </c>
      <c r="J119">
        <v>8</v>
      </c>
      <c r="K119">
        <v>6</v>
      </c>
      <c r="L119" s="32">
        <f t="shared" si="12"/>
        <v>2</v>
      </c>
      <c r="M119">
        <v>7</v>
      </c>
      <c r="N119">
        <v>5</v>
      </c>
      <c r="O119" s="32">
        <f t="shared" si="13"/>
        <v>2</v>
      </c>
      <c r="P119">
        <v>8</v>
      </c>
      <c r="Q119">
        <v>5</v>
      </c>
      <c r="R119" s="32">
        <f t="shared" si="14"/>
        <v>3</v>
      </c>
      <c r="S119">
        <v>7</v>
      </c>
      <c r="T119">
        <v>5</v>
      </c>
      <c r="U119" s="32">
        <f t="shared" si="15"/>
        <v>2</v>
      </c>
      <c r="V119">
        <v>7</v>
      </c>
      <c r="W119">
        <v>5</v>
      </c>
      <c r="X119" s="32">
        <f t="shared" si="16"/>
        <v>2</v>
      </c>
      <c r="Y119">
        <v>8</v>
      </c>
      <c r="Z119">
        <v>6</v>
      </c>
      <c r="AA119" s="32">
        <f t="shared" si="17"/>
        <v>2</v>
      </c>
    </row>
    <row r="120" spans="1:27" x14ac:dyDescent="0.45">
      <c r="A120">
        <v>7</v>
      </c>
      <c r="B120">
        <v>6</v>
      </c>
      <c r="C120" s="32">
        <f t="shared" si="9"/>
        <v>1</v>
      </c>
      <c r="D120">
        <v>7</v>
      </c>
      <c r="E120">
        <v>6</v>
      </c>
      <c r="F120" s="32">
        <f t="shared" si="10"/>
        <v>1</v>
      </c>
      <c r="G120">
        <v>8</v>
      </c>
      <c r="H120">
        <v>5</v>
      </c>
      <c r="I120" s="32">
        <f t="shared" si="11"/>
        <v>3</v>
      </c>
      <c r="J120">
        <v>8</v>
      </c>
      <c r="K120">
        <v>6</v>
      </c>
      <c r="L120" s="32">
        <f t="shared" si="12"/>
        <v>2</v>
      </c>
      <c r="M120">
        <v>7</v>
      </c>
      <c r="N120">
        <v>5</v>
      </c>
      <c r="O120" s="32">
        <f t="shared" si="13"/>
        <v>2</v>
      </c>
      <c r="P120">
        <v>8</v>
      </c>
      <c r="Q120">
        <v>5</v>
      </c>
      <c r="R120" s="32">
        <f t="shared" si="14"/>
        <v>3</v>
      </c>
      <c r="S120">
        <v>7</v>
      </c>
      <c r="T120">
        <v>5</v>
      </c>
      <c r="U120" s="32">
        <f t="shared" si="15"/>
        <v>2</v>
      </c>
      <c r="V120">
        <v>7</v>
      </c>
      <c r="W120">
        <v>5</v>
      </c>
      <c r="X120" s="32">
        <f t="shared" si="16"/>
        <v>2</v>
      </c>
      <c r="Y120">
        <v>8</v>
      </c>
      <c r="Z120">
        <v>6</v>
      </c>
      <c r="AA120" s="32">
        <f t="shared" si="17"/>
        <v>2</v>
      </c>
    </row>
    <row r="121" spans="1:27" x14ac:dyDescent="0.45">
      <c r="A121">
        <v>7</v>
      </c>
      <c r="B121">
        <v>6</v>
      </c>
      <c r="C121" s="32">
        <f t="shared" si="9"/>
        <v>1</v>
      </c>
      <c r="D121">
        <v>7</v>
      </c>
      <c r="E121">
        <v>6</v>
      </c>
      <c r="F121" s="32">
        <f t="shared" si="10"/>
        <v>1</v>
      </c>
      <c r="G121">
        <v>8</v>
      </c>
      <c r="H121">
        <v>5</v>
      </c>
      <c r="I121" s="32">
        <f t="shared" si="11"/>
        <v>3</v>
      </c>
      <c r="J121">
        <v>8</v>
      </c>
      <c r="K121">
        <v>6</v>
      </c>
      <c r="L121" s="32">
        <f t="shared" si="12"/>
        <v>2</v>
      </c>
      <c r="M121">
        <v>7</v>
      </c>
      <c r="N121">
        <v>5</v>
      </c>
      <c r="O121" s="32">
        <f t="shared" si="13"/>
        <v>2</v>
      </c>
      <c r="P121">
        <v>8</v>
      </c>
      <c r="Q121">
        <v>5</v>
      </c>
      <c r="R121" s="32">
        <f t="shared" si="14"/>
        <v>3</v>
      </c>
      <c r="S121">
        <v>7</v>
      </c>
      <c r="T121">
        <v>5</v>
      </c>
      <c r="U121" s="32">
        <f t="shared" si="15"/>
        <v>2</v>
      </c>
      <c r="V121">
        <v>7</v>
      </c>
      <c r="W121">
        <v>5</v>
      </c>
      <c r="X121" s="32">
        <f t="shared" si="16"/>
        <v>2</v>
      </c>
      <c r="Y121">
        <v>8</v>
      </c>
      <c r="Z121">
        <v>6</v>
      </c>
      <c r="AA121" s="32">
        <f t="shared" si="17"/>
        <v>2</v>
      </c>
    </row>
    <row r="122" spans="1:27" x14ac:dyDescent="0.45">
      <c r="A122">
        <v>7</v>
      </c>
      <c r="B122">
        <v>6</v>
      </c>
      <c r="C122" s="32">
        <f t="shared" si="9"/>
        <v>1</v>
      </c>
      <c r="D122">
        <v>7</v>
      </c>
      <c r="E122">
        <v>6</v>
      </c>
      <c r="F122" s="32">
        <f t="shared" si="10"/>
        <v>1</v>
      </c>
      <c r="G122">
        <v>8</v>
      </c>
      <c r="H122">
        <v>5</v>
      </c>
      <c r="I122" s="32">
        <f t="shared" si="11"/>
        <v>3</v>
      </c>
      <c r="J122">
        <v>8</v>
      </c>
      <c r="K122">
        <v>6</v>
      </c>
      <c r="L122" s="32">
        <f t="shared" si="12"/>
        <v>2</v>
      </c>
      <c r="M122">
        <v>7</v>
      </c>
      <c r="N122">
        <v>5</v>
      </c>
      <c r="O122" s="32">
        <f t="shared" si="13"/>
        <v>2</v>
      </c>
      <c r="P122">
        <v>8</v>
      </c>
      <c r="Q122">
        <v>5</v>
      </c>
      <c r="R122" s="32">
        <f t="shared" si="14"/>
        <v>3</v>
      </c>
      <c r="S122">
        <v>7</v>
      </c>
      <c r="T122">
        <v>5</v>
      </c>
      <c r="U122" s="32">
        <f t="shared" si="15"/>
        <v>2</v>
      </c>
      <c r="V122">
        <v>7</v>
      </c>
      <c r="W122">
        <v>5</v>
      </c>
      <c r="X122" s="32">
        <f t="shared" si="16"/>
        <v>2</v>
      </c>
      <c r="Y122">
        <v>8</v>
      </c>
      <c r="Z122">
        <v>6</v>
      </c>
      <c r="AA122" s="32">
        <f t="shared" si="17"/>
        <v>2</v>
      </c>
    </row>
    <row r="123" spans="1:27" x14ac:dyDescent="0.45">
      <c r="A123">
        <v>7</v>
      </c>
      <c r="B123">
        <v>6</v>
      </c>
      <c r="C123" s="32">
        <f t="shared" si="9"/>
        <v>1</v>
      </c>
      <c r="D123">
        <v>7</v>
      </c>
      <c r="E123">
        <v>6</v>
      </c>
      <c r="F123" s="32">
        <f t="shared" si="10"/>
        <v>1</v>
      </c>
      <c r="G123">
        <v>8</v>
      </c>
      <c r="H123">
        <v>5</v>
      </c>
      <c r="I123" s="32">
        <f t="shared" si="11"/>
        <v>3</v>
      </c>
      <c r="J123">
        <v>8</v>
      </c>
      <c r="K123">
        <v>6</v>
      </c>
      <c r="L123" s="32">
        <f t="shared" si="12"/>
        <v>2</v>
      </c>
      <c r="M123">
        <v>7</v>
      </c>
      <c r="N123">
        <v>5</v>
      </c>
      <c r="O123" s="32">
        <f t="shared" si="13"/>
        <v>2</v>
      </c>
      <c r="P123">
        <v>8</v>
      </c>
      <c r="Q123">
        <v>5</v>
      </c>
      <c r="R123" s="32">
        <f t="shared" si="14"/>
        <v>3</v>
      </c>
      <c r="S123">
        <v>7</v>
      </c>
      <c r="T123">
        <v>5</v>
      </c>
      <c r="U123" s="32">
        <f t="shared" si="15"/>
        <v>2</v>
      </c>
      <c r="V123">
        <v>7</v>
      </c>
      <c r="W123">
        <v>5</v>
      </c>
      <c r="X123" s="32">
        <f t="shared" si="16"/>
        <v>2</v>
      </c>
      <c r="Y123">
        <v>8</v>
      </c>
      <c r="Z123">
        <v>6</v>
      </c>
      <c r="AA123" s="32">
        <f t="shared" si="17"/>
        <v>2</v>
      </c>
    </row>
    <row r="124" spans="1:27" x14ac:dyDescent="0.45">
      <c r="A124">
        <v>7</v>
      </c>
      <c r="B124">
        <v>6</v>
      </c>
      <c r="C124" s="32">
        <f t="shared" si="9"/>
        <v>1</v>
      </c>
      <c r="D124">
        <v>7</v>
      </c>
      <c r="E124">
        <v>6</v>
      </c>
      <c r="F124" s="32">
        <f t="shared" si="10"/>
        <v>1</v>
      </c>
      <c r="G124">
        <v>8</v>
      </c>
      <c r="H124">
        <v>5</v>
      </c>
      <c r="I124" s="32">
        <f t="shared" si="11"/>
        <v>3</v>
      </c>
      <c r="J124">
        <v>8</v>
      </c>
      <c r="K124">
        <v>6</v>
      </c>
      <c r="L124" s="32">
        <f t="shared" si="12"/>
        <v>2</v>
      </c>
      <c r="M124">
        <v>7</v>
      </c>
      <c r="N124">
        <v>5</v>
      </c>
      <c r="O124" s="32">
        <f t="shared" si="13"/>
        <v>2</v>
      </c>
      <c r="P124">
        <v>8</v>
      </c>
      <c r="Q124">
        <v>5</v>
      </c>
      <c r="R124" s="32">
        <f t="shared" si="14"/>
        <v>3</v>
      </c>
      <c r="S124">
        <v>7</v>
      </c>
      <c r="T124">
        <v>5</v>
      </c>
      <c r="U124" s="32">
        <f t="shared" si="15"/>
        <v>2</v>
      </c>
      <c r="V124">
        <v>7</v>
      </c>
      <c r="W124">
        <v>5</v>
      </c>
      <c r="X124" s="32">
        <f t="shared" si="16"/>
        <v>2</v>
      </c>
      <c r="Y124">
        <v>9</v>
      </c>
      <c r="Z124">
        <v>6</v>
      </c>
      <c r="AA124" s="32">
        <f t="shared" si="17"/>
        <v>3</v>
      </c>
    </row>
    <row r="125" spans="1:27" x14ac:dyDescent="0.45">
      <c r="A125">
        <v>7</v>
      </c>
      <c r="B125">
        <v>6</v>
      </c>
      <c r="C125" s="32">
        <f t="shared" si="9"/>
        <v>1</v>
      </c>
      <c r="D125">
        <v>7</v>
      </c>
      <c r="E125">
        <v>6</v>
      </c>
      <c r="F125" s="32">
        <f t="shared" si="10"/>
        <v>1</v>
      </c>
      <c r="G125">
        <v>8</v>
      </c>
      <c r="H125">
        <v>5</v>
      </c>
      <c r="I125" s="32">
        <f t="shared" si="11"/>
        <v>3</v>
      </c>
      <c r="J125">
        <v>8</v>
      </c>
      <c r="K125">
        <v>6</v>
      </c>
      <c r="L125" s="32">
        <f t="shared" si="12"/>
        <v>2</v>
      </c>
      <c r="M125">
        <v>7</v>
      </c>
      <c r="N125">
        <v>5</v>
      </c>
      <c r="O125" s="32">
        <f t="shared" si="13"/>
        <v>2</v>
      </c>
      <c r="P125">
        <v>8</v>
      </c>
      <c r="Q125">
        <v>5</v>
      </c>
      <c r="R125" s="32">
        <f t="shared" si="14"/>
        <v>3</v>
      </c>
      <c r="S125">
        <v>7</v>
      </c>
      <c r="T125">
        <v>5</v>
      </c>
      <c r="U125" s="32">
        <f t="shared" si="15"/>
        <v>2</v>
      </c>
      <c r="V125">
        <v>7</v>
      </c>
      <c r="W125">
        <v>5</v>
      </c>
      <c r="X125" s="32">
        <f t="shared" si="16"/>
        <v>2</v>
      </c>
      <c r="Y125">
        <v>9</v>
      </c>
      <c r="Z125">
        <v>6</v>
      </c>
      <c r="AA125" s="32">
        <f t="shared" si="17"/>
        <v>3</v>
      </c>
    </row>
    <row r="126" spans="1:27" x14ac:dyDescent="0.45">
      <c r="A126">
        <v>7</v>
      </c>
      <c r="B126">
        <v>6</v>
      </c>
      <c r="C126" s="32">
        <f t="shared" si="9"/>
        <v>1</v>
      </c>
      <c r="D126">
        <v>7</v>
      </c>
      <c r="E126">
        <v>6</v>
      </c>
      <c r="F126" s="32">
        <f t="shared" si="10"/>
        <v>1</v>
      </c>
      <c r="G126">
        <v>8</v>
      </c>
      <c r="H126">
        <v>5</v>
      </c>
      <c r="I126" s="32">
        <f t="shared" si="11"/>
        <v>3</v>
      </c>
      <c r="J126">
        <v>8</v>
      </c>
      <c r="K126">
        <v>6</v>
      </c>
      <c r="L126" s="32">
        <f t="shared" si="12"/>
        <v>2</v>
      </c>
      <c r="M126">
        <v>7</v>
      </c>
      <c r="N126">
        <v>5</v>
      </c>
      <c r="O126" s="32">
        <f t="shared" si="13"/>
        <v>2</v>
      </c>
      <c r="P126">
        <v>8</v>
      </c>
      <c r="Q126">
        <v>6</v>
      </c>
      <c r="R126" s="32">
        <f t="shared" si="14"/>
        <v>2</v>
      </c>
      <c r="S126">
        <v>7</v>
      </c>
      <c r="T126">
        <v>5</v>
      </c>
      <c r="U126" s="32">
        <f t="shared" si="15"/>
        <v>2</v>
      </c>
      <c r="V126">
        <v>7</v>
      </c>
      <c r="W126">
        <v>5</v>
      </c>
      <c r="X126" s="32">
        <f t="shared" si="16"/>
        <v>2</v>
      </c>
      <c r="Y126">
        <v>9</v>
      </c>
      <c r="Z126">
        <v>6</v>
      </c>
      <c r="AA126" s="32">
        <f t="shared" si="17"/>
        <v>3</v>
      </c>
    </row>
    <row r="127" spans="1:27" x14ac:dyDescent="0.45">
      <c r="A127">
        <v>7</v>
      </c>
      <c r="B127">
        <v>6</v>
      </c>
      <c r="C127" s="32">
        <f t="shared" si="9"/>
        <v>1</v>
      </c>
      <c r="D127">
        <v>7</v>
      </c>
      <c r="E127">
        <v>6</v>
      </c>
      <c r="F127" s="32">
        <f t="shared" si="10"/>
        <v>1</v>
      </c>
      <c r="G127">
        <v>8</v>
      </c>
      <c r="H127">
        <v>5</v>
      </c>
      <c r="I127" s="32">
        <f t="shared" si="11"/>
        <v>3</v>
      </c>
      <c r="J127">
        <v>8</v>
      </c>
      <c r="K127">
        <v>6</v>
      </c>
      <c r="L127" s="32">
        <f t="shared" si="12"/>
        <v>2</v>
      </c>
      <c r="M127">
        <v>7</v>
      </c>
      <c r="N127">
        <v>5</v>
      </c>
      <c r="O127" s="32">
        <f t="shared" si="13"/>
        <v>2</v>
      </c>
      <c r="P127">
        <v>8</v>
      </c>
      <c r="Q127">
        <v>6</v>
      </c>
      <c r="R127" s="32">
        <f t="shared" si="14"/>
        <v>2</v>
      </c>
      <c r="S127">
        <v>7</v>
      </c>
      <c r="T127">
        <v>5</v>
      </c>
      <c r="U127" s="32">
        <f t="shared" si="15"/>
        <v>2</v>
      </c>
      <c r="V127">
        <v>7</v>
      </c>
      <c r="W127">
        <v>5</v>
      </c>
      <c r="X127" s="32">
        <f t="shared" si="16"/>
        <v>2</v>
      </c>
      <c r="Y127">
        <v>9</v>
      </c>
      <c r="Z127">
        <v>6</v>
      </c>
      <c r="AA127" s="32">
        <f t="shared" si="17"/>
        <v>3</v>
      </c>
    </row>
    <row r="128" spans="1:27" x14ac:dyDescent="0.45">
      <c r="A128">
        <v>7</v>
      </c>
      <c r="B128">
        <v>6</v>
      </c>
      <c r="C128" s="32">
        <f t="shared" si="9"/>
        <v>1</v>
      </c>
      <c r="D128">
        <v>7</v>
      </c>
      <c r="E128">
        <v>6</v>
      </c>
      <c r="F128" s="32">
        <f t="shared" si="10"/>
        <v>1</v>
      </c>
      <c r="G128">
        <v>8</v>
      </c>
      <c r="H128">
        <v>5</v>
      </c>
      <c r="I128" s="32">
        <f t="shared" si="11"/>
        <v>3</v>
      </c>
      <c r="J128">
        <v>8</v>
      </c>
      <c r="K128">
        <v>6</v>
      </c>
      <c r="L128" s="32">
        <f t="shared" si="12"/>
        <v>2</v>
      </c>
      <c r="M128">
        <v>7</v>
      </c>
      <c r="N128">
        <v>5</v>
      </c>
      <c r="O128" s="32">
        <f t="shared" si="13"/>
        <v>2</v>
      </c>
      <c r="P128">
        <v>8</v>
      </c>
      <c r="Q128">
        <v>6</v>
      </c>
      <c r="R128" s="32">
        <f t="shared" si="14"/>
        <v>2</v>
      </c>
      <c r="S128">
        <v>7</v>
      </c>
      <c r="T128">
        <v>5</v>
      </c>
      <c r="U128" s="32">
        <f t="shared" si="15"/>
        <v>2</v>
      </c>
      <c r="V128">
        <v>7</v>
      </c>
      <c r="W128">
        <v>5</v>
      </c>
      <c r="X128" s="32">
        <f t="shared" si="16"/>
        <v>2</v>
      </c>
      <c r="Y128">
        <v>9</v>
      </c>
      <c r="Z128">
        <v>6</v>
      </c>
      <c r="AA128" s="32">
        <f t="shared" si="17"/>
        <v>3</v>
      </c>
    </row>
    <row r="129" spans="1:27" x14ac:dyDescent="0.45">
      <c r="A129">
        <v>7</v>
      </c>
      <c r="B129">
        <v>6</v>
      </c>
      <c r="C129" s="32">
        <f t="shared" si="9"/>
        <v>1</v>
      </c>
      <c r="D129">
        <v>7</v>
      </c>
      <c r="E129">
        <v>6</v>
      </c>
      <c r="F129" s="32">
        <f t="shared" si="10"/>
        <v>1</v>
      </c>
      <c r="G129">
        <v>8</v>
      </c>
      <c r="H129">
        <v>5</v>
      </c>
      <c r="I129" s="32">
        <f t="shared" si="11"/>
        <v>3</v>
      </c>
      <c r="J129">
        <v>8</v>
      </c>
      <c r="K129">
        <v>6</v>
      </c>
      <c r="L129" s="32">
        <f t="shared" si="12"/>
        <v>2</v>
      </c>
      <c r="M129">
        <v>7</v>
      </c>
      <c r="N129">
        <v>5</v>
      </c>
      <c r="O129" s="32">
        <f t="shared" si="13"/>
        <v>2</v>
      </c>
      <c r="P129">
        <v>8</v>
      </c>
      <c r="Q129">
        <v>6</v>
      </c>
      <c r="R129" s="32">
        <f t="shared" si="14"/>
        <v>2</v>
      </c>
      <c r="S129">
        <v>7</v>
      </c>
      <c r="T129">
        <v>5</v>
      </c>
      <c r="U129" s="32">
        <f t="shared" si="15"/>
        <v>2</v>
      </c>
      <c r="V129">
        <v>7</v>
      </c>
      <c r="W129">
        <v>5</v>
      </c>
      <c r="X129" s="32">
        <f t="shared" si="16"/>
        <v>2</v>
      </c>
      <c r="Y129">
        <v>9</v>
      </c>
      <c r="Z129">
        <v>6</v>
      </c>
      <c r="AA129" s="32">
        <f t="shared" si="17"/>
        <v>3</v>
      </c>
    </row>
    <row r="130" spans="1:27" x14ac:dyDescent="0.45">
      <c r="A130">
        <v>7</v>
      </c>
      <c r="B130">
        <v>6</v>
      </c>
      <c r="C130" s="32">
        <f t="shared" si="9"/>
        <v>1</v>
      </c>
      <c r="D130">
        <v>7</v>
      </c>
      <c r="E130">
        <v>6</v>
      </c>
      <c r="F130" s="32">
        <f t="shared" si="10"/>
        <v>1</v>
      </c>
      <c r="G130">
        <v>8</v>
      </c>
      <c r="H130">
        <v>5</v>
      </c>
      <c r="I130" s="32">
        <f t="shared" si="11"/>
        <v>3</v>
      </c>
      <c r="J130">
        <v>8</v>
      </c>
      <c r="K130">
        <v>6</v>
      </c>
      <c r="L130" s="32">
        <f t="shared" si="12"/>
        <v>2</v>
      </c>
      <c r="M130">
        <v>7</v>
      </c>
      <c r="N130">
        <v>5</v>
      </c>
      <c r="O130" s="32">
        <f t="shared" si="13"/>
        <v>2</v>
      </c>
      <c r="P130">
        <v>8</v>
      </c>
      <c r="Q130">
        <v>6</v>
      </c>
      <c r="R130" s="32">
        <f t="shared" si="14"/>
        <v>2</v>
      </c>
      <c r="S130">
        <v>7</v>
      </c>
      <c r="T130">
        <v>5</v>
      </c>
      <c r="U130" s="32">
        <f t="shared" si="15"/>
        <v>2</v>
      </c>
      <c r="V130">
        <v>7</v>
      </c>
      <c r="W130">
        <v>5</v>
      </c>
      <c r="X130" s="32">
        <f t="shared" si="16"/>
        <v>2</v>
      </c>
      <c r="Y130">
        <v>9</v>
      </c>
      <c r="Z130">
        <v>6</v>
      </c>
      <c r="AA130" s="32">
        <f t="shared" si="17"/>
        <v>3</v>
      </c>
    </row>
    <row r="131" spans="1:27" x14ac:dyDescent="0.45">
      <c r="A131">
        <v>7</v>
      </c>
      <c r="B131">
        <v>6</v>
      </c>
      <c r="C131" s="32">
        <f t="shared" ref="C131:C194" si="18">ABS(B131-A131)</f>
        <v>1</v>
      </c>
      <c r="D131">
        <v>7</v>
      </c>
      <c r="E131">
        <v>6</v>
      </c>
      <c r="F131" s="32">
        <f t="shared" ref="F131:F194" si="19">ABS(E131-D131)</f>
        <v>1</v>
      </c>
      <c r="G131">
        <v>8</v>
      </c>
      <c r="H131">
        <v>5</v>
      </c>
      <c r="I131" s="32">
        <f t="shared" ref="I131:I194" si="20">ABS(H131-G131)</f>
        <v>3</v>
      </c>
      <c r="J131">
        <v>8</v>
      </c>
      <c r="K131">
        <v>7</v>
      </c>
      <c r="L131" s="32">
        <f t="shared" ref="L131:L194" si="21">ABS(K131-J131)</f>
        <v>1</v>
      </c>
      <c r="M131">
        <v>7</v>
      </c>
      <c r="N131">
        <v>5</v>
      </c>
      <c r="O131" s="32">
        <f t="shared" ref="O131:O194" si="22">ABS(N131-M131)</f>
        <v>2</v>
      </c>
      <c r="P131">
        <v>8</v>
      </c>
      <c r="Q131">
        <v>6</v>
      </c>
      <c r="R131" s="32">
        <f t="shared" ref="R131:R194" si="23">ABS(Q131-P131)</f>
        <v>2</v>
      </c>
      <c r="S131">
        <v>7</v>
      </c>
      <c r="T131">
        <v>5</v>
      </c>
      <c r="U131" s="32">
        <f t="shared" ref="U131:U194" si="24">ABS(T131-S131)</f>
        <v>2</v>
      </c>
      <c r="V131">
        <v>7</v>
      </c>
      <c r="W131">
        <v>5</v>
      </c>
      <c r="X131" s="32">
        <f t="shared" ref="X131:X194" si="25">ABS(W131-V131)</f>
        <v>2</v>
      </c>
      <c r="Y131">
        <v>9</v>
      </c>
      <c r="Z131">
        <v>6</v>
      </c>
      <c r="AA131" s="32">
        <f t="shared" ref="AA131:AA194" si="26">ABS(Z131-Y131)</f>
        <v>3</v>
      </c>
    </row>
    <row r="132" spans="1:27" x14ac:dyDescent="0.45">
      <c r="A132">
        <v>7</v>
      </c>
      <c r="B132">
        <v>6</v>
      </c>
      <c r="C132" s="32">
        <f t="shared" si="18"/>
        <v>1</v>
      </c>
      <c r="D132">
        <v>7</v>
      </c>
      <c r="E132">
        <v>7</v>
      </c>
      <c r="F132" s="32">
        <f t="shared" si="19"/>
        <v>0</v>
      </c>
      <c r="G132">
        <v>8</v>
      </c>
      <c r="H132">
        <v>5</v>
      </c>
      <c r="I132" s="32">
        <f t="shared" si="20"/>
        <v>3</v>
      </c>
      <c r="J132">
        <v>8</v>
      </c>
      <c r="K132">
        <v>7</v>
      </c>
      <c r="L132" s="32">
        <f t="shared" si="21"/>
        <v>1</v>
      </c>
      <c r="M132">
        <v>7</v>
      </c>
      <c r="N132">
        <v>5</v>
      </c>
      <c r="O132" s="32">
        <f t="shared" si="22"/>
        <v>2</v>
      </c>
      <c r="P132">
        <v>8</v>
      </c>
      <c r="Q132">
        <v>6</v>
      </c>
      <c r="R132" s="32">
        <f t="shared" si="23"/>
        <v>2</v>
      </c>
      <c r="S132">
        <v>7</v>
      </c>
      <c r="T132">
        <v>5</v>
      </c>
      <c r="U132" s="32">
        <f t="shared" si="24"/>
        <v>2</v>
      </c>
      <c r="V132">
        <v>7</v>
      </c>
      <c r="W132">
        <v>6</v>
      </c>
      <c r="X132" s="32">
        <f t="shared" si="25"/>
        <v>1</v>
      </c>
      <c r="Y132">
        <v>9</v>
      </c>
      <c r="Z132">
        <v>6</v>
      </c>
      <c r="AA132" s="32">
        <f t="shared" si="26"/>
        <v>3</v>
      </c>
    </row>
    <row r="133" spans="1:27" x14ac:dyDescent="0.45">
      <c r="A133">
        <v>7</v>
      </c>
      <c r="B133">
        <v>6</v>
      </c>
      <c r="C133" s="32">
        <f t="shared" si="18"/>
        <v>1</v>
      </c>
      <c r="D133">
        <v>7</v>
      </c>
      <c r="E133">
        <v>7</v>
      </c>
      <c r="F133" s="32">
        <f t="shared" si="19"/>
        <v>0</v>
      </c>
      <c r="G133">
        <v>8</v>
      </c>
      <c r="H133">
        <v>5</v>
      </c>
      <c r="I133" s="32">
        <f t="shared" si="20"/>
        <v>3</v>
      </c>
      <c r="J133">
        <v>8</v>
      </c>
      <c r="K133">
        <v>7</v>
      </c>
      <c r="L133" s="32">
        <f t="shared" si="21"/>
        <v>1</v>
      </c>
      <c r="M133">
        <v>7</v>
      </c>
      <c r="N133">
        <v>5</v>
      </c>
      <c r="O133" s="32">
        <f t="shared" si="22"/>
        <v>2</v>
      </c>
      <c r="P133">
        <v>8</v>
      </c>
      <c r="Q133">
        <v>6</v>
      </c>
      <c r="R133" s="32">
        <f t="shared" si="23"/>
        <v>2</v>
      </c>
      <c r="S133">
        <v>7</v>
      </c>
      <c r="T133">
        <v>5</v>
      </c>
      <c r="U133" s="32">
        <f t="shared" si="24"/>
        <v>2</v>
      </c>
      <c r="V133">
        <v>7</v>
      </c>
      <c r="W133">
        <v>6</v>
      </c>
      <c r="X133" s="32">
        <f t="shared" si="25"/>
        <v>1</v>
      </c>
      <c r="Y133">
        <v>9</v>
      </c>
      <c r="Z133">
        <v>6</v>
      </c>
      <c r="AA133" s="32">
        <f t="shared" si="26"/>
        <v>3</v>
      </c>
    </row>
    <row r="134" spans="1:27" x14ac:dyDescent="0.45">
      <c r="A134">
        <v>7</v>
      </c>
      <c r="B134">
        <v>6</v>
      </c>
      <c r="C134" s="32">
        <f t="shared" si="18"/>
        <v>1</v>
      </c>
      <c r="D134">
        <v>7</v>
      </c>
      <c r="E134">
        <v>7</v>
      </c>
      <c r="F134" s="32">
        <f t="shared" si="19"/>
        <v>0</v>
      </c>
      <c r="G134">
        <v>8</v>
      </c>
      <c r="H134">
        <v>5</v>
      </c>
      <c r="I134" s="32">
        <f t="shared" si="20"/>
        <v>3</v>
      </c>
      <c r="J134">
        <v>8</v>
      </c>
      <c r="K134">
        <v>7</v>
      </c>
      <c r="L134" s="32">
        <f t="shared" si="21"/>
        <v>1</v>
      </c>
      <c r="M134">
        <v>7</v>
      </c>
      <c r="N134">
        <v>5</v>
      </c>
      <c r="O134" s="32">
        <f t="shared" si="22"/>
        <v>2</v>
      </c>
      <c r="P134">
        <v>8</v>
      </c>
      <c r="Q134">
        <v>6</v>
      </c>
      <c r="R134" s="32">
        <f t="shared" si="23"/>
        <v>2</v>
      </c>
      <c r="S134">
        <v>7</v>
      </c>
      <c r="T134">
        <v>5</v>
      </c>
      <c r="U134" s="32">
        <f t="shared" si="24"/>
        <v>2</v>
      </c>
      <c r="V134">
        <v>7</v>
      </c>
      <c r="W134">
        <v>6</v>
      </c>
      <c r="X134" s="32">
        <f t="shared" si="25"/>
        <v>1</v>
      </c>
      <c r="Y134">
        <v>9</v>
      </c>
      <c r="Z134">
        <v>6</v>
      </c>
      <c r="AA134" s="32">
        <f t="shared" si="26"/>
        <v>3</v>
      </c>
    </row>
    <row r="135" spans="1:27" x14ac:dyDescent="0.45">
      <c r="A135">
        <v>7</v>
      </c>
      <c r="B135">
        <v>6</v>
      </c>
      <c r="C135" s="32">
        <f t="shared" si="18"/>
        <v>1</v>
      </c>
      <c r="D135">
        <v>7</v>
      </c>
      <c r="E135">
        <v>7</v>
      </c>
      <c r="F135" s="32">
        <f t="shared" si="19"/>
        <v>0</v>
      </c>
      <c r="G135">
        <v>8</v>
      </c>
      <c r="H135">
        <v>5</v>
      </c>
      <c r="I135" s="32">
        <f t="shared" si="20"/>
        <v>3</v>
      </c>
      <c r="J135">
        <v>8</v>
      </c>
      <c r="K135">
        <v>7</v>
      </c>
      <c r="L135" s="32">
        <f t="shared" si="21"/>
        <v>1</v>
      </c>
      <c r="M135">
        <v>7</v>
      </c>
      <c r="N135">
        <v>5</v>
      </c>
      <c r="O135" s="32">
        <f t="shared" si="22"/>
        <v>2</v>
      </c>
      <c r="P135">
        <v>8</v>
      </c>
      <c r="Q135">
        <v>6</v>
      </c>
      <c r="R135" s="32">
        <f t="shared" si="23"/>
        <v>2</v>
      </c>
      <c r="S135">
        <v>7</v>
      </c>
      <c r="T135">
        <v>5</v>
      </c>
      <c r="U135" s="32">
        <f t="shared" si="24"/>
        <v>2</v>
      </c>
      <c r="V135">
        <v>7</v>
      </c>
      <c r="W135">
        <v>6</v>
      </c>
      <c r="X135" s="32">
        <f t="shared" si="25"/>
        <v>1</v>
      </c>
      <c r="Y135">
        <v>9</v>
      </c>
      <c r="Z135">
        <v>6</v>
      </c>
      <c r="AA135" s="32">
        <f t="shared" si="26"/>
        <v>3</v>
      </c>
    </row>
    <row r="136" spans="1:27" x14ac:dyDescent="0.45">
      <c r="A136">
        <v>7</v>
      </c>
      <c r="B136">
        <v>6</v>
      </c>
      <c r="C136" s="32">
        <f t="shared" si="18"/>
        <v>1</v>
      </c>
      <c r="D136">
        <v>7</v>
      </c>
      <c r="E136">
        <v>7</v>
      </c>
      <c r="F136" s="32">
        <f t="shared" si="19"/>
        <v>0</v>
      </c>
      <c r="G136">
        <v>8</v>
      </c>
      <c r="H136">
        <v>5</v>
      </c>
      <c r="I136" s="32">
        <f t="shared" si="20"/>
        <v>3</v>
      </c>
      <c r="J136">
        <v>8</v>
      </c>
      <c r="K136">
        <v>7</v>
      </c>
      <c r="L136" s="32">
        <f t="shared" si="21"/>
        <v>1</v>
      </c>
      <c r="M136">
        <v>7</v>
      </c>
      <c r="N136">
        <v>5</v>
      </c>
      <c r="O136" s="32">
        <f t="shared" si="22"/>
        <v>2</v>
      </c>
      <c r="P136">
        <v>8</v>
      </c>
      <c r="Q136">
        <v>6</v>
      </c>
      <c r="R136" s="32">
        <f t="shared" si="23"/>
        <v>2</v>
      </c>
      <c r="S136">
        <v>7</v>
      </c>
      <c r="T136">
        <v>5</v>
      </c>
      <c r="U136" s="32">
        <f t="shared" si="24"/>
        <v>2</v>
      </c>
      <c r="V136">
        <v>7</v>
      </c>
      <c r="W136">
        <v>6</v>
      </c>
      <c r="X136" s="32">
        <f t="shared" si="25"/>
        <v>1</v>
      </c>
      <c r="Y136">
        <v>9</v>
      </c>
      <c r="Z136">
        <v>6</v>
      </c>
      <c r="AA136" s="32">
        <f t="shared" si="26"/>
        <v>3</v>
      </c>
    </row>
    <row r="137" spans="1:27" x14ac:dyDescent="0.45">
      <c r="A137">
        <v>7</v>
      </c>
      <c r="B137">
        <v>6</v>
      </c>
      <c r="C137" s="32">
        <f t="shared" si="18"/>
        <v>1</v>
      </c>
      <c r="D137">
        <v>7</v>
      </c>
      <c r="E137">
        <v>7</v>
      </c>
      <c r="F137" s="32">
        <f t="shared" si="19"/>
        <v>0</v>
      </c>
      <c r="G137">
        <v>8</v>
      </c>
      <c r="H137">
        <v>5</v>
      </c>
      <c r="I137" s="32">
        <f t="shared" si="20"/>
        <v>3</v>
      </c>
      <c r="J137">
        <v>8</v>
      </c>
      <c r="K137">
        <v>7</v>
      </c>
      <c r="L137" s="32">
        <f t="shared" si="21"/>
        <v>1</v>
      </c>
      <c r="M137">
        <v>7</v>
      </c>
      <c r="N137">
        <v>5</v>
      </c>
      <c r="O137" s="32">
        <f t="shared" si="22"/>
        <v>2</v>
      </c>
      <c r="P137">
        <v>8</v>
      </c>
      <c r="Q137">
        <v>6</v>
      </c>
      <c r="R137" s="32">
        <f t="shared" si="23"/>
        <v>2</v>
      </c>
      <c r="S137">
        <v>7</v>
      </c>
      <c r="T137">
        <v>5</v>
      </c>
      <c r="U137" s="32">
        <f t="shared" si="24"/>
        <v>2</v>
      </c>
      <c r="V137">
        <v>7</v>
      </c>
      <c r="W137">
        <v>6</v>
      </c>
      <c r="X137" s="32">
        <f t="shared" si="25"/>
        <v>1</v>
      </c>
      <c r="Y137">
        <v>9</v>
      </c>
      <c r="Z137">
        <v>6</v>
      </c>
      <c r="AA137" s="32">
        <f t="shared" si="26"/>
        <v>3</v>
      </c>
    </row>
    <row r="138" spans="1:27" x14ac:dyDescent="0.45">
      <c r="A138">
        <v>7</v>
      </c>
      <c r="B138">
        <v>6</v>
      </c>
      <c r="C138" s="32">
        <f t="shared" si="18"/>
        <v>1</v>
      </c>
      <c r="D138">
        <v>7</v>
      </c>
      <c r="E138">
        <v>7</v>
      </c>
      <c r="F138" s="32">
        <f t="shared" si="19"/>
        <v>0</v>
      </c>
      <c r="G138">
        <v>8</v>
      </c>
      <c r="H138">
        <v>5</v>
      </c>
      <c r="I138" s="32">
        <f t="shared" si="20"/>
        <v>3</v>
      </c>
      <c r="J138">
        <v>8</v>
      </c>
      <c r="K138">
        <v>7</v>
      </c>
      <c r="L138" s="32">
        <f t="shared" si="21"/>
        <v>1</v>
      </c>
      <c r="M138">
        <v>7</v>
      </c>
      <c r="N138">
        <v>6</v>
      </c>
      <c r="O138" s="32">
        <f t="shared" si="22"/>
        <v>1</v>
      </c>
      <c r="P138">
        <v>8</v>
      </c>
      <c r="Q138">
        <v>6</v>
      </c>
      <c r="R138" s="32">
        <f t="shared" si="23"/>
        <v>2</v>
      </c>
      <c r="S138">
        <v>7</v>
      </c>
      <c r="T138">
        <v>5</v>
      </c>
      <c r="U138" s="32">
        <f t="shared" si="24"/>
        <v>2</v>
      </c>
      <c r="V138">
        <v>7</v>
      </c>
      <c r="W138">
        <v>6</v>
      </c>
      <c r="X138" s="32">
        <f t="shared" si="25"/>
        <v>1</v>
      </c>
      <c r="Y138">
        <v>9</v>
      </c>
      <c r="Z138">
        <v>6</v>
      </c>
      <c r="AA138" s="32">
        <f t="shared" si="26"/>
        <v>3</v>
      </c>
    </row>
    <row r="139" spans="1:27" x14ac:dyDescent="0.45">
      <c r="A139">
        <v>7</v>
      </c>
      <c r="B139">
        <v>6</v>
      </c>
      <c r="C139" s="32">
        <f t="shared" si="18"/>
        <v>1</v>
      </c>
      <c r="D139">
        <v>7</v>
      </c>
      <c r="E139">
        <v>7</v>
      </c>
      <c r="F139" s="32">
        <f t="shared" si="19"/>
        <v>0</v>
      </c>
      <c r="G139">
        <v>8</v>
      </c>
      <c r="H139">
        <v>5</v>
      </c>
      <c r="I139" s="32">
        <f t="shared" si="20"/>
        <v>3</v>
      </c>
      <c r="J139">
        <v>8</v>
      </c>
      <c r="K139">
        <v>7</v>
      </c>
      <c r="L139" s="32">
        <f t="shared" si="21"/>
        <v>1</v>
      </c>
      <c r="M139">
        <v>7</v>
      </c>
      <c r="N139">
        <v>6</v>
      </c>
      <c r="O139" s="32">
        <f t="shared" si="22"/>
        <v>1</v>
      </c>
      <c r="P139">
        <v>8</v>
      </c>
      <c r="Q139">
        <v>6</v>
      </c>
      <c r="R139" s="32">
        <f t="shared" si="23"/>
        <v>2</v>
      </c>
      <c r="S139">
        <v>7</v>
      </c>
      <c r="T139">
        <v>5</v>
      </c>
      <c r="U139" s="32">
        <f t="shared" si="24"/>
        <v>2</v>
      </c>
      <c r="V139">
        <v>7</v>
      </c>
      <c r="W139">
        <v>6</v>
      </c>
      <c r="X139" s="32">
        <f t="shared" si="25"/>
        <v>1</v>
      </c>
      <c r="Y139">
        <v>9</v>
      </c>
      <c r="Z139">
        <v>6</v>
      </c>
      <c r="AA139" s="32">
        <f t="shared" si="26"/>
        <v>3</v>
      </c>
    </row>
    <row r="140" spans="1:27" x14ac:dyDescent="0.45">
      <c r="A140">
        <v>7</v>
      </c>
      <c r="B140">
        <v>6</v>
      </c>
      <c r="C140" s="32">
        <f t="shared" si="18"/>
        <v>1</v>
      </c>
      <c r="D140">
        <v>7</v>
      </c>
      <c r="E140">
        <v>7</v>
      </c>
      <c r="F140" s="32">
        <f t="shared" si="19"/>
        <v>0</v>
      </c>
      <c r="G140">
        <v>8</v>
      </c>
      <c r="H140">
        <v>5</v>
      </c>
      <c r="I140" s="32">
        <f t="shared" si="20"/>
        <v>3</v>
      </c>
      <c r="J140">
        <v>8</v>
      </c>
      <c r="K140">
        <v>7</v>
      </c>
      <c r="L140" s="32">
        <f t="shared" si="21"/>
        <v>1</v>
      </c>
      <c r="M140">
        <v>7</v>
      </c>
      <c r="N140">
        <v>6</v>
      </c>
      <c r="O140" s="32">
        <f t="shared" si="22"/>
        <v>1</v>
      </c>
      <c r="P140">
        <v>8</v>
      </c>
      <c r="Q140">
        <v>6</v>
      </c>
      <c r="R140" s="32">
        <f t="shared" si="23"/>
        <v>2</v>
      </c>
      <c r="S140">
        <v>7</v>
      </c>
      <c r="T140">
        <v>5</v>
      </c>
      <c r="U140" s="32">
        <f t="shared" si="24"/>
        <v>2</v>
      </c>
      <c r="V140">
        <v>7</v>
      </c>
      <c r="W140">
        <v>6</v>
      </c>
      <c r="X140" s="32">
        <f t="shared" si="25"/>
        <v>1</v>
      </c>
      <c r="Y140">
        <v>9</v>
      </c>
      <c r="Z140">
        <v>6</v>
      </c>
      <c r="AA140" s="32">
        <f t="shared" si="26"/>
        <v>3</v>
      </c>
    </row>
    <row r="141" spans="1:27" x14ac:dyDescent="0.45">
      <c r="A141">
        <v>7</v>
      </c>
      <c r="B141">
        <v>6</v>
      </c>
      <c r="C141" s="32">
        <f t="shared" si="18"/>
        <v>1</v>
      </c>
      <c r="D141">
        <v>7</v>
      </c>
      <c r="E141">
        <v>7</v>
      </c>
      <c r="F141" s="32">
        <f t="shared" si="19"/>
        <v>0</v>
      </c>
      <c r="G141">
        <v>8</v>
      </c>
      <c r="H141">
        <v>5</v>
      </c>
      <c r="I141" s="32">
        <f t="shared" si="20"/>
        <v>3</v>
      </c>
      <c r="J141">
        <v>8</v>
      </c>
      <c r="K141">
        <v>7</v>
      </c>
      <c r="L141" s="32">
        <f t="shared" si="21"/>
        <v>1</v>
      </c>
      <c r="M141">
        <v>7</v>
      </c>
      <c r="N141">
        <v>6</v>
      </c>
      <c r="O141" s="32">
        <f t="shared" si="22"/>
        <v>1</v>
      </c>
      <c r="P141">
        <v>8</v>
      </c>
      <c r="Q141">
        <v>6</v>
      </c>
      <c r="R141" s="32">
        <f t="shared" si="23"/>
        <v>2</v>
      </c>
      <c r="S141">
        <v>7</v>
      </c>
      <c r="T141">
        <v>5</v>
      </c>
      <c r="U141" s="32">
        <f t="shared" si="24"/>
        <v>2</v>
      </c>
      <c r="V141">
        <v>7</v>
      </c>
      <c r="W141">
        <v>6</v>
      </c>
      <c r="X141" s="32">
        <f t="shared" si="25"/>
        <v>1</v>
      </c>
      <c r="Y141">
        <v>9</v>
      </c>
      <c r="Z141">
        <v>6</v>
      </c>
      <c r="AA141" s="32">
        <f t="shared" si="26"/>
        <v>3</v>
      </c>
    </row>
    <row r="142" spans="1:27" x14ac:dyDescent="0.45">
      <c r="A142">
        <v>7</v>
      </c>
      <c r="B142">
        <v>6</v>
      </c>
      <c r="C142" s="32">
        <f t="shared" si="18"/>
        <v>1</v>
      </c>
      <c r="D142">
        <v>7</v>
      </c>
      <c r="E142">
        <v>7</v>
      </c>
      <c r="F142" s="32">
        <f t="shared" si="19"/>
        <v>0</v>
      </c>
      <c r="G142">
        <v>8</v>
      </c>
      <c r="H142">
        <v>5</v>
      </c>
      <c r="I142" s="32">
        <f t="shared" si="20"/>
        <v>3</v>
      </c>
      <c r="J142">
        <v>8</v>
      </c>
      <c r="K142">
        <v>7</v>
      </c>
      <c r="L142" s="32">
        <f t="shared" si="21"/>
        <v>1</v>
      </c>
      <c r="M142">
        <v>7</v>
      </c>
      <c r="N142">
        <v>6</v>
      </c>
      <c r="O142" s="32">
        <f t="shared" si="22"/>
        <v>1</v>
      </c>
      <c r="P142">
        <v>8</v>
      </c>
      <c r="Q142">
        <v>6</v>
      </c>
      <c r="R142" s="32">
        <f t="shared" si="23"/>
        <v>2</v>
      </c>
      <c r="S142">
        <v>7</v>
      </c>
      <c r="T142">
        <v>5</v>
      </c>
      <c r="U142" s="32">
        <f t="shared" si="24"/>
        <v>2</v>
      </c>
      <c r="V142">
        <v>7</v>
      </c>
      <c r="W142">
        <v>6</v>
      </c>
      <c r="X142" s="32">
        <f t="shared" si="25"/>
        <v>1</v>
      </c>
      <c r="Y142">
        <v>9</v>
      </c>
      <c r="Z142">
        <v>6</v>
      </c>
      <c r="AA142" s="32">
        <f t="shared" si="26"/>
        <v>3</v>
      </c>
    </row>
    <row r="143" spans="1:27" x14ac:dyDescent="0.45">
      <c r="A143">
        <v>7</v>
      </c>
      <c r="B143">
        <v>6</v>
      </c>
      <c r="C143" s="32">
        <f t="shared" si="18"/>
        <v>1</v>
      </c>
      <c r="D143">
        <v>7</v>
      </c>
      <c r="E143">
        <v>7</v>
      </c>
      <c r="F143" s="32">
        <f t="shared" si="19"/>
        <v>0</v>
      </c>
      <c r="G143">
        <v>8</v>
      </c>
      <c r="H143">
        <v>5</v>
      </c>
      <c r="I143" s="32">
        <f t="shared" si="20"/>
        <v>3</v>
      </c>
      <c r="J143">
        <v>8</v>
      </c>
      <c r="K143">
        <v>7</v>
      </c>
      <c r="L143" s="32">
        <f t="shared" si="21"/>
        <v>1</v>
      </c>
      <c r="M143">
        <v>7</v>
      </c>
      <c r="N143">
        <v>6</v>
      </c>
      <c r="O143" s="32">
        <f t="shared" si="22"/>
        <v>1</v>
      </c>
      <c r="P143">
        <v>8</v>
      </c>
      <c r="Q143">
        <v>6</v>
      </c>
      <c r="R143" s="32">
        <f t="shared" si="23"/>
        <v>2</v>
      </c>
      <c r="S143">
        <v>7</v>
      </c>
      <c r="T143">
        <v>5</v>
      </c>
      <c r="U143" s="32">
        <f t="shared" si="24"/>
        <v>2</v>
      </c>
      <c r="V143">
        <v>7</v>
      </c>
      <c r="W143">
        <v>6</v>
      </c>
      <c r="X143" s="32">
        <f t="shared" si="25"/>
        <v>1</v>
      </c>
      <c r="Y143">
        <v>9</v>
      </c>
      <c r="Z143">
        <v>6</v>
      </c>
      <c r="AA143" s="32">
        <f t="shared" si="26"/>
        <v>3</v>
      </c>
    </row>
    <row r="144" spans="1:27" x14ac:dyDescent="0.45">
      <c r="A144">
        <v>7</v>
      </c>
      <c r="B144">
        <v>6</v>
      </c>
      <c r="C144" s="32">
        <f t="shared" si="18"/>
        <v>1</v>
      </c>
      <c r="D144">
        <v>7</v>
      </c>
      <c r="E144">
        <v>7</v>
      </c>
      <c r="F144" s="32">
        <f t="shared" si="19"/>
        <v>0</v>
      </c>
      <c r="G144">
        <v>8</v>
      </c>
      <c r="H144">
        <v>5</v>
      </c>
      <c r="I144" s="32">
        <f t="shared" si="20"/>
        <v>3</v>
      </c>
      <c r="J144">
        <v>8</v>
      </c>
      <c r="K144">
        <v>7</v>
      </c>
      <c r="L144" s="32">
        <f t="shared" si="21"/>
        <v>1</v>
      </c>
      <c r="M144">
        <v>7</v>
      </c>
      <c r="N144">
        <v>6</v>
      </c>
      <c r="O144" s="32">
        <f t="shared" si="22"/>
        <v>1</v>
      </c>
      <c r="P144">
        <v>8</v>
      </c>
      <c r="Q144">
        <v>6</v>
      </c>
      <c r="R144" s="32">
        <f t="shared" si="23"/>
        <v>2</v>
      </c>
      <c r="S144">
        <v>7</v>
      </c>
      <c r="T144">
        <v>5</v>
      </c>
      <c r="U144" s="32">
        <f t="shared" si="24"/>
        <v>2</v>
      </c>
      <c r="V144">
        <v>7</v>
      </c>
      <c r="W144">
        <v>6</v>
      </c>
      <c r="X144" s="32">
        <f t="shared" si="25"/>
        <v>1</v>
      </c>
      <c r="Y144">
        <v>9</v>
      </c>
      <c r="Z144">
        <v>6</v>
      </c>
      <c r="AA144" s="32">
        <f t="shared" si="26"/>
        <v>3</v>
      </c>
    </row>
    <row r="145" spans="1:27" x14ac:dyDescent="0.45">
      <c r="A145">
        <v>7</v>
      </c>
      <c r="B145">
        <v>6</v>
      </c>
      <c r="C145" s="32">
        <f t="shared" si="18"/>
        <v>1</v>
      </c>
      <c r="D145">
        <v>7</v>
      </c>
      <c r="E145">
        <v>7</v>
      </c>
      <c r="F145" s="32">
        <f t="shared" si="19"/>
        <v>0</v>
      </c>
      <c r="G145">
        <v>8</v>
      </c>
      <c r="H145">
        <v>5</v>
      </c>
      <c r="I145" s="32">
        <f t="shared" si="20"/>
        <v>3</v>
      </c>
      <c r="J145">
        <v>9</v>
      </c>
      <c r="K145">
        <v>7</v>
      </c>
      <c r="L145" s="32">
        <f t="shared" si="21"/>
        <v>2</v>
      </c>
      <c r="M145">
        <v>7</v>
      </c>
      <c r="N145">
        <v>6</v>
      </c>
      <c r="O145" s="32">
        <f t="shared" si="22"/>
        <v>1</v>
      </c>
      <c r="P145">
        <v>8</v>
      </c>
      <c r="Q145">
        <v>6</v>
      </c>
      <c r="R145" s="32">
        <f t="shared" si="23"/>
        <v>2</v>
      </c>
      <c r="S145">
        <v>7</v>
      </c>
      <c r="T145">
        <v>5</v>
      </c>
      <c r="U145" s="32">
        <f t="shared" si="24"/>
        <v>2</v>
      </c>
      <c r="V145">
        <v>7</v>
      </c>
      <c r="W145">
        <v>6</v>
      </c>
      <c r="X145" s="32">
        <f t="shared" si="25"/>
        <v>1</v>
      </c>
      <c r="Y145">
        <v>9</v>
      </c>
      <c r="Z145">
        <v>6</v>
      </c>
      <c r="AA145" s="32">
        <f t="shared" si="26"/>
        <v>3</v>
      </c>
    </row>
    <row r="146" spans="1:27" x14ac:dyDescent="0.45">
      <c r="A146">
        <v>7</v>
      </c>
      <c r="B146">
        <v>6</v>
      </c>
      <c r="C146" s="32">
        <f t="shared" si="18"/>
        <v>1</v>
      </c>
      <c r="D146">
        <v>7</v>
      </c>
      <c r="E146">
        <v>7</v>
      </c>
      <c r="F146" s="32">
        <f t="shared" si="19"/>
        <v>0</v>
      </c>
      <c r="G146">
        <v>8</v>
      </c>
      <c r="H146">
        <v>5</v>
      </c>
      <c r="I146" s="32">
        <f t="shared" si="20"/>
        <v>3</v>
      </c>
      <c r="J146">
        <v>9</v>
      </c>
      <c r="K146">
        <v>7</v>
      </c>
      <c r="L146" s="32">
        <f t="shared" si="21"/>
        <v>2</v>
      </c>
      <c r="M146">
        <v>7</v>
      </c>
      <c r="N146">
        <v>6</v>
      </c>
      <c r="O146" s="32">
        <f t="shared" si="22"/>
        <v>1</v>
      </c>
      <c r="P146">
        <v>8</v>
      </c>
      <c r="Q146">
        <v>6</v>
      </c>
      <c r="R146" s="32">
        <f t="shared" si="23"/>
        <v>2</v>
      </c>
      <c r="S146">
        <v>7</v>
      </c>
      <c r="T146">
        <v>5</v>
      </c>
      <c r="U146" s="32">
        <f t="shared" si="24"/>
        <v>2</v>
      </c>
      <c r="V146">
        <v>7</v>
      </c>
      <c r="W146">
        <v>6</v>
      </c>
      <c r="X146" s="32">
        <f t="shared" si="25"/>
        <v>1</v>
      </c>
      <c r="Y146">
        <v>9</v>
      </c>
      <c r="Z146">
        <v>6</v>
      </c>
      <c r="AA146" s="32">
        <f t="shared" si="26"/>
        <v>3</v>
      </c>
    </row>
    <row r="147" spans="1:27" x14ac:dyDescent="0.45">
      <c r="A147">
        <v>7</v>
      </c>
      <c r="B147">
        <v>6</v>
      </c>
      <c r="C147" s="32">
        <f t="shared" si="18"/>
        <v>1</v>
      </c>
      <c r="D147">
        <v>7</v>
      </c>
      <c r="E147">
        <v>7</v>
      </c>
      <c r="F147" s="32">
        <f t="shared" si="19"/>
        <v>0</v>
      </c>
      <c r="G147">
        <v>8</v>
      </c>
      <c r="H147">
        <v>5</v>
      </c>
      <c r="I147" s="32">
        <f t="shared" si="20"/>
        <v>3</v>
      </c>
      <c r="J147">
        <v>9</v>
      </c>
      <c r="K147">
        <v>7</v>
      </c>
      <c r="L147" s="32">
        <f t="shared" si="21"/>
        <v>2</v>
      </c>
      <c r="M147">
        <v>7</v>
      </c>
      <c r="N147">
        <v>6</v>
      </c>
      <c r="O147" s="32">
        <f t="shared" si="22"/>
        <v>1</v>
      </c>
      <c r="P147">
        <v>8</v>
      </c>
      <c r="Q147">
        <v>6</v>
      </c>
      <c r="R147" s="32">
        <f t="shared" si="23"/>
        <v>2</v>
      </c>
      <c r="S147">
        <v>7</v>
      </c>
      <c r="T147">
        <v>5</v>
      </c>
      <c r="U147" s="32">
        <f t="shared" si="24"/>
        <v>2</v>
      </c>
      <c r="V147">
        <v>7</v>
      </c>
      <c r="W147">
        <v>6</v>
      </c>
      <c r="X147" s="32">
        <f t="shared" si="25"/>
        <v>1</v>
      </c>
      <c r="Y147">
        <v>9</v>
      </c>
      <c r="Z147">
        <v>6</v>
      </c>
      <c r="AA147" s="32">
        <f t="shared" si="26"/>
        <v>3</v>
      </c>
    </row>
    <row r="148" spans="1:27" x14ac:dyDescent="0.45">
      <c r="A148">
        <v>7</v>
      </c>
      <c r="B148">
        <v>6</v>
      </c>
      <c r="C148" s="32">
        <f t="shared" si="18"/>
        <v>1</v>
      </c>
      <c r="D148">
        <v>7</v>
      </c>
      <c r="E148">
        <v>7</v>
      </c>
      <c r="F148" s="32">
        <f t="shared" si="19"/>
        <v>0</v>
      </c>
      <c r="G148">
        <v>8</v>
      </c>
      <c r="H148">
        <v>5</v>
      </c>
      <c r="I148" s="32">
        <f t="shared" si="20"/>
        <v>3</v>
      </c>
      <c r="J148">
        <v>9</v>
      </c>
      <c r="K148">
        <v>7</v>
      </c>
      <c r="L148" s="32">
        <f t="shared" si="21"/>
        <v>2</v>
      </c>
      <c r="M148">
        <v>7</v>
      </c>
      <c r="N148">
        <v>6</v>
      </c>
      <c r="O148" s="32">
        <f t="shared" si="22"/>
        <v>1</v>
      </c>
      <c r="P148">
        <v>8</v>
      </c>
      <c r="Q148">
        <v>6</v>
      </c>
      <c r="R148" s="32">
        <f t="shared" si="23"/>
        <v>2</v>
      </c>
      <c r="S148">
        <v>7</v>
      </c>
      <c r="T148">
        <v>5</v>
      </c>
      <c r="U148" s="32">
        <f t="shared" si="24"/>
        <v>2</v>
      </c>
      <c r="V148">
        <v>7</v>
      </c>
      <c r="W148">
        <v>6</v>
      </c>
      <c r="X148" s="32">
        <f t="shared" si="25"/>
        <v>1</v>
      </c>
      <c r="Y148">
        <v>9</v>
      </c>
      <c r="Z148">
        <v>6</v>
      </c>
      <c r="AA148" s="32">
        <f t="shared" si="26"/>
        <v>3</v>
      </c>
    </row>
    <row r="149" spans="1:27" x14ac:dyDescent="0.45">
      <c r="A149">
        <v>7</v>
      </c>
      <c r="B149">
        <v>6</v>
      </c>
      <c r="C149" s="32">
        <f t="shared" si="18"/>
        <v>1</v>
      </c>
      <c r="D149">
        <v>7</v>
      </c>
      <c r="E149">
        <v>7</v>
      </c>
      <c r="F149" s="32">
        <f t="shared" si="19"/>
        <v>0</v>
      </c>
      <c r="G149">
        <v>8</v>
      </c>
      <c r="H149">
        <v>5</v>
      </c>
      <c r="I149" s="32">
        <f t="shared" si="20"/>
        <v>3</v>
      </c>
      <c r="J149">
        <v>9</v>
      </c>
      <c r="K149">
        <v>7</v>
      </c>
      <c r="L149" s="32">
        <f t="shared" si="21"/>
        <v>2</v>
      </c>
      <c r="M149">
        <v>7</v>
      </c>
      <c r="N149">
        <v>6</v>
      </c>
      <c r="O149" s="32">
        <f t="shared" si="22"/>
        <v>1</v>
      </c>
      <c r="P149">
        <v>8</v>
      </c>
      <c r="Q149">
        <v>6</v>
      </c>
      <c r="R149" s="32">
        <f t="shared" si="23"/>
        <v>2</v>
      </c>
      <c r="S149">
        <v>7</v>
      </c>
      <c r="T149">
        <v>5</v>
      </c>
      <c r="U149" s="32">
        <f t="shared" si="24"/>
        <v>2</v>
      </c>
      <c r="V149">
        <v>7</v>
      </c>
      <c r="W149">
        <v>6</v>
      </c>
      <c r="X149" s="32">
        <f t="shared" si="25"/>
        <v>1</v>
      </c>
      <c r="Y149">
        <v>9</v>
      </c>
      <c r="Z149">
        <v>6</v>
      </c>
      <c r="AA149" s="32">
        <f t="shared" si="26"/>
        <v>3</v>
      </c>
    </row>
    <row r="150" spans="1:27" x14ac:dyDescent="0.45">
      <c r="A150">
        <v>7</v>
      </c>
      <c r="B150">
        <v>6</v>
      </c>
      <c r="C150" s="32">
        <f t="shared" si="18"/>
        <v>1</v>
      </c>
      <c r="D150">
        <v>7</v>
      </c>
      <c r="E150">
        <v>7</v>
      </c>
      <c r="F150" s="32">
        <f t="shared" si="19"/>
        <v>0</v>
      </c>
      <c r="G150">
        <v>8</v>
      </c>
      <c r="H150">
        <v>5</v>
      </c>
      <c r="I150" s="32">
        <f t="shared" si="20"/>
        <v>3</v>
      </c>
      <c r="J150">
        <v>9</v>
      </c>
      <c r="K150">
        <v>7</v>
      </c>
      <c r="L150" s="32">
        <f t="shared" si="21"/>
        <v>2</v>
      </c>
      <c r="M150">
        <v>7</v>
      </c>
      <c r="N150">
        <v>6</v>
      </c>
      <c r="O150" s="32">
        <f t="shared" si="22"/>
        <v>1</v>
      </c>
      <c r="P150">
        <v>8</v>
      </c>
      <c r="Q150">
        <v>6</v>
      </c>
      <c r="R150" s="32">
        <f t="shared" si="23"/>
        <v>2</v>
      </c>
      <c r="S150">
        <v>7</v>
      </c>
      <c r="T150">
        <v>5</v>
      </c>
      <c r="U150" s="32">
        <f t="shared" si="24"/>
        <v>2</v>
      </c>
      <c r="V150">
        <v>7</v>
      </c>
      <c r="W150">
        <v>6</v>
      </c>
      <c r="X150" s="32">
        <f t="shared" si="25"/>
        <v>1</v>
      </c>
      <c r="Y150">
        <v>9</v>
      </c>
      <c r="Z150">
        <v>6</v>
      </c>
      <c r="AA150" s="32">
        <f t="shared" si="26"/>
        <v>3</v>
      </c>
    </row>
    <row r="151" spans="1:27" x14ac:dyDescent="0.45">
      <c r="A151">
        <v>7</v>
      </c>
      <c r="B151">
        <v>6</v>
      </c>
      <c r="C151" s="32">
        <f t="shared" si="18"/>
        <v>1</v>
      </c>
      <c r="D151">
        <v>7</v>
      </c>
      <c r="E151">
        <v>7</v>
      </c>
      <c r="F151" s="32">
        <f t="shared" si="19"/>
        <v>0</v>
      </c>
      <c r="G151">
        <v>8</v>
      </c>
      <c r="H151">
        <v>5</v>
      </c>
      <c r="I151" s="32">
        <f t="shared" si="20"/>
        <v>3</v>
      </c>
      <c r="J151">
        <v>9</v>
      </c>
      <c r="K151">
        <v>7</v>
      </c>
      <c r="L151" s="32">
        <f t="shared" si="21"/>
        <v>2</v>
      </c>
      <c r="M151">
        <v>7</v>
      </c>
      <c r="N151">
        <v>6</v>
      </c>
      <c r="O151" s="32">
        <f t="shared" si="22"/>
        <v>1</v>
      </c>
      <c r="P151">
        <v>8</v>
      </c>
      <c r="Q151">
        <v>6</v>
      </c>
      <c r="R151" s="32">
        <f t="shared" si="23"/>
        <v>2</v>
      </c>
      <c r="S151">
        <v>7</v>
      </c>
      <c r="T151">
        <v>5</v>
      </c>
      <c r="U151" s="32">
        <f t="shared" si="24"/>
        <v>2</v>
      </c>
      <c r="V151">
        <v>7</v>
      </c>
      <c r="W151">
        <v>6</v>
      </c>
      <c r="X151" s="32">
        <f t="shared" si="25"/>
        <v>1</v>
      </c>
      <c r="Y151">
        <v>9</v>
      </c>
      <c r="Z151">
        <v>6</v>
      </c>
      <c r="AA151" s="32">
        <f t="shared" si="26"/>
        <v>3</v>
      </c>
    </row>
    <row r="152" spans="1:27" x14ac:dyDescent="0.45">
      <c r="A152">
        <v>7</v>
      </c>
      <c r="B152">
        <v>6</v>
      </c>
      <c r="C152" s="32">
        <f t="shared" si="18"/>
        <v>1</v>
      </c>
      <c r="D152">
        <v>7</v>
      </c>
      <c r="E152">
        <v>7</v>
      </c>
      <c r="F152" s="32">
        <f t="shared" si="19"/>
        <v>0</v>
      </c>
      <c r="G152">
        <v>8</v>
      </c>
      <c r="H152">
        <v>5</v>
      </c>
      <c r="I152" s="32">
        <f t="shared" si="20"/>
        <v>3</v>
      </c>
      <c r="J152">
        <v>9</v>
      </c>
      <c r="K152">
        <v>7</v>
      </c>
      <c r="L152" s="32">
        <f t="shared" si="21"/>
        <v>2</v>
      </c>
      <c r="M152">
        <v>7</v>
      </c>
      <c r="N152">
        <v>6</v>
      </c>
      <c r="O152" s="32">
        <f t="shared" si="22"/>
        <v>1</v>
      </c>
      <c r="P152">
        <v>8</v>
      </c>
      <c r="Q152">
        <v>6</v>
      </c>
      <c r="R152" s="32">
        <f t="shared" si="23"/>
        <v>2</v>
      </c>
      <c r="S152">
        <v>7</v>
      </c>
      <c r="T152">
        <v>5</v>
      </c>
      <c r="U152" s="32">
        <f t="shared" si="24"/>
        <v>2</v>
      </c>
      <c r="V152">
        <v>7</v>
      </c>
      <c r="W152">
        <v>6</v>
      </c>
      <c r="X152" s="32">
        <f t="shared" si="25"/>
        <v>1</v>
      </c>
      <c r="Y152">
        <v>9</v>
      </c>
      <c r="Z152">
        <v>6</v>
      </c>
      <c r="AA152" s="32">
        <f t="shared" si="26"/>
        <v>3</v>
      </c>
    </row>
    <row r="153" spans="1:27" x14ac:dyDescent="0.45">
      <c r="A153">
        <v>7</v>
      </c>
      <c r="B153">
        <v>6</v>
      </c>
      <c r="C153" s="32">
        <f t="shared" si="18"/>
        <v>1</v>
      </c>
      <c r="D153">
        <v>7</v>
      </c>
      <c r="E153">
        <v>7</v>
      </c>
      <c r="F153" s="32">
        <f t="shared" si="19"/>
        <v>0</v>
      </c>
      <c r="G153">
        <v>8</v>
      </c>
      <c r="H153">
        <v>5</v>
      </c>
      <c r="I153" s="32">
        <f t="shared" si="20"/>
        <v>3</v>
      </c>
      <c r="J153">
        <v>9</v>
      </c>
      <c r="K153">
        <v>7</v>
      </c>
      <c r="L153" s="32">
        <f t="shared" si="21"/>
        <v>2</v>
      </c>
      <c r="M153">
        <v>7</v>
      </c>
      <c r="N153">
        <v>6</v>
      </c>
      <c r="O153" s="32">
        <f t="shared" si="22"/>
        <v>1</v>
      </c>
      <c r="P153">
        <v>8</v>
      </c>
      <c r="Q153">
        <v>6</v>
      </c>
      <c r="R153" s="32">
        <f t="shared" si="23"/>
        <v>2</v>
      </c>
      <c r="S153">
        <v>7</v>
      </c>
      <c r="T153">
        <v>5</v>
      </c>
      <c r="U153" s="32">
        <f t="shared" si="24"/>
        <v>2</v>
      </c>
      <c r="V153">
        <v>7</v>
      </c>
      <c r="W153">
        <v>6</v>
      </c>
      <c r="X153" s="32">
        <f t="shared" si="25"/>
        <v>1</v>
      </c>
      <c r="Y153">
        <v>9</v>
      </c>
      <c r="Z153">
        <v>6</v>
      </c>
      <c r="AA153" s="32">
        <f t="shared" si="26"/>
        <v>3</v>
      </c>
    </row>
    <row r="154" spans="1:27" x14ac:dyDescent="0.45">
      <c r="A154">
        <v>7</v>
      </c>
      <c r="B154">
        <v>6</v>
      </c>
      <c r="C154" s="32">
        <f t="shared" si="18"/>
        <v>1</v>
      </c>
      <c r="D154">
        <v>7</v>
      </c>
      <c r="E154">
        <v>7</v>
      </c>
      <c r="F154" s="32">
        <f t="shared" si="19"/>
        <v>0</v>
      </c>
      <c r="G154">
        <v>8</v>
      </c>
      <c r="H154">
        <v>5</v>
      </c>
      <c r="I154" s="32">
        <f t="shared" si="20"/>
        <v>3</v>
      </c>
      <c r="J154">
        <v>9</v>
      </c>
      <c r="K154">
        <v>7</v>
      </c>
      <c r="L154" s="32">
        <f t="shared" si="21"/>
        <v>2</v>
      </c>
      <c r="M154">
        <v>7</v>
      </c>
      <c r="N154">
        <v>6</v>
      </c>
      <c r="O154" s="32">
        <f t="shared" si="22"/>
        <v>1</v>
      </c>
      <c r="P154">
        <v>8</v>
      </c>
      <c r="Q154">
        <v>6</v>
      </c>
      <c r="R154" s="32">
        <f t="shared" si="23"/>
        <v>2</v>
      </c>
      <c r="S154">
        <v>7</v>
      </c>
      <c r="T154">
        <v>5</v>
      </c>
      <c r="U154" s="32">
        <f t="shared" si="24"/>
        <v>2</v>
      </c>
      <c r="V154">
        <v>7</v>
      </c>
      <c r="W154">
        <v>6</v>
      </c>
      <c r="X154" s="32">
        <f t="shared" si="25"/>
        <v>1</v>
      </c>
      <c r="Y154">
        <v>9</v>
      </c>
      <c r="Z154">
        <v>6</v>
      </c>
      <c r="AA154" s="32">
        <f t="shared" si="26"/>
        <v>3</v>
      </c>
    </row>
    <row r="155" spans="1:27" x14ac:dyDescent="0.45">
      <c r="A155">
        <v>7</v>
      </c>
      <c r="B155">
        <v>6</v>
      </c>
      <c r="C155" s="32">
        <f t="shared" si="18"/>
        <v>1</v>
      </c>
      <c r="D155">
        <v>7</v>
      </c>
      <c r="E155">
        <v>7</v>
      </c>
      <c r="F155" s="32">
        <f t="shared" si="19"/>
        <v>0</v>
      </c>
      <c r="G155">
        <v>8</v>
      </c>
      <c r="H155">
        <v>5</v>
      </c>
      <c r="I155" s="32">
        <f t="shared" si="20"/>
        <v>3</v>
      </c>
      <c r="J155">
        <v>9</v>
      </c>
      <c r="K155">
        <v>7</v>
      </c>
      <c r="L155" s="32">
        <f t="shared" si="21"/>
        <v>2</v>
      </c>
      <c r="M155">
        <v>7</v>
      </c>
      <c r="N155">
        <v>6</v>
      </c>
      <c r="O155" s="32">
        <f t="shared" si="22"/>
        <v>1</v>
      </c>
      <c r="P155">
        <v>8</v>
      </c>
      <c r="Q155">
        <v>6</v>
      </c>
      <c r="R155" s="32">
        <f t="shared" si="23"/>
        <v>2</v>
      </c>
      <c r="S155">
        <v>7</v>
      </c>
      <c r="T155">
        <v>5</v>
      </c>
      <c r="U155" s="32">
        <f t="shared" si="24"/>
        <v>2</v>
      </c>
      <c r="V155">
        <v>7</v>
      </c>
      <c r="W155">
        <v>6</v>
      </c>
      <c r="X155" s="32">
        <f t="shared" si="25"/>
        <v>1</v>
      </c>
      <c r="Y155">
        <v>9</v>
      </c>
      <c r="Z155">
        <v>6</v>
      </c>
      <c r="AA155" s="32">
        <f t="shared" si="26"/>
        <v>3</v>
      </c>
    </row>
    <row r="156" spans="1:27" x14ac:dyDescent="0.45">
      <c r="A156">
        <v>7</v>
      </c>
      <c r="B156">
        <v>6</v>
      </c>
      <c r="C156" s="32">
        <f t="shared" si="18"/>
        <v>1</v>
      </c>
      <c r="D156">
        <v>7</v>
      </c>
      <c r="E156">
        <v>7</v>
      </c>
      <c r="F156" s="32">
        <f t="shared" si="19"/>
        <v>0</v>
      </c>
      <c r="G156">
        <v>8</v>
      </c>
      <c r="H156">
        <v>5</v>
      </c>
      <c r="I156" s="32">
        <f t="shared" si="20"/>
        <v>3</v>
      </c>
      <c r="J156">
        <v>9</v>
      </c>
      <c r="K156">
        <v>7</v>
      </c>
      <c r="L156" s="32">
        <f t="shared" si="21"/>
        <v>2</v>
      </c>
      <c r="M156">
        <v>7</v>
      </c>
      <c r="N156">
        <v>6</v>
      </c>
      <c r="O156" s="32">
        <f t="shared" si="22"/>
        <v>1</v>
      </c>
      <c r="P156">
        <v>8</v>
      </c>
      <c r="Q156">
        <v>6</v>
      </c>
      <c r="R156" s="32">
        <f t="shared" si="23"/>
        <v>2</v>
      </c>
      <c r="S156">
        <v>7</v>
      </c>
      <c r="T156">
        <v>5</v>
      </c>
      <c r="U156" s="32">
        <f t="shared" si="24"/>
        <v>2</v>
      </c>
      <c r="V156">
        <v>7</v>
      </c>
      <c r="W156">
        <v>6</v>
      </c>
      <c r="X156" s="32">
        <f t="shared" si="25"/>
        <v>1</v>
      </c>
      <c r="Y156">
        <v>9</v>
      </c>
      <c r="Z156">
        <v>7</v>
      </c>
      <c r="AA156" s="32">
        <f t="shared" si="26"/>
        <v>2</v>
      </c>
    </row>
    <row r="157" spans="1:27" x14ac:dyDescent="0.45">
      <c r="A157">
        <v>7</v>
      </c>
      <c r="B157">
        <v>6</v>
      </c>
      <c r="C157" s="32">
        <f t="shared" si="18"/>
        <v>1</v>
      </c>
      <c r="D157">
        <v>7</v>
      </c>
      <c r="E157">
        <v>7</v>
      </c>
      <c r="F157" s="32">
        <f t="shared" si="19"/>
        <v>0</v>
      </c>
      <c r="G157">
        <v>8</v>
      </c>
      <c r="H157">
        <v>5</v>
      </c>
      <c r="I157" s="32">
        <f t="shared" si="20"/>
        <v>3</v>
      </c>
      <c r="J157">
        <v>9</v>
      </c>
      <c r="K157">
        <v>7</v>
      </c>
      <c r="L157" s="32">
        <f t="shared" si="21"/>
        <v>2</v>
      </c>
      <c r="M157">
        <v>7</v>
      </c>
      <c r="N157">
        <v>6</v>
      </c>
      <c r="O157" s="32">
        <f t="shared" si="22"/>
        <v>1</v>
      </c>
      <c r="P157">
        <v>8</v>
      </c>
      <c r="Q157">
        <v>6</v>
      </c>
      <c r="R157" s="32">
        <f t="shared" si="23"/>
        <v>2</v>
      </c>
      <c r="S157">
        <v>7</v>
      </c>
      <c r="T157">
        <v>5</v>
      </c>
      <c r="U157" s="32">
        <f t="shared" si="24"/>
        <v>2</v>
      </c>
      <c r="V157">
        <v>7</v>
      </c>
      <c r="W157">
        <v>6</v>
      </c>
      <c r="X157" s="32">
        <f t="shared" si="25"/>
        <v>1</v>
      </c>
      <c r="Y157">
        <v>9</v>
      </c>
      <c r="Z157">
        <v>7</v>
      </c>
      <c r="AA157" s="32">
        <f t="shared" si="26"/>
        <v>2</v>
      </c>
    </row>
    <row r="158" spans="1:27" x14ac:dyDescent="0.45">
      <c r="A158">
        <v>7</v>
      </c>
      <c r="B158">
        <v>6</v>
      </c>
      <c r="C158" s="32">
        <f t="shared" si="18"/>
        <v>1</v>
      </c>
      <c r="D158">
        <v>7</v>
      </c>
      <c r="E158">
        <v>7</v>
      </c>
      <c r="F158" s="32">
        <f t="shared" si="19"/>
        <v>0</v>
      </c>
      <c r="G158">
        <v>8</v>
      </c>
      <c r="H158">
        <v>5</v>
      </c>
      <c r="I158" s="32">
        <f t="shared" si="20"/>
        <v>3</v>
      </c>
      <c r="J158">
        <v>9</v>
      </c>
      <c r="K158">
        <v>7</v>
      </c>
      <c r="L158" s="32">
        <f t="shared" si="21"/>
        <v>2</v>
      </c>
      <c r="M158">
        <v>7</v>
      </c>
      <c r="N158">
        <v>6</v>
      </c>
      <c r="O158" s="32">
        <f t="shared" si="22"/>
        <v>1</v>
      </c>
      <c r="P158">
        <v>8</v>
      </c>
      <c r="Q158">
        <v>6</v>
      </c>
      <c r="R158" s="32">
        <f t="shared" si="23"/>
        <v>2</v>
      </c>
      <c r="S158">
        <v>7</v>
      </c>
      <c r="T158">
        <v>5</v>
      </c>
      <c r="U158" s="32">
        <f t="shared" si="24"/>
        <v>2</v>
      </c>
      <c r="V158">
        <v>7</v>
      </c>
      <c r="W158">
        <v>6</v>
      </c>
      <c r="X158" s="32">
        <f t="shared" si="25"/>
        <v>1</v>
      </c>
      <c r="Y158">
        <v>9</v>
      </c>
      <c r="Z158">
        <v>7</v>
      </c>
      <c r="AA158" s="32">
        <f t="shared" si="26"/>
        <v>2</v>
      </c>
    </row>
    <row r="159" spans="1:27" x14ac:dyDescent="0.45">
      <c r="A159">
        <v>7</v>
      </c>
      <c r="B159">
        <v>7</v>
      </c>
      <c r="C159" s="32">
        <f t="shared" si="18"/>
        <v>0</v>
      </c>
      <c r="D159">
        <v>7</v>
      </c>
      <c r="E159">
        <v>7</v>
      </c>
      <c r="F159" s="32">
        <f t="shared" si="19"/>
        <v>0</v>
      </c>
      <c r="G159">
        <v>8</v>
      </c>
      <c r="H159">
        <v>5</v>
      </c>
      <c r="I159" s="32">
        <f t="shared" si="20"/>
        <v>3</v>
      </c>
      <c r="J159">
        <v>9</v>
      </c>
      <c r="K159">
        <v>7</v>
      </c>
      <c r="L159" s="32">
        <f t="shared" si="21"/>
        <v>2</v>
      </c>
      <c r="M159">
        <v>7</v>
      </c>
      <c r="N159">
        <v>6</v>
      </c>
      <c r="O159" s="32">
        <f t="shared" si="22"/>
        <v>1</v>
      </c>
      <c r="P159">
        <v>8</v>
      </c>
      <c r="Q159">
        <v>6</v>
      </c>
      <c r="R159" s="32">
        <f t="shared" si="23"/>
        <v>2</v>
      </c>
      <c r="S159">
        <v>7</v>
      </c>
      <c r="T159">
        <v>5</v>
      </c>
      <c r="U159" s="32">
        <f t="shared" si="24"/>
        <v>2</v>
      </c>
      <c r="V159">
        <v>7</v>
      </c>
      <c r="W159">
        <v>6</v>
      </c>
      <c r="X159" s="32">
        <f t="shared" si="25"/>
        <v>1</v>
      </c>
      <c r="Y159">
        <v>9</v>
      </c>
      <c r="Z159">
        <v>7</v>
      </c>
      <c r="AA159" s="32">
        <f t="shared" si="26"/>
        <v>2</v>
      </c>
    </row>
    <row r="160" spans="1:27" x14ac:dyDescent="0.45">
      <c r="A160">
        <v>7</v>
      </c>
      <c r="B160">
        <v>7</v>
      </c>
      <c r="C160" s="32">
        <f t="shared" si="18"/>
        <v>0</v>
      </c>
      <c r="D160">
        <v>7</v>
      </c>
      <c r="E160">
        <v>7</v>
      </c>
      <c r="F160" s="32">
        <f t="shared" si="19"/>
        <v>0</v>
      </c>
      <c r="G160">
        <v>8</v>
      </c>
      <c r="H160">
        <v>5</v>
      </c>
      <c r="I160" s="32">
        <f t="shared" si="20"/>
        <v>3</v>
      </c>
      <c r="J160">
        <v>9</v>
      </c>
      <c r="K160">
        <v>7</v>
      </c>
      <c r="L160" s="32">
        <f t="shared" si="21"/>
        <v>2</v>
      </c>
      <c r="M160">
        <v>7</v>
      </c>
      <c r="N160">
        <v>6</v>
      </c>
      <c r="O160" s="32">
        <f t="shared" si="22"/>
        <v>1</v>
      </c>
      <c r="P160">
        <v>8</v>
      </c>
      <c r="Q160">
        <v>6</v>
      </c>
      <c r="R160" s="32">
        <f t="shared" si="23"/>
        <v>2</v>
      </c>
      <c r="S160">
        <v>7</v>
      </c>
      <c r="T160">
        <v>5</v>
      </c>
      <c r="U160" s="32">
        <f t="shared" si="24"/>
        <v>2</v>
      </c>
      <c r="V160">
        <v>7</v>
      </c>
      <c r="W160">
        <v>6</v>
      </c>
      <c r="X160" s="32">
        <f t="shared" si="25"/>
        <v>1</v>
      </c>
      <c r="Y160">
        <v>9</v>
      </c>
      <c r="Z160">
        <v>7</v>
      </c>
      <c r="AA160" s="32">
        <f t="shared" si="26"/>
        <v>2</v>
      </c>
    </row>
    <row r="161" spans="1:27" x14ac:dyDescent="0.45">
      <c r="A161">
        <v>7</v>
      </c>
      <c r="B161">
        <v>7</v>
      </c>
      <c r="C161" s="32">
        <f t="shared" si="18"/>
        <v>0</v>
      </c>
      <c r="D161">
        <v>7</v>
      </c>
      <c r="E161">
        <v>7</v>
      </c>
      <c r="F161" s="32">
        <f t="shared" si="19"/>
        <v>0</v>
      </c>
      <c r="G161">
        <v>8</v>
      </c>
      <c r="H161">
        <v>5</v>
      </c>
      <c r="I161" s="32">
        <f t="shared" si="20"/>
        <v>3</v>
      </c>
      <c r="J161">
        <v>9</v>
      </c>
      <c r="K161">
        <v>7</v>
      </c>
      <c r="L161" s="32">
        <f t="shared" si="21"/>
        <v>2</v>
      </c>
      <c r="M161">
        <v>7</v>
      </c>
      <c r="N161">
        <v>6</v>
      </c>
      <c r="O161" s="32">
        <f t="shared" si="22"/>
        <v>1</v>
      </c>
      <c r="P161">
        <v>8</v>
      </c>
      <c r="Q161">
        <v>6</v>
      </c>
      <c r="R161" s="32">
        <f t="shared" si="23"/>
        <v>2</v>
      </c>
      <c r="S161">
        <v>7</v>
      </c>
      <c r="T161">
        <v>5</v>
      </c>
      <c r="U161" s="32">
        <f t="shared" si="24"/>
        <v>2</v>
      </c>
      <c r="V161">
        <v>7</v>
      </c>
      <c r="W161">
        <v>6</v>
      </c>
      <c r="X161" s="32">
        <f t="shared" si="25"/>
        <v>1</v>
      </c>
      <c r="Y161">
        <v>9</v>
      </c>
      <c r="Z161">
        <v>7</v>
      </c>
      <c r="AA161" s="32">
        <f t="shared" si="26"/>
        <v>2</v>
      </c>
    </row>
    <row r="162" spans="1:27" x14ac:dyDescent="0.45">
      <c r="A162">
        <v>7</v>
      </c>
      <c r="B162">
        <v>7</v>
      </c>
      <c r="C162" s="32">
        <f t="shared" si="18"/>
        <v>0</v>
      </c>
      <c r="D162">
        <v>7</v>
      </c>
      <c r="E162">
        <v>7</v>
      </c>
      <c r="F162" s="32">
        <f t="shared" si="19"/>
        <v>0</v>
      </c>
      <c r="G162">
        <v>8</v>
      </c>
      <c r="H162">
        <v>5</v>
      </c>
      <c r="I162" s="32">
        <f t="shared" si="20"/>
        <v>3</v>
      </c>
      <c r="J162">
        <v>9</v>
      </c>
      <c r="K162">
        <v>7</v>
      </c>
      <c r="L162" s="32">
        <f t="shared" si="21"/>
        <v>2</v>
      </c>
      <c r="M162">
        <v>7</v>
      </c>
      <c r="N162">
        <v>6</v>
      </c>
      <c r="O162" s="32">
        <f t="shared" si="22"/>
        <v>1</v>
      </c>
      <c r="P162">
        <v>8</v>
      </c>
      <c r="Q162">
        <v>6</v>
      </c>
      <c r="R162" s="32">
        <f t="shared" si="23"/>
        <v>2</v>
      </c>
      <c r="S162">
        <v>7</v>
      </c>
      <c r="T162">
        <v>5</v>
      </c>
      <c r="U162" s="32">
        <f t="shared" si="24"/>
        <v>2</v>
      </c>
      <c r="V162">
        <v>7</v>
      </c>
      <c r="W162">
        <v>6</v>
      </c>
      <c r="X162" s="32">
        <f t="shared" si="25"/>
        <v>1</v>
      </c>
      <c r="Y162">
        <v>9</v>
      </c>
      <c r="Z162">
        <v>7</v>
      </c>
      <c r="AA162" s="32">
        <f t="shared" si="26"/>
        <v>2</v>
      </c>
    </row>
    <row r="163" spans="1:27" x14ac:dyDescent="0.45">
      <c r="A163">
        <v>7</v>
      </c>
      <c r="B163">
        <v>7</v>
      </c>
      <c r="C163" s="32">
        <f t="shared" si="18"/>
        <v>0</v>
      </c>
      <c r="D163">
        <v>7</v>
      </c>
      <c r="E163">
        <v>7</v>
      </c>
      <c r="F163" s="32">
        <f t="shared" si="19"/>
        <v>0</v>
      </c>
      <c r="G163">
        <v>8</v>
      </c>
      <c r="H163">
        <v>5</v>
      </c>
      <c r="I163" s="32">
        <f t="shared" si="20"/>
        <v>3</v>
      </c>
      <c r="J163">
        <v>9</v>
      </c>
      <c r="K163">
        <v>7</v>
      </c>
      <c r="L163" s="32">
        <f t="shared" si="21"/>
        <v>2</v>
      </c>
      <c r="M163">
        <v>7</v>
      </c>
      <c r="N163">
        <v>6</v>
      </c>
      <c r="O163" s="32">
        <f t="shared" si="22"/>
        <v>1</v>
      </c>
      <c r="P163">
        <v>8</v>
      </c>
      <c r="Q163">
        <v>6</v>
      </c>
      <c r="R163" s="32">
        <f t="shared" si="23"/>
        <v>2</v>
      </c>
      <c r="S163">
        <v>7</v>
      </c>
      <c r="T163">
        <v>5</v>
      </c>
      <c r="U163" s="32">
        <f t="shared" si="24"/>
        <v>2</v>
      </c>
      <c r="V163">
        <v>7</v>
      </c>
      <c r="W163">
        <v>6</v>
      </c>
      <c r="X163" s="32">
        <f t="shared" si="25"/>
        <v>1</v>
      </c>
      <c r="Y163">
        <v>9</v>
      </c>
      <c r="Z163">
        <v>7</v>
      </c>
      <c r="AA163" s="32">
        <f t="shared" si="26"/>
        <v>2</v>
      </c>
    </row>
    <row r="164" spans="1:27" x14ac:dyDescent="0.45">
      <c r="A164">
        <v>7</v>
      </c>
      <c r="B164">
        <v>7</v>
      </c>
      <c r="C164" s="32">
        <f t="shared" si="18"/>
        <v>0</v>
      </c>
      <c r="D164">
        <v>7</v>
      </c>
      <c r="E164">
        <v>7</v>
      </c>
      <c r="F164" s="32">
        <f t="shared" si="19"/>
        <v>0</v>
      </c>
      <c r="G164">
        <v>8</v>
      </c>
      <c r="H164">
        <v>5</v>
      </c>
      <c r="I164" s="32">
        <f t="shared" si="20"/>
        <v>3</v>
      </c>
      <c r="J164">
        <v>9</v>
      </c>
      <c r="K164">
        <v>7</v>
      </c>
      <c r="L164" s="32">
        <f t="shared" si="21"/>
        <v>2</v>
      </c>
      <c r="M164">
        <v>7</v>
      </c>
      <c r="N164">
        <v>6</v>
      </c>
      <c r="O164" s="32">
        <f t="shared" si="22"/>
        <v>1</v>
      </c>
      <c r="P164">
        <v>8</v>
      </c>
      <c r="Q164">
        <v>6</v>
      </c>
      <c r="R164" s="32">
        <f t="shared" si="23"/>
        <v>2</v>
      </c>
      <c r="S164">
        <v>7</v>
      </c>
      <c r="T164">
        <v>5</v>
      </c>
      <c r="U164" s="32">
        <f t="shared" si="24"/>
        <v>2</v>
      </c>
      <c r="V164">
        <v>7</v>
      </c>
      <c r="W164">
        <v>6</v>
      </c>
      <c r="X164" s="32">
        <f t="shared" si="25"/>
        <v>1</v>
      </c>
      <c r="Y164">
        <v>9</v>
      </c>
      <c r="Z164">
        <v>7</v>
      </c>
      <c r="AA164" s="32">
        <f t="shared" si="26"/>
        <v>2</v>
      </c>
    </row>
    <row r="165" spans="1:27" x14ac:dyDescent="0.45">
      <c r="A165">
        <v>7</v>
      </c>
      <c r="B165">
        <v>7</v>
      </c>
      <c r="C165" s="32">
        <f t="shared" si="18"/>
        <v>0</v>
      </c>
      <c r="D165">
        <v>7</v>
      </c>
      <c r="E165">
        <v>7</v>
      </c>
      <c r="F165" s="32">
        <f t="shared" si="19"/>
        <v>0</v>
      </c>
      <c r="G165">
        <v>8</v>
      </c>
      <c r="H165">
        <v>5</v>
      </c>
      <c r="I165" s="32">
        <f t="shared" si="20"/>
        <v>3</v>
      </c>
      <c r="J165">
        <v>9</v>
      </c>
      <c r="K165">
        <v>7</v>
      </c>
      <c r="L165" s="32">
        <f t="shared" si="21"/>
        <v>2</v>
      </c>
      <c r="M165">
        <v>7</v>
      </c>
      <c r="N165">
        <v>6</v>
      </c>
      <c r="O165" s="32">
        <f t="shared" si="22"/>
        <v>1</v>
      </c>
      <c r="P165">
        <v>8</v>
      </c>
      <c r="Q165">
        <v>6</v>
      </c>
      <c r="R165" s="32">
        <f t="shared" si="23"/>
        <v>2</v>
      </c>
      <c r="S165">
        <v>7</v>
      </c>
      <c r="T165">
        <v>5</v>
      </c>
      <c r="U165" s="32">
        <f t="shared" si="24"/>
        <v>2</v>
      </c>
      <c r="V165">
        <v>7</v>
      </c>
      <c r="W165">
        <v>6</v>
      </c>
      <c r="X165" s="32">
        <f t="shared" si="25"/>
        <v>1</v>
      </c>
      <c r="Y165">
        <v>9</v>
      </c>
      <c r="Z165">
        <v>7</v>
      </c>
      <c r="AA165" s="32">
        <f t="shared" si="26"/>
        <v>2</v>
      </c>
    </row>
    <row r="166" spans="1:27" x14ac:dyDescent="0.45">
      <c r="A166">
        <v>7</v>
      </c>
      <c r="B166">
        <v>7</v>
      </c>
      <c r="C166" s="32">
        <f t="shared" si="18"/>
        <v>0</v>
      </c>
      <c r="D166">
        <v>7</v>
      </c>
      <c r="E166">
        <v>7</v>
      </c>
      <c r="F166" s="32">
        <f t="shared" si="19"/>
        <v>0</v>
      </c>
      <c r="G166">
        <v>8</v>
      </c>
      <c r="H166">
        <v>5</v>
      </c>
      <c r="I166" s="32">
        <f t="shared" si="20"/>
        <v>3</v>
      </c>
      <c r="J166">
        <v>9</v>
      </c>
      <c r="K166">
        <v>7</v>
      </c>
      <c r="L166" s="32">
        <f t="shared" si="21"/>
        <v>2</v>
      </c>
      <c r="M166">
        <v>7</v>
      </c>
      <c r="N166">
        <v>6</v>
      </c>
      <c r="O166" s="32">
        <f t="shared" si="22"/>
        <v>1</v>
      </c>
      <c r="P166">
        <v>8</v>
      </c>
      <c r="Q166">
        <v>6</v>
      </c>
      <c r="R166" s="32">
        <f t="shared" si="23"/>
        <v>2</v>
      </c>
      <c r="S166">
        <v>7</v>
      </c>
      <c r="T166">
        <v>5</v>
      </c>
      <c r="U166" s="32">
        <f t="shared" si="24"/>
        <v>2</v>
      </c>
      <c r="V166">
        <v>7</v>
      </c>
      <c r="W166">
        <v>6</v>
      </c>
      <c r="X166" s="32">
        <f t="shared" si="25"/>
        <v>1</v>
      </c>
      <c r="Y166">
        <v>9</v>
      </c>
      <c r="Z166">
        <v>7</v>
      </c>
      <c r="AA166" s="32">
        <f t="shared" si="26"/>
        <v>2</v>
      </c>
    </row>
    <row r="167" spans="1:27" x14ac:dyDescent="0.45">
      <c r="A167">
        <v>7</v>
      </c>
      <c r="B167">
        <v>7</v>
      </c>
      <c r="C167" s="32">
        <f t="shared" si="18"/>
        <v>0</v>
      </c>
      <c r="D167">
        <v>7</v>
      </c>
      <c r="E167">
        <v>7</v>
      </c>
      <c r="F167" s="32">
        <f t="shared" si="19"/>
        <v>0</v>
      </c>
      <c r="G167">
        <v>8</v>
      </c>
      <c r="H167">
        <v>5</v>
      </c>
      <c r="I167" s="32">
        <f t="shared" si="20"/>
        <v>3</v>
      </c>
      <c r="J167">
        <v>9</v>
      </c>
      <c r="K167">
        <v>7</v>
      </c>
      <c r="L167" s="32">
        <f t="shared" si="21"/>
        <v>2</v>
      </c>
      <c r="M167">
        <v>7</v>
      </c>
      <c r="N167">
        <v>6</v>
      </c>
      <c r="O167" s="32">
        <f t="shared" si="22"/>
        <v>1</v>
      </c>
      <c r="P167">
        <v>8</v>
      </c>
      <c r="Q167">
        <v>6</v>
      </c>
      <c r="R167" s="32">
        <f t="shared" si="23"/>
        <v>2</v>
      </c>
      <c r="S167">
        <v>8</v>
      </c>
      <c r="T167">
        <v>5</v>
      </c>
      <c r="U167" s="32">
        <f t="shared" si="24"/>
        <v>3</v>
      </c>
      <c r="V167">
        <v>7</v>
      </c>
      <c r="W167">
        <v>6</v>
      </c>
      <c r="X167" s="32">
        <f t="shared" si="25"/>
        <v>1</v>
      </c>
      <c r="Y167">
        <v>9</v>
      </c>
      <c r="Z167">
        <v>7</v>
      </c>
      <c r="AA167" s="32">
        <f t="shared" si="26"/>
        <v>2</v>
      </c>
    </row>
    <row r="168" spans="1:27" x14ac:dyDescent="0.45">
      <c r="A168">
        <v>7</v>
      </c>
      <c r="B168">
        <v>7</v>
      </c>
      <c r="C168" s="32">
        <f t="shared" si="18"/>
        <v>0</v>
      </c>
      <c r="D168">
        <v>7</v>
      </c>
      <c r="E168">
        <v>7</v>
      </c>
      <c r="F168" s="32">
        <f t="shared" si="19"/>
        <v>0</v>
      </c>
      <c r="G168">
        <v>8</v>
      </c>
      <c r="H168">
        <v>5</v>
      </c>
      <c r="I168" s="32">
        <f t="shared" si="20"/>
        <v>3</v>
      </c>
      <c r="J168">
        <v>9</v>
      </c>
      <c r="K168">
        <v>7</v>
      </c>
      <c r="L168" s="32">
        <f t="shared" si="21"/>
        <v>2</v>
      </c>
      <c r="M168">
        <v>7</v>
      </c>
      <c r="N168">
        <v>6</v>
      </c>
      <c r="O168" s="32">
        <f t="shared" si="22"/>
        <v>1</v>
      </c>
      <c r="P168">
        <v>8</v>
      </c>
      <c r="Q168">
        <v>6</v>
      </c>
      <c r="R168" s="32">
        <f t="shared" si="23"/>
        <v>2</v>
      </c>
      <c r="S168">
        <v>8</v>
      </c>
      <c r="T168">
        <v>5</v>
      </c>
      <c r="U168" s="32">
        <f t="shared" si="24"/>
        <v>3</v>
      </c>
      <c r="V168">
        <v>7</v>
      </c>
      <c r="W168">
        <v>6</v>
      </c>
      <c r="X168" s="32">
        <f t="shared" si="25"/>
        <v>1</v>
      </c>
      <c r="Y168">
        <v>9</v>
      </c>
      <c r="Z168">
        <v>7</v>
      </c>
      <c r="AA168" s="32">
        <f t="shared" si="26"/>
        <v>2</v>
      </c>
    </row>
    <row r="169" spans="1:27" x14ac:dyDescent="0.45">
      <c r="A169">
        <v>7</v>
      </c>
      <c r="B169">
        <v>7</v>
      </c>
      <c r="C169" s="32">
        <f t="shared" si="18"/>
        <v>0</v>
      </c>
      <c r="D169">
        <v>7</v>
      </c>
      <c r="E169">
        <v>7</v>
      </c>
      <c r="F169" s="32">
        <f t="shared" si="19"/>
        <v>0</v>
      </c>
      <c r="G169">
        <v>8</v>
      </c>
      <c r="H169">
        <v>5</v>
      </c>
      <c r="I169" s="32">
        <f t="shared" si="20"/>
        <v>3</v>
      </c>
      <c r="J169">
        <v>9</v>
      </c>
      <c r="K169">
        <v>7</v>
      </c>
      <c r="L169" s="32">
        <f t="shared" si="21"/>
        <v>2</v>
      </c>
      <c r="M169">
        <v>7</v>
      </c>
      <c r="N169">
        <v>6</v>
      </c>
      <c r="O169" s="32">
        <f t="shared" si="22"/>
        <v>1</v>
      </c>
      <c r="P169">
        <v>8</v>
      </c>
      <c r="Q169">
        <v>6</v>
      </c>
      <c r="R169" s="32">
        <f t="shared" si="23"/>
        <v>2</v>
      </c>
      <c r="S169">
        <v>8</v>
      </c>
      <c r="T169">
        <v>5</v>
      </c>
      <c r="U169" s="32">
        <f t="shared" si="24"/>
        <v>3</v>
      </c>
      <c r="V169">
        <v>7</v>
      </c>
      <c r="W169">
        <v>6</v>
      </c>
      <c r="X169" s="32">
        <f t="shared" si="25"/>
        <v>1</v>
      </c>
      <c r="Y169">
        <v>9</v>
      </c>
      <c r="Z169">
        <v>7</v>
      </c>
      <c r="AA169" s="32">
        <f t="shared" si="26"/>
        <v>2</v>
      </c>
    </row>
    <row r="170" spans="1:27" x14ac:dyDescent="0.45">
      <c r="A170">
        <v>7</v>
      </c>
      <c r="B170">
        <v>7</v>
      </c>
      <c r="C170" s="32">
        <f t="shared" si="18"/>
        <v>0</v>
      </c>
      <c r="D170">
        <v>7</v>
      </c>
      <c r="E170">
        <v>7</v>
      </c>
      <c r="F170" s="32">
        <f t="shared" si="19"/>
        <v>0</v>
      </c>
      <c r="G170">
        <v>8</v>
      </c>
      <c r="H170">
        <v>5</v>
      </c>
      <c r="I170" s="32">
        <f t="shared" si="20"/>
        <v>3</v>
      </c>
      <c r="J170">
        <v>9</v>
      </c>
      <c r="K170">
        <v>7</v>
      </c>
      <c r="L170" s="32">
        <f t="shared" si="21"/>
        <v>2</v>
      </c>
      <c r="M170">
        <v>7</v>
      </c>
      <c r="N170">
        <v>6</v>
      </c>
      <c r="O170" s="32">
        <f t="shared" si="22"/>
        <v>1</v>
      </c>
      <c r="P170">
        <v>8</v>
      </c>
      <c r="Q170">
        <v>6</v>
      </c>
      <c r="R170" s="32">
        <f t="shared" si="23"/>
        <v>2</v>
      </c>
      <c r="S170">
        <v>8</v>
      </c>
      <c r="T170">
        <v>5</v>
      </c>
      <c r="U170" s="32">
        <f t="shared" si="24"/>
        <v>3</v>
      </c>
      <c r="V170">
        <v>7</v>
      </c>
      <c r="W170">
        <v>6</v>
      </c>
      <c r="X170" s="32">
        <f t="shared" si="25"/>
        <v>1</v>
      </c>
      <c r="Y170">
        <v>9</v>
      </c>
      <c r="Z170">
        <v>7</v>
      </c>
      <c r="AA170" s="32">
        <f t="shared" si="26"/>
        <v>2</v>
      </c>
    </row>
    <row r="171" spans="1:27" x14ac:dyDescent="0.45">
      <c r="A171">
        <v>7</v>
      </c>
      <c r="B171">
        <v>7</v>
      </c>
      <c r="C171" s="32">
        <f t="shared" si="18"/>
        <v>0</v>
      </c>
      <c r="D171">
        <v>7</v>
      </c>
      <c r="E171">
        <v>7</v>
      </c>
      <c r="F171" s="32">
        <f t="shared" si="19"/>
        <v>0</v>
      </c>
      <c r="G171">
        <v>8</v>
      </c>
      <c r="H171">
        <v>5</v>
      </c>
      <c r="I171" s="32">
        <f t="shared" si="20"/>
        <v>3</v>
      </c>
      <c r="J171">
        <v>9</v>
      </c>
      <c r="K171">
        <v>7</v>
      </c>
      <c r="L171" s="32">
        <f t="shared" si="21"/>
        <v>2</v>
      </c>
      <c r="M171">
        <v>7</v>
      </c>
      <c r="N171">
        <v>6</v>
      </c>
      <c r="O171" s="32">
        <f t="shared" si="22"/>
        <v>1</v>
      </c>
      <c r="P171">
        <v>8</v>
      </c>
      <c r="Q171">
        <v>6</v>
      </c>
      <c r="R171" s="32">
        <f t="shared" si="23"/>
        <v>2</v>
      </c>
      <c r="S171">
        <v>8</v>
      </c>
      <c r="T171">
        <v>5</v>
      </c>
      <c r="U171" s="32">
        <f t="shared" si="24"/>
        <v>3</v>
      </c>
      <c r="V171">
        <v>7</v>
      </c>
      <c r="W171">
        <v>6</v>
      </c>
      <c r="X171" s="32">
        <f t="shared" si="25"/>
        <v>1</v>
      </c>
      <c r="Y171">
        <v>9</v>
      </c>
      <c r="Z171">
        <v>7</v>
      </c>
      <c r="AA171" s="32">
        <f t="shared" si="26"/>
        <v>2</v>
      </c>
    </row>
    <row r="172" spans="1:27" x14ac:dyDescent="0.45">
      <c r="A172">
        <v>7</v>
      </c>
      <c r="B172">
        <v>7</v>
      </c>
      <c r="C172" s="32">
        <f t="shared" si="18"/>
        <v>0</v>
      </c>
      <c r="D172">
        <v>7</v>
      </c>
      <c r="E172">
        <v>7</v>
      </c>
      <c r="F172" s="32">
        <f t="shared" si="19"/>
        <v>0</v>
      </c>
      <c r="G172">
        <v>8</v>
      </c>
      <c r="H172">
        <v>5</v>
      </c>
      <c r="I172" s="32">
        <f t="shared" si="20"/>
        <v>3</v>
      </c>
      <c r="J172">
        <v>9</v>
      </c>
      <c r="K172">
        <v>7</v>
      </c>
      <c r="L172" s="32">
        <f t="shared" si="21"/>
        <v>2</v>
      </c>
      <c r="M172">
        <v>7</v>
      </c>
      <c r="N172">
        <v>6</v>
      </c>
      <c r="O172" s="32">
        <f t="shared" si="22"/>
        <v>1</v>
      </c>
      <c r="P172">
        <v>8</v>
      </c>
      <c r="Q172">
        <v>6</v>
      </c>
      <c r="R172" s="32">
        <f t="shared" si="23"/>
        <v>2</v>
      </c>
      <c r="S172">
        <v>8</v>
      </c>
      <c r="T172">
        <v>5</v>
      </c>
      <c r="U172" s="32">
        <f t="shared" si="24"/>
        <v>3</v>
      </c>
      <c r="V172">
        <v>7</v>
      </c>
      <c r="W172">
        <v>6</v>
      </c>
      <c r="X172" s="32">
        <f t="shared" si="25"/>
        <v>1</v>
      </c>
      <c r="Y172">
        <v>9</v>
      </c>
      <c r="Z172">
        <v>7</v>
      </c>
      <c r="AA172" s="32">
        <f t="shared" si="26"/>
        <v>2</v>
      </c>
    </row>
    <row r="173" spans="1:27" x14ac:dyDescent="0.45">
      <c r="A173">
        <v>7</v>
      </c>
      <c r="B173">
        <v>7</v>
      </c>
      <c r="C173" s="32">
        <f t="shared" si="18"/>
        <v>0</v>
      </c>
      <c r="D173">
        <v>7</v>
      </c>
      <c r="E173">
        <v>7</v>
      </c>
      <c r="F173" s="32">
        <f t="shared" si="19"/>
        <v>0</v>
      </c>
      <c r="G173">
        <v>8</v>
      </c>
      <c r="H173">
        <v>5</v>
      </c>
      <c r="I173" s="32">
        <f t="shared" si="20"/>
        <v>3</v>
      </c>
      <c r="J173">
        <v>9</v>
      </c>
      <c r="K173">
        <v>7</v>
      </c>
      <c r="L173" s="32">
        <f t="shared" si="21"/>
        <v>2</v>
      </c>
      <c r="M173">
        <v>7</v>
      </c>
      <c r="N173">
        <v>6</v>
      </c>
      <c r="O173" s="32">
        <f t="shared" si="22"/>
        <v>1</v>
      </c>
      <c r="P173">
        <v>8</v>
      </c>
      <c r="Q173">
        <v>6</v>
      </c>
      <c r="R173" s="32">
        <f t="shared" si="23"/>
        <v>2</v>
      </c>
      <c r="S173">
        <v>8</v>
      </c>
      <c r="T173">
        <v>5</v>
      </c>
      <c r="U173" s="32">
        <f t="shared" si="24"/>
        <v>3</v>
      </c>
      <c r="V173">
        <v>7</v>
      </c>
      <c r="W173">
        <v>6</v>
      </c>
      <c r="X173" s="32">
        <f t="shared" si="25"/>
        <v>1</v>
      </c>
      <c r="Y173">
        <v>9</v>
      </c>
      <c r="Z173">
        <v>7</v>
      </c>
      <c r="AA173" s="32">
        <f t="shared" si="26"/>
        <v>2</v>
      </c>
    </row>
    <row r="174" spans="1:27" x14ac:dyDescent="0.45">
      <c r="A174">
        <v>7</v>
      </c>
      <c r="B174">
        <v>7</v>
      </c>
      <c r="C174" s="32">
        <f t="shared" si="18"/>
        <v>0</v>
      </c>
      <c r="D174">
        <v>7</v>
      </c>
      <c r="E174">
        <v>7</v>
      </c>
      <c r="F174" s="32">
        <f t="shared" si="19"/>
        <v>0</v>
      </c>
      <c r="G174">
        <v>8</v>
      </c>
      <c r="H174">
        <v>6</v>
      </c>
      <c r="I174" s="32">
        <f t="shared" si="20"/>
        <v>2</v>
      </c>
      <c r="J174">
        <v>9</v>
      </c>
      <c r="K174">
        <v>7</v>
      </c>
      <c r="L174" s="32">
        <f t="shared" si="21"/>
        <v>2</v>
      </c>
      <c r="M174">
        <v>7</v>
      </c>
      <c r="N174">
        <v>6</v>
      </c>
      <c r="O174" s="32">
        <f t="shared" si="22"/>
        <v>1</v>
      </c>
      <c r="P174">
        <v>8</v>
      </c>
      <c r="Q174">
        <v>6</v>
      </c>
      <c r="R174" s="32">
        <f t="shared" si="23"/>
        <v>2</v>
      </c>
      <c r="S174">
        <v>8</v>
      </c>
      <c r="T174">
        <v>5</v>
      </c>
      <c r="U174" s="32">
        <f t="shared" si="24"/>
        <v>3</v>
      </c>
      <c r="V174">
        <v>7</v>
      </c>
      <c r="W174">
        <v>6</v>
      </c>
      <c r="X174" s="32">
        <f t="shared" si="25"/>
        <v>1</v>
      </c>
      <c r="Y174">
        <v>9</v>
      </c>
      <c r="Z174">
        <v>7</v>
      </c>
      <c r="AA174" s="32">
        <f t="shared" si="26"/>
        <v>2</v>
      </c>
    </row>
    <row r="175" spans="1:27" x14ac:dyDescent="0.45">
      <c r="A175">
        <v>7</v>
      </c>
      <c r="B175">
        <v>7</v>
      </c>
      <c r="C175" s="32">
        <f t="shared" si="18"/>
        <v>0</v>
      </c>
      <c r="D175">
        <v>7</v>
      </c>
      <c r="E175">
        <v>7</v>
      </c>
      <c r="F175" s="32">
        <f t="shared" si="19"/>
        <v>0</v>
      </c>
      <c r="G175">
        <v>8</v>
      </c>
      <c r="H175">
        <v>6</v>
      </c>
      <c r="I175" s="32">
        <f t="shared" si="20"/>
        <v>2</v>
      </c>
      <c r="J175">
        <v>9</v>
      </c>
      <c r="K175">
        <v>7</v>
      </c>
      <c r="L175" s="32">
        <f t="shared" si="21"/>
        <v>2</v>
      </c>
      <c r="M175">
        <v>7</v>
      </c>
      <c r="N175">
        <v>6</v>
      </c>
      <c r="O175" s="32">
        <f t="shared" si="22"/>
        <v>1</v>
      </c>
      <c r="P175">
        <v>8</v>
      </c>
      <c r="Q175">
        <v>7</v>
      </c>
      <c r="R175" s="32">
        <f t="shared" si="23"/>
        <v>1</v>
      </c>
      <c r="S175">
        <v>8</v>
      </c>
      <c r="T175">
        <v>5</v>
      </c>
      <c r="U175" s="32">
        <f t="shared" si="24"/>
        <v>3</v>
      </c>
      <c r="V175">
        <v>7</v>
      </c>
      <c r="W175">
        <v>6</v>
      </c>
      <c r="X175" s="32">
        <f t="shared" si="25"/>
        <v>1</v>
      </c>
      <c r="Y175">
        <v>9</v>
      </c>
      <c r="Z175">
        <v>7</v>
      </c>
      <c r="AA175" s="32">
        <f t="shared" si="26"/>
        <v>2</v>
      </c>
    </row>
    <row r="176" spans="1:27" x14ac:dyDescent="0.45">
      <c r="A176">
        <v>7</v>
      </c>
      <c r="B176">
        <v>7</v>
      </c>
      <c r="C176" s="32">
        <f t="shared" si="18"/>
        <v>0</v>
      </c>
      <c r="D176">
        <v>7</v>
      </c>
      <c r="E176">
        <v>7</v>
      </c>
      <c r="F176" s="32">
        <f t="shared" si="19"/>
        <v>0</v>
      </c>
      <c r="G176">
        <v>8</v>
      </c>
      <c r="H176">
        <v>6</v>
      </c>
      <c r="I176" s="32">
        <f t="shared" si="20"/>
        <v>2</v>
      </c>
      <c r="J176">
        <v>9</v>
      </c>
      <c r="K176">
        <v>7</v>
      </c>
      <c r="L176" s="32">
        <f t="shared" si="21"/>
        <v>2</v>
      </c>
      <c r="M176">
        <v>7</v>
      </c>
      <c r="N176">
        <v>6</v>
      </c>
      <c r="O176" s="32">
        <f t="shared" si="22"/>
        <v>1</v>
      </c>
      <c r="P176">
        <v>8</v>
      </c>
      <c r="Q176">
        <v>7</v>
      </c>
      <c r="R176" s="32">
        <f t="shared" si="23"/>
        <v>1</v>
      </c>
      <c r="S176">
        <v>8</v>
      </c>
      <c r="T176">
        <v>5</v>
      </c>
      <c r="U176" s="32">
        <f t="shared" si="24"/>
        <v>3</v>
      </c>
      <c r="V176">
        <v>7</v>
      </c>
      <c r="W176">
        <v>6</v>
      </c>
      <c r="X176" s="32">
        <f t="shared" si="25"/>
        <v>1</v>
      </c>
      <c r="Y176">
        <v>9</v>
      </c>
      <c r="Z176">
        <v>7</v>
      </c>
      <c r="AA176" s="32">
        <f t="shared" si="26"/>
        <v>2</v>
      </c>
    </row>
    <row r="177" spans="1:27" x14ac:dyDescent="0.45">
      <c r="A177">
        <v>7</v>
      </c>
      <c r="B177">
        <v>7</v>
      </c>
      <c r="C177" s="32">
        <f t="shared" si="18"/>
        <v>0</v>
      </c>
      <c r="D177">
        <v>7</v>
      </c>
      <c r="E177">
        <v>7</v>
      </c>
      <c r="F177" s="32">
        <f t="shared" si="19"/>
        <v>0</v>
      </c>
      <c r="G177">
        <v>8</v>
      </c>
      <c r="H177">
        <v>6</v>
      </c>
      <c r="I177" s="32">
        <f t="shared" si="20"/>
        <v>2</v>
      </c>
      <c r="J177">
        <v>9</v>
      </c>
      <c r="K177">
        <v>7</v>
      </c>
      <c r="L177" s="32">
        <f t="shared" si="21"/>
        <v>2</v>
      </c>
      <c r="M177">
        <v>7</v>
      </c>
      <c r="N177">
        <v>6</v>
      </c>
      <c r="O177" s="32">
        <f t="shared" si="22"/>
        <v>1</v>
      </c>
      <c r="P177">
        <v>9</v>
      </c>
      <c r="Q177">
        <v>7</v>
      </c>
      <c r="R177" s="32">
        <f t="shared" si="23"/>
        <v>2</v>
      </c>
      <c r="S177">
        <v>8</v>
      </c>
      <c r="T177">
        <v>5</v>
      </c>
      <c r="U177" s="32">
        <f t="shared" si="24"/>
        <v>3</v>
      </c>
      <c r="V177">
        <v>7</v>
      </c>
      <c r="W177">
        <v>6</v>
      </c>
      <c r="X177" s="32">
        <f t="shared" si="25"/>
        <v>1</v>
      </c>
      <c r="Y177">
        <v>9</v>
      </c>
      <c r="Z177">
        <v>7</v>
      </c>
      <c r="AA177" s="32">
        <f t="shared" si="26"/>
        <v>2</v>
      </c>
    </row>
    <row r="178" spans="1:27" x14ac:dyDescent="0.45">
      <c r="A178">
        <v>7</v>
      </c>
      <c r="B178">
        <v>7</v>
      </c>
      <c r="C178" s="32">
        <f t="shared" si="18"/>
        <v>0</v>
      </c>
      <c r="D178">
        <v>7</v>
      </c>
      <c r="E178">
        <v>7</v>
      </c>
      <c r="F178" s="32">
        <f t="shared" si="19"/>
        <v>0</v>
      </c>
      <c r="G178">
        <v>8</v>
      </c>
      <c r="H178">
        <v>6</v>
      </c>
      <c r="I178" s="32">
        <f t="shared" si="20"/>
        <v>2</v>
      </c>
      <c r="J178">
        <v>9</v>
      </c>
      <c r="K178">
        <v>7</v>
      </c>
      <c r="L178" s="32">
        <f t="shared" si="21"/>
        <v>2</v>
      </c>
      <c r="M178">
        <v>7</v>
      </c>
      <c r="N178">
        <v>6</v>
      </c>
      <c r="O178" s="32">
        <f t="shared" si="22"/>
        <v>1</v>
      </c>
      <c r="P178">
        <v>9</v>
      </c>
      <c r="Q178">
        <v>7</v>
      </c>
      <c r="R178" s="32">
        <f t="shared" si="23"/>
        <v>2</v>
      </c>
      <c r="S178">
        <v>8</v>
      </c>
      <c r="T178">
        <v>5</v>
      </c>
      <c r="U178" s="32">
        <f t="shared" si="24"/>
        <v>3</v>
      </c>
      <c r="V178">
        <v>7</v>
      </c>
      <c r="W178">
        <v>6</v>
      </c>
      <c r="X178" s="32">
        <f t="shared" si="25"/>
        <v>1</v>
      </c>
      <c r="Y178">
        <v>9</v>
      </c>
      <c r="Z178">
        <v>7</v>
      </c>
      <c r="AA178" s="32">
        <f t="shared" si="26"/>
        <v>2</v>
      </c>
    </row>
    <row r="179" spans="1:27" x14ac:dyDescent="0.45">
      <c r="A179">
        <v>7</v>
      </c>
      <c r="B179">
        <v>7</v>
      </c>
      <c r="C179" s="32">
        <f t="shared" si="18"/>
        <v>0</v>
      </c>
      <c r="D179">
        <v>7</v>
      </c>
      <c r="E179">
        <v>7</v>
      </c>
      <c r="F179" s="32">
        <f t="shared" si="19"/>
        <v>0</v>
      </c>
      <c r="G179">
        <v>8</v>
      </c>
      <c r="H179">
        <v>6</v>
      </c>
      <c r="I179" s="32">
        <f t="shared" si="20"/>
        <v>2</v>
      </c>
      <c r="J179">
        <v>9</v>
      </c>
      <c r="K179">
        <v>7</v>
      </c>
      <c r="L179" s="32">
        <f t="shared" si="21"/>
        <v>2</v>
      </c>
      <c r="M179">
        <v>8</v>
      </c>
      <c r="N179">
        <v>6</v>
      </c>
      <c r="O179" s="32">
        <f t="shared" si="22"/>
        <v>2</v>
      </c>
      <c r="P179">
        <v>9</v>
      </c>
      <c r="Q179">
        <v>7</v>
      </c>
      <c r="R179" s="32">
        <f t="shared" si="23"/>
        <v>2</v>
      </c>
      <c r="S179">
        <v>8</v>
      </c>
      <c r="T179">
        <v>5</v>
      </c>
      <c r="U179" s="32">
        <f t="shared" si="24"/>
        <v>3</v>
      </c>
      <c r="V179">
        <v>7</v>
      </c>
      <c r="W179">
        <v>6</v>
      </c>
      <c r="X179" s="32">
        <f t="shared" si="25"/>
        <v>1</v>
      </c>
      <c r="Y179">
        <v>9</v>
      </c>
      <c r="Z179">
        <v>7</v>
      </c>
      <c r="AA179" s="32">
        <f t="shared" si="26"/>
        <v>2</v>
      </c>
    </row>
    <row r="180" spans="1:27" x14ac:dyDescent="0.45">
      <c r="A180">
        <v>7</v>
      </c>
      <c r="B180">
        <v>7</v>
      </c>
      <c r="C180" s="32">
        <f t="shared" si="18"/>
        <v>0</v>
      </c>
      <c r="D180">
        <v>7</v>
      </c>
      <c r="E180">
        <v>7</v>
      </c>
      <c r="F180" s="32">
        <f t="shared" si="19"/>
        <v>0</v>
      </c>
      <c r="G180">
        <v>8</v>
      </c>
      <c r="H180">
        <v>6</v>
      </c>
      <c r="I180" s="32">
        <f t="shared" si="20"/>
        <v>2</v>
      </c>
      <c r="J180">
        <v>9</v>
      </c>
      <c r="K180">
        <v>7</v>
      </c>
      <c r="L180" s="32">
        <f t="shared" si="21"/>
        <v>2</v>
      </c>
      <c r="M180">
        <v>8</v>
      </c>
      <c r="N180">
        <v>6</v>
      </c>
      <c r="O180" s="32">
        <f t="shared" si="22"/>
        <v>2</v>
      </c>
      <c r="P180">
        <v>9</v>
      </c>
      <c r="Q180">
        <v>7</v>
      </c>
      <c r="R180" s="32">
        <f t="shared" si="23"/>
        <v>2</v>
      </c>
      <c r="S180">
        <v>8</v>
      </c>
      <c r="T180">
        <v>5</v>
      </c>
      <c r="U180" s="32">
        <f t="shared" si="24"/>
        <v>3</v>
      </c>
      <c r="V180">
        <v>7</v>
      </c>
      <c r="W180">
        <v>6</v>
      </c>
      <c r="X180" s="32">
        <f t="shared" si="25"/>
        <v>1</v>
      </c>
      <c r="Y180">
        <v>9</v>
      </c>
      <c r="Z180">
        <v>7</v>
      </c>
      <c r="AA180" s="32">
        <f t="shared" si="26"/>
        <v>2</v>
      </c>
    </row>
    <row r="181" spans="1:27" x14ac:dyDescent="0.45">
      <c r="A181">
        <v>7</v>
      </c>
      <c r="B181">
        <v>7</v>
      </c>
      <c r="C181" s="32">
        <f t="shared" si="18"/>
        <v>0</v>
      </c>
      <c r="D181">
        <v>7</v>
      </c>
      <c r="E181">
        <v>7</v>
      </c>
      <c r="F181" s="32">
        <f t="shared" si="19"/>
        <v>0</v>
      </c>
      <c r="G181">
        <v>8</v>
      </c>
      <c r="H181">
        <v>6</v>
      </c>
      <c r="I181" s="32">
        <f t="shared" si="20"/>
        <v>2</v>
      </c>
      <c r="J181">
        <v>9</v>
      </c>
      <c r="K181">
        <v>7</v>
      </c>
      <c r="L181" s="32">
        <f t="shared" si="21"/>
        <v>2</v>
      </c>
      <c r="M181">
        <v>8</v>
      </c>
      <c r="N181">
        <v>6</v>
      </c>
      <c r="O181" s="32">
        <f t="shared" si="22"/>
        <v>2</v>
      </c>
      <c r="P181">
        <v>9</v>
      </c>
      <c r="Q181">
        <v>7</v>
      </c>
      <c r="R181" s="32">
        <f t="shared" si="23"/>
        <v>2</v>
      </c>
      <c r="S181">
        <v>8</v>
      </c>
      <c r="T181">
        <v>5</v>
      </c>
      <c r="U181" s="32">
        <f t="shared" si="24"/>
        <v>3</v>
      </c>
      <c r="V181">
        <v>8</v>
      </c>
      <c r="W181">
        <v>6</v>
      </c>
      <c r="X181" s="32">
        <f t="shared" si="25"/>
        <v>2</v>
      </c>
      <c r="Y181">
        <v>9</v>
      </c>
      <c r="Z181">
        <v>7</v>
      </c>
      <c r="AA181" s="32">
        <f t="shared" si="26"/>
        <v>2</v>
      </c>
    </row>
    <row r="182" spans="1:27" x14ac:dyDescent="0.45">
      <c r="A182">
        <v>7</v>
      </c>
      <c r="B182">
        <v>7</v>
      </c>
      <c r="C182" s="32">
        <f t="shared" si="18"/>
        <v>0</v>
      </c>
      <c r="D182">
        <v>7</v>
      </c>
      <c r="E182">
        <v>7</v>
      </c>
      <c r="F182" s="32">
        <f t="shared" si="19"/>
        <v>0</v>
      </c>
      <c r="G182">
        <v>8</v>
      </c>
      <c r="H182">
        <v>6</v>
      </c>
      <c r="I182" s="32">
        <f t="shared" si="20"/>
        <v>2</v>
      </c>
      <c r="J182">
        <v>9</v>
      </c>
      <c r="K182">
        <v>7</v>
      </c>
      <c r="L182" s="32">
        <f t="shared" si="21"/>
        <v>2</v>
      </c>
      <c r="M182">
        <v>8</v>
      </c>
      <c r="N182">
        <v>6</v>
      </c>
      <c r="O182" s="32">
        <f t="shared" si="22"/>
        <v>2</v>
      </c>
      <c r="P182">
        <v>9</v>
      </c>
      <c r="Q182">
        <v>7</v>
      </c>
      <c r="R182" s="32">
        <f t="shared" si="23"/>
        <v>2</v>
      </c>
      <c r="S182">
        <v>8</v>
      </c>
      <c r="T182">
        <v>5</v>
      </c>
      <c r="U182" s="32">
        <f t="shared" si="24"/>
        <v>3</v>
      </c>
      <c r="V182">
        <v>8</v>
      </c>
      <c r="W182">
        <v>6</v>
      </c>
      <c r="X182" s="32">
        <f t="shared" si="25"/>
        <v>2</v>
      </c>
      <c r="Y182">
        <v>9</v>
      </c>
      <c r="Z182">
        <v>7</v>
      </c>
      <c r="AA182" s="32">
        <f t="shared" si="26"/>
        <v>2</v>
      </c>
    </row>
    <row r="183" spans="1:27" x14ac:dyDescent="0.45">
      <c r="A183">
        <v>7</v>
      </c>
      <c r="B183">
        <v>7</v>
      </c>
      <c r="C183" s="32">
        <f t="shared" si="18"/>
        <v>0</v>
      </c>
      <c r="D183">
        <v>7</v>
      </c>
      <c r="E183">
        <v>7</v>
      </c>
      <c r="F183" s="32">
        <f t="shared" si="19"/>
        <v>0</v>
      </c>
      <c r="G183">
        <v>8</v>
      </c>
      <c r="H183">
        <v>6</v>
      </c>
      <c r="I183" s="32">
        <f t="shared" si="20"/>
        <v>2</v>
      </c>
      <c r="J183">
        <v>9</v>
      </c>
      <c r="K183">
        <v>7</v>
      </c>
      <c r="L183" s="32">
        <f t="shared" si="21"/>
        <v>2</v>
      </c>
      <c r="M183">
        <v>8</v>
      </c>
      <c r="N183">
        <v>6</v>
      </c>
      <c r="O183" s="32">
        <f t="shared" si="22"/>
        <v>2</v>
      </c>
      <c r="P183">
        <v>9</v>
      </c>
      <c r="Q183">
        <v>7</v>
      </c>
      <c r="R183" s="32">
        <f t="shared" si="23"/>
        <v>2</v>
      </c>
      <c r="S183">
        <v>8</v>
      </c>
      <c r="T183">
        <v>5</v>
      </c>
      <c r="U183" s="32">
        <f t="shared" si="24"/>
        <v>3</v>
      </c>
      <c r="V183">
        <v>8</v>
      </c>
      <c r="W183">
        <v>6</v>
      </c>
      <c r="X183" s="32">
        <f t="shared" si="25"/>
        <v>2</v>
      </c>
      <c r="Y183">
        <v>9</v>
      </c>
      <c r="Z183">
        <v>7</v>
      </c>
      <c r="AA183" s="32">
        <f t="shared" si="26"/>
        <v>2</v>
      </c>
    </row>
    <row r="184" spans="1:27" x14ac:dyDescent="0.45">
      <c r="A184">
        <v>7</v>
      </c>
      <c r="B184">
        <v>7</v>
      </c>
      <c r="C184" s="32">
        <f t="shared" si="18"/>
        <v>0</v>
      </c>
      <c r="D184">
        <v>7</v>
      </c>
      <c r="E184">
        <v>7</v>
      </c>
      <c r="F184" s="32">
        <f t="shared" si="19"/>
        <v>0</v>
      </c>
      <c r="G184">
        <v>8</v>
      </c>
      <c r="H184">
        <v>6</v>
      </c>
      <c r="I184" s="32">
        <f t="shared" si="20"/>
        <v>2</v>
      </c>
      <c r="J184">
        <v>9</v>
      </c>
      <c r="K184">
        <v>7</v>
      </c>
      <c r="L184" s="32">
        <f t="shared" si="21"/>
        <v>2</v>
      </c>
      <c r="M184">
        <v>8</v>
      </c>
      <c r="N184">
        <v>6</v>
      </c>
      <c r="O184" s="32">
        <f t="shared" si="22"/>
        <v>2</v>
      </c>
      <c r="P184">
        <v>9</v>
      </c>
      <c r="Q184">
        <v>7</v>
      </c>
      <c r="R184" s="32">
        <f t="shared" si="23"/>
        <v>2</v>
      </c>
      <c r="S184">
        <v>8</v>
      </c>
      <c r="T184">
        <v>5</v>
      </c>
      <c r="U184" s="32">
        <f t="shared" si="24"/>
        <v>3</v>
      </c>
      <c r="V184">
        <v>8</v>
      </c>
      <c r="W184">
        <v>6</v>
      </c>
      <c r="X184" s="32">
        <f t="shared" si="25"/>
        <v>2</v>
      </c>
      <c r="Y184">
        <v>9</v>
      </c>
      <c r="Z184">
        <v>7</v>
      </c>
      <c r="AA184" s="32">
        <f t="shared" si="26"/>
        <v>2</v>
      </c>
    </row>
    <row r="185" spans="1:27" x14ac:dyDescent="0.45">
      <c r="A185">
        <v>7</v>
      </c>
      <c r="B185">
        <v>7</v>
      </c>
      <c r="C185" s="32">
        <f t="shared" si="18"/>
        <v>0</v>
      </c>
      <c r="D185">
        <v>7</v>
      </c>
      <c r="E185">
        <v>7</v>
      </c>
      <c r="F185" s="32">
        <f t="shared" si="19"/>
        <v>0</v>
      </c>
      <c r="G185">
        <v>8</v>
      </c>
      <c r="H185">
        <v>6</v>
      </c>
      <c r="I185" s="32">
        <f t="shared" si="20"/>
        <v>2</v>
      </c>
      <c r="J185">
        <v>9</v>
      </c>
      <c r="K185">
        <v>7</v>
      </c>
      <c r="L185" s="32">
        <f t="shared" si="21"/>
        <v>2</v>
      </c>
      <c r="M185">
        <v>8</v>
      </c>
      <c r="N185">
        <v>6</v>
      </c>
      <c r="O185" s="32">
        <f t="shared" si="22"/>
        <v>2</v>
      </c>
      <c r="P185">
        <v>9</v>
      </c>
      <c r="Q185">
        <v>7</v>
      </c>
      <c r="R185" s="32">
        <f t="shared" si="23"/>
        <v>2</v>
      </c>
      <c r="S185">
        <v>8</v>
      </c>
      <c r="T185">
        <v>5</v>
      </c>
      <c r="U185" s="32">
        <f t="shared" si="24"/>
        <v>3</v>
      </c>
      <c r="V185">
        <v>8</v>
      </c>
      <c r="W185">
        <v>6</v>
      </c>
      <c r="X185" s="32">
        <f t="shared" si="25"/>
        <v>2</v>
      </c>
      <c r="Y185">
        <v>9</v>
      </c>
      <c r="Z185">
        <v>7</v>
      </c>
      <c r="AA185" s="32">
        <f t="shared" si="26"/>
        <v>2</v>
      </c>
    </row>
    <row r="186" spans="1:27" x14ac:dyDescent="0.45">
      <c r="A186">
        <v>7</v>
      </c>
      <c r="B186">
        <v>7</v>
      </c>
      <c r="C186" s="32">
        <f t="shared" si="18"/>
        <v>0</v>
      </c>
      <c r="D186">
        <v>7</v>
      </c>
      <c r="E186">
        <v>7</v>
      </c>
      <c r="F186" s="32">
        <f t="shared" si="19"/>
        <v>0</v>
      </c>
      <c r="G186">
        <v>8</v>
      </c>
      <c r="H186">
        <v>6</v>
      </c>
      <c r="I186" s="32">
        <f t="shared" si="20"/>
        <v>2</v>
      </c>
      <c r="J186">
        <v>9</v>
      </c>
      <c r="K186">
        <v>7</v>
      </c>
      <c r="L186" s="32">
        <f t="shared" si="21"/>
        <v>2</v>
      </c>
      <c r="M186">
        <v>8</v>
      </c>
      <c r="N186">
        <v>6</v>
      </c>
      <c r="O186" s="32">
        <f t="shared" si="22"/>
        <v>2</v>
      </c>
      <c r="P186">
        <v>9</v>
      </c>
      <c r="Q186">
        <v>7</v>
      </c>
      <c r="R186" s="32">
        <f t="shared" si="23"/>
        <v>2</v>
      </c>
      <c r="S186">
        <v>8</v>
      </c>
      <c r="T186">
        <v>5</v>
      </c>
      <c r="U186" s="32">
        <f t="shared" si="24"/>
        <v>3</v>
      </c>
      <c r="V186">
        <v>8</v>
      </c>
      <c r="W186">
        <v>6</v>
      </c>
      <c r="X186" s="32">
        <f t="shared" si="25"/>
        <v>2</v>
      </c>
      <c r="Y186">
        <v>9</v>
      </c>
      <c r="Z186">
        <v>7</v>
      </c>
      <c r="AA186" s="32">
        <f t="shared" si="26"/>
        <v>2</v>
      </c>
    </row>
    <row r="187" spans="1:27" x14ac:dyDescent="0.45">
      <c r="A187">
        <v>7</v>
      </c>
      <c r="B187">
        <v>7</v>
      </c>
      <c r="C187" s="32">
        <f t="shared" si="18"/>
        <v>0</v>
      </c>
      <c r="D187">
        <v>7</v>
      </c>
      <c r="E187">
        <v>7</v>
      </c>
      <c r="F187" s="32">
        <f t="shared" si="19"/>
        <v>0</v>
      </c>
      <c r="G187">
        <v>8</v>
      </c>
      <c r="H187">
        <v>6</v>
      </c>
      <c r="I187" s="32">
        <f t="shared" si="20"/>
        <v>2</v>
      </c>
      <c r="J187">
        <v>9</v>
      </c>
      <c r="K187">
        <v>7</v>
      </c>
      <c r="L187" s="32">
        <f t="shared" si="21"/>
        <v>2</v>
      </c>
      <c r="M187">
        <v>8</v>
      </c>
      <c r="N187">
        <v>6</v>
      </c>
      <c r="O187" s="32">
        <f t="shared" si="22"/>
        <v>2</v>
      </c>
      <c r="P187">
        <v>9</v>
      </c>
      <c r="Q187">
        <v>7</v>
      </c>
      <c r="R187" s="32">
        <f t="shared" si="23"/>
        <v>2</v>
      </c>
      <c r="S187">
        <v>8</v>
      </c>
      <c r="T187">
        <v>5</v>
      </c>
      <c r="U187" s="32">
        <f t="shared" si="24"/>
        <v>3</v>
      </c>
      <c r="V187">
        <v>8</v>
      </c>
      <c r="W187">
        <v>6</v>
      </c>
      <c r="X187" s="32">
        <f t="shared" si="25"/>
        <v>2</v>
      </c>
      <c r="Y187">
        <v>9</v>
      </c>
      <c r="Z187">
        <v>7</v>
      </c>
      <c r="AA187" s="32">
        <f t="shared" si="26"/>
        <v>2</v>
      </c>
    </row>
    <row r="188" spans="1:27" x14ac:dyDescent="0.45">
      <c r="A188">
        <v>7</v>
      </c>
      <c r="B188">
        <v>7</v>
      </c>
      <c r="C188" s="32">
        <f t="shared" si="18"/>
        <v>0</v>
      </c>
      <c r="D188">
        <v>7</v>
      </c>
      <c r="E188">
        <v>7</v>
      </c>
      <c r="F188" s="32">
        <f t="shared" si="19"/>
        <v>0</v>
      </c>
      <c r="G188">
        <v>8</v>
      </c>
      <c r="H188">
        <v>6</v>
      </c>
      <c r="I188" s="32">
        <f t="shared" si="20"/>
        <v>2</v>
      </c>
      <c r="J188">
        <v>9</v>
      </c>
      <c r="K188">
        <v>7</v>
      </c>
      <c r="L188" s="32">
        <f t="shared" si="21"/>
        <v>2</v>
      </c>
      <c r="M188">
        <v>8</v>
      </c>
      <c r="N188">
        <v>6</v>
      </c>
      <c r="O188" s="32">
        <f t="shared" si="22"/>
        <v>2</v>
      </c>
      <c r="P188">
        <v>9</v>
      </c>
      <c r="Q188">
        <v>7</v>
      </c>
      <c r="R188" s="32">
        <f t="shared" si="23"/>
        <v>2</v>
      </c>
      <c r="S188">
        <v>8</v>
      </c>
      <c r="T188">
        <v>6</v>
      </c>
      <c r="U188" s="32">
        <f t="shared" si="24"/>
        <v>2</v>
      </c>
      <c r="V188">
        <v>8</v>
      </c>
      <c r="W188">
        <v>6</v>
      </c>
      <c r="X188" s="32">
        <f t="shared" si="25"/>
        <v>2</v>
      </c>
      <c r="Y188">
        <v>9</v>
      </c>
      <c r="Z188">
        <v>7</v>
      </c>
      <c r="AA188" s="32">
        <f t="shared" si="26"/>
        <v>2</v>
      </c>
    </row>
    <row r="189" spans="1:27" x14ac:dyDescent="0.45">
      <c r="A189">
        <v>7</v>
      </c>
      <c r="B189">
        <v>7</v>
      </c>
      <c r="C189" s="32">
        <f t="shared" si="18"/>
        <v>0</v>
      </c>
      <c r="D189">
        <v>7</v>
      </c>
      <c r="E189">
        <v>7</v>
      </c>
      <c r="F189" s="32">
        <f t="shared" si="19"/>
        <v>0</v>
      </c>
      <c r="G189">
        <v>8</v>
      </c>
      <c r="H189">
        <v>6</v>
      </c>
      <c r="I189" s="32">
        <f t="shared" si="20"/>
        <v>2</v>
      </c>
      <c r="J189">
        <v>9</v>
      </c>
      <c r="K189">
        <v>7</v>
      </c>
      <c r="L189" s="32">
        <f t="shared" si="21"/>
        <v>2</v>
      </c>
      <c r="M189">
        <v>8</v>
      </c>
      <c r="N189">
        <v>6</v>
      </c>
      <c r="O189" s="32">
        <f t="shared" si="22"/>
        <v>2</v>
      </c>
      <c r="P189">
        <v>9</v>
      </c>
      <c r="Q189">
        <v>7</v>
      </c>
      <c r="R189" s="32">
        <f t="shared" si="23"/>
        <v>2</v>
      </c>
      <c r="S189">
        <v>8</v>
      </c>
      <c r="T189">
        <v>6</v>
      </c>
      <c r="U189" s="32">
        <f t="shared" si="24"/>
        <v>2</v>
      </c>
      <c r="V189">
        <v>8</v>
      </c>
      <c r="W189">
        <v>6</v>
      </c>
      <c r="X189" s="32">
        <f t="shared" si="25"/>
        <v>2</v>
      </c>
      <c r="Y189">
        <v>9</v>
      </c>
      <c r="Z189">
        <v>7</v>
      </c>
      <c r="AA189" s="32">
        <f t="shared" si="26"/>
        <v>2</v>
      </c>
    </row>
    <row r="190" spans="1:27" x14ac:dyDescent="0.45">
      <c r="A190">
        <v>7</v>
      </c>
      <c r="B190">
        <v>7</v>
      </c>
      <c r="C190" s="32">
        <f t="shared" si="18"/>
        <v>0</v>
      </c>
      <c r="D190">
        <v>7</v>
      </c>
      <c r="E190">
        <v>7</v>
      </c>
      <c r="F190" s="32">
        <f t="shared" si="19"/>
        <v>0</v>
      </c>
      <c r="G190">
        <v>8</v>
      </c>
      <c r="H190">
        <v>6</v>
      </c>
      <c r="I190" s="32">
        <f t="shared" si="20"/>
        <v>2</v>
      </c>
      <c r="J190">
        <v>9</v>
      </c>
      <c r="K190">
        <v>7</v>
      </c>
      <c r="L190" s="32">
        <f t="shared" si="21"/>
        <v>2</v>
      </c>
      <c r="M190">
        <v>8</v>
      </c>
      <c r="N190">
        <v>6</v>
      </c>
      <c r="O190" s="32">
        <f t="shared" si="22"/>
        <v>2</v>
      </c>
      <c r="P190">
        <v>9</v>
      </c>
      <c r="Q190">
        <v>7</v>
      </c>
      <c r="R190" s="32">
        <f t="shared" si="23"/>
        <v>2</v>
      </c>
      <c r="S190">
        <v>8</v>
      </c>
      <c r="T190">
        <v>6</v>
      </c>
      <c r="U190" s="32">
        <f t="shared" si="24"/>
        <v>2</v>
      </c>
      <c r="V190">
        <v>8</v>
      </c>
      <c r="W190">
        <v>6</v>
      </c>
      <c r="X190" s="32">
        <f t="shared" si="25"/>
        <v>2</v>
      </c>
      <c r="Y190">
        <v>9</v>
      </c>
      <c r="Z190">
        <v>7</v>
      </c>
      <c r="AA190" s="32">
        <f t="shared" si="26"/>
        <v>2</v>
      </c>
    </row>
    <row r="191" spans="1:27" x14ac:dyDescent="0.45">
      <c r="A191">
        <v>7</v>
      </c>
      <c r="B191">
        <v>7</v>
      </c>
      <c r="C191" s="32">
        <f t="shared" si="18"/>
        <v>0</v>
      </c>
      <c r="D191">
        <v>7</v>
      </c>
      <c r="E191">
        <v>7</v>
      </c>
      <c r="F191" s="32">
        <f t="shared" si="19"/>
        <v>0</v>
      </c>
      <c r="G191">
        <v>8</v>
      </c>
      <c r="H191">
        <v>6</v>
      </c>
      <c r="I191" s="32">
        <f t="shared" si="20"/>
        <v>2</v>
      </c>
      <c r="J191">
        <v>9</v>
      </c>
      <c r="K191">
        <v>7</v>
      </c>
      <c r="L191" s="32">
        <f t="shared" si="21"/>
        <v>2</v>
      </c>
      <c r="M191">
        <v>8</v>
      </c>
      <c r="N191">
        <v>6</v>
      </c>
      <c r="O191" s="32">
        <f t="shared" si="22"/>
        <v>2</v>
      </c>
      <c r="P191">
        <v>9</v>
      </c>
      <c r="Q191">
        <v>7</v>
      </c>
      <c r="R191" s="32">
        <f t="shared" si="23"/>
        <v>2</v>
      </c>
      <c r="S191">
        <v>8</v>
      </c>
      <c r="T191">
        <v>6</v>
      </c>
      <c r="U191" s="32">
        <f t="shared" si="24"/>
        <v>2</v>
      </c>
      <c r="V191">
        <v>8</v>
      </c>
      <c r="W191">
        <v>6</v>
      </c>
      <c r="X191" s="32">
        <f t="shared" si="25"/>
        <v>2</v>
      </c>
      <c r="Y191">
        <v>9</v>
      </c>
      <c r="Z191">
        <v>7</v>
      </c>
      <c r="AA191" s="32">
        <f t="shared" si="26"/>
        <v>2</v>
      </c>
    </row>
    <row r="192" spans="1:27" x14ac:dyDescent="0.45">
      <c r="A192">
        <v>7</v>
      </c>
      <c r="B192">
        <v>7</v>
      </c>
      <c r="C192" s="32">
        <f t="shared" si="18"/>
        <v>0</v>
      </c>
      <c r="D192">
        <v>7</v>
      </c>
      <c r="E192">
        <v>7</v>
      </c>
      <c r="F192" s="32">
        <f t="shared" si="19"/>
        <v>0</v>
      </c>
      <c r="G192">
        <v>8</v>
      </c>
      <c r="H192">
        <v>6</v>
      </c>
      <c r="I192" s="32">
        <f t="shared" si="20"/>
        <v>2</v>
      </c>
      <c r="J192">
        <v>9</v>
      </c>
      <c r="K192">
        <v>7</v>
      </c>
      <c r="L192" s="32">
        <f t="shared" si="21"/>
        <v>2</v>
      </c>
      <c r="M192">
        <v>8</v>
      </c>
      <c r="N192">
        <v>6</v>
      </c>
      <c r="O192" s="32">
        <f t="shared" si="22"/>
        <v>2</v>
      </c>
      <c r="P192">
        <v>9</v>
      </c>
      <c r="Q192">
        <v>7</v>
      </c>
      <c r="R192" s="32">
        <f t="shared" si="23"/>
        <v>2</v>
      </c>
      <c r="S192">
        <v>8</v>
      </c>
      <c r="T192">
        <v>6</v>
      </c>
      <c r="U192" s="32">
        <f t="shared" si="24"/>
        <v>2</v>
      </c>
      <c r="V192">
        <v>8</v>
      </c>
      <c r="W192">
        <v>6</v>
      </c>
      <c r="X192" s="32">
        <f t="shared" si="25"/>
        <v>2</v>
      </c>
      <c r="Y192">
        <v>9</v>
      </c>
      <c r="Z192">
        <v>7</v>
      </c>
      <c r="AA192" s="32">
        <f t="shared" si="26"/>
        <v>2</v>
      </c>
    </row>
    <row r="193" spans="1:27" x14ac:dyDescent="0.45">
      <c r="A193">
        <v>7</v>
      </c>
      <c r="B193">
        <v>7</v>
      </c>
      <c r="C193" s="32">
        <f t="shared" si="18"/>
        <v>0</v>
      </c>
      <c r="D193">
        <v>7</v>
      </c>
      <c r="E193">
        <v>7</v>
      </c>
      <c r="F193" s="32">
        <f t="shared" si="19"/>
        <v>0</v>
      </c>
      <c r="G193">
        <v>8</v>
      </c>
      <c r="H193">
        <v>6</v>
      </c>
      <c r="I193" s="32">
        <f t="shared" si="20"/>
        <v>2</v>
      </c>
      <c r="J193">
        <v>9</v>
      </c>
      <c r="K193">
        <v>7</v>
      </c>
      <c r="L193" s="32">
        <f t="shared" si="21"/>
        <v>2</v>
      </c>
      <c r="M193">
        <v>8</v>
      </c>
      <c r="N193">
        <v>6</v>
      </c>
      <c r="O193" s="32">
        <f t="shared" si="22"/>
        <v>2</v>
      </c>
      <c r="P193">
        <v>9</v>
      </c>
      <c r="Q193">
        <v>7</v>
      </c>
      <c r="R193" s="32">
        <f t="shared" si="23"/>
        <v>2</v>
      </c>
      <c r="S193">
        <v>8</v>
      </c>
      <c r="T193">
        <v>6</v>
      </c>
      <c r="U193" s="32">
        <f t="shared" si="24"/>
        <v>2</v>
      </c>
      <c r="V193">
        <v>8</v>
      </c>
      <c r="W193">
        <v>6</v>
      </c>
      <c r="X193" s="32">
        <f t="shared" si="25"/>
        <v>2</v>
      </c>
      <c r="Y193">
        <v>9</v>
      </c>
      <c r="Z193">
        <v>7</v>
      </c>
      <c r="AA193" s="32">
        <f t="shared" si="26"/>
        <v>2</v>
      </c>
    </row>
    <row r="194" spans="1:27" x14ac:dyDescent="0.45">
      <c r="A194">
        <v>7</v>
      </c>
      <c r="B194">
        <v>7</v>
      </c>
      <c r="C194" s="32">
        <f t="shared" si="18"/>
        <v>0</v>
      </c>
      <c r="D194">
        <v>7</v>
      </c>
      <c r="E194">
        <v>7</v>
      </c>
      <c r="F194" s="32">
        <f t="shared" si="19"/>
        <v>0</v>
      </c>
      <c r="G194">
        <v>8</v>
      </c>
      <c r="H194">
        <v>6</v>
      </c>
      <c r="I194" s="32">
        <f t="shared" si="20"/>
        <v>2</v>
      </c>
      <c r="J194">
        <v>9</v>
      </c>
      <c r="K194">
        <v>7</v>
      </c>
      <c r="L194" s="32">
        <f t="shared" si="21"/>
        <v>2</v>
      </c>
      <c r="M194">
        <v>8</v>
      </c>
      <c r="N194">
        <v>6</v>
      </c>
      <c r="O194" s="32">
        <f t="shared" si="22"/>
        <v>2</v>
      </c>
      <c r="P194">
        <v>9</v>
      </c>
      <c r="Q194">
        <v>7</v>
      </c>
      <c r="R194" s="32">
        <f t="shared" si="23"/>
        <v>2</v>
      </c>
      <c r="S194">
        <v>8</v>
      </c>
      <c r="T194">
        <v>6</v>
      </c>
      <c r="U194" s="32">
        <f t="shared" si="24"/>
        <v>2</v>
      </c>
      <c r="V194">
        <v>8</v>
      </c>
      <c r="W194">
        <v>6</v>
      </c>
      <c r="X194" s="32">
        <f t="shared" si="25"/>
        <v>2</v>
      </c>
      <c r="Y194">
        <v>9</v>
      </c>
      <c r="Z194">
        <v>7</v>
      </c>
      <c r="AA194" s="32">
        <f t="shared" si="26"/>
        <v>2</v>
      </c>
    </row>
    <row r="195" spans="1:27" x14ac:dyDescent="0.45">
      <c r="A195">
        <v>7</v>
      </c>
      <c r="B195">
        <v>7</v>
      </c>
      <c r="C195" s="32">
        <f t="shared" ref="C195:C258" si="27">ABS(B195-A195)</f>
        <v>0</v>
      </c>
      <c r="D195">
        <v>7</v>
      </c>
      <c r="E195">
        <v>7</v>
      </c>
      <c r="F195" s="32">
        <f t="shared" ref="F195:F258" si="28">ABS(E195-D195)</f>
        <v>0</v>
      </c>
      <c r="G195">
        <v>8</v>
      </c>
      <c r="H195">
        <v>6</v>
      </c>
      <c r="I195" s="32">
        <f t="shared" ref="I195:I258" si="29">ABS(H195-G195)</f>
        <v>2</v>
      </c>
      <c r="J195">
        <v>9</v>
      </c>
      <c r="K195">
        <v>7</v>
      </c>
      <c r="L195" s="32">
        <f t="shared" ref="L195:L258" si="30">ABS(K195-J195)</f>
        <v>2</v>
      </c>
      <c r="M195">
        <v>8</v>
      </c>
      <c r="N195">
        <v>6</v>
      </c>
      <c r="O195" s="32">
        <f t="shared" ref="O195:O258" si="31">ABS(N195-M195)</f>
        <v>2</v>
      </c>
      <c r="P195">
        <v>9</v>
      </c>
      <c r="Q195">
        <v>7</v>
      </c>
      <c r="R195" s="32">
        <f t="shared" ref="R195:R258" si="32">ABS(Q195-P195)</f>
        <v>2</v>
      </c>
      <c r="S195">
        <v>8</v>
      </c>
      <c r="T195">
        <v>6</v>
      </c>
      <c r="U195" s="32">
        <f t="shared" ref="U195:U258" si="33">ABS(T195-S195)</f>
        <v>2</v>
      </c>
      <c r="V195">
        <v>8</v>
      </c>
      <c r="W195">
        <v>6</v>
      </c>
      <c r="X195" s="32">
        <f t="shared" ref="X195:X258" si="34">ABS(W195-V195)</f>
        <v>2</v>
      </c>
      <c r="Y195">
        <v>9</v>
      </c>
      <c r="Z195">
        <v>7</v>
      </c>
      <c r="AA195" s="32">
        <f t="shared" ref="AA195:AA258" si="35">ABS(Z195-Y195)</f>
        <v>2</v>
      </c>
    </row>
    <row r="196" spans="1:27" x14ac:dyDescent="0.45">
      <c r="A196">
        <v>7</v>
      </c>
      <c r="B196">
        <v>7</v>
      </c>
      <c r="C196" s="32">
        <f t="shared" si="27"/>
        <v>0</v>
      </c>
      <c r="D196">
        <v>7</v>
      </c>
      <c r="E196">
        <v>7</v>
      </c>
      <c r="F196" s="32">
        <f t="shared" si="28"/>
        <v>0</v>
      </c>
      <c r="G196">
        <v>8</v>
      </c>
      <c r="H196">
        <v>6</v>
      </c>
      <c r="I196" s="32">
        <f t="shared" si="29"/>
        <v>2</v>
      </c>
      <c r="J196">
        <v>9</v>
      </c>
      <c r="K196">
        <v>7</v>
      </c>
      <c r="L196" s="32">
        <f t="shared" si="30"/>
        <v>2</v>
      </c>
      <c r="M196">
        <v>8</v>
      </c>
      <c r="N196">
        <v>6</v>
      </c>
      <c r="O196" s="32">
        <f t="shared" si="31"/>
        <v>2</v>
      </c>
      <c r="P196">
        <v>9</v>
      </c>
      <c r="Q196">
        <v>7</v>
      </c>
      <c r="R196" s="32">
        <f t="shared" si="32"/>
        <v>2</v>
      </c>
      <c r="S196">
        <v>8</v>
      </c>
      <c r="T196">
        <v>6</v>
      </c>
      <c r="U196" s="32">
        <f t="shared" si="33"/>
        <v>2</v>
      </c>
      <c r="V196">
        <v>8</v>
      </c>
      <c r="W196">
        <v>6</v>
      </c>
      <c r="X196" s="32">
        <f t="shared" si="34"/>
        <v>2</v>
      </c>
      <c r="Y196">
        <v>9</v>
      </c>
      <c r="Z196">
        <v>7</v>
      </c>
      <c r="AA196" s="32">
        <f t="shared" si="35"/>
        <v>2</v>
      </c>
    </row>
    <row r="197" spans="1:27" x14ac:dyDescent="0.45">
      <c r="A197">
        <v>7</v>
      </c>
      <c r="B197">
        <v>7</v>
      </c>
      <c r="C197" s="32">
        <f t="shared" si="27"/>
        <v>0</v>
      </c>
      <c r="D197">
        <v>7</v>
      </c>
      <c r="E197">
        <v>7</v>
      </c>
      <c r="F197" s="32">
        <f t="shared" si="28"/>
        <v>0</v>
      </c>
      <c r="G197">
        <v>8</v>
      </c>
      <c r="H197">
        <v>6</v>
      </c>
      <c r="I197" s="32">
        <f t="shared" si="29"/>
        <v>2</v>
      </c>
      <c r="J197">
        <v>9</v>
      </c>
      <c r="K197">
        <v>7</v>
      </c>
      <c r="L197" s="32">
        <f t="shared" si="30"/>
        <v>2</v>
      </c>
      <c r="M197">
        <v>8</v>
      </c>
      <c r="N197">
        <v>6</v>
      </c>
      <c r="O197" s="32">
        <f t="shared" si="31"/>
        <v>2</v>
      </c>
      <c r="P197">
        <v>9</v>
      </c>
      <c r="Q197">
        <v>7</v>
      </c>
      <c r="R197" s="32">
        <f t="shared" si="32"/>
        <v>2</v>
      </c>
      <c r="S197">
        <v>8</v>
      </c>
      <c r="T197">
        <v>6</v>
      </c>
      <c r="U197" s="32">
        <f t="shared" si="33"/>
        <v>2</v>
      </c>
      <c r="V197">
        <v>8</v>
      </c>
      <c r="W197">
        <v>6</v>
      </c>
      <c r="X197" s="32">
        <f t="shared" si="34"/>
        <v>2</v>
      </c>
      <c r="Y197">
        <v>9</v>
      </c>
      <c r="Z197">
        <v>7</v>
      </c>
      <c r="AA197" s="32">
        <f t="shared" si="35"/>
        <v>2</v>
      </c>
    </row>
    <row r="198" spans="1:27" x14ac:dyDescent="0.45">
      <c r="A198">
        <v>7</v>
      </c>
      <c r="B198">
        <v>7</v>
      </c>
      <c r="C198" s="32">
        <f t="shared" si="27"/>
        <v>0</v>
      </c>
      <c r="D198">
        <v>7</v>
      </c>
      <c r="E198">
        <v>7</v>
      </c>
      <c r="F198" s="32">
        <f t="shared" si="28"/>
        <v>0</v>
      </c>
      <c r="G198">
        <v>8</v>
      </c>
      <c r="H198">
        <v>6</v>
      </c>
      <c r="I198" s="32">
        <f t="shared" si="29"/>
        <v>2</v>
      </c>
      <c r="J198">
        <v>9</v>
      </c>
      <c r="K198">
        <v>7</v>
      </c>
      <c r="L198" s="32">
        <f t="shared" si="30"/>
        <v>2</v>
      </c>
      <c r="M198">
        <v>8</v>
      </c>
      <c r="N198">
        <v>6</v>
      </c>
      <c r="O198" s="32">
        <f t="shared" si="31"/>
        <v>2</v>
      </c>
      <c r="P198">
        <v>9</v>
      </c>
      <c r="Q198">
        <v>7</v>
      </c>
      <c r="R198" s="32">
        <f t="shared" si="32"/>
        <v>2</v>
      </c>
      <c r="S198">
        <v>8</v>
      </c>
      <c r="T198">
        <v>6</v>
      </c>
      <c r="U198" s="32">
        <f t="shared" si="33"/>
        <v>2</v>
      </c>
      <c r="V198">
        <v>8</v>
      </c>
      <c r="W198">
        <v>6</v>
      </c>
      <c r="X198" s="32">
        <f t="shared" si="34"/>
        <v>2</v>
      </c>
      <c r="Y198">
        <v>9</v>
      </c>
      <c r="Z198">
        <v>7</v>
      </c>
      <c r="AA198" s="32">
        <f t="shared" si="35"/>
        <v>2</v>
      </c>
    </row>
    <row r="199" spans="1:27" x14ac:dyDescent="0.45">
      <c r="A199">
        <v>7</v>
      </c>
      <c r="B199">
        <v>7</v>
      </c>
      <c r="C199" s="32">
        <f t="shared" si="27"/>
        <v>0</v>
      </c>
      <c r="D199">
        <v>7</v>
      </c>
      <c r="E199">
        <v>7</v>
      </c>
      <c r="F199" s="32">
        <f t="shared" si="28"/>
        <v>0</v>
      </c>
      <c r="G199">
        <v>8</v>
      </c>
      <c r="H199">
        <v>6</v>
      </c>
      <c r="I199" s="32">
        <f t="shared" si="29"/>
        <v>2</v>
      </c>
      <c r="J199">
        <v>9</v>
      </c>
      <c r="K199">
        <v>7</v>
      </c>
      <c r="L199" s="32">
        <f t="shared" si="30"/>
        <v>2</v>
      </c>
      <c r="M199">
        <v>8</v>
      </c>
      <c r="N199">
        <v>6</v>
      </c>
      <c r="O199" s="32">
        <f t="shared" si="31"/>
        <v>2</v>
      </c>
      <c r="P199">
        <v>9</v>
      </c>
      <c r="Q199">
        <v>7</v>
      </c>
      <c r="R199" s="32">
        <f t="shared" si="32"/>
        <v>2</v>
      </c>
      <c r="S199">
        <v>8</v>
      </c>
      <c r="T199">
        <v>6</v>
      </c>
      <c r="U199" s="32">
        <f t="shared" si="33"/>
        <v>2</v>
      </c>
      <c r="V199">
        <v>8</v>
      </c>
      <c r="W199">
        <v>7</v>
      </c>
      <c r="X199" s="32">
        <f t="shared" si="34"/>
        <v>1</v>
      </c>
      <c r="Y199">
        <v>9</v>
      </c>
      <c r="Z199">
        <v>7</v>
      </c>
      <c r="AA199" s="32">
        <f t="shared" si="35"/>
        <v>2</v>
      </c>
    </row>
    <row r="200" spans="1:27" x14ac:dyDescent="0.45">
      <c r="A200">
        <v>7</v>
      </c>
      <c r="B200">
        <v>7</v>
      </c>
      <c r="C200" s="32">
        <f t="shared" si="27"/>
        <v>0</v>
      </c>
      <c r="D200">
        <v>7</v>
      </c>
      <c r="E200">
        <v>7</v>
      </c>
      <c r="F200" s="32">
        <f t="shared" si="28"/>
        <v>0</v>
      </c>
      <c r="G200">
        <v>8</v>
      </c>
      <c r="H200">
        <v>6</v>
      </c>
      <c r="I200" s="32">
        <f t="shared" si="29"/>
        <v>2</v>
      </c>
      <c r="J200">
        <v>9</v>
      </c>
      <c r="K200">
        <v>7</v>
      </c>
      <c r="L200" s="32">
        <f t="shared" si="30"/>
        <v>2</v>
      </c>
      <c r="M200">
        <v>8</v>
      </c>
      <c r="N200">
        <v>7</v>
      </c>
      <c r="O200" s="32">
        <f t="shared" si="31"/>
        <v>1</v>
      </c>
      <c r="P200">
        <v>9</v>
      </c>
      <c r="Q200">
        <v>7</v>
      </c>
      <c r="R200" s="32">
        <f t="shared" si="32"/>
        <v>2</v>
      </c>
      <c r="S200">
        <v>8</v>
      </c>
      <c r="T200">
        <v>6</v>
      </c>
      <c r="U200" s="32">
        <f t="shared" si="33"/>
        <v>2</v>
      </c>
      <c r="V200">
        <v>8</v>
      </c>
      <c r="W200">
        <v>7</v>
      </c>
      <c r="X200" s="32">
        <f t="shared" si="34"/>
        <v>1</v>
      </c>
      <c r="Y200">
        <v>9</v>
      </c>
      <c r="Z200">
        <v>7</v>
      </c>
      <c r="AA200" s="32">
        <f t="shared" si="35"/>
        <v>2</v>
      </c>
    </row>
    <row r="201" spans="1:27" x14ac:dyDescent="0.45">
      <c r="A201">
        <v>7</v>
      </c>
      <c r="B201">
        <v>7</v>
      </c>
      <c r="C201" s="32">
        <f t="shared" si="27"/>
        <v>0</v>
      </c>
      <c r="D201">
        <v>7</v>
      </c>
      <c r="E201">
        <v>7</v>
      </c>
      <c r="F201" s="32">
        <f t="shared" si="28"/>
        <v>0</v>
      </c>
      <c r="G201">
        <v>8</v>
      </c>
      <c r="H201">
        <v>6</v>
      </c>
      <c r="I201" s="32">
        <f t="shared" si="29"/>
        <v>2</v>
      </c>
      <c r="J201">
        <v>9</v>
      </c>
      <c r="K201">
        <v>7</v>
      </c>
      <c r="L201" s="32">
        <f t="shared" si="30"/>
        <v>2</v>
      </c>
      <c r="M201">
        <v>8</v>
      </c>
      <c r="N201">
        <v>7</v>
      </c>
      <c r="O201" s="32">
        <f t="shared" si="31"/>
        <v>1</v>
      </c>
      <c r="P201">
        <v>9</v>
      </c>
      <c r="Q201">
        <v>7</v>
      </c>
      <c r="R201" s="32">
        <f t="shared" si="32"/>
        <v>2</v>
      </c>
      <c r="S201">
        <v>8</v>
      </c>
      <c r="T201">
        <v>6</v>
      </c>
      <c r="U201" s="32">
        <f t="shared" si="33"/>
        <v>2</v>
      </c>
      <c r="V201">
        <v>8</v>
      </c>
      <c r="W201">
        <v>7</v>
      </c>
      <c r="X201" s="32">
        <f t="shared" si="34"/>
        <v>1</v>
      </c>
      <c r="Y201">
        <v>9</v>
      </c>
      <c r="Z201">
        <v>7</v>
      </c>
      <c r="AA201" s="32">
        <f t="shared" si="35"/>
        <v>2</v>
      </c>
    </row>
    <row r="202" spans="1:27" x14ac:dyDescent="0.45">
      <c r="A202">
        <v>7</v>
      </c>
      <c r="B202">
        <v>7</v>
      </c>
      <c r="C202" s="32">
        <f t="shared" si="27"/>
        <v>0</v>
      </c>
      <c r="D202">
        <v>7</v>
      </c>
      <c r="E202">
        <v>7</v>
      </c>
      <c r="F202" s="32">
        <f t="shared" si="28"/>
        <v>0</v>
      </c>
      <c r="G202">
        <v>8</v>
      </c>
      <c r="H202">
        <v>6</v>
      </c>
      <c r="I202" s="32">
        <f t="shared" si="29"/>
        <v>2</v>
      </c>
      <c r="J202">
        <v>9</v>
      </c>
      <c r="K202">
        <v>7</v>
      </c>
      <c r="L202" s="32">
        <f t="shared" si="30"/>
        <v>2</v>
      </c>
      <c r="M202">
        <v>8</v>
      </c>
      <c r="N202">
        <v>7</v>
      </c>
      <c r="O202" s="32">
        <f t="shared" si="31"/>
        <v>1</v>
      </c>
      <c r="P202">
        <v>9</v>
      </c>
      <c r="Q202">
        <v>7</v>
      </c>
      <c r="R202" s="32">
        <f t="shared" si="32"/>
        <v>2</v>
      </c>
      <c r="S202">
        <v>8</v>
      </c>
      <c r="T202">
        <v>6</v>
      </c>
      <c r="U202" s="32">
        <f t="shared" si="33"/>
        <v>2</v>
      </c>
      <c r="V202">
        <v>8</v>
      </c>
      <c r="W202">
        <v>7</v>
      </c>
      <c r="X202" s="32">
        <f t="shared" si="34"/>
        <v>1</v>
      </c>
      <c r="Y202">
        <v>9</v>
      </c>
      <c r="Z202">
        <v>7</v>
      </c>
      <c r="AA202" s="32">
        <f t="shared" si="35"/>
        <v>2</v>
      </c>
    </row>
    <row r="203" spans="1:27" x14ac:dyDescent="0.45">
      <c r="A203">
        <v>7</v>
      </c>
      <c r="B203">
        <v>7</v>
      </c>
      <c r="C203" s="32">
        <f t="shared" si="27"/>
        <v>0</v>
      </c>
      <c r="D203">
        <v>7</v>
      </c>
      <c r="E203">
        <v>7</v>
      </c>
      <c r="F203" s="32">
        <f t="shared" si="28"/>
        <v>0</v>
      </c>
      <c r="G203">
        <v>8</v>
      </c>
      <c r="H203">
        <v>6</v>
      </c>
      <c r="I203" s="32">
        <f t="shared" si="29"/>
        <v>2</v>
      </c>
      <c r="J203">
        <v>9</v>
      </c>
      <c r="K203">
        <v>7</v>
      </c>
      <c r="L203" s="32">
        <f t="shared" si="30"/>
        <v>2</v>
      </c>
      <c r="M203">
        <v>8</v>
      </c>
      <c r="N203">
        <v>7</v>
      </c>
      <c r="O203" s="32">
        <f t="shared" si="31"/>
        <v>1</v>
      </c>
      <c r="P203">
        <v>9</v>
      </c>
      <c r="Q203">
        <v>7</v>
      </c>
      <c r="R203" s="32">
        <f t="shared" si="32"/>
        <v>2</v>
      </c>
      <c r="S203">
        <v>8</v>
      </c>
      <c r="T203">
        <v>6</v>
      </c>
      <c r="U203" s="32">
        <f t="shared" si="33"/>
        <v>2</v>
      </c>
      <c r="V203">
        <v>8</v>
      </c>
      <c r="W203">
        <v>7</v>
      </c>
      <c r="X203" s="32">
        <f t="shared" si="34"/>
        <v>1</v>
      </c>
      <c r="Y203">
        <v>9</v>
      </c>
      <c r="Z203">
        <v>7</v>
      </c>
      <c r="AA203" s="32">
        <f t="shared" si="35"/>
        <v>2</v>
      </c>
    </row>
    <row r="204" spans="1:27" x14ac:dyDescent="0.45">
      <c r="A204">
        <v>7</v>
      </c>
      <c r="B204">
        <v>7</v>
      </c>
      <c r="C204" s="32">
        <f t="shared" si="27"/>
        <v>0</v>
      </c>
      <c r="D204">
        <v>7</v>
      </c>
      <c r="E204">
        <v>7</v>
      </c>
      <c r="F204" s="32">
        <f t="shared" si="28"/>
        <v>0</v>
      </c>
      <c r="G204">
        <v>8</v>
      </c>
      <c r="H204">
        <v>6</v>
      </c>
      <c r="I204" s="32">
        <f t="shared" si="29"/>
        <v>2</v>
      </c>
      <c r="J204">
        <v>9</v>
      </c>
      <c r="K204">
        <v>7</v>
      </c>
      <c r="L204" s="32">
        <f t="shared" si="30"/>
        <v>2</v>
      </c>
      <c r="M204">
        <v>8</v>
      </c>
      <c r="N204">
        <v>7</v>
      </c>
      <c r="O204" s="32">
        <f t="shared" si="31"/>
        <v>1</v>
      </c>
      <c r="P204">
        <v>9</v>
      </c>
      <c r="Q204">
        <v>7</v>
      </c>
      <c r="R204" s="32">
        <f t="shared" si="32"/>
        <v>2</v>
      </c>
      <c r="S204">
        <v>8</v>
      </c>
      <c r="T204">
        <v>6</v>
      </c>
      <c r="U204" s="32">
        <f t="shared" si="33"/>
        <v>2</v>
      </c>
      <c r="V204">
        <v>8</v>
      </c>
      <c r="W204">
        <v>7</v>
      </c>
      <c r="X204" s="32">
        <f t="shared" si="34"/>
        <v>1</v>
      </c>
      <c r="Y204">
        <v>9</v>
      </c>
      <c r="Z204">
        <v>7</v>
      </c>
      <c r="AA204" s="32">
        <f t="shared" si="35"/>
        <v>2</v>
      </c>
    </row>
    <row r="205" spans="1:27" x14ac:dyDescent="0.45">
      <c r="A205">
        <v>7</v>
      </c>
      <c r="B205">
        <v>7</v>
      </c>
      <c r="C205" s="32">
        <f t="shared" si="27"/>
        <v>0</v>
      </c>
      <c r="D205">
        <v>7</v>
      </c>
      <c r="E205">
        <v>7</v>
      </c>
      <c r="F205" s="32">
        <f t="shared" si="28"/>
        <v>0</v>
      </c>
      <c r="G205">
        <v>8</v>
      </c>
      <c r="H205">
        <v>6</v>
      </c>
      <c r="I205" s="32">
        <f t="shared" si="29"/>
        <v>2</v>
      </c>
      <c r="J205">
        <v>9</v>
      </c>
      <c r="K205">
        <v>7</v>
      </c>
      <c r="L205" s="32">
        <f t="shared" si="30"/>
        <v>2</v>
      </c>
      <c r="M205">
        <v>8</v>
      </c>
      <c r="N205">
        <v>7</v>
      </c>
      <c r="O205" s="32">
        <f t="shared" si="31"/>
        <v>1</v>
      </c>
      <c r="P205">
        <v>9</v>
      </c>
      <c r="Q205">
        <v>7</v>
      </c>
      <c r="R205" s="32">
        <f t="shared" si="32"/>
        <v>2</v>
      </c>
      <c r="S205">
        <v>8</v>
      </c>
      <c r="T205">
        <v>6</v>
      </c>
      <c r="U205" s="32">
        <f t="shared" si="33"/>
        <v>2</v>
      </c>
      <c r="V205">
        <v>8</v>
      </c>
      <c r="W205">
        <v>7</v>
      </c>
      <c r="X205" s="32">
        <f t="shared" si="34"/>
        <v>1</v>
      </c>
      <c r="Y205">
        <v>9</v>
      </c>
      <c r="Z205">
        <v>7</v>
      </c>
      <c r="AA205" s="32">
        <f t="shared" si="35"/>
        <v>2</v>
      </c>
    </row>
    <row r="206" spans="1:27" x14ac:dyDescent="0.45">
      <c r="A206">
        <v>7</v>
      </c>
      <c r="B206">
        <v>7</v>
      </c>
      <c r="C206" s="32">
        <f t="shared" si="27"/>
        <v>0</v>
      </c>
      <c r="D206">
        <v>7</v>
      </c>
      <c r="E206">
        <v>7</v>
      </c>
      <c r="F206" s="32">
        <f t="shared" si="28"/>
        <v>0</v>
      </c>
      <c r="G206">
        <v>8</v>
      </c>
      <c r="H206">
        <v>6</v>
      </c>
      <c r="I206" s="32">
        <f t="shared" si="29"/>
        <v>2</v>
      </c>
      <c r="J206">
        <v>9</v>
      </c>
      <c r="K206">
        <v>7</v>
      </c>
      <c r="L206" s="32">
        <f t="shared" si="30"/>
        <v>2</v>
      </c>
      <c r="M206">
        <v>8</v>
      </c>
      <c r="N206">
        <v>7</v>
      </c>
      <c r="O206" s="32">
        <f t="shared" si="31"/>
        <v>1</v>
      </c>
      <c r="P206">
        <v>9</v>
      </c>
      <c r="Q206">
        <v>7</v>
      </c>
      <c r="R206" s="32">
        <f t="shared" si="32"/>
        <v>2</v>
      </c>
      <c r="S206">
        <v>8</v>
      </c>
      <c r="T206">
        <v>6</v>
      </c>
      <c r="U206" s="32">
        <f t="shared" si="33"/>
        <v>2</v>
      </c>
      <c r="V206">
        <v>8</v>
      </c>
      <c r="W206">
        <v>7</v>
      </c>
      <c r="X206" s="32">
        <f t="shared" si="34"/>
        <v>1</v>
      </c>
      <c r="Y206">
        <v>9</v>
      </c>
      <c r="Z206">
        <v>7</v>
      </c>
      <c r="AA206" s="32">
        <f t="shared" si="35"/>
        <v>2</v>
      </c>
    </row>
    <row r="207" spans="1:27" x14ac:dyDescent="0.45">
      <c r="A207">
        <v>7</v>
      </c>
      <c r="B207">
        <v>7</v>
      </c>
      <c r="C207" s="32">
        <f t="shared" si="27"/>
        <v>0</v>
      </c>
      <c r="D207">
        <v>8</v>
      </c>
      <c r="E207">
        <v>7</v>
      </c>
      <c r="F207" s="32">
        <f t="shared" si="28"/>
        <v>1</v>
      </c>
      <c r="G207">
        <v>8</v>
      </c>
      <c r="H207">
        <v>6</v>
      </c>
      <c r="I207" s="32">
        <f t="shared" si="29"/>
        <v>2</v>
      </c>
      <c r="J207">
        <v>9</v>
      </c>
      <c r="K207">
        <v>7</v>
      </c>
      <c r="L207" s="32">
        <f t="shared" si="30"/>
        <v>2</v>
      </c>
      <c r="M207">
        <v>8</v>
      </c>
      <c r="N207">
        <v>7</v>
      </c>
      <c r="O207" s="32">
        <f t="shared" si="31"/>
        <v>1</v>
      </c>
      <c r="P207">
        <v>9</v>
      </c>
      <c r="Q207">
        <v>7</v>
      </c>
      <c r="R207" s="32">
        <f t="shared" si="32"/>
        <v>2</v>
      </c>
      <c r="S207">
        <v>8</v>
      </c>
      <c r="T207">
        <v>6</v>
      </c>
      <c r="U207" s="32">
        <f t="shared" si="33"/>
        <v>2</v>
      </c>
      <c r="V207">
        <v>8</v>
      </c>
      <c r="W207">
        <v>7</v>
      </c>
      <c r="X207" s="32">
        <f t="shared" si="34"/>
        <v>1</v>
      </c>
      <c r="Y207">
        <v>9</v>
      </c>
      <c r="Z207">
        <v>7</v>
      </c>
      <c r="AA207" s="32">
        <f t="shared" si="35"/>
        <v>2</v>
      </c>
    </row>
    <row r="208" spans="1:27" x14ac:dyDescent="0.45">
      <c r="A208">
        <v>7</v>
      </c>
      <c r="B208">
        <v>7</v>
      </c>
      <c r="C208" s="32">
        <f t="shared" si="27"/>
        <v>0</v>
      </c>
      <c r="D208">
        <v>8</v>
      </c>
      <c r="E208">
        <v>7</v>
      </c>
      <c r="F208" s="32">
        <f t="shared" si="28"/>
        <v>1</v>
      </c>
      <c r="G208">
        <v>8</v>
      </c>
      <c r="H208">
        <v>6</v>
      </c>
      <c r="I208" s="32">
        <f t="shared" si="29"/>
        <v>2</v>
      </c>
      <c r="J208">
        <v>9</v>
      </c>
      <c r="K208">
        <v>8</v>
      </c>
      <c r="L208" s="32">
        <f t="shared" si="30"/>
        <v>1</v>
      </c>
      <c r="M208">
        <v>8</v>
      </c>
      <c r="N208">
        <v>7</v>
      </c>
      <c r="O208" s="32">
        <f t="shared" si="31"/>
        <v>1</v>
      </c>
      <c r="P208">
        <v>9</v>
      </c>
      <c r="Q208">
        <v>7</v>
      </c>
      <c r="R208" s="32">
        <f t="shared" si="32"/>
        <v>2</v>
      </c>
      <c r="S208">
        <v>8</v>
      </c>
      <c r="T208">
        <v>6</v>
      </c>
      <c r="U208" s="32">
        <f t="shared" si="33"/>
        <v>2</v>
      </c>
      <c r="V208">
        <v>8</v>
      </c>
      <c r="W208">
        <v>7</v>
      </c>
      <c r="X208" s="32">
        <f t="shared" si="34"/>
        <v>1</v>
      </c>
      <c r="Y208">
        <v>9</v>
      </c>
      <c r="Z208">
        <v>7</v>
      </c>
      <c r="AA208" s="32">
        <f t="shared" si="35"/>
        <v>2</v>
      </c>
    </row>
    <row r="209" spans="1:27" x14ac:dyDescent="0.45">
      <c r="A209">
        <v>7</v>
      </c>
      <c r="B209">
        <v>7</v>
      </c>
      <c r="C209" s="32">
        <f t="shared" si="27"/>
        <v>0</v>
      </c>
      <c r="D209">
        <v>8</v>
      </c>
      <c r="E209">
        <v>7</v>
      </c>
      <c r="F209" s="32">
        <f t="shared" si="28"/>
        <v>1</v>
      </c>
      <c r="G209">
        <v>8</v>
      </c>
      <c r="H209">
        <v>7</v>
      </c>
      <c r="I209" s="32">
        <f t="shared" si="29"/>
        <v>1</v>
      </c>
      <c r="J209">
        <v>9</v>
      </c>
      <c r="K209">
        <v>8</v>
      </c>
      <c r="L209" s="32">
        <f t="shared" si="30"/>
        <v>1</v>
      </c>
      <c r="M209">
        <v>8</v>
      </c>
      <c r="N209">
        <v>7</v>
      </c>
      <c r="O209" s="32">
        <f t="shared" si="31"/>
        <v>1</v>
      </c>
      <c r="P209">
        <v>9</v>
      </c>
      <c r="Q209">
        <v>7</v>
      </c>
      <c r="R209" s="32">
        <f t="shared" si="32"/>
        <v>2</v>
      </c>
      <c r="S209">
        <v>8</v>
      </c>
      <c r="T209">
        <v>6</v>
      </c>
      <c r="U209" s="32">
        <f t="shared" si="33"/>
        <v>2</v>
      </c>
      <c r="V209">
        <v>8</v>
      </c>
      <c r="W209">
        <v>7</v>
      </c>
      <c r="X209" s="32">
        <f t="shared" si="34"/>
        <v>1</v>
      </c>
      <c r="Y209">
        <v>9</v>
      </c>
      <c r="Z209">
        <v>7</v>
      </c>
      <c r="AA209" s="32">
        <f t="shared" si="35"/>
        <v>2</v>
      </c>
    </row>
    <row r="210" spans="1:27" x14ac:dyDescent="0.45">
      <c r="A210">
        <v>7</v>
      </c>
      <c r="B210">
        <v>7</v>
      </c>
      <c r="C210" s="32">
        <f t="shared" si="27"/>
        <v>0</v>
      </c>
      <c r="D210">
        <v>8</v>
      </c>
      <c r="E210">
        <v>7</v>
      </c>
      <c r="F210" s="32">
        <f t="shared" si="28"/>
        <v>1</v>
      </c>
      <c r="G210">
        <v>8</v>
      </c>
      <c r="H210">
        <v>7</v>
      </c>
      <c r="I210" s="32">
        <f t="shared" si="29"/>
        <v>1</v>
      </c>
      <c r="J210">
        <v>9</v>
      </c>
      <c r="K210">
        <v>8</v>
      </c>
      <c r="L210" s="32">
        <f t="shared" si="30"/>
        <v>1</v>
      </c>
      <c r="M210">
        <v>8</v>
      </c>
      <c r="N210">
        <v>7</v>
      </c>
      <c r="O210" s="32">
        <f t="shared" si="31"/>
        <v>1</v>
      </c>
      <c r="P210">
        <v>9</v>
      </c>
      <c r="Q210">
        <v>7</v>
      </c>
      <c r="R210" s="32">
        <f t="shared" si="32"/>
        <v>2</v>
      </c>
      <c r="S210">
        <v>8</v>
      </c>
      <c r="T210">
        <v>6</v>
      </c>
      <c r="U210" s="32">
        <f t="shared" si="33"/>
        <v>2</v>
      </c>
      <c r="V210">
        <v>8</v>
      </c>
      <c r="W210">
        <v>7</v>
      </c>
      <c r="X210" s="32">
        <f t="shared" si="34"/>
        <v>1</v>
      </c>
      <c r="Y210">
        <v>9</v>
      </c>
      <c r="Z210">
        <v>7</v>
      </c>
      <c r="AA210" s="32">
        <f t="shared" si="35"/>
        <v>2</v>
      </c>
    </row>
    <row r="211" spans="1:27" x14ac:dyDescent="0.45">
      <c r="A211">
        <v>7</v>
      </c>
      <c r="B211">
        <v>7</v>
      </c>
      <c r="C211" s="32">
        <f t="shared" si="27"/>
        <v>0</v>
      </c>
      <c r="D211">
        <v>8</v>
      </c>
      <c r="E211">
        <v>7</v>
      </c>
      <c r="F211" s="32">
        <f t="shared" si="28"/>
        <v>1</v>
      </c>
      <c r="G211">
        <v>8</v>
      </c>
      <c r="H211">
        <v>7</v>
      </c>
      <c r="I211" s="32">
        <f t="shared" si="29"/>
        <v>1</v>
      </c>
      <c r="J211">
        <v>9</v>
      </c>
      <c r="K211">
        <v>8</v>
      </c>
      <c r="L211" s="32">
        <f t="shared" si="30"/>
        <v>1</v>
      </c>
      <c r="M211">
        <v>8</v>
      </c>
      <c r="N211">
        <v>7</v>
      </c>
      <c r="O211" s="32">
        <f t="shared" si="31"/>
        <v>1</v>
      </c>
      <c r="P211">
        <v>9</v>
      </c>
      <c r="Q211">
        <v>7</v>
      </c>
      <c r="R211" s="32">
        <f t="shared" si="32"/>
        <v>2</v>
      </c>
      <c r="S211">
        <v>8</v>
      </c>
      <c r="T211">
        <v>6</v>
      </c>
      <c r="U211" s="32">
        <f t="shared" si="33"/>
        <v>2</v>
      </c>
      <c r="V211">
        <v>8</v>
      </c>
      <c r="W211">
        <v>7</v>
      </c>
      <c r="X211" s="32">
        <f t="shared" si="34"/>
        <v>1</v>
      </c>
      <c r="Y211">
        <v>9</v>
      </c>
      <c r="Z211">
        <v>7</v>
      </c>
      <c r="AA211" s="32">
        <f t="shared" si="35"/>
        <v>2</v>
      </c>
    </row>
    <row r="212" spans="1:27" x14ac:dyDescent="0.45">
      <c r="A212">
        <v>7</v>
      </c>
      <c r="B212">
        <v>7</v>
      </c>
      <c r="C212" s="32">
        <f t="shared" si="27"/>
        <v>0</v>
      </c>
      <c r="D212">
        <v>8</v>
      </c>
      <c r="E212">
        <v>7</v>
      </c>
      <c r="F212" s="32">
        <f t="shared" si="28"/>
        <v>1</v>
      </c>
      <c r="G212">
        <v>8</v>
      </c>
      <c r="H212">
        <v>7</v>
      </c>
      <c r="I212" s="32">
        <f t="shared" si="29"/>
        <v>1</v>
      </c>
      <c r="J212">
        <v>9</v>
      </c>
      <c r="K212">
        <v>8</v>
      </c>
      <c r="L212" s="32">
        <f t="shared" si="30"/>
        <v>1</v>
      </c>
      <c r="M212">
        <v>8</v>
      </c>
      <c r="N212">
        <v>7</v>
      </c>
      <c r="O212" s="32">
        <f t="shared" si="31"/>
        <v>1</v>
      </c>
      <c r="P212">
        <v>9</v>
      </c>
      <c r="Q212">
        <v>7</v>
      </c>
      <c r="R212" s="32">
        <f t="shared" si="32"/>
        <v>2</v>
      </c>
      <c r="S212">
        <v>8</v>
      </c>
      <c r="T212">
        <v>6</v>
      </c>
      <c r="U212" s="32">
        <f t="shared" si="33"/>
        <v>2</v>
      </c>
      <c r="V212">
        <v>8</v>
      </c>
      <c r="W212">
        <v>7</v>
      </c>
      <c r="X212" s="32">
        <f t="shared" si="34"/>
        <v>1</v>
      </c>
      <c r="Y212">
        <v>9</v>
      </c>
      <c r="Z212">
        <v>7</v>
      </c>
      <c r="AA212" s="32">
        <f t="shared" si="35"/>
        <v>2</v>
      </c>
    </row>
    <row r="213" spans="1:27" x14ac:dyDescent="0.45">
      <c r="A213">
        <v>7</v>
      </c>
      <c r="B213">
        <v>7</v>
      </c>
      <c r="C213" s="32">
        <f t="shared" si="27"/>
        <v>0</v>
      </c>
      <c r="D213">
        <v>8</v>
      </c>
      <c r="E213">
        <v>8</v>
      </c>
      <c r="F213" s="32">
        <f t="shared" si="28"/>
        <v>0</v>
      </c>
      <c r="G213">
        <v>8</v>
      </c>
      <c r="H213">
        <v>7</v>
      </c>
      <c r="I213" s="32">
        <f t="shared" si="29"/>
        <v>1</v>
      </c>
      <c r="J213">
        <v>9</v>
      </c>
      <c r="K213">
        <v>8</v>
      </c>
      <c r="L213" s="32">
        <f t="shared" si="30"/>
        <v>1</v>
      </c>
      <c r="M213">
        <v>8</v>
      </c>
      <c r="N213">
        <v>7</v>
      </c>
      <c r="O213" s="32">
        <f t="shared" si="31"/>
        <v>1</v>
      </c>
      <c r="P213">
        <v>9</v>
      </c>
      <c r="Q213">
        <v>7</v>
      </c>
      <c r="R213" s="32">
        <f t="shared" si="32"/>
        <v>2</v>
      </c>
      <c r="S213">
        <v>8</v>
      </c>
      <c r="T213">
        <v>6</v>
      </c>
      <c r="U213" s="32">
        <f t="shared" si="33"/>
        <v>2</v>
      </c>
      <c r="V213">
        <v>8</v>
      </c>
      <c r="W213">
        <v>7</v>
      </c>
      <c r="X213" s="32">
        <f t="shared" si="34"/>
        <v>1</v>
      </c>
      <c r="Y213">
        <v>9</v>
      </c>
      <c r="Z213">
        <v>7</v>
      </c>
      <c r="AA213" s="32">
        <f t="shared" si="35"/>
        <v>2</v>
      </c>
    </row>
    <row r="214" spans="1:27" x14ac:dyDescent="0.45">
      <c r="A214">
        <v>7</v>
      </c>
      <c r="B214">
        <v>7</v>
      </c>
      <c r="C214" s="32">
        <f t="shared" si="27"/>
        <v>0</v>
      </c>
      <c r="D214">
        <v>8</v>
      </c>
      <c r="E214">
        <v>8</v>
      </c>
      <c r="F214" s="32">
        <f t="shared" si="28"/>
        <v>0</v>
      </c>
      <c r="G214">
        <v>9</v>
      </c>
      <c r="H214">
        <v>7</v>
      </c>
      <c r="I214" s="32">
        <f t="shared" si="29"/>
        <v>2</v>
      </c>
      <c r="J214">
        <v>9</v>
      </c>
      <c r="K214">
        <v>8</v>
      </c>
      <c r="L214" s="32">
        <f t="shared" si="30"/>
        <v>1</v>
      </c>
      <c r="M214">
        <v>8</v>
      </c>
      <c r="N214">
        <v>7</v>
      </c>
      <c r="O214" s="32">
        <f t="shared" si="31"/>
        <v>1</v>
      </c>
      <c r="P214">
        <v>9</v>
      </c>
      <c r="Q214">
        <v>7</v>
      </c>
      <c r="R214" s="32">
        <f t="shared" si="32"/>
        <v>2</v>
      </c>
      <c r="S214">
        <v>8</v>
      </c>
      <c r="T214">
        <v>6</v>
      </c>
      <c r="U214" s="32">
        <f t="shared" si="33"/>
        <v>2</v>
      </c>
      <c r="V214">
        <v>8</v>
      </c>
      <c r="W214">
        <v>7</v>
      </c>
      <c r="X214" s="32">
        <f t="shared" si="34"/>
        <v>1</v>
      </c>
      <c r="Y214">
        <v>9</v>
      </c>
      <c r="Z214">
        <v>7</v>
      </c>
      <c r="AA214" s="32">
        <f t="shared" si="35"/>
        <v>2</v>
      </c>
    </row>
    <row r="215" spans="1:27" x14ac:dyDescent="0.45">
      <c r="A215">
        <v>7</v>
      </c>
      <c r="B215">
        <v>7</v>
      </c>
      <c r="C215" s="32">
        <f t="shared" si="27"/>
        <v>0</v>
      </c>
      <c r="D215">
        <v>8</v>
      </c>
      <c r="E215">
        <v>8</v>
      </c>
      <c r="F215" s="32">
        <f t="shared" si="28"/>
        <v>0</v>
      </c>
      <c r="G215">
        <v>9</v>
      </c>
      <c r="H215">
        <v>7</v>
      </c>
      <c r="I215" s="32">
        <f t="shared" si="29"/>
        <v>2</v>
      </c>
      <c r="J215">
        <v>9</v>
      </c>
      <c r="K215">
        <v>8</v>
      </c>
      <c r="L215" s="32">
        <f t="shared" si="30"/>
        <v>1</v>
      </c>
      <c r="M215">
        <v>8</v>
      </c>
      <c r="N215">
        <v>7</v>
      </c>
      <c r="O215" s="32">
        <f t="shared" si="31"/>
        <v>1</v>
      </c>
      <c r="P215">
        <v>9</v>
      </c>
      <c r="Q215">
        <v>7</v>
      </c>
      <c r="R215" s="32">
        <f t="shared" si="32"/>
        <v>2</v>
      </c>
      <c r="S215">
        <v>8</v>
      </c>
      <c r="T215">
        <v>6</v>
      </c>
      <c r="U215" s="32">
        <f t="shared" si="33"/>
        <v>2</v>
      </c>
      <c r="V215">
        <v>8</v>
      </c>
      <c r="W215">
        <v>7</v>
      </c>
      <c r="X215" s="32">
        <f t="shared" si="34"/>
        <v>1</v>
      </c>
      <c r="Y215">
        <v>9</v>
      </c>
      <c r="Z215">
        <v>7</v>
      </c>
      <c r="AA215" s="32">
        <f t="shared" si="35"/>
        <v>2</v>
      </c>
    </row>
    <row r="216" spans="1:27" x14ac:dyDescent="0.45">
      <c r="A216">
        <v>7</v>
      </c>
      <c r="B216">
        <v>7</v>
      </c>
      <c r="C216" s="32">
        <f t="shared" si="27"/>
        <v>0</v>
      </c>
      <c r="D216">
        <v>8</v>
      </c>
      <c r="E216">
        <v>8</v>
      </c>
      <c r="F216" s="32">
        <f t="shared" si="28"/>
        <v>0</v>
      </c>
      <c r="G216">
        <v>9</v>
      </c>
      <c r="H216">
        <v>7</v>
      </c>
      <c r="I216" s="32">
        <f t="shared" si="29"/>
        <v>2</v>
      </c>
      <c r="J216">
        <v>9</v>
      </c>
      <c r="K216">
        <v>8</v>
      </c>
      <c r="L216" s="32">
        <f t="shared" si="30"/>
        <v>1</v>
      </c>
      <c r="M216">
        <v>8</v>
      </c>
      <c r="N216">
        <v>7</v>
      </c>
      <c r="O216" s="32">
        <f t="shared" si="31"/>
        <v>1</v>
      </c>
      <c r="P216">
        <v>9</v>
      </c>
      <c r="Q216">
        <v>7</v>
      </c>
      <c r="R216" s="32">
        <f t="shared" si="32"/>
        <v>2</v>
      </c>
      <c r="S216">
        <v>8</v>
      </c>
      <c r="T216">
        <v>6</v>
      </c>
      <c r="U216" s="32">
        <f t="shared" si="33"/>
        <v>2</v>
      </c>
      <c r="V216">
        <v>8</v>
      </c>
      <c r="W216">
        <v>7</v>
      </c>
      <c r="X216" s="32">
        <f t="shared" si="34"/>
        <v>1</v>
      </c>
      <c r="Y216">
        <v>9</v>
      </c>
      <c r="Z216">
        <v>7</v>
      </c>
      <c r="AA216" s="32">
        <f t="shared" si="35"/>
        <v>2</v>
      </c>
    </row>
    <row r="217" spans="1:27" x14ac:dyDescent="0.45">
      <c r="A217">
        <v>7</v>
      </c>
      <c r="B217">
        <v>7</v>
      </c>
      <c r="C217" s="32">
        <f t="shared" si="27"/>
        <v>0</v>
      </c>
      <c r="D217">
        <v>8</v>
      </c>
      <c r="E217">
        <v>8</v>
      </c>
      <c r="F217" s="32">
        <f t="shared" si="28"/>
        <v>0</v>
      </c>
      <c r="G217">
        <v>9</v>
      </c>
      <c r="H217">
        <v>7</v>
      </c>
      <c r="I217" s="32">
        <f t="shared" si="29"/>
        <v>2</v>
      </c>
      <c r="J217">
        <v>9</v>
      </c>
      <c r="K217">
        <v>8</v>
      </c>
      <c r="L217" s="32">
        <f t="shared" si="30"/>
        <v>1</v>
      </c>
      <c r="M217">
        <v>8</v>
      </c>
      <c r="N217">
        <v>7</v>
      </c>
      <c r="O217" s="32">
        <f t="shared" si="31"/>
        <v>1</v>
      </c>
      <c r="P217">
        <v>9</v>
      </c>
      <c r="Q217">
        <v>7</v>
      </c>
      <c r="R217" s="32">
        <f t="shared" si="32"/>
        <v>2</v>
      </c>
      <c r="S217">
        <v>8</v>
      </c>
      <c r="T217">
        <v>6</v>
      </c>
      <c r="U217" s="32">
        <f t="shared" si="33"/>
        <v>2</v>
      </c>
      <c r="V217">
        <v>8</v>
      </c>
      <c r="W217">
        <v>7</v>
      </c>
      <c r="X217" s="32">
        <f t="shared" si="34"/>
        <v>1</v>
      </c>
      <c r="Y217">
        <v>9</v>
      </c>
      <c r="Z217">
        <v>7</v>
      </c>
      <c r="AA217" s="32">
        <f t="shared" si="35"/>
        <v>2</v>
      </c>
    </row>
    <row r="218" spans="1:27" x14ac:dyDescent="0.45">
      <c r="A218">
        <v>7</v>
      </c>
      <c r="B218">
        <v>7</v>
      </c>
      <c r="C218" s="32">
        <f t="shared" si="27"/>
        <v>0</v>
      </c>
      <c r="D218">
        <v>8</v>
      </c>
      <c r="E218">
        <v>8</v>
      </c>
      <c r="F218" s="32">
        <f t="shared" si="28"/>
        <v>0</v>
      </c>
      <c r="G218">
        <v>9</v>
      </c>
      <c r="H218">
        <v>7</v>
      </c>
      <c r="I218" s="32">
        <f t="shared" si="29"/>
        <v>2</v>
      </c>
      <c r="J218">
        <v>9</v>
      </c>
      <c r="K218">
        <v>8</v>
      </c>
      <c r="L218" s="32">
        <f t="shared" si="30"/>
        <v>1</v>
      </c>
      <c r="M218">
        <v>8</v>
      </c>
      <c r="N218">
        <v>7</v>
      </c>
      <c r="O218" s="32">
        <f t="shared" si="31"/>
        <v>1</v>
      </c>
      <c r="P218">
        <v>9</v>
      </c>
      <c r="Q218">
        <v>7</v>
      </c>
      <c r="R218" s="32">
        <f t="shared" si="32"/>
        <v>2</v>
      </c>
      <c r="S218">
        <v>8</v>
      </c>
      <c r="T218">
        <v>6</v>
      </c>
      <c r="U218" s="32">
        <f t="shared" si="33"/>
        <v>2</v>
      </c>
      <c r="V218">
        <v>8</v>
      </c>
      <c r="W218">
        <v>7</v>
      </c>
      <c r="X218" s="32">
        <f t="shared" si="34"/>
        <v>1</v>
      </c>
      <c r="Y218">
        <v>9</v>
      </c>
      <c r="Z218">
        <v>7</v>
      </c>
      <c r="AA218" s="32">
        <f t="shared" si="35"/>
        <v>2</v>
      </c>
    </row>
    <row r="219" spans="1:27" x14ac:dyDescent="0.45">
      <c r="A219">
        <v>7</v>
      </c>
      <c r="B219">
        <v>7</v>
      </c>
      <c r="C219" s="32">
        <f t="shared" si="27"/>
        <v>0</v>
      </c>
      <c r="D219">
        <v>8</v>
      </c>
      <c r="E219">
        <v>8</v>
      </c>
      <c r="F219" s="32">
        <f t="shared" si="28"/>
        <v>0</v>
      </c>
      <c r="G219">
        <v>9</v>
      </c>
      <c r="H219">
        <v>7</v>
      </c>
      <c r="I219" s="32">
        <f t="shared" si="29"/>
        <v>2</v>
      </c>
      <c r="J219">
        <v>9</v>
      </c>
      <c r="K219">
        <v>8</v>
      </c>
      <c r="L219" s="32">
        <f t="shared" si="30"/>
        <v>1</v>
      </c>
      <c r="M219">
        <v>8</v>
      </c>
      <c r="N219">
        <v>7</v>
      </c>
      <c r="O219" s="32">
        <f t="shared" si="31"/>
        <v>1</v>
      </c>
      <c r="P219">
        <v>9</v>
      </c>
      <c r="Q219">
        <v>7</v>
      </c>
      <c r="R219" s="32">
        <f t="shared" si="32"/>
        <v>2</v>
      </c>
      <c r="S219">
        <v>8</v>
      </c>
      <c r="T219">
        <v>6</v>
      </c>
      <c r="U219" s="32">
        <f t="shared" si="33"/>
        <v>2</v>
      </c>
      <c r="V219">
        <v>8</v>
      </c>
      <c r="W219">
        <v>7</v>
      </c>
      <c r="X219" s="32">
        <f t="shared" si="34"/>
        <v>1</v>
      </c>
      <c r="Y219">
        <v>9</v>
      </c>
      <c r="Z219">
        <v>7</v>
      </c>
      <c r="AA219" s="32">
        <f t="shared" si="35"/>
        <v>2</v>
      </c>
    </row>
    <row r="220" spans="1:27" x14ac:dyDescent="0.45">
      <c r="A220">
        <v>7</v>
      </c>
      <c r="B220">
        <v>7</v>
      </c>
      <c r="C220" s="32">
        <f t="shared" si="27"/>
        <v>0</v>
      </c>
      <c r="D220">
        <v>8</v>
      </c>
      <c r="E220">
        <v>8</v>
      </c>
      <c r="F220" s="32">
        <f t="shared" si="28"/>
        <v>0</v>
      </c>
      <c r="G220">
        <v>9</v>
      </c>
      <c r="H220">
        <v>7</v>
      </c>
      <c r="I220" s="32">
        <f t="shared" si="29"/>
        <v>2</v>
      </c>
      <c r="J220">
        <v>9</v>
      </c>
      <c r="K220">
        <v>8</v>
      </c>
      <c r="L220" s="32">
        <f t="shared" si="30"/>
        <v>1</v>
      </c>
      <c r="M220">
        <v>8</v>
      </c>
      <c r="N220">
        <v>7</v>
      </c>
      <c r="O220" s="32">
        <f t="shared" si="31"/>
        <v>1</v>
      </c>
      <c r="P220">
        <v>9</v>
      </c>
      <c r="Q220">
        <v>7</v>
      </c>
      <c r="R220" s="32">
        <f t="shared" si="32"/>
        <v>2</v>
      </c>
      <c r="S220">
        <v>8</v>
      </c>
      <c r="T220">
        <v>6</v>
      </c>
      <c r="U220" s="32">
        <f t="shared" si="33"/>
        <v>2</v>
      </c>
      <c r="V220">
        <v>8</v>
      </c>
      <c r="W220">
        <v>7</v>
      </c>
      <c r="X220" s="32">
        <f t="shared" si="34"/>
        <v>1</v>
      </c>
      <c r="Y220">
        <v>9</v>
      </c>
      <c r="Z220">
        <v>7</v>
      </c>
      <c r="AA220" s="32">
        <f t="shared" si="35"/>
        <v>2</v>
      </c>
    </row>
    <row r="221" spans="1:27" x14ac:dyDescent="0.45">
      <c r="A221">
        <v>7</v>
      </c>
      <c r="B221">
        <v>7</v>
      </c>
      <c r="C221" s="32">
        <f t="shared" si="27"/>
        <v>0</v>
      </c>
      <c r="D221">
        <v>8</v>
      </c>
      <c r="E221">
        <v>8</v>
      </c>
      <c r="F221" s="32">
        <f t="shared" si="28"/>
        <v>0</v>
      </c>
      <c r="G221">
        <v>9</v>
      </c>
      <c r="H221">
        <v>7</v>
      </c>
      <c r="I221" s="32">
        <f t="shared" si="29"/>
        <v>2</v>
      </c>
      <c r="J221">
        <v>9</v>
      </c>
      <c r="K221">
        <v>8</v>
      </c>
      <c r="L221" s="32">
        <f t="shared" si="30"/>
        <v>1</v>
      </c>
      <c r="M221">
        <v>8</v>
      </c>
      <c r="N221">
        <v>7</v>
      </c>
      <c r="O221" s="32">
        <f t="shared" si="31"/>
        <v>1</v>
      </c>
      <c r="P221">
        <v>9</v>
      </c>
      <c r="Q221">
        <v>7</v>
      </c>
      <c r="R221" s="32">
        <f t="shared" si="32"/>
        <v>2</v>
      </c>
      <c r="S221">
        <v>8</v>
      </c>
      <c r="T221">
        <v>6</v>
      </c>
      <c r="U221" s="32">
        <f t="shared" si="33"/>
        <v>2</v>
      </c>
      <c r="V221">
        <v>8</v>
      </c>
      <c r="W221">
        <v>7</v>
      </c>
      <c r="X221" s="32">
        <f t="shared" si="34"/>
        <v>1</v>
      </c>
      <c r="Y221">
        <v>9</v>
      </c>
      <c r="Z221">
        <v>7</v>
      </c>
      <c r="AA221" s="32">
        <f t="shared" si="35"/>
        <v>2</v>
      </c>
    </row>
    <row r="222" spans="1:27" x14ac:dyDescent="0.45">
      <c r="A222">
        <v>7</v>
      </c>
      <c r="B222">
        <v>7</v>
      </c>
      <c r="C222" s="32">
        <f t="shared" si="27"/>
        <v>0</v>
      </c>
      <c r="D222">
        <v>8</v>
      </c>
      <c r="E222">
        <v>8</v>
      </c>
      <c r="F222" s="32">
        <f t="shared" si="28"/>
        <v>0</v>
      </c>
      <c r="G222">
        <v>9</v>
      </c>
      <c r="H222">
        <v>7</v>
      </c>
      <c r="I222" s="32">
        <f t="shared" si="29"/>
        <v>2</v>
      </c>
      <c r="J222">
        <v>9</v>
      </c>
      <c r="K222">
        <v>8</v>
      </c>
      <c r="L222" s="32">
        <f t="shared" si="30"/>
        <v>1</v>
      </c>
      <c r="M222">
        <v>8</v>
      </c>
      <c r="N222">
        <v>7</v>
      </c>
      <c r="O222" s="32">
        <f t="shared" si="31"/>
        <v>1</v>
      </c>
      <c r="P222">
        <v>9</v>
      </c>
      <c r="Q222">
        <v>7</v>
      </c>
      <c r="R222" s="32">
        <f t="shared" si="32"/>
        <v>2</v>
      </c>
      <c r="S222">
        <v>8</v>
      </c>
      <c r="T222">
        <v>6</v>
      </c>
      <c r="U222" s="32">
        <f t="shared" si="33"/>
        <v>2</v>
      </c>
      <c r="V222">
        <v>8</v>
      </c>
      <c r="W222">
        <v>7</v>
      </c>
      <c r="X222" s="32">
        <f t="shared" si="34"/>
        <v>1</v>
      </c>
      <c r="Y222">
        <v>9</v>
      </c>
      <c r="Z222">
        <v>7</v>
      </c>
      <c r="AA222" s="32">
        <f t="shared" si="35"/>
        <v>2</v>
      </c>
    </row>
    <row r="223" spans="1:27" x14ac:dyDescent="0.45">
      <c r="A223">
        <v>7</v>
      </c>
      <c r="B223">
        <v>7</v>
      </c>
      <c r="C223" s="32">
        <f t="shared" si="27"/>
        <v>0</v>
      </c>
      <c r="D223">
        <v>8</v>
      </c>
      <c r="E223">
        <v>8</v>
      </c>
      <c r="F223" s="32">
        <f t="shared" si="28"/>
        <v>0</v>
      </c>
      <c r="G223">
        <v>9</v>
      </c>
      <c r="H223">
        <v>7</v>
      </c>
      <c r="I223" s="32">
        <f t="shared" si="29"/>
        <v>2</v>
      </c>
      <c r="J223">
        <v>9</v>
      </c>
      <c r="K223">
        <v>8</v>
      </c>
      <c r="L223" s="32">
        <f t="shared" si="30"/>
        <v>1</v>
      </c>
      <c r="M223">
        <v>8</v>
      </c>
      <c r="N223">
        <v>7</v>
      </c>
      <c r="O223" s="32">
        <f t="shared" si="31"/>
        <v>1</v>
      </c>
      <c r="P223">
        <v>9</v>
      </c>
      <c r="Q223">
        <v>7</v>
      </c>
      <c r="R223" s="32">
        <f t="shared" si="32"/>
        <v>2</v>
      </c>
      <c r="S223">
        <v>8</v>
      </c>
      <c r="T223">
        <v>6</v>
      </c>
      <c r="U223" s="32">
        <f t="shared" si="33"/>
        <v>2</v>
      </c>
      <c r="V223">
        <v>8</v>
      </c>
      <c r="W223">
        <v>7</v>
      </c>
      <c r="X223" s="32">
        <f t="shared" si="34"/>
        <v>1</v>
      </c>
      <c r="Y223">
        <v>9</v>
      </c>
      <c r="Z223">
        <v>7</v>
      </c>
      <c r="AA223" s="32">
        <f t="shared" si="35"/>
        <v>2</v>
      </c>
    </row>
    <row r="224" spans="1:27" x14ac:dyDescent="0.45">
      <c r="A224">
        <v>7</v>
      </c>
      <c r="B224">
        <v>7</v>
      </c>
      <c r="C224" s="32">
        <f t="shared" si="27"/>
        <v>0</v>
      </c>
      <c r="D224">
        <v>8</v>
      </c>
      <c r="E224">
        <v>8</v>
      </c>
      <c r="F224" s="32">
        <f t="shared" si="28"/>
        <v>0</v>
      </c>
      <c r="G224">
        <v>9</v>
      </c>
      <c r="H224">
        <v>7</v>
      </c>
      <c r="I224" s="32">
        <f t="shared" si="29"/>
        <v>2</v>
      </c>
      <c r="J224">
        <v>9</v>
      </c>
      <c r="K224">
        <v>8</v>
      </c>
      <c r="L224" s="32">
        <f t="shared" si="30"/>
        <v>1</v>
      </c>
      <c r="M224">
        <v>8</v>
      </c>
      <c r="N224">
        <v>7</v>
      </c>
      <c r="O224" s="32">
        <f t="shared" si="31"/>
        <v>1</v>
      </c>
      <c r="P224">
        <v>9</v>
      </c>
      <c r="Q224">
        <v>7</v>
      </c>
      <c r="R224" s="32">
        <f t="shared" si="32"/>
        <v>2</v>
      </c>
      <c r="S224">
        <v>8</v>
      </c>
      <c r="T224">
        <v>6</v>
      </c>
      <c r="U224" s="32">
        <f t="shared" si="33"/>
        <v>2</v>
      </c>
      <c r="V224">
        <v>8</v>
      </c>
      <c r="W224">
        <v>7</v>
      </c>
      <c r="X224" s="32">
        <f t="shared" si="34"/>
        <v>1</v>
      </c>
      <c r="Y224">
        <v>9</v>
      </c>
      <c r="Z224">
        <v>7</v>
      </c>
      <c r="AA224" s="32">
        <f t="shared" si="35"/>
        <v>2</v>
      </c>
    </row>
    <row r="225" spans="1:27" x14ac:dyDescent="0.45">
      <c r="A225">
        <v>7</v>
      </c>
      <c r="B225">
        <v>7</v>
      </c>
      <c r="C225" s="32">
        <f t="shared" si="27"/>
        <v>0</v>
      </c>
      <c r="D225">
        <v>8</v>
      </c>
      <c r="E225">
        <v>8</v>
      </c>
      <c r="F225" s="32">
        <f t="shared" si="28"/>
        <v>0</v>
      </c>
      <c r="G225">
        <v>9</v>
      </c>
      <c r="H225">
        <v>7</v>
      </c>
      <c r="I225" s="32">
        <f t="shared" si="29"/>
        <v>2</v>
      </c>
      <c r="J225">
        <v>9</v>
      </c>
      <c r="K225">
        <v>8</v>
      </c>
      <c r="L225" s="32">
        <f t="shared" si="30"/>
        <v>1</v>
      </c>
      <c r="M225">
        <v>8</v>
      </c>
      <c r="N225">
        <v>7</v>
      </c>
      <c r="O225" s="32">
        <f t="shared" si="31"/>
        <v>1</v>
      </c>
      <c r="P225">
        <v>9</v>
      </c>
      <c r="Q225">
        <v>7</v>
      </c>
      <c r="R225" s="32">
        <f t="shared" si="32"/>
        <v>2</v>
      </c>
      <c r="S225">
        <v>8</v>
      </c>
      <c r="T225">
        <v>6</v>
      </c>
      <c r="U225" s="32">
        <f t="shared" si="33"/>
        <v>2</v>
      </c>
      <c r="V225">
        <v>8</v>
      </c>
      <c r="W225">
        <v>7</v>
      </c>
      <c r="X225" s="32">
        <f t="shared" si="34"/>
        <v>1</v>
      </c>
      <c r="Y225">
        <v>9</v>
      </c>
      <c r="Z225">
        <v>7</v>
      </c>
      <c r="AA225" s="32">
        <f t="shared" si="35"/>
        <v>2</v>
      </c>
    </row>
    <row r="226" spans="1:27" x14ac:dyDescent="0.45">
      <c r="A226">
        <v>7</v>
      </c>
      <c r="B226">
        <v>7</v>
      </c>
      <c r="C226" s="32">
        <f t="shared" si="27"/>
        <v>0</v>
      </c>
      <c r="D226">
        <v>8</v>
      </c>
      <c r="E226">
        <v>8</v>
      </c>
      <c r="F226" s="32">
        <f t="shared" si="28"/>
        <v>0</v>
      </c>
      <c r="G226">
        <v>9</v>
      </c>
      <c r="H226">
        <v>7</v>
      </c>
      <c r="I226" s="32">
        <f t="shared" si="29"/>
        <v>2</v>
      </c>
      <c r="J226">
        <v>9</v>
      </c>
      <c r="K226">
        <v>8</v>
      </c>
      <c r="L226" s="32">
        <f t="shared" si="30"/>
        <v>1</v>
      </c>
      <c r="M226">
        <v>8</v>
      </c>
      <c r="N226">
        <v>7</v>
      </c>
      <c r="O226" s="32">
        <f t="shared" si="31"/>
        <v>1</v>
      </c>
      <c r="P226">
        <v>9</v>
      </c>
      <c r="Q226">
        <v>7</v>
      </c>
      <c r="R226" s="32">
        <f t="shared" si="32"/>
        <v>2</v>
      </c>
      <c r="S226">
        <v>8</v>
      </c>
      <c r="T226">
        <v>6</v>
      </c>
      <c r="U226" s="32">
        <f t="shared" si="33"/>
        <v>2</v>
      </c>
      <c r="V226">
        <v>8</v>
      </c>
      <c r="W226">
        <v>7</v>
      </c>
      <c r="X226" s="32">
        <f t="shared" si="34"/>
        <v>1</v>
      </c>
      <c r="Y226">
        <v>9</v>
      </c>
      <c r="Z226">
        <v>7</v>
      </c>
      <c r="AA226" s="32">
        <f t="shared" si="35"/>
        <v>2</v>
      </c>
    </row>
    <row r="227" spans="1:27" x14ac:dyDescent="0.45">
      <c r="A227">
        <v>7</v>
      </c>
      <c r="B227">
        <v>7</v>
      </c>
      <c r="C227" s="32">
        <f t="shared" si="27"/>
        <v>0</v>
      </c>
      <c r="D227">
        <v>8</v>
      </c>
      <c r="E227">
        <v>8</v>
      </c>
      <c r="F227" s="32">
        <f t="shared" si="28"/>
        <v>0</v>
      </c>
      <c r="G227">
        <v>9</v>
      </c>
      <c r="H227">
        <v>7</v>
      </c>
      <c r="I227" s="32">
        <f t="shared" si="29"/>
        <v>2</v>
      </c>
      <c r="J227">
        <v>9</v>
      </c>
      <c r="K227">
        <v>8</v>
      </c>
      <c r="L227" s="32">
        <f t="shared" si="30"/>
        <v>1</v>
      </c>
      <c r="M227">
        <v>8</v>
      </c>
      <c r="N227">
        <v>7</v>
      </c>
      <c r="O227" s="32">
        <f t="shared" si="31"/>
        <v>1</v>
      </c>
      <c r="P227">
        <v>9</v>
      </c>
      <c r="Q227">
        <v>7</v>
      </c>
      <c r="R227" s="32">
        <f t="shared" si="32"/>
        <v>2</v>
      </c>
      <c r="S227">
        <v>8</v>
      </c>
      <c r="T227">
        <v>6</v>
      </c>
      <c r="U227" s="32">
        <f t="shared" si="33"/>
        <v>2</v>
      </c>
      <c r="V227">
        <v>8</v>
      </c>
      <c r="W227">
        <v>7</v>
      </c>
      <c r="X227" s="32">
        <f t="shared" si="34"/>
        <v>1</v>
      </c>
      <c r="Y227">
        <v>9</v>
      </c>
      <c r="Z227">
        <v>7</v>
      </c>
      <c r="AA227" s="32">
        <f t="shared" si="35"/>
        <v>2</v>
      </c>
    </row>
    <row r="228" spans="1:27" x14ac:dyDescent="0.45">
      <c r="A228">
        <v>7</v>
      </c>
      <c r="B228">
        <v>7</v>
      </c>
      <c r="C228" s="32">
        <f t="shared" si="27"/>
        <v>0</v>
      </c>
      <c r="D228">
        <v>8</v>
      </c>
      <c r="E228">
        <v>8</v>
      </c>
      <c r="F228" s="32">
        <f t="shared" si="28"/>
        <v>0</v>
      </c>
      <c r="G228">
        <v>9</v>
      </c>
      <c r="H228">
        <v>7</v>
      </c>
      <c r="I228" s="32">
        <f t="shared" si="29"/>
        <v>2</v>
      </c>
      <c r="J228">
        <v>9</v>
      </c>
      <c r="K228">
        <v>8</v>
      </c>
      <c r="L228" s="32">
        <f t="shared" si="30"/>
        <v>1</v>
      </c>
      <c r="M228">
        <v>8</v>
      </c>
      <c r="N228">
        <v>7</v>
      </c>
      <c r="O228" s="32">
        <f t="shared" si="31"/>
        <v>1</v>
      </c>
      <c r="P228">
        <v>9</v>
      </c>
      <c r="Q228">
        <v>7</v>
      </c>
      <c r="R228" s="32">
        <f t="shared" si="32"/>
        <v>2</v>
      </c>
      <c r="S228">
        <v>8</v>
      </c>
      <c r="T228">
        <v>6</v>
      </c>
      <c r="U228" s="32">
        <f t="shared" si="33"/>
        <v>2</v>
      </c>
      <c r="V228">
        <v>8</v>
      </c>
      <c r="W228">
        <v>7</v>
      </c>
      <c r="X228" s="32">
        <f t="shared" si="34"/>
        <v>1</v>
      </c>
      <c r="Y228">
        <v>9</v>
      </c>
      <c r="Z228">
        <v>7</v>
      </c>
      <c r="AA228" s="32">
        <f t="shared" si="35"/>
        <v>2</v>
      </c>
    </row>
    <row r="229" spans="1:27" x14ac:dyDescent="0.45">
      <c r="A229">
        <v>7</v>
      </c>
      <c r="B229">
        <v>7</v>
      </c>
      <c r="C229" s="32">
        <f t="shared" si="27"/>
        <v>0</v>
      </c>
      <c r="D229">
        <v>8</v>
      </c>
      <c r="E229">
        <v>8</v>
      </c>
      <c r="F229" s="32">
        <f t="shared" si="28"/>
        <v>0</v>
      </c>
      <c r="G229">
        <v>9</v>
      </c>
      <c r="H229">
        <v>7</v>
      </c>
      <c r="I229" s="32">
        <f t="shared" si="29"/>
        <v>2</v>
      </c>
      <c r="J229">
        <v>9</v>
      </c>
      <c r="K229">
        <v>8</v>
      </c>
      <c r="L229" s="32">
        <f t="shared" si="30"/>
        <v>1</v>
      </c>
      <c r="M229">
        <v>8</v>
      </c>
      <c r="N229">
        <v>7</v>
      </c>
      <c r="O229" s="32">
        <f t="shared" si="31"/>
        <v>1</v>
      </c>
      <c r="P229">
        <v>9</v>
      </c>
      <c r="Q229">
        <v>7</v>
      </c>
      <c r="R229" s="32">
        <f t="shared" si="32"/>
        <v>2</v>
      </c>
      <c r="S229">
        <v>8</v>
      </c>
      <c r="T229">
        <v>6</v>
      </c>
      <c r="U229" s="32">
        <f t="shared" si="33"/>
        <v>2</v>
      </c>
      <c r="V229">
        <v>8</v>
      </c>
      <c r="W229">
        <v>7</v>
      </c>
      <c r="X229" s="32">
        <f t="shared" si="34"/>
        <v>1</v>
      </c>
      <c r="Y229">
        <v>9</v>
      </c>
      <c r="Z229">
        <v>7</v>
      </c>
      <c r="AA229" s="32">
        <f t="shared" si="35"/>
        <v>2</v>
      </c>
    </row>
    <row r="230" spans="1:27" x14ac:dyDescent="0.45">
      <c r="A230">
        <v>7</v>
      </c>
      <c r="B230">
        <v>7</v>
      </c>
      <c r="C230" s="32">
        <f t="shared" si="27"/>
        <v>0</v>
      </c>
      <c r="D230">
        <v>8</v>
      </c>
      <c r="E230">
        <v>8</v>
      </c>
      <c r="F230" s="32">
        <f t="shared" si="28"/>
        <v>0</v>
      </c>
      <c r="G230">
        <v>9</v>
      </c>
      <c r="H230">
        <v>7</v>
      </c>
      <c r="I230" s="32">
        <f t="shared" si="29"/>
        <v>2</v>
      </c>
      <c r="J230">
        <v>9</v>
      </c>
      <c r="K230">
        <v>8</v>
      </c>
      <c r="L230" s="32">
        <f t="shared" si="30"/>
        <v>1</v>
      </c>
      <c r="M230">
        <v>8</v>
      </c>
      <c r="N230">
        <v>7</v>
      </c>
      <c r="O230" s="32">
        <f t="shared" si="31"/>
        <v>1</v>
      </c>
      <c r="P230">
        <v>9</v>
      </c>
      <c r="Q230">
        <v>7</v>
      </c>
      <c r="R230" s="32">
        <f t="shared" si="32"/>
        <v>2</v>
      </c>
      <c r="S230">
        <v>8</v>
      </c>
      <c r="T230">
        <v>6</v>
      </c>
      <c r="U230" s="32">
        <f t="shared" si="33"/>
        <v>2</v>
      </c>
      <c r="V230">
        <v>8</v>
      </c>
      <c r="W230">
        <v>7</v>
      </c>
      <c r="X230" s="32">
        <f t="shared" si="34"/>
        <v>1</v>
      </c>
      <c r="Y230">
        <v>9</v>
      </c>
      <c r="Z230">
        <v>7</v>
      </c>
      <c r="AA230" s="32">
        <f t="shared" si="35"/>
        <v>2</v>
      </c>
    </row>
    <row r="231" spans="1:27" x14ac:dyDescent="0.45">
      <c r="A231">
        <v>7</v>
      </c>
      <c r="B231">
        <v>7</v>
      </c>
      <c r="C231" s="32">
        <f t="shared" si="27"/>
        <v>0</v>
      </c>
      <c r="D231">
        <v>8</v>
      </c>
      <c r="E231">
        <v>8</v>
      </c>
      <c r="F231" s="32">
        <f t="shared" si="28"/>
        <v>0</v>
      </c>
      <c r="G231">
        <v>9</v>
      </c>
      <c r="H231">
        <v>7</v>
      </c>
      <c r="I231" s="32">
        <f t="shared" si="29"/>
        <v>2</v>
      </c>
      <c r="J231">
        <v>9</v>
      </c>
      <c r="K231">
        <v>8</v>
      </c>
      <c r="L231" s="32">
        <f t="shared" si="30"/>
        <v>1</v>
      </c>
      <c r="M231">
        <v>8</v>
      </c>
      <c r="N231">
        <v>7</v>
      </c>
      <c r="O231" s="32">
        <f t="shared" si="31"/>
        <v>1</v>
      </c>
      <c r="P231">
        <v>9</v>
      </c>
      <c r="Q231">
        <v>7</v>
      </c>
      <c r="R231" s="32">
        <f t="shared" si="32"/>
        <v>2</v>
      </c>
      <c r="S231">
        <v>8</v>
      </c>
      <c r="T231">
        <v>6</v>
      </c>
      <c r="U231" s="32">
        <f t="shared" si="33"/>
        <v>2</v>
      </c>
      <c r="V231">
        <v>8</v>
      </c>
      <c r="W231">
        <v>7</v>
      </c>
      <c r="X231" s="32">
        <f t="shared" si="34"/>
        <v>1</v>
      </c>
      <c r="Y231">
        <v>9</v>
      </c>
      <c r="Z231">
        <v>8</v>
      </c>
      <c r="AA231" s="32">
        <f t="shared" si="35"/>
        <v>1</v>
      </c>
    </row>
    <row r="232" spans="1:27" x14ac:dyDescent="0.45">
      <c r="A232">
        <v>7</v>
      </c>
      <c r="B232">
        <v>7</v>
      </c>
      <c r="C232" s="32">
        <f t="shared" si="27"/>
        <v>0</v>
      </c>
      <c r="D232">
        <v>8</v>
      </c>
      <c r="E232">
        <v>8</v>
      </c>
      <c r="F232" s="32">
        <f t="shared" si="28"/>
        <v>0</v>
      </c>
      <c r="G232">
        <v>9</v>
      </c>
      <c r="H232">
        <v>7</v>
      </c>
      <c r="I232" s="32">
        <f t="shared" si="29"/>
        <v>2</v>
      </c>
      <c r="J232">
        <v>9</v>
      </c>
      <c r="K232">
        <v>8</v>
      </c>
      <c r="L232" s="32">
        <f t="shared" si="30"/>
        <v>1</v>
      </c>
      <c r="M232">
        <v>8</v>
      </c>
      <c r="N232">
        <v>7</v>
      </c>
      <c r="O232" s="32">
        <f t="shared" si="31"/>
        <v>1</v>
      </c>
      <c r="P232">
        <v>9</v>
      </c>
      <c r="Q232">
        <v>7</v>
      </c>
      <c r="R232" s="32">
        <f t="shared" si="32"/>
        <v>2</v>
      </c>
      <c r="S232">
        <v>8</v>
      </c>
      <c r="T232">
        <v>6</v>
      </c>
      <c r="U232" s="32">
        <f t="shared" si="33"/>
        <v>2</v>
      </c>
      <c r="V232">
        <v>8</v>
      </c>
      <c r="W232">
        <v>7</v>
      </c>
      <c r="X232" s="32">
        <f t="shared" si="34"/>
        <v>1</v>
      </c>
      <c r="Y232">
        <v>9</v>
      </c>
      <c r="Z232">
        <v>8</v>
      </c>
      <c r="AA232" s="32">
        <f t="shared" si="35"/>
        <v>1</v>
      </c>
    </row>
    <row r="233" spans="1:27" x14ac:dyDescent="0.45">
      <c r="A233">
        <v>7</v>
      </c>
      <c r="B233">
        <v>7</v>
      </c>
      <c r="C233" s="32">
        <f t="shared" si="27"/>
        <v>0</v>
      </c>
      <c r="D233">
        <v>8</v>
      </c>
      <c r="E233">
        <v>8</v>
      </c>
      <c r="F233" s="32">
        <f t="shared" si="28"/>
        <v>0</v>
      </c>
      <c r="G233">
        <v>9</v>
      </c>
      <c r="H233">
        <v>7</v>
      </c>
      <c r="I233" s="32">
        <f t="shared" si="29"/>
        <v>2</v>
      </c>
      <c r="J233">
        <v>9</v>
      </c>
      <c r="K233">
        <v>8</v>
      </c>
      <c r="L233" s="32">
        <f t="shared" si="30"/>
        <v>1</v>
      </c>
      <c r="M233">
        <v>8</v>
      </c>
      <c r="N233">
        <v>7</v>
      </c>
      <c r="O233" s="32">
        <f t="shared" si="31"/>
        <v>1</v>
      </c>
      <c r="P233">
        <v>9</v>
      </c>
      <c r="Q233">
        <v>7</v>
      </c>
      <c r="R233" s="32">
        <f t="shared" si="32"/>
        <v>2</v>
      </c>
      <c r="S233">
        <v>8</v>
      </c>
      <c r="T233">
        <v>6</v>
      </c>
      <c r="U233" s="32">
        <f t="shared" si="33"/>
        <v>2</v>
      </c>
      <c r="V233">
        <v>8</v>
      </c>
      <c r="W233">
        <v>7</v>
      </c>
      <c r="X233" s="32">
        <f t="shared" si="34"/>
        <v>1</v>
      </c>
      <c r="Y233">
        <v>9</v>
      </c>
      <c r="Z233">
        <v>8</v>
      </c>
      <c r="AA233" s="32">
        <f t="shared" si="35"/>
        <v>1</v>
      </c>
    </row>
    <row r="234" spans="1:27" x14ac:dyDescent="0.45">
      <c r="A234">
        <v>7</v>
      </c>
      <c r="B234">
        <v>7</v>
      </c>
      <c r="C234" s="32">
        <f t="shared" si="27"/>
        <v>0</v>
      </c>
      <c r="D234">
        <v>8</v>
      </c>
      <c r="E234">
        <v>8</v>
      </c>
      <c r="F234" s="32">
        <f t="shared" si="28"/>
        <v>0</v>
      </c>
      <c r="G234">
        <v>9</v>
      </c>
      <c r="H234">
        <v>7</v>
      </c>
      <c r="I234" s="32">
        <f t="shared" si="29"/>
        <v>2</v>
      </c>
      <c r="J234">
        <v>9</v>
      </c>
      <c r="K234">
        <v>8</v>
      </c>
      <c r="L234" s="32">
        <f t="shared" si="30"/>
        <v>1</v>
      </c>
      <c r="M234">
        <v>8</v>
      </c>
      <c r="N234">
        <v>7</v>
      </c>
      <c r="O234" s="32">
        <f t="shared" si="31"/>
        <v>1</v>
      </c>
      <c r="P234">
        <v>9</v>
      </c>
      <c r="Q234">
        <v>7</v>
      </c>
      <c r="R234" s="32">
        <f t="shared" si="32"/>
        <v>2</v>
      </c>
      <c r="S234">
        <v>8</v>
      </c>
      <c r="T234">
        <v>6</v>
      </c>
      <c r="U234" s="32">
        <f t="shared" si="33"/>
        <v>2</v>
      </c>
      <c r="V234">
        <v>8</v>
      </c>
      <c r="W234">
        <v>7</v>
      </c>
      <c r="X234" s="32">
        <f t="shared" si="34"/>
        <v>1</v>
      </c>
      <c r="Y234">
        <v>9</v>
      </c>
      <c r="Z234">
        <v>8</v>
      </c>
      <c r="AA234" s="32">
        <f t="shared" si="35"/>
        <v>1</v>
      </c>
    </row>
    <row r="235" spans="1:27" x14ac:dyDescent="0.45">
      <c r="A235">
        <v>7</v>
      </c>
      <c r="B235">
        <v>7</v>
      </c>
      <c r="C235" s="32">
        <f t="shared" si="27"/>
        <v>0</v>
      </c>
      <c r="D235">
        <v>8</v>
      </c>
      <c r="E235">
        <v>8</v>
      </c>
      <c r="F235" s="32">
        <f t="shared" si="28"/>
        <v>0</v>
      </c>
      <c r="G235">
        <v>9</v>
      </c>
      <c r="H235">
        <v>7</v>
      </c>
      <c r="I235" s="32">
        <f t="shared" si="29"/>
        <v>2</v>
      </c>
      <c r="J235">
        <v>9</v>
      </c>
      <c r="K235">
        <v>8</v>
      </c>
      <c r="L235" s="32">
        <f t="shared" si="30"/>
        <v>1</v>
      </c>
      <c r="M235">
        <v>8</v>
      </c>
      <c r="N235">
        <v>7</v>
      </c>
      <c r="O235" s="32">
        <f t="shared" si="31"/>
        <v>1</v>
      </c>
      <c r="P235">
        <v>9</v>
      </c>
      <c r="Q235">
        <v>7</v>
      </c>
      <c r="R235" s="32">
        <f t="shared" si="32"/>
        <v>2</v>
      </c>
      <c r="S235">
        <v>8</v>
      </c>
      <c r="T235">
        <v>6</v>
      </c>
      <c r="U235" s="32">
        <f t="shared" si="33"/>
        <v>2</v>
      </c>
      <c r="V235">
        <v>8</v>
      </c>
      <c r="W235">
        <v>7</v>
      </c>
      <c r="X235" s="32">
        <f t="shared" si="34"/>
        <v>1</v>
      </c>
      <c r="Y235">
        <v>9</v>
      </c>
      <c r="Z235">
        <v>8</v>
      </c>
      <c r="AA235" s="32">
        <f t="shared" si="35"/>
        <v>1</v>
      </c>
    </row>
    <row r="236" spans="1:27" x14ac:dyDescent="0.45">
      <c r="A236">
        <v>7</v>
      </c>
      <c r="B236">
        <v>7</v>
      </c>
      <c r="C236" s="32">
        <f t="shared" si="27"/>
        <v>0</v>
      </c>
      <c r="D236">
        <v>8</v>
      </c>
      <c r="E236">
        <v>8</v>
      </c>
      <c r="F236" s="32">
        <f t="shared" si="28"/>
        <v>0</v>
      </c>
      <c r="G236">
        <v>9</v>
      </c>
      <c r="H236">
        <v>7</v>
      </c>
      <c r="I236" s="32">
        <f t="shared" si="29"/>
        <v>2</v>
      </c>
      <c r="J236">
        <v>9</v>
      </c>
      <c r="K236">
        <v>8</v>
      </c>
      <c r="L236" s="32">
        <f t="shared" si="30"/>
        <v>1</v>
      </c>
      <c r="M236">
        <v>8</v>
      </c>
      <c r="N236">
        <v>7</v>
      </c>
      <c r="O236" s="32">
        <f t="shared" si="31"/>
        <v>1</v>
      </c>
      <c r="P236">
        <v>9</v>
      </c>
      <c r="Q236">
        <v>7</v>
      </c>
      <c r="R236" s="32">
        <f t="shared" si="32"/>
        <v>2</v>
      </c>
      <c r="S236">
        <v>8</v>
      </c>
      <c r="T236">
        <v>6</v>
      </c>
      <c r="U236" s="32">
        <f t="shared" si="33"/>
        <v>2</v>
      </c>
      <c r="V236">
        <v>8</v>
      </c>
      <c r="W236">
        <v>7</v>
      </c>
      <c r="X236" s="32">
        <f t="shared" si="34"/>
        <v>1</v>
      </c>
      <c r="Y236">
        <v>9</v>
      </c>
      <c r="Z236">
        <v>8</v>
      </c>
      <c r="AA236" s="32">
        <f t="shared" si="35"/>
        <v>1</v>
      </c>
    </row>
    <row r="237" spans="1:27" x14ac:dyDescent="0.45">
      <c r="A237">
        <v>7</v>
      </c>
      <c r="B237">
        <v>8</v>
      </c>
      <c r="C237" s="32">
        <f t="shared" si="27"/>
        <v>1</v>
      </c>
      <c r="D237">
        <v>8</v>
      </c>
      <c r="E237">
        <v>8</v>
      </c>
      <c r="F237" s="32">
        <f t="shared" si="28"/>
        <v>0</v>
      </c>
      <c r="G237">
        <v>9</v>
      </c>
      <c r="H237">
        <v>7</v>
      </c>
      <c r="I237" s="32">
        <f t="shared" si="29"/>
        <v>2</v>
      </c>
      <c r="J237">
        <v>9</v>
      </c>
      <c r="K237">
        <v>8</v>
      </c>
      <c r="L237" s="32">
        <f t="shared" si="30"/>
        <v>1</v>
      </c>
      <c r="M237">
        <v>8</v>
      </c>
      <c r="N237">
        <v>7</v>
      </c>
      <c r="O237" s="32">
        <f t="shared" si="31"/>
        <v>1</v>
      </c>
      <c r="P237">
        <v>9</v>
      </c>
      <c r="Q237">
        <v>7</v>
      </c>
      <c r="R237" s="32">
        <f t="shared" si="32"/>
        <v>2</v>
      </c>
      <c r="S237">
        <v>8</v>
      </c>
      <c r="T237">
        <v>6</v>
      </c>
      <c r="U237" s="32">
        <f t="shared" si="33"/>
        <v>2</v>
      </c>
      <c r="V237">
        <v>8</v>
      </c>
      <c r="W237">
        <v>7</v>
      </c>
      <c r="X237" s="32">
        <f t="shared" si="34"/>
        <v>1</v>
      </c>
      <c r="Y237">
        <v>9</v>
      </c>
      <c r="Z237">
        <v>8</v>
      </c>
      <c r="AA237" s="32">
        <f t="shared" si="35"/>
        <v>1</v>
      </c>
    </row>
    <row r="238" spans="1:27" x14ac:dyDescent="0.45">
      <c r="A238">
        <v>7</v>
      </c>
      <c r="B238">
        <v>8</v>
      </c>
      <c r="C238" s="32">
        <f t="shared" si="27"/>
        <v>1</v>
      </c>
      <c r="D238">
        <v>8</v>
      </c>
      <c r="E238">
        <v>8</v>
      </c>
      <c r="F238" s="32">
        <f t="shared" si="28"/>
        <v>0</v>
      </c>
      <c r="G238">
        <v>9</v>
      </c>
      <c r="H238">
        <v>7</v>
      </c>
      <c r="I238" s="32">
        <f t="shared" si="29"/>
        <v>2</v>
      </c>
      <c r="J238">
        <v>9</v>
      </c>
      <c r="K238">
        <v>8</v>
      </c>
      <c r="L238" s="32">
        <f t="shared" si="30"/>
        <v>1</v>
      </c>
      <c r="M238">
        <v>8</v>
      </c>
      <c r="N238">
        <v>7</v>
      </c>
      <c r="O238" s="32">
        <f t="shared" si="31"/>
        <v>1</v>
      </c>
      <c r="P238">
        <v>9</v>
      </c>
      <c r="Q238">
        <v>7</v>
      </c>
      <c r="R238" s="32">
        <f t="shared" si="32"/>
        <v>2</v>
      </c>
      <c r="S238">
        <v>8</v>
      </c>
      <c r="T238">
        <v>7</v>
      </c>
      <c r="U238" s="32">
        <f t="shared" si="33"/>
        <v>1</v>
      </c>
      <c r="V238">
        <v>8</v>
      </c>
      <c r="W238">
        <v>7</v>
      </c>
      <c r="X238" s="32">
        <f t="shared" si="34"/>
        <v>1</v>
      </c>
      <c r="Y238">
        <v>9</v>
      </c>
      <c r="Z238">
        <v>8</v>
      </c>
      <c r="AA238" s="32">
        <f t="shared" si="35"/>
        <v>1</v>
      </c>
    </row>
    <row r="239" spans="1:27" x14ac:dyDescent="0.45">
      <c r="A239">
        <v>7</v>
      </c>
      <c r="B239">
        <v>8</v>
      </c>
      <c r="C239" s="32">
        <f t="shared" si="27"/>
        <v>1</v>
      </c>
      <c r="D239">
        <v>8</v>
      </c>
      <c r="E239">
        <v>8</v>
      </c>
      <c r="F239" s="32">
        <f t="shared" si="28"/>
        <v>0</v>
      </c>
      <c r="G239">
        <v>9</v>
      </c>
      <c r="H239">
        <v>7</v>
      </c>
      <c r="I239" s="32">
        <f t="shared" si="29"/>
        <v>2</v>
      </c>
      <c r="J239">
        <v>9</v>
      </c>
      <c r="K239">
        <v>8</v>
      </c>
      <c r="L239" s="32">
        <f t="shared" si="30"/>
        <v>1</v>
      </c>
      <c r="M239">
        <v>8</v>
      </c>
      <c r="N239">
        <v>7</v>
      </c>
      <c r="O239" s="32">
        <f t="shared" si="31"/>
        <v>1</v>
      </c>
      <c r="P239">
        <v>9</v>
      </c>
      <c r="Q239">
        <v>7</v>
      </c>
      <c r="R239" s="32">
        <f t="shared" si="32"/>
        <v>2</v>
      </c>
      <c r="S239">
        <v>8</v>
      </c>
      <c r="T239">
        <v>7</v>
      </c>
      <c r="U239" s="32">
        <f t="shared" si="33"/>
        <v>1</v>
      </c>
      <c r="V239">
        <v>8</v>
      </c>
      <c r="W239">
        <v>7</v>
      </c>
      <c r="X239" s="32">
        <f t="shared" si="34"/>
        <v>1</v>
      </c>
      <c r="Y239">
        <v>9</v>
      </c>
      <c r="Z239">
        <v>8</v>
      </c>
      <c r="AA239" s="32">
        <f t="shared" si="35"/>
        <v>1</v>
      </c>
    </row>
    <row r="240" spans="1:27" x14ac:dyDescent="0.45">
      <c r="A240">
        <v>7</v>
      </c>
      <c r="B240">
        <v>8</v>
      </c>
      <c r="C240" s="32">
        <f t="shared" si="27"/>
        <v>1</v>
      </c>
      <c r="D240">
        <v>8</v>
      </c>
      <c r="E240">
        <v>8</v>
      </c>
      <c r="F240" s="32">
        <f t="shared" si="28"/>
        <v>0</v>
      </c>
      <c r="G240">
        <v>9</v>
      </c>
      <c r="H240">
        <v>7</v>
      </c>
      <c r="I240" s="32">
        <f t="shared" si="29"/>
        <v>2</v>
      </c>
      <c r="J240">
        <v>9</v>
      </c>
      <c r="K240">
        <v>8</v>
      </c>
      <c r="L240" s="32">
        <f t="shared" si="30"/>
        <v>1</v>
      </c>
      <c r="M240">
        <v>8</v>
      </c>
      <c r="N240">
        <v>7</v>
      </c>
      <c r="O240" s="32">
        <f t="shared" si="31"/>
        <v>1</v>
      </c>
      <c r="P240">
        <v>9</v>
      </c>
      <c r="Q240">
        <v>7</v>
      </c>
      <c r="R240" s="32">
        <f t="shared" si="32"/>
        <v>2</v>
      </c>
      <c r="S240">
        <v>8</v>
      </c>
      <c r="T240">
        <v>7</v>
      </c>
      <c r="U240" s="32">
        <f t="shared" si="33"/>
        <v>1</v>
      </c>
      <c r="V240">
        <v>8</v>
      </c>
      <c r="W240">
        <v>7</v>
      </c>
      <c r="X240" s="32">
        <f t="shared" si="34"/>
        <v>1</v>
      </c>
      <c r="Y240">
        <v>9</v>
      </c>
      <c r="Z240">
        <v>8</v>
      </c>
      <c r="AA240" s="32">
        <f t="shared" si="35"/>
        <v>1</v>
      </c>
    </row>
    <row r="241" spans="1:27" x14ac:dyDescent="0.45">
      <c r="A241">
        <v>7</v>
      </c>
      <c r="B241">
        <v>8</v>
      </c>
      <c r="C241" s="32">
        <f t="shared" si="27"/>
        <v>1</v>
      </c>
      <c r="D241">
        <v>8</v>
      </c>
      <c r="E241">
        <v>8</v>
      </c>
      <c r="F241" s="32">
        <f t="shared" si="28"/>
        <v>0</v>
      </c>
      <c r="G241">
        <v>9</v>
      </c>
      <c r="H241">
        <v>7</v>
      </c>
      <c r="I241" s="32">
        <f t="shared" si="29"/>
        <v>2</v>
      </c>
      <c r="J241">
        <v>9</v>
      </c>
      <c r="K241">
        <v>8</v>
      </c>
      <c r="L241" s="32">
        <f t="shared" si="30"/>
        <v>1</v>
      </c>
      <c r="M241">
        <v>8</v>
      </c>
      <c r="N241">
        <v>7</v>
      </c>
      <c r="O241" s="32">
        <f t="shared" si="31"/>
        <v>1</v>
      </c>
      <c r="P241">
        <v>9</v>
      </c>
      <c r="Q241">
        <v>7</v>
      </c>
      <c r="R241" s="32">
        <f t="shared" si="32"/>
        <v>2</v>
      </c>
      <c r="S241">
        <v>8</v>
      </c>
      <c r="T241">
        <v>7</v>
      </c>
      <c r="U241" s="32">
        <f t="shared" si="33"/>
        <v>1</v>
      </c>
      <c r="V241">
        <v>8</v>
      </c>
      <c r="W241">
        <v>7</v>
      </c>
      <c r="X241" s="32">
        <f t="shared" si="34"/>
        <v>1</v>
      </c>
      <c r="Y241">
        <v>9</v>
      </c>
      <c r="Z241">
        <v>8</v>
      </c>
      <c r="AA241" s="32">
        <f t="shared" si="35"/>
        <v>1</v>
      </c>
    </row>
    <row r="242" spans="1:27" x14ac:dyDescent="0.45">
      <c r="A242">
        <v>7</v>
      </c>
      <c r="B242">
        <v>8</v>
      </c>
      <c r="C242" s="32">
        <f t="shared" si="27"/>
        <v>1</v>
      </c>
      <c r="D242">
        <v>8</v>
      </c>
      <c r="E242">
        <v>8</v>
      </c>
      <c r="F242" s="32">
        <f t="shared" si="28"/>
        <v>0</v>
      </c>
      <c r="G242">
        <v>9</v>
      </c>
      <c r="H242">
        <v>7</v>
      </c>
      <c r="I242" s="32">
        <f t="shared" si="29"/>
        <v>2</v>
      </c>
      <c r="J242">
        <v>9</v>
      </c>
      <c r="K242">
        <v>8</v>
      </c>
      <c r="L242" s="32">
        <f t="shared" si="30"/>
        <v>1</v>
      </c>
      <c r="M242">
        <v>8</v>
      </c>
      <c r="N242">
        <v>7</v>
      </c>
      <c r="O242" s="32">
        <f t="shared" si="31"/>
        <v>1</v>
      </c>
      <c r="P242">
        <v>9</v>
      </c>
      <c r="Q242">
        <v>7</v>
      </c>
      <c r="R242" s="32">
        <f t="shared" si="32"/>
        <v>2</v>
      </c>
      <c r="S242">
        <v>8</v>
      </c>
      <c r="T242">
        <v>7</v>
      </c>
      <c r="U242" s="32">
        <f t="shared" si="33"/>
        <v>1</v>
      </c>
      <c r="V242">
        <v>8</v>
      </c>
      <c r="W242">
        <v>7</v>
      </c>
      <c r="X242" s="32">
        <f t="shared" si="34"/>
        <v>1</v>
      </c>
      <c r="Y242">
        <v>9</v>
      </c>
      <c r="Z242">
        <v>8</v>
      </c>
      <c r="AA242" s="32">
        <f t="shared" si="35"/>
        <v>1</v>
      </c>
    </row>
    <row r="243" spans="1:27" x14ac:dyDescent="0.45">
      <c r="A243">
        <v>7</v>
      </c>
      <c r="B243">
        <v>8</v>
      </c>
      <c r="C243" s="32">
        <f t="shared" si="27"/>
        <v>1</v>
      </c>
      <c r="D243">
        <v>8</v>
      </c>
      <c r="E243">
        <v>8</v>
      </c>
      <c r="F243" s="32">
        <f t="shared" si="28"/>
        <v>0</v>
      </c>
      <c r="G243">
        <v>9</v>
      </c>
      <c r="H243">
        <v>7</v>
      </c>
      <c r="I243" s="32">
        <f t="shared" si="29"/>
        <v>2</v>
      </c>
      <c r="J243">
        <v>9</v>
      </c>
      <c r="K243">
        <v>8</v>
      </c>
      <c r="L243" s="32">
        <f t="shared" si="30"/>
        <v>1</v>
      </c>
      <c r="M243">
        <v>8</v>
      </c>
      <c r="N243">
        <v>7</v>
      </c>
      <c r="O243" s="32">
        <f t="shared" si="31"/>
        <v>1</v>
      </c>
      <c r="P243">
        <v>9</v>
      </c>
      <c r="Q243">
        <v>7</v>
      </c>
      <c r="R243" s="32">
        <f t="shared" si="32"/>
        <v>2</v>
      </c>
      <c r="S243">
        <v>8</v>
      </c>
      <c r="T243">
        <v>7</v>
      </c>
      <c r="U243" s="32">
        <f t="shared" si="33"/>
        <v>1</v>
      </c>
      <c r="V243">
        <v>8</v>
      </c>
      <c r="W243">
        <v>7</v>
      </c>
      <c r="X243" s="32">
        <f t="shared" si="34"/>
        <v>1</v>
      </c>
      <c r="Y243">
        <v>9</v>
      </c>
      <c r="Z243">
        <v>8</v>
      </c>
      <c r="AA243" s="32">
        <f t="shared" si="35"/>
        <v>1</v>
      </c>
    </row>
    <row r="244" spans="1:27" x14ac:dyDescent="0.45">
      <c r="A244">
        <v>7</v>
      </c>
      <c r="B244">
        <v>8</v>
      </c>
      <c r="C244" s="32">
        <f t="shared" si="27"/>
        <v>1</v>
      </c>
      <c r="D244">
        <v>8</v>
      </c>
      <c r="E244">
        <v>8</v>
      </c>
      <c r="F244" s="32">
        <f t="shared" si="28"/>
        <v>0</v>
      </c>
      <c r="G244">
        <v>9</v>
      </c>
      <c r="H244">
        <v>7</v>
      </c>
      <c r="I244" s="32">
        <f t="shared" si="29"/>
        <v>2</v>
      </c>
      <c r="J244">
        <v>9</v>
      </c>
      <c r="K244">
        <v>8</v>
      </c>
      <c r="L244" s="32">
        <f t="shared" si="30"/>
        <v>1</v>
      </c>
      <c r="M244">
        <v>8</v>
      </c>
      <c r="N244">
        <v>7</v>
      </c>
      <c r="O244" s="32">
        <f t="shared" si="31"/>
        <v>1</v>
      </c>
      <c r="P244">
        <v>9</v>
      </c>
      <c r="Q244">
        <v>7</v>
      </c>
      <c r="R244" s="32">
        <f t="shared" si="32"/>
        <v>2</v>
      </c>
      <c r="S244">
        <v>8</v>
      </c>
      <c r="T244">
        <v>7</v>
      </c>
      <c r="U244" s="32">
        <f t="shared" si="33"/>
        <v>1</v>
      </c>
      <c r="V244">
        <v>8</v>
      </c>
      <c r="W244">
        <v>7</v>
      </c>
      <c r="X244" s="32">
        <f t="shared" si="34"/>
        <v>1</v>
      </c>
      <c r="Y244">
        <v>9</v>
      </c>
      <c r="Z244">
        <v>8</v>
      </c>
      <c r="AA244" s="32">
        <f t="shared" si="35"/>
        <v>1</v>
      </c>
    </row>
    <row r="245" spans="1:27" x14ac:dyDescent="0.45">
      <c r="A245">
        <v>7</v>
      </c>
      <c r="B245">
        <v>8</v>
      </c>
      <c r="C245" s="32">
        <f t="shared" si="27"/>
        <v>1</v>
      </c>
      <c r="D245">
        <v>8</v>
      </c>
      <c r="E245">
        <v>8</v>
      </c>
      <c r="F245" s="32">
        <f t="shared" si="28"/>
        <v>0</v>
      </c>
      <c r="G245">
        <v>9</v>
      </c>
      <c r="H245">
        <v>7</v>
      </c>
      <c r="I245" s="32">
        <f t="shared" si="29"/>
        <v>2</v>
      </c>
      <c r="J245">
        <v>9</v>
      </c>
      <c r="K245">
        <v>8</v>
      </c>
      <c r="L245" s="32">
        <f t="shared" si="30"/>
        <v>1</v>
      </c>
      <c r="M245">
        <v>8</v>
      </c>
      <c r="N245">
        <v>7</v>
      </c>
      <c r="O245" s="32">
        <f t="shared" si="31"/>
        <v>1</v>
      </c>
      <c r="P245">
        <v>9</v>
      </c>
      <c r="Q245">
        <v>7</v>
      </c>
      <c r="R245" s="32">
        <f t="shared" si="32"/>
        <v>2</v>
      </c>
      <c r="S245">
        <v>8</v>
      </c>
      <c r="T245">
        <v>7</v>
      </c>
      <c r="U245" s="32">
        <f t="shared" si="33"/>
        <v>1</v>
      </c>
      <c r="V245">
        <v>8</v>
      </c>
      <c r="W245">
        <v>7</v>
      </c>
      <c r="X245" s="32">
        <f t="shared" si="34"/>
        <v>1</v>
      </c>
      <c r="Y245">
        <v>9</v>
      </c>
      <c r="Z245">
        <v>8</v>
      </c>
      <c r="AA245" s="32">
        <f t="shared" si="35"/>
        <v>1</v>
      </c>
    </row>
    <row r="246" spans="1:27" x14ac:dyDescent="0.45">
      <c r="A246">
        <v>7</v>
      </c>
      <c r="B246">
        <v>8</v>
      </c>
      <c r="C246" s="32">
        <f t="shared" si="27"/>
        <v>1</v>
      </c>
      <c r="D246">
        <v>8</v>
      </c>
      <c r="E246">
        <v>8</v>
      </c>
      <c r="F246" s="32">
        <f t="shared" si="28"/>
        <v>0</v>
      </c>
      <c r="G246">
        <v>9</v>
      </c>
      <c r="H246">
        <v>7</v>
      </c>
      <c r="I246" s="32">
        <f t="shared" si="29"/>
        <v>2</v>
      </c>
      <c r="J246">
        <v>9</v>
      </c>
      <c r="K246">
        <v>8</v>
      </c>
      <c r="L246" s="32">
        <f t="shared" si="30"/>
        <v>1</v>
      </c>
      <c r="M246">
        <v>8</v>
      </c>
      <c r="N246">
        <v>7</v>
      </c>
      <c r="O246" s="32">
        <f t="shared" si="31"/>
        <v>1</v>
      </c>
      <c r="P246">
        <v>9</v>
      </c>
      <c r="Q246">
        <v>7</v>
      </c>
      <c r="R246" s="32">
        <f t="shared" si="32"/>
        <v>2</v>
      </c>
      <c r="S246">
        <v>8</v>
      </c>
      <c r="T246">
        <v>7</v>
      </c>
      <c r="U246" s="32">
        <f t="shared" si="33"/>
        <v>1</v>
      </c>
      <c r="V246">
        <v>8</v>
      </c>
      <c r="W246">
        <v>7</v>
      </c>
      <c r="X246" s="32">
        <f t="shared" si="34"/>
        <v>1</v>
      </c>
      <c r="Y246">
        <v>9</v>
      </c>
      <c r="Z246">
        <v>8</v>
      </c>
      <c r="AA246" s="32">
        <f t="shared" si="35"/>
        <v>1</v>
      </c>
    </row>
    <row r="247" spans="1:27" x14ac:dyDescent="0.45">
      <c r="A247">
        <v>7</v>
      </c>
      <c r="B247">
        <v>8</v>
      </c>
      <c r="C247" s="32">
        <f t="shared" si="27"/>
        <v>1</v>
      </c>
      <c r="D247">
        <v>8</v>
      </c>
      <c r="E247">
        <v>8</v>
      </c>
      <c r="F247" s="32">
        <f t="shared" si="28"/>
        <v>0</v>
      </c>
      <c r="G247">
        <v>9</v>
      </c>
      <c r="H247">
        <v>7</v>
      </c>
      <c r="I247" s="32">
        <f t="shared" si="29"/>
        <v>2</v>
      </c>
      <c r="J247">
        <v>9</v>
      </c>
      <c r="K247">
        <v>8</v>
      </c>
      <c r="L247" s="32">
        <f t="shared" si="30"/>
        <v>1</v>
      </c>
      <c r="M247">
        <v>8</v>
      </c>
      <c r="N247">
        <v>7</v>
      </c>
      <c r="O247" s="32">
        <f t="shared" si="31"/>
        <v>1</v>
      </c>
      <c r="P247">
        <v>9</v>
      </c>
      <c r="Q247">
        <v>7</v>
      </c>
      <c r="R247" s="32">
        <f t="shared" si="32"/>
        <v>2</v>
      </c>
      <c r="S247">
        <v>8</v>
      </c>
      <c r="T247">
        <v>7</v>
      </c>
      <c r="U247" s="32">
        <f t="shared" si="33"/>
        <v>1</v>
      </c>
      <c r="V247">
        <v>8</v>
      </c>
      <c r="W247">
        <v>7</v>
      </c>
      <c r="X247" s="32">
        <f t="shared" si="34"/>
        <v>1</v>
      </c>
      <c r="Y247">
        <v>9</v>
      </c>
      <c r="Z247">
        <v>8</v>
      </c>
      <c r="AA247" s="32">
        <f t="shared" si="35"/>
        <v>1</v>
      </c>
    </row>
    <row r="248" spans="1:27" x14ac:dyDescent="0.45">
      <c r="A248">
        <v>7</v>
      </c>
      <c r="B248">
        <v>8</v>
      </c>
      <c r="C248" s="32">
        <f t="shared" si="27"/>
        <v>1</v>
      </c>
      <c r="D248">
        <v>8</v>
      </c>
      <c r="E248">
        <v>8</v>
      </c>
      <c r="F248" s="32">
        <f t="shared" si="28"/>
        <v>0</v>
      </c>
      <c r="G248">
        <v>9</v>
      </c>
      <c r="H248">
        <v>7</v>
      </c>
      <c r="I248" s="32">
        <f t="shared" si="29"/>
        <v>2</v>
      </c>
      <c r="J248">
        <v>9</v>
      </c>
      <c r="K248">
        <v>8</v>
      </c>
      <c r="L248" s="32">
        <f t="shared" si="30"/>
        <v>1</v>
      </c>
      <c r="M248">
        <v>8</v>
      </c>
      <c r="N248">
        <v>7</v>
      </c>
      <c r="O248" s="32">
        <f t="shared" si="31"/>
        <v>1</v>
      </c>
      <c r="P248">
        <v>9</v>
      </c>
      <c r="Q248">
        <v>7</v>
      </c>
      <c r="R248" s="32">
        <f t="shared" si="32"/>
        <v>2</v>
      </c>
      <c r="S248">
        <v>8</v>
      </c>
      <c r="T248">
        <v>7</v>
      </c>
      <c r="U248" s="32">
        <f t="shared" si="33"/>
        <v>1</v>
      </c>
      <c r="V248">
        <v>8</v>
      </c>
      <c r="W248">
        <v>7</v>
      </c>
      <c r="X248" s="32">
        <f t="shared" si="34"/>
        <v>1</v>
      </c>
      <c r="Y248">
        <v>9</v>
      </c>
      <c r="Z248">
        <v>8</v>
      </c>
      <c r="AA248" s="32">
        <f t="shared" si="35"/>
        <v>1</v>
      </c>
    </row>
    <row r="249" spans="1:27" x14ac:dyDescent="0.45">
      <c r="A249">
        <v>7</v>
      </c>
      <c r="B249">
        <v>8</v>
      </c>
      <c r="C249" s="32">
        <f t="shared" si="27"/>
        <v>1</v>
      </c>
      <c r="D249">
        <v>8</v>
      </c>
      <c r="E249">
        <v>8</v>
      </c>
      <c r="F249" s="32">
        <f t="shared" si="28"/>
        <v>0</v>
      </c>
      <c r="G249">
        <v>9</v>
      </c>
      <c r="H249">
        <v>7</v>
      </c>
      <c r="I249" s="32">
        <f t="shared" si="29"/>
        <v>2</v>
      </c>
      <c r="J249">
        <v>9</v>
      </c>
      <c r="K249">
        <v>8</v>
      </c>
      <c r="L249" s="32">
        <f t="shared" si="30"/>
        <v>1</v>
      </c>
      <c r="M249">
        <v>8</v>
      </c>
      <c r="N249">
        <v>7</v>
      </c>
      <c r="O249" s="32">
        <f t="shared" si="31"/>
        <v>1</v>
      </c>
      <c r="P249">
        <v>9</v>
      </c>
      <c r="Q249">
        <v>7</v>
      </c>
      <c r="R249" s="32">
        <f t="shared" si="32"/>
        <v>2</v>
      </c>
      <c r="S249">
        <v>8</v>
      </c>
      <c r="T249">
        <v>7</v>
      </c>
      <c r="U249" s="32">
        <f t="shared" si="33"/>
        <v>1</v>
      </c>
      <c r="V249">
        <v>8</v>
      </c>
      <c r="W249">
        <v>7</v>
      </c>
      <c r="X249" s="32">
        <f t="shared" si="34"/>
        <v>1</v>
      </c>
      <c r="Y249">
        <v>9</v>
      </c>
      <c r="Z249">
        <v>8</v>
      </c>
      <c r="AA249" s="32">
        <f t="shared" si="35"/>
        <v>1</v>
      </c>
    </row>
    <row r="250" spans="1:27" x14ac:dyDescent="0.45">
      <c r="A250">
        <v>7</v>
      </c>
      <c r="B250">
        <v>8</v>
      </c>
      <c r="C250" s="32">
        <f t="shared" si="27"/>
        <v>1</v>
      </c>
      <c r="D250">
        <v>8</v>
      </c>
      <c r="E250">
        <v>8</v>
      </c>
      <c r="F250" s="32">
        <f t="shared" si="28"/>
        <v>0</v>
      </c>
      <c r="G250">
        <v>9</v>
      </c>
      <c r="H250">
        <v>7</v>
      </c>
      <c r="I250" s="32">
        <f t="shared" si="29"/>
        <v>2</v>
      </c>
      <c r="J250">
        <v>9</v>
      </c>
      <c r="K250">
        <v>8</v>
      </c>
      <c r="L250" s="32">
        <f t="shared" si="30"/>
        <v>1</v>
      </c>
      <c r="M250">
        <v>8</v>
      </c>
      <c r="N250">
        <v>7</v>
      </c>
      <c r="O250" s="32">
        <f t="shared" si="31"/>
        <v>1</v>
      </c>
      <c r="P250">
        <v>9</v>
      </c>
      <c r="Q250">
        <v>8</v>
      </c>
      <c r="R250" s="32">
        <f t="shared" si="32"/>
        <v>1</v>
      </c>
      <c r="S250">
        <v>8</v>
      </c>
      <c r="T250">
        <v>7</v>
      </c>
      <c r="U250" s="32">
        <f t="shared" si="33"/>
        <v>1</v>
      </c>
      <c r="V250">
        <v>8</v>
      </c>
      <c r="W250">
        <v>7</v>
      </c>
      <c r="X250" s="32">
        <f t="shared" si="34"/>
        <v>1</v>
      </c>
      <c r="Y250">
        <v>9</v>
      </c>
      <c r="Z250">
        <v>8</v>
      </c>
      <c r="AA250" s="32">
        <f t="shared" si="35"/>
        <v>1</v>
      </c>
    </row>
    <row r="251" spans="1:27" x14ac:dyDescent="0.45">
      <c r="A251">
        <v>7</v>
      </c>
      <c r="B251">
        <v>8</v>
      </c>
      <c r="C251" s="32">
        <f t="shared" si="27"/>
        <v>1</v>
      </c>
      <c r="D251">
        <v>8</v>
      </c>
      <c r="E251">
        <v>8</v>
      </c>
      <c r="F251" s="32">
        <f t="shared" si="28"/>
        <v>0</v>
      </c>
      <c r="G251">
        <v>9</v>
      </c>
      <c r="H251">
        <v>7</v>
      </c>
      <c r="I251" s="32">
        <f t="shared" si="29"/>
        <v>2</v>
      </c>
      <c r="J251">
        <v>9</v>
      </c>
      <c r="K251">
        <v>8</v>
      </c>
      <c r="L251" s="32">
        <f t="shared" si="30"/>
        <v>1</v>
      </c>
      <c r="M251">
        <v>8</v>
      </c>
      <c r="N251">
        <v>7</v>
      </c>
      <c r="O251" s="32">
        <f t="shared" si="31"/>
        <v>1</v>
      </c>
      <c r="P251">
        <v>9</v>
      </c>
      <c r="Q251">
        <v>8</v>
      </c>
      <c r="R251" s="32">
        <f t="shared" si="32"/>
        <v>1</v>
      </c>
      <c r="S251">
        <v>8</v>
      </c>
      <c r="T251">
        <v>7</v>
      </c>
      <c r="U251" s="32">
        <f t="shared" si="33"/>
        <v>1</v>
      </c>
      <c r="V251">
        <v>8</v>
      </c>
      <c r="W251">
        <v>7</v>
      </c>
      <c r="X251" s="32">
        <f t="shared" si="34"/>
        <v>1</v>
      </c>
      <c r="Y251">
        <v>9</v>
      </c>
      <c r="Z251">
        <v>8</v>
      </c>
      <c r="AA251" s="32">
        <f t="shared" si="35"/>
        <v>1</v>
      </c>
    </row>
    <row r="252" spans="1:27" x14ac:dyDescent="0.45">
      <c r="A252">
        <v>7</v>
      </c>
      <c r="B252">
        <v>8</v>
      </c>
      <c r="C252" s="32">
        <f t="shared" si="27"/>
        <v>1</v>
      </c>
      <c r="D252">
        <v>8</v>
      </c>
      <c r="E252">
        <v>8</v>
      </c>
      <c r="F252" s="32">
        <f t="shared" si="28"/>
        <v>0</v>
      </c>
      <c r="G252">
        <v>9</v>
      </c>
      <c r="H252">
        <v>7</v>
      </c>
      <c r="I252" s="32">
        <f t="shared" si="29"/>
        <v>2</v>
      </c>
      <c r="J252">
        <v>9</v>
      </c>
      <c r="K252">
        <v>8</v>
      </c>
      <c r="L252" s="32">
        <f t="shared" si="30"/>
        <v>1</v>
      </c>
      <c r="M252">
        <v>8</v>
      </c>
      <c r="N252">
        <v>7</v>
      </c>
      <c r="O252" s="32">
        <f t="shared" si="31"/>
        <v>1</v>
      </c>
      <c r="P252">
        <v>9</v>
      </c>
      <c r="Q252">
        <v>8</v>
      </c>
      <c r="R252" s="32">
        <f t="shared" si="32"/>
        <v>1</v>
      </c>
      <c r="S252">
        <v>8</v>
      </c>
      <c r="T252">
        <v>7</v>
      </c>
      <c r="U252" s="32">
        <f t="shared" si="33"/>
        <v>1</v>
      </c>
      <c r="V252">
        <v>8</v>
      </c>
      <c r="W252">
        <v>7</v>
      </c>
      <c r="X252" s="32">
        <f t="shared" si="34"/>
        <v>1</v>
      </c>
      <c r="Y252">
        <v>9</v>
      </c>
      <c r="Z252">
        <v>8</v>
      </c>
      <c r="AA252" s="32">
        <f t="shared" si="35"/>
        <v>1</v>
      </c>
    </row>
    <row r="253" spans="1:27" x14ac:dyDescent="0.45">
      <c r="A253">
        <v>7</v>
      </c>
      <c r="B253">
        <v>8</v>
      </c>
      <c r="C253" s="32">
        <f t="shared" si="27"/>
        <v>1</v>
      </c>
      <c r="D253">
        <v>8</v>
      </c>
      <c r="E253">
        <v>8</v>
      </c>
      <c r="F253" s="32">
        <f t="shared" si="28"/>
        <v>0</v>
      </c>
      <c r="G253">
        <v>9</v>
      </c>
      <c r="H253">
        <v>7</v>
      </c>
      <c r="I253" s="32">
        <f t="shared" si="29"/>
        <v>2</v>
      </c>
      <c r="J253">
        <v>9</v>
      </c>
      <c r="K253">
        <v>8</v>
      </c>
      <c r="L253" s="32">
        <f t="shared" si="30"/>
        <v>1</v>
      </c>
      <c r="M253">
        <v>8</v>
      </c>
      <c r="N253">
        <v>7</v>
      </c>
      <c r="O253" s="32">
        <f t="shared" si="31"/>
        <v>1</v>
      </c>
      <c r="P253">
        <v>9</v>
      </c>
      <c r="Q253">
        <v>8</v>
      </c>
      <c r="R253" s="32">
        <f t="shared" si="32"/>
        <v>1</v>
      </c>
      <c r="S253">
        <v>8</v>
      </c>
      <c r="T253">
        <v>7</v>
      </c>
      <c r="U253" s="32">
        <f t="shared" si="33"/>
        <v>1</v>
      </c>
      <c r="V253">
        <v>8</v>
      </c>
      <c r="W253">
        <v>7</v>
      </c>
      <c r="X253" s="32">
        <f t="shared" si="34"/>
        <v>1</v>
      </c>
      <c r="Y253">
        <v>9</v>
      </c>
      <c r="Z253">
        <v>8</v>
      </c>
      <c r="AA253" s="32">
        <f t="shared" si="35"/>
        <v>1</v>
      </c>
    </row>
    <row r="254" spans="1:27" x14ac:dyDescent="0.45">
      <c r="A254">
        <v>7</v>
      </c>
      <c r="B254">
        <v>8</v>
      </c>
      <c r="C254" s="32">
        <f t="shared" si="27"/>
        <v>1</v>
      </c>
      <c r="D254">
        <v>8</v>
      </c>
      <c r="E254">
        <v>8</v>
      </c>
      <c r="F254" s="32">
        <f t="shared" si="28"/>
        <v>0</v>
      </c>
      <c r="G254">
        <v>9</v>
      </c>
      <c r="H254">
        <v>7</v>
      </c>
      <c r="I254" s="32">
        <f t="shared" si="29"/>
        <v>2</v>
      </c>
      <c r="J254">
        <v>9</v>
      </c>
      <c r="K254">
        <v>8</v>
      </c>
      <c r="L254" s="32">
        <f t="shared" si="30"/>
        <v>1</v>
      </c>
      <c r="M254">
        <v>8</v>
      </c>
      <c r="N254">
        <v>7</v>
      </c>
      <c r="O254" s="32">
        <f t="shared" si="31"/>
        <v>1</v>
      </c>
      <c r="P254">
        <v>9</v>
      </c>
      <c r="Q254">
        <v>8</v>
      </c>
      <c r="R254" s="32">
        <f t="shared" si="32"/>
        <v>1</v>
      </c>
      <c r="S254">
        <v>8</v>
      </c>
      <c r="T254">
        <v>7</v>
      </c>
      <c r="U254" s="32">
        <f t="shared" si="33"/>
        <v>1</v>
      </c>
      <c r="V254">
        <v>8</v>
      </c>
      <c r="W254">
        <v>7</v>
      </c>
      <c r="X254" s="32">
        <f t="shared" si="34"/>
        <v>1</v>
      </c>
      <c r="Y254">
        <v>9</v>
      </c>
      <c r="Z254">
        <v>8</v>
      </c>
      <c r="AA254" s="32">
        <f t="shared" si="35"/>
        <v>1</v>
      </c>
    </row>
    <row r="255" spans="1:27" x14ac:dyDescent="0.45">
      <c r="A255">
        <v>7</v>
      </c>
      <c r="B255">
        <v>8</v>
      </c>
      <c r="C255" s="32">
        <f t="shared" si="27"/>
        <v>1</v>
      </c>
      <c r="D255">
        <v>8</v>
      </c>
      <c r="E255">
        <v>8</v>
      </c>
      <c r="F255" s="32">
        <f t="shared" si="28"/>
        <v>0</v>
      </c>
      <c r="G255">
        <v>9</v>
      </c>
      <c r="H255">
        <v>7</v>
      </c>
      <c r="I255" s="32">
        <f t="shared" si="29"/>
        <v>2</v>
      </c>
      <c r="J255">
        <v>9</v>
      </c>
      <c r="K255">
        <v>8</v>
      </c>
      <c r="L255" s="32">
        <f t="shared" si="30"/>
        <v>1</v>
      </c>
      <c r="M255">
        <v>8</v>
      </c>
      <c r="N255">
        <v>7</v>
      </c>
      <c r="O255" s="32">
        <f t="shared" si="31"/>
        <v>1</v>
      </c>
      <c r="P255">
        <v>9</v>
      </c>
      <c r="Q255">
        <v>8</v>
      </c>
      <c r="R255" s="32">
        <f t="shared" si="32"/>
        <v>1</v>
      </c>
      <c r="S255">
        <v>8</v>
      </c>
      <c r="T255">
        <v>7</v>
      </c>
      <c r="U255" s="32">
        <f t="shared" si="33"/>
        <v>1</v>
      </c>
      <c r="V255">
        <v>8</v>
      </c>
      <c r="W255">
        <v>7</v>
      </c>
      <c r="X255" s="32">
        <f t="shared" si="34"/>
        <v>1</v>
      </c>
      <c r="Y255">
        <v>9</v>
      </c>
      <c r="Z255">
        <v>8</v>
      </c>
      <c r="AA255" s="32">
        <f t="shared" si="35"/>
        <v>1</v>
      </c>
    </row>
    <row r="256" spans="1:27" x14ac:dyDescent="0.45">
      <c r="A256">
        <v>7</v>
      </c>
      <c r="B256">
        <v>8</v>
      </c>
      <c r="C256" s="32">
        <f t="shared" si="27"/>
        <v>1</v>
      </c>
      <c r="D256">
        <v>8</v>
      </c>
      <c r="E256">
        <v>8</v>
      </c>
      <c r="F256" s="32">
        <f t="shared" si="28"/>
        <v>0</v>
      </c>
      <c r="G256">
        <v>9</v>
      </c>
      <c r="H256">
        <v>7</v>
      </c>
      <c r="I256" s="32">
        <f t="shared" si="29"/>
        <v>2</v>
      </c>
      <c r="J256">
        <v>9</v>
      </c>
      <c r="K256">
        <v>8</v>
      </c>
      <c r="L256" s="32">
        <f t="shared" si="30"/>
        <v>1</v>
      </c>
      <c r="M256">
        <v>8</v>
      </c>
      <c r="N256">
        <v>7</v>
      </c>
      <c r="O256" s="32">
        <f t="shared" si="31"/>
        <v>1</v>
      </c>
      <c r="P256">
        <v>9</v>
      </c>
      <c r="Q256">
        <v>8</v>
      </c>
      <c r="R256" s="32">
        <f t="shared" si="32"/>
        <v>1</v>
      </c>
      <c r="S256">
        <v>8</v>
      </c>
      <c r="T256">
        <v>7</v>
      </c>
      <c r="U256" s="32">
        <f t="shared" si="33"/>
        <v>1</v>
      </c>
      <c r="V256">
        <v>8</v>
      </c>
      <c r="W256">
        <v>7</v>
      </c>
      <c r="X256" s="32">
        <f t="shared" si="34"/>
        <v>1</v>
      </c>
      <c r="Y256">
        <v>9</v>
      </c>
      <c r="Z256">
        <v>8</v>
      </c>
      <c r="AA256" s="32">
        <f t="shared" si="35"/>
        <v>1</v>
      </c>
    </row>
    <row r="257" spans="1:27" x14ac:dyDescent="0.45">
      <c r="A257">
        <v>7</v>
      </c>
      <c r="B257">
        <v>8</v>
      </c>
      <c r="C257" s="32">
        <f t="shared" si="27"/>
        <v>1</v>
      </c>
      <c r="D257">
        <v>8</v>
      </c>
      <c r="E257">
        <v>8</v>
      </c>
      <c r="F257" s="32">
        <f t="shared" si="28"/>
        <v>0</v>
      </c>
      <c r="G257">
        <v>9</v>
      </c>
      <c r="H257">
        <v>7</v>
      </c>
      <c r="I257" s="32">
        <f t="shared" si="29"/>
        <v>2</v>
      </c>
      <c r="J257">
        <v>9</v>
      </c>
      <c r="K257">
        <v>8</v>
      </c>
      <c r="L257" s="32">
        <f t="shared" si="30"/>
        <v>1</v>
      </c>
      <c r="M257">
        <v>8</v>
      </c>
      <c r="N257">
        <v>7</v>
      </c>
      <c r="O257" s="32">
        <f t="shared" si="31"/>
        <v>1</v>
      </c>
      <c r="P257">
        <v>9</v>
      </c>
      <c r="Q257">
        <v>8</v>
      </c>
      <c r="R257" s="32">
        <f t="shared" si="32"/>
        <v>1</v>
      </c>
      <c r="S257">
        <v>8</v>
      </c>
      <c r="T257">
        <v>7</v>
      </c>
      <c r="U257" s="32">
        <f t="shared" si="33"/>
        <v>1</v>
      </c>
      <c r="V257">
        <v>8</v>
      </c>
      <c r="W257">
        <v>7</v>
      </c>
      <c r="X257" s="32">
        <f t="shared" si="34"/>
        <v>1</v>
      </c>
      <c r="Y257">
        <v>9</v>
      </c>
      <c r="Z257">
        <v>8</v>
      </c>
      <c r="AA257" s="32">
        <f t="shared" si="35"/>
        <v>1</v>
      </c>
    </row>
    <row r="258" spans="1:27" x14ac:dyDescent="0.45">
      <c r="A258">
        <v>7</v>
      </c>
      <c r="B258">
        <v>8</v>
      </c>
      <c r="C258" s="32">
        <f t="shared" si="27"/>
        <v>1</v>
      </c>
      <c r="D258">
        <v>8</v>
      </c>
      <c r="E258">
        <v>8</v>
      </c>
      <c r="F258" s="32">
        <f t="shared" si="28"/>
        <v>0</v>
      </c>
      <c r="G258">
        <v>9</v>
      </c>
      <c r="H258">
        <v>7</v>
      </c>
      <c r="I258" s="32">
        <f t="shared" si="29"/>
        <v>2</v>
      </c>
      <c r="J258">
        <v>9</v>
      </c>
      <c r="K258">
        <v>8</v>
      </c>
      <c r="L258" s="32">
        <f t="shared" si="30"/>
        <v>1</v>
      </c>
      <c r="M258">
        <v>8</v>
      </c>
      <c r="N258">
        <v>7</v>
      </c>
      <c r="O258" s="32">
        <f t="shared" si="31"/>
        <v>1</v>
      </c>
      <c r="P258">
        <v>9</v>
      </c>
      <c r="Q258">
        <v>8</v>
      </c>
      <c r="R258" s="32">
        <f t="shared" si="32"/>
        <v>1</v>
      </c>
      <c r="S258">
        <v>8</v>
      </c>
      <c r="T258">
        <v>7</v>
      </c>
      <c r="U258" s="32">
        <f t="shared" si="33"/>
        <v>1</v>
      </c>
      <c r="V258">
        <v>8</v>
      </c>
      <c r="W258">
        <v>7</v>
      </c>
      <c r="X258" s="32">
        <f t="shared" si="34"/>
        <v>1</v>
      </c>
      <c r="Y258">
        <v>9</v>
      </c>
      <c r="Z258">
        <v>8</v>
      </c>
      <c r="AA258" s="32">
        <f t="shared" si="35"/>
        <v>1</v>
      </c>
    </row>
    <row r="259" spans="1:27" x14ac:dyDescent="0.45">
      <c r="A259">
        <v>7</v>
      </c>
      <c r="B259">
        <v>8</v>
      </c>
      <c r="C259" s="32">
        <f t="shared" ref="C259:C322" si="36">ABS(B259-A259)</f>
        <v>1</v>
      </c>
      <c r="D259">
        <v>8</v>
      </c>
      <c r="E259">
        <v>8</v>
      </c>
      <c r="F259" s="32">
        <f t="shared" ref="F259:F322" si="37">ABS(E259-D259)</f>
        <v>0</v>
      </c>
      <c r="G259">
        <v>9</v>
      </c>
      <c r="H259">
        <v>7</v>
      </c>
      <c r="I259" s="32">
        <f t="shared" ref="I259:I322" si="38">ABS(H259-G259)</f>
        <v>2</v>
      </c>
      <c r="J259">
        <v>9</v>
      </c>
      <c r="K259">
        <v>8</v>
      </c>
      <c r="L259" s="32">
        <f t="shared" ref="L259:L322" si="39">ABS(K259-J259)</f>
        <v>1</v>
      </c>
      <c r="M259">
        <v>8</v>
      </c>
      <c r="N259">
        <v>7</v>
      </c>
      <c r="O259" s="32">
        <f t="shared" ref="O259:O322" si="40">ABS(N259-M259)</f>
        <v>1</v>
      </c>
      <c r="P259">
        <v>9</v>
      </c>
      <c r="Q259">
        <v>8</v>
      </c>
      <c r="R259" s="32">
        <f t="shared" ref="R259:R322" si="41">ABS(Q259-P259)</f>
        <v>1</v>
      </c>
      <c r="S259">
        <v>8</v>
      </c>
      <c r="T259">
        <v>7</v>
      </c>
      <c r="U259" s="32">
        <f t="shared" ref="U259:U322" si="42">ABS(T259-S259)</f>
        <v>1</v>
      </c>
      <c r="V259">
        <v>8</v>
      </c>
      <c r="W259">
        <v>7</v>
      </c>
      <c r="X259" s="32">
        <f t="shared" ref="X259:X322" si="43">ABS(W259-V259)</f>
        <v>1</v>
      </c>
      <c r="Y259">
        <v>9</v>
      </c>
      <c r="Z259">
        <v>8</v>
      </c>
      <c r="AA259" s="32">
        <f t="shared" ref="AA259:AA322" si="44">ABS(Z259-Y259)</f>
        <v>1</v>
      </c>
    </row>
    <row r="260" spans="1:27" x14ac:dyDescent="0.45">
      <c r="A260">
        <v>7</v>
      </c>
      <c r="B260">
        <v>8</v>
      </c>
      <c r="C260" s="32">
        <f t="shared" si="36"/>
        <v>1</v>
      </c>
      <c r="D260">
        <v>8</v>
      </c>
      <c r="E260">
        <v>8</v>
      </c>
      <c r="F260" s="32">
        <f t="shared" si="37"/>
        <v>0</v>
      </c>
      <c r="G260">
        <v>9</v>
      </c>
      <c r="H260">
        <v>7</v>
      </c>
      <c r="I260" s="32">
        <f t="shared" si="38"/>
        <v>2</v>
      </c>
      <c r="J260">
        <v>9</v>
      </c>
      <c r="K260">
        <v>8</v>
      </c>
      <c r="L260" s="32">
        <f t="shared" si="39"/>
        <v>1</v>
      </c>
      <c r="M260">
        <v>8</v>
      </c>
      <c r="N260">
        <v>7</v>
      </c>
      <c r="O260" s="32">
        <f t="shared" si="40"/>
        <v>1</v>
      </c>
      <c r="P260">
        <v>9</v>
      </c>
      <c r="Q260">
        <v>8</v>
      </c>
      <c r="R260" s="32">
        <f t="shared" si="41"/>
        <v>1</v>
      </c>
      <c r="S260">
        <v>8</v>
      </c>
      <c r="T260">
        <v>7</v>
      </c>
      <c r="U260" s="32">
        <f t="shared" si="42"/>
        <v>1</v>
      </c>
      <c r="V260">
        <v>8</v>
      </c>
      <c r="W260">
        <v>7</v>
      </c>
      <c r="X260" s="32">
        <f t="shared" si="43"/>
        <v>1</v>
      </c>
      <c r="Y260">
        <v>9</v>
      </c>
      <c r="Z260">
        <v>8</v>
      </c>
      <c r="AA260" s="32">
        <f t="shared" si="44"/>
        <v>1</v>
      </c>
    </row>
    <row r="261" spans="1:27" x14ac:dyDescent="0.45">
      <c r="A261">
        <v>7</v>
      </c>
      <c r="B261">
        <v>8</v>
      </c>
      <c r="C261" s="32">
        <f t="shared" si="36"/>
        <v>1</v>
      </c>
      <c r="D261">
        <v>8</v>
      </c>
      <c r="E261">
        <v>8</v>
      </c>
      <c r="F261" s="32">
        <f t="shared" si="37"/>
        <v>0</v>
      </c>
      <c r="G261">
        <v>9</v>
      </c>
      <c r="H261">
        <v>7</v>
      </c>
      <c r="I261" s="32">
        <f t="shared" si="38"/>
        <v>2</v>
      </c>
      <c r="J261">
        <v>9</v>
      </c>
      <c r="K261">
        <v>8</v>
      </c>
      <c r="L261" s="32">
        <f t="shared" si="39"/>
        <v>1</v>
      </c>
      <c r="M261">
        <v>8</v>
      </c>
      <c r="N261">
        <v>7</v>
      </c>
      <c r="O261" s="32">
        <f t="shared" si="40"/>
        <v>1</v>
      </c>
      <c r="P261">
        <v>9</v>
      </c>
      <c r="Q261">
        <v>8</v>
      </c>
      <c r="R261" s="32">
        <f t="shared" si="41"/>
        <v>1</v>
      </c>
      <c r="S261">
        <v>8</v>
      </c>
      <c r="T261">
        <v>7</v>
      </c>
      <c r="U261" s="32">
        <f t="shared" si="42"/>
        <v>1</v>
      </c>
      <c r="V261">
        <v>8</v>
      </c>
      <c r="W261">
        <v>7</v>
      </c>
      <c r="X261" s="32">
        <f t="shared" si="43"/>
        <v>1</v>
      </c>
      <c r="Y261">
        <v>9</v>
      </c>
      <c r="Z261">
        <v>8</v>
      </c>
      <c r="AA261" s="32">
        <f t="shared" si="44"/>
        <v>1</v>
      </c>
    </row>
    <row r="262" spans="1:27" x14ac:dyDescent="0.45">
      <c r="A262">
        <v>7</v>
      </c>
      <c r="B262">
        <v>8</v>
      </c>
      <c r="C262" s="32">
        <f t="shared" si="36"/>
        <v>1</v>
      </c>
      <c r="D262">
        <v>8</v>
      </c>
      <c r="E262">
        <v>8</v>
      </c>
      <c r="F262" s="32">
        <f t="shared" si="37"/>
        <v>0</v>
      </c>
      <c r="G262">
        <v>9</v>
      </c>
      <c r="H262">
        <v>8</v>
      </c>
      <c r="I262" s="32">
        <f t="shared" si="38"/>
        <v>1</v>
      </c>
      <c r="J262">
        <v>9</v>
      </c>
      <c r="K262">
        <v>8</v>
      </c>
      <c r="L262" s="32">
        <f t="shared" si="39"/>
        <v>1</v>
      </c>
      <c r="M262">
        <v>8</v>
      </c>
      <c r="N262">
        <v>7</v>
      </c>
      <c r="O262" s="32">
        <f t="shared" si="40"/>
        <v>1</v>
      </c>
      <c r="P262">
        <v>9</v>
      </c>
      <c r="Q262">
        <v>8</v>
      </c>
      <c r="R262" s="32">
        <f t="shared" si="41"/>
        <v>1</v>
      </c>
      <c r="S262">
        <v>8</v>
      </c>
      <c r="T262">
        <v>7</v>
      </c>
      <c r="U262" s="32">
        <f t="shared" si="42"/>
        <v>1</v>
      </c>
      <c r="V262">
        <v>8</v>
      </c>
      <c r="W262">
        <v>7</v>
      </c>
      <c r="X262" s="32">
        <f t="shared" si="43"/>
        <v>1</v>
      </c>
      <c r="Y262">
        <v>9</v>
      </c>
      <c r="Z262">
        <v>8</v>
      </c>
      <c r="AA262" s="32">
        <f t="shared" si="44"/>
        <v>1</v>
      </c>
    </row>
    <row r="263" spans="1:27" x14ac:dyDescent="0.45">
      <c r="A263">
        <v>7</v>
      </c>
      <c r="B263">
        <v>8</v>
      </c>
      <c r="C263" s="32">
        <f t="shared" si="36"/>
        <v>1</v>
      </c>
      <c r="D263">
        <v>8</v>
      </c>
      <c r="E263">
        <v>8</v>
      </c>
      <c r="F263" s="32">
        <f t="shared" si="37"/>
        <v>0</v>
      </c>
      <c r="G263">
        <v>9</v>
      </c>
      <c r="H263">
        <v>8</v>
      </c>
      <c r="I263" s="32">
        <f t="shared" si="38"/>
        <v>1</v>
      </c>
      <c r="J263">
        <v>9</v>
      </c>
      <c r="K263">
        <v>8</v>
      </c>
      <c r="L263" s="32">
        <f t="shared" si="39"/>
        <v>1</v>
      </c>
      <c r="M263">
        <v>8</v>
      </c>
      <c r="N263">
        <v>7</v>
      </c>
      <c r="O263" s="32">
        <f t="shared" si="40"/>
        <v>1</v>
      </c>
      <c r="P263">
        <v>9</v>
      </c>
      <c r="Q263">
        <v>8</v>
      </c>
      <c r="R263" s="32">
        <f t="shared" si="41"/>
        <v>1</v>
      </c>
      <c r="S263">
        <v>8</v>
      </c>
      <c r="T263">
        <v>7</v>
      </c>
      <c r="U263" s="32">
        <f t="shared" si="42"/>
        <v>1</v>
      </c>
      <c r="V263">
        <v>8</v>
      </c>
      <c r="W263">
        <v>7</v>
      </c>
      <c r="X263" s="32">
        <f t="shared" si="43"/>
        <v>1</v>
      </c>
      <c r="Y263">
        <v>9</v>
      </c>
      <c r="Z263">
        <v>8</v>
      </c>
      <c r="AA263" s="32">
        <f t="shared" si="44"/>
        <v>1</v>
      </c>
    </row>
    <row r="264" spans="1:27" x14ac:dyDescent="0.45">
      <c r="A264">
        <v>7</v>
      </c>
      <c r="B264">
        <v>8</v>
      </c>
      <c r="C264" s="32">
        <f t="shared" si="36"/>
        <v>1</v>
      </c>
      <c r="D264">
        <v>8</v>
      </c>
      <c r="E264">
        <v>8</v>
      </c>
      <c r="F264" s="32">
        <f t="shared" si="37"/>
        <v>0</v>
      </c>
      <c r="G264">
        <v>9</v>
      </c>
      <c r="H264">
        <v>8</v>
      </c>
      <c r="I264" s="32">
        <f t="shared" si="38"/>
        <v>1</v>
      </c>
      <c r="J264">
        <v>9</v>
      </c>
      <c r="K264">
        <v>8</v>
      </c>
      <c r="L264" s="32">
        <f t="shared" si="39"/>
        <v>1</v>
      </c>
      <c r="M264">
        <v>8</v>
      </c>
      <c r="N264">
        <v>7</v>
      </c>
      <c r="O264" s="32">
        <f t="shared" si="40"/>
        <v>1</v>
      </c>
      <c r="P264">
        <v>9</v>
      </c>
      <c r="Q264">
        <v>8</v>
      </c>
      <c r="R264" s="32">
        <f t="shared" si="41"/>
        <v>1</v>
      </c>
      <c r="S264">
        <v>8</v>
      </c>
      <c r="T264">
        <v>7</v>
      </c>
      <c r="U264" s="32">
        <f t="shared" si="42"/>
        <v>1</v>
      </c>
      <c r="V264">
        <v>8</v>
      </c>
      <c r="W264">
        <v>7</v>
      </c>
      <c r="X264" s="32">
        <f t="shared" si="43"/>
        <v>1</v>
      </c>
      <c r="Y264">
        <v>9</v>
      </c>
      <c r="Z264">
        <v>8</v>
      </c>
      <c r="AA264" s="32">
        <f t="shared" si="44"/>
        <v>1</v>
      </c>
    </row>
    <row r="265" spans="1:27" x14ac:dyDescent="0.45">
      <c r="A265">
        <v>7</v>
      </c>
      <c r="B265">
        <v>8</v>
      </c>
      <c r="C265" s="32">
        <f t="shared" si="36"/>
        <v>1</v>
      </c>
      <c r="D265">
        <v>8</v>
      </c>
      <c r="E265">
        <v>8</v>
      </c>
      <c r="F265" s="32">
        <f t="shared" si="37"/>
        <v>0</v>
      </c>
      <c r="G265">
        <v>9</v>
      </c>
      <c r="H265">
        <v>8</v>
      </c>
      <c r="I265" s="32">
        <f t="shared" si="38"/>
        <v>1</v>
      </c>
      <c r="J265">
        <v>9</v>
      </c>
      <c r="K265">
        <v>8</v>
      </c>
      <c r="L265" s="32">
        <f t="shared" si="39"/>
        <v>1</v>
      </c>
      <c r="M265">
        <v>8</v>
      </c>
      <c r="N265">
        <v>7</v>
      </c>
      <c r="O265" s="32">
        <f t="shared" si="40"/>
        <v>1</v>
      </c>
      <c r="P265">
        <v>9</v>
      </c>
      <c r="Q265">
        <v>8</v>
      </c>
      <c r="R265" s="32">
        <f t="shared" si="41"/>
        <v>1</v>
      </c>
      <c r="S265">
        <v>8</v>
      </c>
      <c r="T265">
        <v>7</v>
      </c>
      <c r="U265" s="32">
        <f t="shared" si="42"/>
        <v>1</v>
      </c>
      <c r="V265">
        <v>8</v>
      </c>
      <c r="W265">
        <v>7</v>
      </c>
      <c r="X265" s="32">
        <f t="shared" si="43"/>
        <v>1</v>
      </c>
      <c r="Y265">
        <v>9</v>
      </c>
      <c r="Z265">
        <v>8</v>
      </c>
      <c r="AA265" s="32">
        <f t="shared" si="44"/>
        <v>1</v>
      </c>
    </row>
    <row r="266" spans="1:27" x14ac:dyDescent="0.45">
      <c r="A266">
        <v>7</v>
      </c>
      <c r="B266">
        <v>8</v>
      </c>
      <c r="C266" s="32">
        <f t="shared" si="36"/>
        <v>1</v>
      </c>
      <c r="D266">
        <v>8</v>
      </c>
      <c r="E266">
        <v>8</v>
      </c>
      <c r="F266" s="32">
        <f t="shared" si="37"/>
        <v>0</v>
      </c>
      <c r="G266">
        <v>9</v>
      </c>
      <c r="H266">
        <v>8</v>
      </c>
      <c r="I266" s="32">
        <f t="shared" si="38"/>
        <v>1</v>
      </c>
      <c r="J266">
        <v>9</v>
      </c>
      <c r="K266">
        <v>8</v>
      </c>
      <c r="L266" s="32">
        <f t="shared" si="39"/>
        <v>1</v>
      </c>
      <c r="M266">
        <v>8</v>
      </c>
      <c r="N266">
        <v>7</v>
      </c>
      <c r="O266" s="32">
        <f t="shared" si="40"/>
        <v>1</v>
      </c>
      <c r="P266">
        <v>9</v>
      </c>
      <c r="Q266">
        <v>8</v>
      </c>
      <c r="R266" s="32">
        <f t="shared" si="41"/>
        <v>1</v>
      </c>
      <c r="S266">
        <v>8</v>
      </c>
      <c r="T266">
        <v>7</v>
      </c>
      <c r="U266" s="32">
        <f t="shared" si="42"/>
        <v>1</v>
      </c>
      <c r="V266">
        <v>8</v>
      </c>
      <c r="W266">
        <v>7</v>
      </c>
      <c r="X266" s="32">
        <f t="shared" si="43"/>
        <v>1</v>
      </c>
      <c r="Y266">
        <v>9</v>
      </c>
      <c r="Z266">
        <v>8</v>
      </c>
      <c r="AA266" s="32">
        <f t="shared" si="44"/>
        <v>1</v>
      </c>
    </row>
    <row r="267" spans="1:27" x14ac:dyDescent="0.45">
      <c r="A267">
        <v>7</v>
      </c>
      <c r="B267">
        <v>8</v>
      </c>
      <c r="C267" s="32">
        <f t="shared" si="36"/>
        <v>1</v>
      </c>
      <c r="D267">
        <v>8</v>
      </c>
      <c r="E267">
        <v>8</v>
      </c>
      <c r="F267" s="32">
        <f t="shared" si="37"/>
        <v>0</v>
      </c>
      <c r="G267">
        <v>9</v>
      </c>
      <c r="H267">
        <v>8</v>
      </c>
      <c r="I267" s="32">
        <f t="shared" si="38"/>
        <v>1</v>
      </c>
      <c r="J267">
        <v>9</v>
      </c>
      <c r="K267">
        <v>8</v>
      </c>
      <c r="L267" s="32">
        <f t="shared" si="39"/>
        <v>1</v>
      </c>
      <c r="M267">
        <v>8</v>
      </c>
      <c r="N267">
        <v>7</v>
      </c>
      <c r="O267" s="32">
        <f t="shared" si="40"/>
        <v>1</v>
      </c>
      <c r="P267">
        <v>9</v>
      </c>
      <c r="Q267">
        <v>8</v>
      </c>
      <c r="R267" s="32">
        <f t="shared" si="41"/>
        <v>1</v>
      </c>
      <c r="S267">
        <v>8</v>
      </c>
      <c r="T267">
        <v>7</v>
      </c>
      <c r="U267" s="32">
        <f t="shared" si="42"/>
        <v>1</v>
      </c>
      <c r="V267">
        <v>8</v>
      </c>
      <c r="W267">
        <v>7</v>
      </c>
      <c r="X267" s="32">
        <f t="shared" si="43"/>
        <v>1</v>
      </c>
      <c r="Y267">
        <v>9</v>
      </c>
      <c r="Z267">
        <v>8</v>
      </c>
      <c r="AA267" s="32">
        <f t="shared" si="44"/>
        <v>1</v>
      </c>
    </row>
    <row r="268" spans="1:27" x14ac:dyDescent="0.45">
      <c r="A268">
        <v>7</v>
      </c>
      <c r="B268">
        <v>8</v>
      </c>
      <c r="C268" s="32">
        <f t="shared" si="36"/>
        <v>1</v>
      </c>
      <c r="D268">
        <v>8</v>
      </c>
      <c r="E268">
        <v>8</v>
      </c>
      <c r="F268" s="32">
        <f t="shared" si="37"/>
        <v>0</v>
      </c>
      <c r="G268">
        <v>9</v>
      </c>
      <c r="H268">
        <v>8</v>
      </c>
      <c r="I268" s="32">
        <f t="shared" si="38"/>
        <v>1</v>
      </c>
      <c r="J268">
        <v>9</v>
      </c>
      <c r="K268">
        <v>8</v>
      </c>
      <c r="L268" s="32">
        <f t="shared" si="39"/>
        <v>1</v>
      </c>
      <c r="M268">
        <v>8</v>
      </c>
      <c r="N268">
        <v>7</v>
      </c>
      <c r="O268" s="32">
        <f t="shared" si="40"/>
        <v>1</v>
      </c>
      <c r="P268">
        <v>9</v>
      </c>
      <c r="Q268">
        <v>8</v>
      </c>
      <c r="R268" s="32">
        <f t="shared" si="41"/>
        <v>1</v>
      </c>
      <c r="S268">
        <v>8</v>
      </c>
      <c r="T268">
        <v>7</v>
      </c>
      <c r="U268" s="32">
        <f t="shared" si="42"/>
        <v>1</v>
      </c>
      <c r="V268">
        <v>8</v>
      </c>
      <c r="W268">
        <v>7</v>
      </c>
      <c r="X268" s="32">
        <f t="shared" si="43"/>
        <v>1</v>
      </c>
      <c r="Y268">
        <v>9</v>
      </c>
      <c r="Z268">
        <v>8</v>
      </c>
      <c r="AA268" s="32">
        <f t="shared" si="44"/>
        <v>1</v>
      </c>
    </row>
    <row r="269" spans="1:27" x14ac:dyDescent="0.45">
      <c r="A269">
        <v>7</v>
      </c>
      <c r="B269">
        <v>8</v>
      </c>
      <c r="C269" s="32">
        <f t="shared" si="36"/>
        <v>1</v>
      </c>
      <c r="D269">
        <v>8</v>
      </c>
      <c r="E269">
        <v>8</v>
      </c>
      <c r="F269" s="32">
        <f t="shared" si="37"/>
        <v>0</v>
      </c>
      <c r="G269">
        <v>9</v>
      </c>
      <c r="H269">
        <v>8</v>
      </c>
      <c r="I269" s="32">
        <f t="shared" si="38"/>
        <v>1</v>
      </c>
      <c r="J269">
        <v>9</v>
      </c>
      <c r="K269">
        <v>8</v>
      </c>
      <c r="L269" s="32">
        <f t="shared" si="39"/>
        <v>1</v>
      </c>
      <c r="M269">
        <v>8</v>
      </c>
      <c r="N269">
        <v>7</v>
      </c>
      <c r="O269" s="32">
        <f t="shared" si="40"/>
        <v>1</v>
      </c>
      <c r="P269">
        <v>9</v>
      </c>
      <c r="Q269">
        <v>8</v>
      </c>
      <c r="R269" s="32">
        <f t="shared" si="41"/>
        <v>1</v>
      </c>
      <c r="S269">
        <v>8</v>
      </c>
      <c r="T269">
        <v>7</v>
      </c>
      <c r="U269" s="32">
        <f t="shared" si="42"/>
        <v>1</v>
      </c>
      <c r="V269">
        <v>8</v>
      </c>
      <c r="W269">
        <v>7</v>
      </c>
      <c r="X269" s="32">
        <f t="shared" si="43"/>
        <v>1</v>
      </c>
      <c r="Y269">
        <v>9</v>
      </c>
      <c r="Z269">
        <v>8</v>
      </c>
      <c r="AA269" s="32">
        <f t="shared" si="44"/>
        <v>1</v>
      </c>
    </row>
    <row r="270" spans="1:27" x14ac:dyDescent="0.45">
      <c r="A270">
        <v>7</v>
      </c>
      <c r="B270">
        <v>8</v>
      </c>
      <c r="C270" s="32">
        <f t="shared" si="36"/>
        <v>1</v>
      </c>
      <c r="D270">
        <v>8</v>
      </c>
      <c r="E270">
        <v>8</v>
      </c>
      <c r="F270" s="32">
        <f t="shared" si="37"/>
        <v>0</v>
      </c>
      <c r="G270">
        <v>9</v>
      </c>
      <c r="H270">
        <v>8</v>
      </c>
      <c r="I270" s="32">
        <f t="shared" si="38"/>
        <v>1</v>
      </c>
      <c r="J270">
        <v>9</v>
      </c>
      <c r="K270">
        <v>8</v>
      </c>
      <c r="L270" s="32">
        <f t="shared" si="39"/>
        <v>1</v>
      </c>
      <c r="M270">
        <v>8</v>
      </c>
      <c r="N270">
        <v>7</v>
      </c>
      <c r="O270" s="32">
        <f t="shared" si="40"/>
        <v>1</v>
      </c>
      <c r="P270">
        <v>9</v>
      </c>
      <c r="Q270">
        <v>8</v>
      </c>
      <c r="R270" s="32">
        <f t="shared" si="41"/>
        <v>1</v>
      </c>
      <c r="S270">
        <v>8</v>
      </c>
      <c r="T270">
        <v>7</v>
      </c>
      <c r="U270" s="32">
        <f t="shared" si="42"/>
        <v>1</v>
      </c>
      <c r="V270">
        <v>8</v>
      </c>
      <c r="W270">
        <v>7</v>
      </c>
      <c r="X270" s="32">
        <f t="shared" si="43"/>
        <v>1</v>
      </c>
      <c r="Y270">
        <v>9</v>
      </c>
      <c r="Z270">
        <v>8</v>
      </c>
      <c r="AA270" s="32">
        <f t="shared" si="44"/>
        <v>1</v>
      </c>
    </row>
    <row r="271" spans="1:27" x14ac:dyDescent="0.45">
      <c r="A271">
        <v>7</v>
      </c>
      <c r="B271">
        <v>8</v>
      </c>
      <c r="C271" s="32">
        <f t="shared" si="36"/>
        <v>1</v>
      </c>
      <c r="D271">
        <v>8</v>
      </c>
      <c r="E271">
        <v>8</v>
      </c>
      <c r="F271" s="32">
        <f t="shared" si="37"/>
        <v>0</v>
      </c>
      <c r="G271">
        <v>9</v>
      </c>
      <c r="H271">
        <v>8</v>
      </c>
      <c r="I271" s="32">
        <f t="shared" si="38"/>
        <v>1</v>
      </c>
      <c r="J271">
        <v>9</v>
      </c>
      <c r="K271">
        <v>8</v>
      </c>
      <c r="L271" s="32">
        <f t="shared" si="39"/>
        <v>1</v>
      </c>
      <c r="M271">
        <v>8</v>
      </c>
      <c r="N271">
        <v>7</v>
      </c>
      <c r="O271" s="32">
        <f t="shared" si="40"/>
        <v>1</v>
      </c>
      <c r="P271">
        <v>9</v>
      </c>
      <c r="Q271">
        <v>8</v>
      </c>
      <c r="R271" s="32">
        <f t="shared" si="41"/>
        <v>1</v>
      </c>
      <c r="S271">
        <v>8</v>
      </c>
      <c r="T271">
        <v>7</v>
      </c>
      <c r="U271" s="32">
        <f t="shared" si="42"/>
        <v>1</v>
      </c>
      <c r="V271">
        <v>8</v>
      </c>
      <c r="W271">
        <v>7</v>
      </c>
      <c r="X271" s="32">
        <f t="shared" si="43"/>
        <v>1</v>
      </c>
      <c r="Y271">
        <v>9</v>
      </c>
      <c r="Z271">
        <v>8</v>
      </c>
      <c r="AA271" s="32">
        <f t="shared" si="44"/>
        <v>1</v>
      </c>
    </row>
    <row r="272" spans="1:27" x14ac:dyDescent="0.45">
      <c r="A272">
        <v>7</v>
      </c>
      <c r="B272">
        <v>8</v>
      </c>
      <c r="C272" s="32">
        <f t="shared" si="36"/>
        <v>1</v>
      </c>
      <c r="D272">
        <v>8</v>
      </c>
      <c r="E272">
        <v>8</v>
      </c>
      <c r="F272" s="32">
        <f t="shared" si="37"/>
        <v>0</v>
      </c>
      <c r="G272">
        <v>9</v>
      </c>
      <c r="H272">
        <v>8</v>
      </c>
      <c r="I272" s="32">
        <f t="shared" si="38"/>
        <v>1</v>
      </c>
      <c r="J272">
        <v>9</v>
      </c>
      <c r="K272">
        <v>8</v>
      </c>
      <c r="L272" s="32">
        <f t="shared" si="39"/>
        <v>1</v>
      </c>
      <c r="M272">
        <v>8</v>
      </c>
      <c r="N272">
        <v>7</v>
      </c>
      <c r="O272" s="32">
        <f t="shared" si="40"/>
        <v>1</v>
      </c>
      <c r="P272">
        <v>9</v>
      </c>
      <c r="Q272">
        <v>8</v>
      </c>
      <c r="R272" s="32">
        <f t="shared" si="41"/>
        <v>1</v>
      </c>
      <c r="S272">
        <v>8</v>
      </c>
      <c r="T272">
        <v>7</v>
      </c>
      <c r="U272" s="32">
        <f t="shared" si="42"/>
        <v>1</v>
      </c>
      <c r="V272">
        <v>8</v>
      </c>
      <c r="W272">
        <v>7</v>
      </c>
      <c r="X272" s="32">
        <f t="shared" si="43"/>
        <v>1</v>
      </c>
      <c r="Y272">
        <v>9</v>
      </c>
      <c r="Z272">
        <v>8</v>
      </c>
      <c r="AA272" s="32">
        <f t="shared" si="44"/>
        <v>1</v>
      </c>
    </row>
    <row r="273" spans="1:27" x14ac:dyDescent="0.45">
      <c r="A273">
        <v>7</v>
      </c>
      <c r="B273">
        <v>8</v>
      </c>
      <c r="C273" s="32">
        <f t="shared" si="36"/>
        <v>1</v>
      </c>
      <c r="D273">
        <v>8</v>
      </c>
      <c r="E273">
        <v>8</v>
      </c>
      <c r="F273" s="32">
        <f t="shared" si="37"/>
        <v>0</v>
      </c>
      <c r="G273">
        <v>9</v>
      </c>
      <c r="H273">
        <v>8</v>
      </c>
      <c r="I273" s="32">
        <f t="shared" si="38"/>
        <v>1</v>
      </c>
      <c r="J273">
        <v>9</v>
      </c>
      <c r="K273">
        <v>8</v>
      </c>
      <c r="L273" s="32">
        <f t="shared" si="39"/>
        <v>1</v>
      </c>
      <c r="M273">
        <v>8</v>
      </c>
      <c r="N273">
        <v>7</v>
      </c>
      <c r="O273" s="32">
        <f t="shared" si="40"/>
        <v>1</v>
      </c>
      <c r="P273">
        <v>9</v>
      </c>
      <c r="Q273">
        <v>8</v>
      </c>
      <c r="R273" s="32">
        <f t="shared" si="41"/>
        <v>1</v>
      </c>
      <c r="S273">
        <v>8</v>
      </c>
      <c r="T273">
        <v>7</v>
      </c>
      <c r="U273" s="32">
        <f t="shared" si="42"/>
        <v>1</v>
      </c>
      <c r="V273">
        <v>8</v>
      </c>
      <c r="W273">
        <v>7</v>
      </c>
      <c r="X273" s="32">
        <f t="shared" si="43"/>
        <v>1</v>
      </c>
      <c r="Y273">
        <v>9</v>
      </c>
      <c r="Z273">
        <v>8</v>
      </c>
      <c r="AA273" s="32">
        <f t="shared" si="44"/>
        <v>1</v>
      </c>
    </row>
    <row r="274" spans="1:27" x14ac:dyDescent="0.45">
      <c r="A274">
        <v>7</v>
      </c>
      <c r="B274">
        <v>8</v>
      </c>
      <c r="C274" s="32">
        <f t="shared" si="36"/>
        <v>1</v>
      </c>
      <c r="D274">
        <v>8</v>
      </c>
      <c r="E274">
        <v>8</v>
      </c>
      <c r="F274" s="32">
        <f t="shared" si="37"/>
        <v>0</v>
      </c>
      <c r="G274">
        <v>9</v>
      </c>
      <c r="H274">
        <v>8</v>
      </c>
      <c r="I274" s="32">
        <f t="shared" si="38"/>
        <v>1</v>
      </c>
      <c r="J274">
        <v>9</v>
      </c>
      <c r="K274">
        <v>8</v>
      </c>
      <c r="L274" s="32">
        <f t="shared" si="39"/>
        <v>1</v>
      </c>
      <c r="M274">
        <v>8</v>
      </c>
      <c r="N274">
        <v>7</v>
      </c>
      <c r="O274" s="32">
        <f t="shared" si="40"/>
        <v>1</v>
      </c>
      <c r="P274">
        <v>9</v>
      </c>
      <c r="Q274">
        <v>8</v>
      </c>
      <c r="R274" s="32">
        <f t="shared" si="41"/>
        <v>1</v>
      </c>
      <c r="S274">
        <v>8</v>
      </c>
      <c r="T274">
        <v>7</v>
      </c>
      <c r="U274" s="32">
        <f t="shared" si="42"/>
        <v>1</v>
      </c>
      <c r="V274">
        <v>8</v>
      </c>
      <c r="W274">
        <v>7</v>
      </c>
      <c r="X274" s="32">
        <f t="shared" si="43"/>
        <v>1</v>
      </c>
      <c r="Y274">
        <v>9</v>
      </c>
      <c r="Z274">
        <v>8</v>
      </c>
      <c r="AA274" s="32">
        <f t="shared" si="44"/>
        <v>1</v>
      </c>
    </row>
    <row r="275" spans="1:27" x14ac:dyDescent="0.45">
      <c r="A275">
        <v>7</v>
      </c>
      <c r="B275">
        <v>8</v>
      </c>
      <c r="C275" s="32">
        <f t="shared" si="36"/>
        <v>1</v>
      </c>
      <c r="D275">
        <v>8</v>
      </c>
      <c r="E275">
        <v>8</v>
      </c>
      <c r="F275" s="32">
        <f t="shared" si="37"/>
        <v>0</v>
      </c>
      <c r="G275">
        <v>9</v>
      </c>
      <c r="H275">
        <v>8</v>
      </c>
      <c r="I275" s="32">
        <f t="shared" si="38"/>
        <v>1</v>
      </c>
      <c r="J275">
        <v>9</v>
      </c>
      <c r="K275">
        <v>8</v>
      </c>
      <c r="L275" s="32">
        <f t="shared" si="39"/>
        <v>1</v>
      </c>
      <c r="M275">
        <v>8</v>
      </c>
      <c r="N275">
        <v>7</v>
      </c>
      <c r="O275" s="32">
        <f t="shared" si="40"/>
        <v>1</v>
      </c>
      <c r="P275">
        <v>9</v>
      </c>
      <c r="Q275">
        <v>8</v>
      </c>
      <c r="R275" s="32">
        <f t="shared" si="41"/>
        <v>1</v>
      </c>
      <c r="S275">
        <v>8</v>
      </c>
      <c r="T275">
        <v>7</v>
      </c>
      <c r="U275" s="32">
        <f t="shared" si="42"/>
        <v>1</v>
      </c>
      <c r="V275">
        <v>8</v>
      </c>
      <c r="W275">
        <v>7</v>
      </c>
      <c r="X275" s="32">
        <f t="shared" si="43"/>
        <v>1</v>
      </c>
      <c r="Y275">
        <v>9</v>
      </c>
      <c r="Z275">
        <v>8</v>
      </c>
      <c r="AA275" s="32">
        <f t="shared" si="44"/>
        <v>1</v>
      </c>
    </row>
    <row r="276" spans="1:27" x14ac:dyDescent="0.45">
      <c r="A276">
        <v>7</v>
      </c>
      <c r="B276">
        <v>8</v>
      </c>
      <c r="C276" s="32">
        <f t="shared" si="36"/>
        <v>1</v>
      </c>
      <c r="D276">
        <v>8</v>
      </c>
      <c r="E276">
        <v>8</v>
      </c>
      <c r="F276" s="32">
        <f t="shared" si="37"/>
        <v>0</v>
      </c>
      <c r="G276">
        <v>9</v>
      </c>
      <c r="H276">
        <v>8</v>
      </c>
      <c r="I276" s="32">
        <f t="shared" si="38"/>
        <v>1</v>
      </c>
      <c r="J276">
        <v>9</v>
      </c>
      <c r="K276">
        <v>8</v>
      </c>
      <c r="L276" s="32">
        <f t="shared" si="39"/>
        <v>1</v>
      </c>
      <c r="M276">
        <v>8</v>
      </c>
      <c r="N276">
        <v>7</v>
      </c>
      <c r="O276" s="32">
        <f t="shared" si="40"/>
        <v>1</v>
      </c>
      <c r="P276">
        <v>9</v>
      </c>
      <c r="Q276">
        <v>8</v>
      </c>
      <c r="R276" s="32">
        <f t="shared" si="41"/>
        <v>1</v>
      </c>
      <c r="S276">
        <v>8</v>
      </c>
      <c r="T276">
        <v>7</v>
      </c>
      <c r="U276" s="32">
        <f t="shared" si="42"/>
        <v>1</v>
      </c>
      <c r="V276">
        <v>8</v>
      </c>
      <c r="W276">
        <v>7</v>
      </c>
      <c r="X276" s="32">
        <f t="shared" si="43"/>
        <v>1</v>
      </c>
      <c r="Y276">
        <v>9</v>
      </c>
      <c r="Z276">
        <v>8</v>
      </c>
      <c r="AA276" s="32">
        <f t="shared" si="44"/>
        <v>1</v>
      </c>
    </row>
    <row r="277" spans="1:27" x14ac:dyDescent="0.45">
      <c r="A277">
        <v>7</v>
      </c>
      <c r="B277">
        <v>8</v>
      </c>
      <c r="C277" s="32">
        <f t="shared" si="36"/>
        <v>1</v>
      </c>
      <c r="D277">
        <v>8</v>
      </c>
      <c r="E277">
        <v>8</v>
      </c>
      <c r="F277" s="32">
        <f t="shared" si="37"/>
        <v>0</v>
      </c>
      <c r="G277">
        <v>9</v>
      </c>
      <c r="H277">
        <v>8</v>
      </c>
      <c r="I277" s="32">
        <f t="shared" si="38"/>
        <v>1</v>
      </c>
      <c r="J277">
        <v>9</v>
      </c>
      <c r="K277">
        <v>8</v>
      </c>
      <c r="L277" s="32">
        <f t="shared" si="39"/>
        <v>1</v>
      </c>
      <c r="M277">
        <v>8</v>
      </c>
      <c r="N277">
        <v>8</v>
      </c>
      <c r="O277" s="32">
        <f t="shared" si="40"/>
        <v>0</v>
      </c>
      <c r="P277">
        <v>9</v>
      </c>
      <c r="Q277">
        <v>8</v>
      </c>
      <c r="R277" s="32">
        <f t="shared" si="41"/>
        <v>1</v>
      </c>
      <c r="S277">
        <v>8</v>
      </c>
      <c r="T277">
        <v>7</v>
      </c>
      <c r="U277" s="32">
        <f t="shared" si="42"/>
        <v>1</v>
      </c>
      <c r="V277">
        <v>8</v>
      </c>
      <c r="W277">
        <v>7</v>
      </c>
      <c r="X277" s="32">
        <f t="shared" si="43"/>
        <v>1</v>
      </c>
      <c r="Y277">
        <v>9</v>
      </c>
      <c r="Z277">
        <v>8</v>
      </c>
      <c r="AA277" s="32">
        <f t="shared" si="44"/>
        <v>1</v>
      </c>
    </row>
    <row r="278" spans="1:27" x14ac:dyDescent="0.45">
      <c r="A278">
        <v>7</v>
      </c>
      <c r="B278">
        <v>8</v>
      </c>
      <c r="C278" s="32">
        <f t="shared" si="36"/>
        <v>1</v>
      </c>
      <c r="D278">
        <v>8</v>
      </c>
      <c r="E278">
        <v>8</v>
      </c>
      <c r="F278" s="32">
        <f t="shared" si="37"/>
        <v>0</v>
      </c>
      <c r="G278">
        <v>9</v>
      </c>
      <c r="H278">
        <v>8</v>
      </c>
      <c r="I278" s="32">
        <f t="shared" si="38"/>
        <v>1</v>
      </c>
      <c r="J278">
        <v>9</v>
      </c>
      <c r="K278">
        <v>8</v>
      </c>
      <c r="L278" s="32">
        <f t="shared" si="39"/>
        <v>1</v>
      </c>
      <c r="M278">
        <v>8</v>
      </c>
      <c r="N278">
        <v>8</v>
      </c>
      <c r="O278" s="32">
        <f t="shared" si="40"/>
        <v>0</v>
      </c>
      <c r="P278">
        <v>9</v>
      </c>
      <c r="Q278">
        <v>8</v>
      </c>
      <c r="R278" s="32">
        <f t="shared" si="41"/>
        <v>1</v>
      </c>
      <c r="S278">
        <v>8</v>
      </c>
      <c r="T278">
        <v>7</v>
      </c>
      <c r="U278" s="32">
        <f t="shared" si="42"/>
        <v>1</v>
      </c>
      <c r="V278">
        <v>8</v>
      </c>
      <c r="W278">
        <v>7</v>
      </c>
      <c r="X278" s="32">
        <f t="shared" si="43"/>
        <v>1</v>
      </c>
      <c r="Y278">
        <v>9</v>
      </c>
      <c r="Z278">
        <v>8</v>
      </c>
      <c r="AA278" s="32">
        <f t="shared" si="44"/>
        <v>1</v>
      </c>
    </row>
    <row r="279" spans="1:27" x14ac:dyDescent="0.45">
      <c r="A279">
        <v>7</v>
      </c>
      <c r="B279">
        <v>8</v>
      </c>
      <c r="C279" s="32">
        <f t="shared" si="36"/>
        <v>1</v>
      </c>
      <c r="D279">
        <v>8</v>
      </c>
      <c r="E279">
        <v>8</v>
      </c>
      <c r="F279" s="32">
        <f t="shared" si="37"/>
        <v>0</v>
      </c>
      <c r="G279">
        <v>9</v>
      </c>
      <c r="H279">
        <v>8</v>
      </c>
      <c r="I279" s="32">
        <f t="shared" si="38"/>
        <v>1</v>
      </c>
      <c r="J279">
        <v>9</v>
      </c>
      <c r="K279">
        <v>8</v>
      </c>
      <c r="L279" s="32">
        <f t="shared" si="39"/>
        <v>1</v>
      </c>
      <c r="M279">
        <v>8</v>
      </c>
      <c r="N279">
        <v>8</v>
      </c>
      <c r="O279" s="32">
        <f t="shared" si="40"/>
        <v>0</v>
      </c>
      <c r="P279">
        <v>9</v>
      </c>
      <c r="Q279">
        <v>8</v>
      </c>
      <c r="R279" s="32">
        <f t="shared" si="41"/>
        <v>1</v>
      </c>
      <c r="S279">
        <v>8</v>
      </c>
      <c r="T279">
        <v>7</v>
      </c>
      <c r="U279" s="32">
        <f t="shared" si="42"/>
        <v>1</v>
      </c>
      <c r="V279">
        <v>8</v>
      </c>
      <c r="W279">
        <v>7</v>
      </c>
      <c r="X279" s="32">
        <f t="shared" si="43"/>
        <v>1</v>
      </c>
      <c r="Y279">
        <v>9</v>
      </c>
      <c r="Z279">
        <v>8</v>
      </c>
      <c r="AA279" s="32">
        <f t="shared" si="44"/>
        <v>1</v>
      </c>
    </row>
    <row r="280" spans="1:27" x14ac:dyDescent="0.45">
      <c r="A280">
        <v>7</v>
      </c>
      <c r="B280">
        <v>8</v>
      </c>
      <c r="C280" s="32">
        <f t="shared" si="36"/>
        <v>1</v>
      </c>
      <c r="D280">
        <v>8</v>
      </c>
      <c r="E280">
        <v>8</v>
      </c>
      <c r="F280" s="32">
        <f t="shared" si="37"/>
        <v>0</v>
      </c>
      <c r="G280">
        <v>9</v>
      </c>
      <c r="H280">
        <v>8</v>
      </c>
      <c r="I280" s="32">
        <f t="shared" si="38"/>
        <v>1</v>
      </c>
      <c r="J280">
        <v>9</v>
      </c>
      <c r="K280">
        <v>8</v>
      </c>
      <c r="L280" s="32">
        <f t="shared" si="39"/>
        <v>1</v>
      </c>
      <c r="M280">
        <v>8</v>
      </c>
      <c r="N280">
        <v>8</v>
      </c>
      <c r="O280" s="32">
        <f t="shared" si="40"/>
        <v>0</v>
      </c>
      <c r="P280">
        <v>9</v>
      </c>
      <c r="Q280">
        <v>8</v>
      </c>
      <c r="R280" s="32">
        <f t="shared" si="41"/>
        <v>1</v>
      </c>
      <c r="S280">
        <v>8</v>
      </c>
      <c r="T280">
        <v>7</v>
      </c>
      <c r="U280" s="32">
        <f t="shared" si="42"/>
        <v>1</v>
      </c>
      <c r="V280">
        <v>8</v>
      </c>
      <c r="W280">
        <v>7</v>
      </c>
      <c r="X280" s="32">
        <f t="shared" si="43"/>
        <v>1</v>
      </c>
      <c r="Y280">
        <v>9</v>
      </c>
      <c r="Z280">
        <v>8</v>
      </c>
      <c r="AA280" s="32">
        <f t="shared" si="44"/>
        <v>1</v>
      </c>
    </row>
    <row r="281" spans="1:27" x14ac:dyDescent="0.45">
      <c r="A281">
        <v>7</v>
      </c>
      <c r="B281">
        <v>8</v>
      </c>
      <c r="C281" s="32">
        <f t="shared" si="36"/>
        <v>1</v>
      </c>
      <c r="D281">
        <v>8</v>
      </c>
      <c r="E281">
        <v>8</v>
      </c>
      <c r="F281" s="32">
        <f t="shared" si="37"/>
        <v>0</v>
      </c>
      <c r="G281">
        <v>9</v>
      </c>
      <c r="H281">
        <v>8</v>
      </c>
      <c r="I281" s="32">
        <f t="shared" si="38"/>
        <v>1</v>
      </c>
      <c r="J281">
        <v>9</v>
      </c>
      <c r="K281">
        <v>8</v>
      </c>
      <c r="L281" s="32">
        <f t="shared" si="39"/>
        <v>1</v>
      </c>
      <c r="M281">
        <v>8</v>
      </c>
      <c r="N281">
        <v>8</v>
      </c>
      <c r="O281" s="32">
        <f t="shared" si="40"/>
        <v>0</v>
      </c>
      <c r="P281">
        <v>9</v>
      </c>
      <c r="Q281">
        <v>8</v>
      </c>
      <c r="R281" s="32">
        <f t="shared" si="41"/>
        <v>1</v>
      </c>
      <c r="S281">
        <v>8</v>
      </c>
      <c r="T281">
        <v>7</v>
      </c>
      <c r="U281" s="32">
        <f t="shared" si="42"/>
        <v>1</v>
      </c>
      <c r="V281">
        <v>8</v>
      </c>
      <c r="W281">
        <v>7</v>
      </c>
      <c r="X281" s="32">
        <f t="shared" si="43"/>
        <v>1</v>
      </c>
      <c r="Y281">
        <v>9</v>
      </c>
      <c r="Z281">
        <v>8</v>
      </c>
      <c r="AA281" s="32">
        <f t="shared" si="44"/>
        <v>1</v>
      </c>
    </row>
    <row r="282" spans="1:27" x14ac:dyDescent="0.45">
      <c r="A282">
        <v>7</v>
      </c>
      <c r="B282">
        <v>8</v>
      </c>
      <c r="C282" s="32">
        <f t="shared" si="36"/>
        <v>1</v>
      </c>
      <c r="D282">
        <v>8</v>
      </c>
      <c r="E282">
        <v>8</v>
      </c>
      <c r="F282" s="32">
        <f t="shared" si="37"/>
        <v>0</v>
      </c>
      <c r="G282">
        <v>9</v>
      </c>
      <c r="H282">
        <v>8</v>
      </c>
      <c r="I282" s="32">
        <f t="shared" si="38"/>
        <v>1</v>
      </c>
      <c r="J282">
        <v>9</v>
      </c>
      <c r="K282">
        <v>8</v>
      </c>
      <c r="L282" s="32">
        <f t="shared" si="39"/>
        <v>1</v>
      </c>
      <c r="M282">
        <v>8</v>
      </c>
      <c r="N282">
        <v>8</v>
      </c>
      <c r="O282" s="32">
        <f t="shared" si="40"/>
        <v>0</v>
      </c>
      <c r="P282">
        <v>9</v>
      </c>
      <c r="Q282">
        <v>8</v>
      </c>
      <c r="R282" s="32">
        <f t="shared" si="41"/>
        <v>1</v>
      </c>
      <c r="S282">
        <v>8</v>
      </c>
      <c r="T282">
        <v>7</v>
      </c>
      <c r="U282" s="32">
        <f t="shared" si="42"/>
        <v>1</v>
      </c>
      <c r="V282">
        <v>8</v>
      </c>
      <c r="W282">
        <v>7</v>
      </c>
      <c r="X282" s="32">
        <f t="shared" si="43"/>
        <v>1</v>
      </c>
      <c r="Y282">
        <v>9</v>
      </c>
      <c r="Z282">
        <v>8</v>
      </c>
      <c r="AA282" s="32">
        <f t="shared" si="44"/>
        <v>1</v>
      </c>
    </row>
    <row r="283" spans="1:27" x14ac:dyDescent="0.45">
      <c r="A283">
        <v>8</v>
      </c>
      <c r="B283">
        <v>8</v>
      </c>
      <c r="C283" s="32">
        <f t="shared" si="36"/>
        <v>0</v>
      </c>
      <c r="D283">
        <v>8</v>
      </c>
      <c r="E283">
        <v>8</v>
      </c>
      <c r="F283" s="32">
        <f t="shared" si="37"/>
        <v>0</v>
      </c>
      <c r="G283">
        <v>9</v>
      </c>
      <c r="H283">
        <v>8</v>
      </c>
      <c r="I283" s="32">
        <f t="shared" si="38"/>
        <v>1</v>
      </c>
      <c r="J283">
        <v>9</v>
      </c>
      <c r="K283">
        <v>8</v>
      </c>
      <c r="L283" s="32">
        <f t="shared" si="39"/>
        <v>1</v>
      </c>
      <c r="M283">
        <v>8</v>
      </c>
      <c r="N283">
        <v>8</v>
      </c>
      <c r="O283" s="32">
        <f t="shared" si="40"/>
        <v>0</v>
      </c>
      <c r="P283">
        <v>9</v>
      </c>
      <c r="Q283">
        <v>8</v>
      </c>
      <c r="R283" s="32">
        <f t="shared" si="41"/>
        <v>1</v>
      </c>
      <c r="S283">
        <v>8</v>
      </c>
      <c r="T283">
        <v>7</v>
      </c>
      <c r="U283" s="32">
        <f t="shared" si="42"/>
        <v>1</v>
      </c>
      <c r="V283">
        <v>8</v>
      </c>
      <c r="W283">
        <v>8</v>
      </c>
      <c r="X283" s="32">
        <f t="shared" si="43"/>
        <v>0</v>
      </c>
      <c r="Y283">
        <v>9</v>
      </c>
      <c r="Z283">
        <v>8</v>
      </c>
      <c r="AA283" s="32">
        <f t="shared" si="44"/>
        <v>1</v>
      </c>
    </row>
    <row r="284" spans="1:27" x14ac:dyDescent="0.45">
      <c r="A284">
        <v>8</v>
      </c>
      <c r="B284">
        <v>8</v>
      </c>
      <c r="C284" s="32">
        <f t="shared" si="36"/>
        <v>0</v>
      </c>
      <c r="D284">
        <v>8</v>
      </c>
      <c r="E284">
        <v>8</v>
      </c>
      <c r="F284" s="32">
        <f t="shared" si="37"/>
        <v>0</v>
      </c>
      <c r="G284">
        <v>9</v>
      </c>
      <c r="H284">
        <v>8</v>
      </c>
      <c r="I284" s="32">
        <f t="shared" si="38"/>
        <v>1</v>
      </c>
      <c r="J284">
        <v>9</v>
      </c>
      <c r="K284">
        <v>8</v>
      </c>
      <c r="L284" s="32">
        <f t="shared" si="39"/>
        <v>1</v>
      </c>
      <c r="M284">
        <v>8</v>
      </c>
      <c r="N284">
        <v>8</v>
      </c>
      <c r="O284" s="32">
        <f t="shared" si="40"/>
        <v>0</v>
      </c>
      <c r="P284">
        <v>9</v>
      </c>
      <c r="Q284">
        <v>8</v>
      </c>
      <c r="R284" s="32">
        <f t="shared" si="41"/>
        <v>1</v>
      </c>
      <c r="S284">
        <v>8</v>
      </c>
      <c r="T284">
        <v>7</v>
      </c>
      <c r="U284" s="32">
        <f t="shared" si="42"/>
        <v>1</v>
      </c>
      <c r="V284">
        <v>8</v>
      </c>
      <c r="W284">
        <v>8</v>
      </c>
      <c r="X284" s="32">
        <f t="shared" si="43"/>
        <v>0</v>
      </c>
      <c r="Y284">
        <v>9</v>
      </c>
      <c r="Z284">
        <v>8</v>
      </c>
      <c r="AA284" s="32">
        <f t="shared" si="44"/>
        <v>1</v>
      </c>
    </row>
    <row r="285" spans="1:27" x14ac:dyDescent="0.45">
      <c r="A285">
        <v>8</v>
      </c>
      <c r="B285">
        <v>8</v>
      </c>
      <c r="C285" s="32">
        <f t="shared" si="36"/>
        <v>0</v>
      </c>
      <c r="D285">
        <v>8</v>
      </c>
      <c r="E285">
        <v>8</v>
      </c>
      <c r="F285" s="32">
        <f t="shared" si="37"/>
        <v>0</v>
      </c>
      <c r="G285">
        <v>9</v>
      </c>
      <c r="H285">
        <v>8</v>
      </c>
      <c r="I285" s="32">
        <f t="shared" si="38"/>
        <v>1</v>
      </c>
      <c r="J285">
        <v>9</v>
      </c>
      <c r="K285">
        <v>8</v>
      </c>
      <c r="L285" s="32">
        <f t="shared" si="39"/>
        <v>1</v>
      </c>
      <c r="M285">
        <v>8</v>
      </c>
      <c r="N285">
        <v>8</v>
      </c>
      <c r="O285" s="32">
        <f t="shared" si="40"/>
        <v>0</v>
      </c>
      <c r="P285">
        <v>9</v>
      </c>
      <c r="Q285">
        <v>8</v>
      </c>
      <c r="R285" s="32">
        <f t="shared" si="41"/>
        <v>1</v>
      </c>
      <c r="S285">
        <v>8</v>
      </c>
      <c r="T285">
        <v>7</v>
      </c>
      <c r="U285" s="32">
        <f t="shared" si="42"/>
        <v>1</v>
      </c>
      <c r="V285">
        <v>8</v>
      </c>
      <c r="W285">
        <v>8</v>
      </c>
      <c r="X285" s="32">
        <f t="shared" si="43"/>
        <v>0</v>
      </c>
      <c r="Y285">
        <v>9</v>
      </c>
      <c r="Z285">
        <v>8</v>
      </c>
      <c r="AA285" s="32">
        <f t="shared" si="44"/>
        <v>1</v>
      </c>
    </row>
    <row r="286" spans="1:27" x14ac:dyDescent="0.45">
      <c r="A286">
        <v>8</v>
      </c>
      <c r="B286">
        <v>8</v>
      </c>
      <c r="C286" s="32">
        <f t="shared" si="36"/>
        <v>0</v>
      </c>
      <c r="D286">
        <v>8</v>
      </c>
      <c r="E286">
        <v>8</v>
      </c>
      <c r="F286" s="32">
        <f t="shared" si="37"/>
        <v>0</v>
      </c>
      <c r="G286">
        <v>9</v>
      </c>
      <c r="H286">
        <v>8</v>
      </c>
      <c r="I286" s="32">
        <f t="shared" si="38"/>
        <v>1</v>
      </c>
      <c r="J286">
        <v>9</v>
      </c>
      <c r="K286">
        <v>8</v>
      </c>
      <c r="L286" s="32">
        <f t="shared" si="39"/>
        <v>1</v>
      </c>
      <c r="M286">
        <v>8</v>
      </c>
      <c r="N286">
        <v>8</v>
      </c>
      <c r="O286" s="32">
        <f t="shared" si="40"/>
        <v>0</v>
      </c>
      <c r="P286">
        <v>9</v>
      </c>
      <c r="Q286">
        <v>8</v>
      </c>
      <c r="R286" s="32">
        <f t="shared" si="41"/>
        <v>1</v>
      </c>
      <c r="S286">
        <v>8</v>
      </c>
      <c r="T286">
        <v>7</v>
      </c>
      <c r="U286" s="32">
        <f t="shared" si="42"/>
        <v>1</v>
      </c>
      <c r="V286">
        <v>8</v>
      </c>
      <c r="W286">
        <v>8</v>
      </c>
      <c r="X286" s="32">
        <f t="shared" si="43"/>
        <v>0</v>
      </c>
      <c r="Y286">
        <v>9</v>
      </c>
      <c r="Z286">
        <v>8</v>
      </c>
      <c r="AA286" s="32">
        <f t="shared" si="44"/>
        <v>1</v>
      </c>
    </row>
    <row r="287" spans="1:27" x14ac:dyDescent="0.45">
      <c r="A287">
        <v>8</v>
      </c>
      <c r="B287">
        <v>8</v>
      </c>
      <c r="C287" s="32">
        <f t="shared" si="36"/>
        <v>0</v>
      </c>
      <c r="D287">
        <v>8</v>
      </c>
      <c r="E287">
        <v>8</v>
      </c>
      <c r="F287" s="32">
        <f t="shared" si="37"/>
        <v>0</v>
      </c>
      <c r="G287">
        <v>9</v>
      </c>
      <c r="H287">
        <v>8</v>
      </c>
      <c r="I287" s="32">
        <f t="shared" si="38"/>
        <v>1</v>
      </c>
      <c r="J287">
        <v>9</v>
      </c>
      <c r="K287">
        <v>8</v>
      </c>
      <c r="L287" s="32">
        <f t="shared" si="39"/>
        <v>1</v>
      </c>
      <c r="M287">
        <v>8</v>
      </c>
      <c r="N287">
        <v>8</v>
      </c>
      <c r="O287" s="32">
        <f t="shared" si="40"/>
        <v>0</v>
      </c>
      <c r="P287">
        <v>9</v>
      </c>
      <c r="Q287">
        <v>8</v>
      </c>
      <c r="R287" s="32">
        <f t="shared" si="41"/>
        <v>1</v>
      </c>
      <c r="S287">
        <v>8</v>
      </c>
      <c r="T287">
        <v>7</v>
      </c>
      <c r="U287" s="32">
        <f t="shared" si="42"/>
        <v>1</v>
      </c>
      <c r="V287">
        <v>8</v>
      </c>
      <c r="W287">
        <v>8</v>
      </c>
      <c r="X287" s="32">
        <f t="shared" si="43"/>
        <v>0</v>
      </c>
      <c r="Y287">
        <v>9</v>
      </c>
      <c r="Z287">
        <v>8</v>
      </c>
      <c r="AA287" s="32">
        <f t="shared" si="44"/>
        <v>1</v>
      </c>
    </row>
    <row r="288" spans="1:27" x14ac:dyDescent="0.45">
      <c r="A288">
        <v>8</v>
      </c>
      <c r="B288">
        <v>8</v>
      </c>
      <c r="C288" s="32">
        <f t="shared" si="36"/>
        <v>0</v>
      </c>
      <c r="D288">
        <v>8</v>
      </c>
      <c r="E288">
        <v>8</v>
      </c>
      <c r="F288" s="32">
        <f t="shared" si="37"/>
        <v>0</v>
      </c>
      <c r="G288">
        <v>9</v>
      </c>
      <c r="H288">
        <v>8</v>
      </c>
      <c r="I288" s="32">
        <f t="shared" si="38"/>
        <v>1</v>
      </c>
      <c r="J288">
        <v>9</v>
      </c>
      <c r="K288">
        <v>8</v>
      </c>
      <c r="L288" s="32">
        <f t="shared" si="39"/>
        <v>1</v>
      </c>
      <c r="M288">
        <v>8</v>
      </c>
      <c r="N288">
        <v>8</v>
      </c>
      <c r="O288" s="32">
        <f t="shared" si="40"/>
        <v>0</v>
      </c>
      <c r="P288">
        <v>9</v>
      </c>
      <c r="Q288">
        <v>8</v>
      </c>
      <c r="R288" s="32">
        <f t="shared" si="41"/>
        <v>1</v>
      </c>
      <c r="S288">
        <v>8</v>
      </c>
      <c r="T288">
        <v>7</v>
      </c>
      <c r="U288" s="32">
        <f t="shared" si="42"/>
        <v>1</v>
      </c>
      <c r="V288">
        <v>8</v>
      </c>
      <c r="W288">
        <v>8</v>
      </c>
      <c r="X288" s="32">
        <f t="shared" si="43"/>
        <v>0</v>
      </c>
      <c r="Y288">
        <v>9</v>
      </c>
      <c r="Z288">
        <v>8</v>
      </c>
      <c r="AA288" s="32">
        <f t="shared" si="44"/>
        <v>1</v>
      </c>
    </row>
    <row r="289" spans="1:27" x14ac:dyDescent="0.45">
      <c r="A289">
        <v>8</v>
      </c>
      <c r="B289">
        <v>8</v>
      </c>
      <c r="C289" s="32">
        <f t="shared" si="36"/>
        <v>0</v>
      </c>
      <c r="D289">
        <v>8</v>
      </c>
      <c r="E289">
        <v>8</v>
      </c>
      <c r="F289" s="32">
        <f t="shared" si="37"/>
        <v>0</v>
      </c>
      <c r="G289">
        <v>9</v>
      </c>
      <c r="H289">
        <v>8</v>
      </c>
      <c r="I289" s="32">
        <f t="shared" si="38"/>
        <v>1</v>
      </c>
      <c r="J289">
        <v>9</v>
      </c>
      <c r="K289">
        <v>8</v>
      </c>
      <c r="L289" s="32">
        <f t="shared" si="39"/>
        <v>1</v>
      </c>
      <c r="M289">
        <v>8</v>
      </c>
      <c r="N289">
        <v>8</v>
      </c>
      <c r="O289" s="32">
        <f t="shared" si="40"/>
        <v>0</v>
      </c>
      <c r="P289">
        <v>9</v>
      </c>
      <c r="Q289">
        <v>8</v>
      </c>
      <c r="R289" s="32">
        <f t="shared" si="41"/>
        <v>1</v>
      </c>
      <c r="S289">
        <v>8</v>
      </c>
      <c r="T289">
        <v>7</v>
      </c>
      <c r="U289" s="32">
        <f t="shared" si="42"/>
        <v>1</v>
      </c>
      <c r="V289">
        <v>8</v>
      </c>
      <c r="W289">
        <v>8</v>
      </c>
      <c r="X289" s="32">
        <f t="shared" si="43"/>
        <v>0</v>
      </c>
      <c r="Y289">
        <v>9</v>
      </c>
      <c r="Z289">
        <v>8</v>
      </c>
      <c r="AA289" s="32">
        <f t="shared" si="44"/>
        <v>1</v>
      </c>
    </row>
    <row r="290" spans="1:27" x14ac:dyDescent="0.45">
      <c r="A290">
        <v>8</v>
      </c>
      <c r="B290">
        <v>8</v>
      </c>
      <c r="C290" s="32">
        <f t="shared" si="36"/>
        <v>0</v>
      </c>
      <c r="D290">
        <v>8</v>
      </c>
      <c r="E290">
        <v>8</v>
      </c>
      <c r="F290" s="32">
        <f t="shared" si="37"/>
        <v>0</v>
      </c>
      <c r="G290">
        <v>9</v>
      </c>
      <c r="H290">
        <v>8</v>
      </c>
      <c r="I290" s="32">
        <f t="shared" si="38"/>
        <v>1</v>
      </c>
      <c r="J290">
        <v>9</v>
      </c>
      <c r="K290">
        <v>8</v>
      </c>
      <c r="L290" s="32">
        <f t="shared" si="39"/>
        <v>1</v>
      </c>
      <c r="M290">
        <v>8</v>
      </c>
      <c r="N290">
        <v>8</v>
      </c>
      <c r="O290" s="32">
        <f t="shared" si="40"/>
        <v>0</v>
      </c>
      <c r="P290">
        <v>9</v>
      </c>
      <c r="Q290">
        <v>8</v>
      </c>
      <c r="R290" s="32">
        <f t="shared" si="41"/>
        <v>1</v>
      </c>
      <c r="S290">
        <v>8</v>
      </c>
      <c r="T290">
        <v>7</v>
      </c>
      <c r="U290" s="32">
        <f t="shared" si="42"/>
        <v>1</v>
      </c>
      <c r="V290">
        <v>8</v>
      </c>
      <c r="W290">
        <v>8</v>
      </c>
      <c r="X290" s="32">
        <f t="shared" si="43"/>
        <v>0</v>
      </c>
      <c r="Y290">
        <v>9</v>
      </c>
      <c r="Z290">
        <v>8</v>
      </c>
      <c r="AA290" s="32">
        <f t="shared" si="44"/>
        <v>1</v>
      </c>
    </row>
    <row r="291" spans="1:27" x14ac:dyDescent="0.45">
      <c r="A291">
        <v>8</v>
      </c>
      <c r="B291">
        <v>8</v>
      </c>
      <c r="C291" s="32">
        <f t="shared" si="36"/>
        <v>0</v>
      </c>
      <c r="D291">
        <v>8</v>
      </c>
      <c r="E291">
        <v>8</v>
      </c>
      <c r="F291" s="32">
        <f t="shared" si="37"/>
        <v>0</v>
      </c>
      <c r="G291">
        <v>9</v>
      </c>
      <c r="H291">
        <v>8</v>
      </c>
      <c r="I291" s="32">
        <f t="shared" si="38"/>
        <v>1</v>
      </c>
      <c r="J291">
        <v>9</v>
      </c>
      <c r="K291">
        <v>8</v>
      </c>
      <c r="L291" s="32">
        <f t="shared" si="39"/>
        <v>1</v>
      </c>
      <c r="M291">
        <v>8</v>
      </c>
      <c r="N291">
        <v>8</v>
      </c>
      <c r="O291" s="32">
        <f t="shared" si="40"/>
        <v>0</v>
      </c>
      <c r="P291">
        <v>9</v>
      </c>
      <c r="Q291">
        <v>8</v>
      </c>
      <c r="R291" s="32">
        <f t="shared" si="41"/>
        <v>1</v>
      </c>
      <c r="S291">
        <v>8</v>
      </c>
      <c r="T291">
        <v>8</v>
      </c>
      <c r="U291" s="32">
        <f t="shared" si="42"/>
        <v>0</v>
      </c>
      <c r="V291">
        <v>8</v>
      </c>
      <c r="W291">
        <v>8</v>
      </c>
      <c r="X291" s="32">
        <f t="shared" si="43"/>
        <v>0</v>
      </c>
      <c r="Y291">
        <v>9</v>
      </c>
      <c r="Z291">
        <v>8</v>
      </c>
      <c r="AA291" s="32">
        <f t="shared" si="44"/>
        <v>1</v>
      </c>
    </row>
    <row r="292" spans="1:27" x14ac:dyDescent="0.45">
      <c r="A292">
        <v>8</v>
      </c>
      <c r="B292">
        <v>8</v>
      </c>
      <c r="C292" s="32">
        <f t="shared" si="36"/>
        <v>0</v>
      </c>
      <c r="D292">
        <v>8</v>
      </c>
      <c r="E292">
        <v>8</v>
      </c>
      <c r="F292" s="32">
        <f t="shared" si="37"/>
        <v>0</v>
      </c>
      <c r="G292">
        <v>9</v>
      </c>
      <c r="H292">
        <v>8</v>
      </c>
      <c r="I292" s="32">
        <f t="shared" si="38"/>
        <v>1</v>
      </c>
      <c r="J292">
        <v>9</v>
      </c>
      <c r="K292">
        <v>8</v>
      </c>
      <c r="L292" s="32">
        <f t="shared" si="39"/>
        <v>1</v>
      </c>
      <c r="M292">
        <v>8</v>
      </c>
      <c r="N292">
        <v>8</v>
      </c>
      <c r="O292" s="32">
        <f t="shared" si="40"/>
        <v>0</v>
      </c>
      <c r="P292">
        <v>9</v>
      </c>
      <c r="Q292">
        <v>8</v>
      </c>
      <c r="R292" s="32">
        <f t="shared" si="41"/>
        <v>1</v>
      </c>
      <c r="S292">
        <v>8</v>
      </c>
      <c r="T292">
        <v>8</v>
      </c>
      <c r="U292" s="32">
        <f t="shared" si="42"/>
        <v>0</v>
      </c>
      <c r="V292">
        <v>8</v>
      </c>
      <c r="W292">
        <v>8</v>
      </c>
      <c r="X292" s="32">
        <f t="shared" si="43"/>
        <v>0</v>
      </c>
      <c r="Y292">
        <v>9</v>
      </c>
      <c r="Z292">
        <v>8</v>
      </c>
      <c r="AA292" s="32">
        <f t="shared" si="44"/>
        <v>1</v>
      </c>
    </row>
    <row r="293" spans="1:27" x14ac:dyDescent="0.45">
      <c r="A293">
        <v>8</v>
      </c>
      <c r="B293">
        <v>8</v>
      </c>
      <c r="C293" s="32">
        <f t="shared" si="36"/>
        <v>0</v>
      </c>
      <c r="D293">
        <v>8</v>
      </c>
      <c r="E293">
        <v>8</v>
      </c>
      <c r="F293" s="32">
        <f t="shared" si="37"/>
        <v>0</v>
      </c>
      <c r="G293">
        <v>9</v>
      </c>
      <c r="H293">
        <v>8</v>
      </c>
      <c r="I293" s="32">
        <f t="shared" si="38"/>
        <v>1</v>
      </c>
      <c r="J293">
        <v>9</v>
      </c>
      <c r="K293">
        <v>8</v>
      </c>
      <c r="L293" s="32">
        <f t="shared" si="39"/>
        <v>1</v>
      </c>
      <c r="M293">
        <v>8</v>
      </c>
      <c r="N293">
        <v>8</v>
      </c>
      <c r="O293" s="32">
        <f t="shared" si="40"/>
        <v>0</v>
      </c>
      <c r="P293">
        <v>9</v>
      </c>
      <c r="Q293">
        <v>8</v>
      </c>
      <c r="R293" s="32">
        <f t="shared" si="41"/>
        <v>1</v>
      </c>
      <c r="S293">
        <v>8</v>
      </c>
      <c r="T293">
        <v>8</v>
      </c>
      <c r="U293" s="32">
        <f t="shared" si="42"/>
        <v>0</v>
      </c>
      <c r="V293">
        <v>8</v>
      </c>
      <c r="W293">
        <v>8</v>
      </c>
      <c r="X293" s="32">
        <f t="shared" si="43"/>
        <v>0</v>
      </c>
      <c r="Y293">
        <v>9</v>
      </c>
      <c r="Z293">
        <v>8</v>
      </c>
      <c r="AA293" s="32">
        <f t="shared" si="44"/>
        <v>1</v>
      </c>
    </row>
    <row r="294" spans="1:27" x14ac:dyDescent="0.45">
      <c r="A294">
        <v>8</v>
      </c>
      <c r="B294">
        <v>8</v>
      </c>
      <c r="C294" s="32">
        <f t="shared" si="36"/>
        <v>0</v>
      </c>
      <c r="D294">
        <v>8</v>
      </c>
      <c r="E294">
        <v>8</v>
      </c>
      <c r="F294" s="32">
        <f t="shared" si="37"/>
        <v>0</v>
      </c>
      <c r="G294">
        <v>9</v>
      </c>
      <c r="H294">
        <v>8</v>
      </c>
      <c r="I294" s="32">
        <f t="shared" si="38"/>
        <v>1</v>
      </c>
      <c r="J294">
        <v>9</v>
      </c>
      <c r="K294">
        <v>8</v>
      </c>
      <c r="L294" s="32">
        <f t="shared" si="39"/>
        <v>1</v>
      </c>
      <c r="M294">
        <v>8</v>
      </c>
      <c r="N294">
        <v>8</v>
      </c>
      <c r="O294" s="32">
        <f t="shared" si="40"/>
        <v>0</v>
      </c>
      <c r="P294">
        <v>9</v>
      </c>
      <c r="Q294">
        <v>8</v>
      </c>
      <c r="R294" s="32">
        <f t="shared" si="41"/>
        <v>1</v>
      </c>
      <c r="S294">
        <v>8</v>
      </c>
      <c r="T294">
        <v>8</v>
      </c>
      <c r="U294" s="32">
        <f t="shared" si="42"/>
        <v>0</v>
      </c>
      <c r="V294">
        <v>8</v>
      </c>
      <c r="W294">
        <v>8</v>
      </c>
      <c r="X294" s="32">
        <f t="shared" si="43"/>
        <v>0</v>
      </c>
      <c r="Y294">
        <v>9</v>
      </c>
      <c r="Z294">
        <v>8</v>
      </c>
      <c r="AA294" s="32">
        <f t="shared" si="44"/>
        <v>1</v>
      </c>
    </row>
    <row r="295" spans="1:27" x14ac:dyDescent="0.45">
      <c r="A295">
        <v>8</v>
      </c>
      <c r="B295">
        <v>8</v>
      </c>
      <c r="C295" s="32">
        <f t="shared" si="36"/>
        <v>0</v>
      </c>
      <c r="D295">
        <v>8</v>
      </c>
      <c r="E295">
        <v>8</v>
      </c>
      <c r="F295" s="32">
        <f t="shared" si="37"/>
        <v>0</v>
      </c>
      <c r="G295">
        <v>9</v>
      </c>
      <c r="H295">
        <v>8</v>
      </c>
      <c r="I295" s="32">
        <f t="shared" si="38"/>
        <v>1</v>
      </c>
      <c r="J295">
        <v>9</v>
      </c>
      <c r="K295">
        <v>8</v>
      </c>
      <c r="L295" s="32">
        <f t="shared" si="39"/>
        <v>1</v>
      </c>
      <c r="M295">
        <v>8</v>
      </c>
      <c r="N295">
        <v>8</v>
      </c>
      <c r="O295" s="32">
        <f t="shared" si="40"/>
        <v>0</v>
      </c>
      <c r="P295">
        <v>9</v>
      </c>
      <c r="Q295">
        <v>8</v>
      </c>
      <c r="R295" s="32">
        <f t="shared" si="41"/>
        <v>1</v>
      </c>
      <c r="S295">
        <v>8</v>
      </c>
      <c r="T295">
        <v>8</v>
      </c>
      <c r="U295" s="32">
        <f t="shared" si="42"/>
        <v>0</v>
      </c>
      <c r="V295">
        <v>8</v>
      </c>
      <c r="W295">
        <v>8</v>
      </c>
      <c r="X295" s="32">
        <f t="shared" si="43"/>
        <v>0</v>
      </c>
      <c r="Y295">
        <v>9</v>
      </c>
      <c r="Z295">
        <v>8</v>
      </c>
      <c r="AA295" s="32">
        <f t="shared" si="44"/>
        <v>1</v>
      </c>
    </row>
    <row r="296" spans="1:27" x14ac:dyDescent="0.45">
      <c r="A296">
        <v>8</v>
      </c>
      <c r="B296">
        <v>8</v>
      </c>
      <c r="C296" s="32">
        <f t="shared" si="36"/>
        <v>0</v>
      </c>
      <c r="D296">
        <v>8</v>
      </c>
      <c r="E296">
        <v>8</v>
      </c>
      <c r="F296" s="32">
        <f t="shared" si="37"/>
        <v>0</v>
      </c>
      <c r="G296">
        <v>9</v>
      </c>
      <c r="H296">
        <v>8</v>
      </c>
      <c r="I296" s="32">
        <f t="shared" si="38"/>
        <v>1</v>
      </c>
      <c r="J296">
        <v>9</v>
      </c>
      <c r="K296">
        <v>8</v>
      </c>
      <c r="L296" s="32">
        <f t="shared" si="39"/>
        <v>1</v>
      </c>
      <c r="M296">
        <v>8</v>
      </c>
      <c r="N296">
        <v>8</v>
      </c>
      <c r="O296" s="32">
        <f t="shared" si="40"/>
        <v>0</v>
      </c>
      <c r="P296">
        <v>9</v>
      </c>
      <c r="Q296">
        <v>8</v>
      </c>
      <c r="R296" s="32">
        <f t="shared" si="41"/>
        <v>1</v>
      </c>
      <c r="S296">
        <v>8</v>
      </c>
      <c r="T296">
        <v>8</v>
      </c>
      <c r="U296" s="32">
        <f t="shared" si="42"/>
        <v>0</v>
      </c>
      <c r="V296">
        <v>8</v>
      </c>
      <c r="W296">
        <v>8</v>
      </c>
      <c r="X296" s="32">
        <f t="shared" si="43"/>
        <v>0</v>
      </c>
      <c r="Y296">
        <v>9</v>
      </c>
      <c r="Z296">
        <v>8</v>
      </c>
      <c r="AA296" s="32">
        <f t="shared" si="44"/>
        <v>1</v>
      </c>
    </row>
    <row r="297" spans="1:27" x14ac:dyDescent="0.45">
      <c r="A297">
        <v>8</v>
      </c>
      <c r="B297">
        <v>8</v>
      </c>
      <c r="C297" s="32">
        <f t="shared" si="36"/>
        <v>0</v>
      </c>
      <c r="D297">
        <v>8</v>
      </c>
      <c r="E297">
        <v>8</v>
      </c>
      <c r="F297" s="32">
        <f t="shared" si="37"/>
        <v>0</v>
      </c>
      <c r="G297">
        <v>9</v>
      </c>
      <c r="H297">
        <v>8</v>
      </c>
      <c r="I297" s="32">
        <f t="shared" si="38"/>
        <v>1</v>
      </c>
      <c r="J297">
        <v>9</v>
      </c>
      <c r="K297">
        <v>8</v>
      </c>
      <c r="L297" s="32">
        <f t="shared" si="39"/>
        <v>1</v>
      </c>
      <c r="M297">
        <v>8</v>
      </c>
      <c r="N297">
        <v>8</v>
      </c>
      <c r="O297" s="32">
        <f t="shared" si="40"/>
        <v>0</v>
      </c>
      <c r="P297">
        <v>9</v>
      </c>
      <c r="Q297">
        <v>8</v>
      </c>
      <c r="R297" s="32">
        <f t="shared" si="41"/>
        <v>1</v>
      </c>
      <c r="S297">
        <v>8</v>
      </c>
      <c r="T297">
        <v>8</v>
      </c>
      <c r="U297" s="32">
        <f t="shared" si="42"/>
        <v>0</v>
      </c>
      <c r="V297">
        <v>8</v>
      </c>
      <c r="W297">
        <v>8</v>
      </c>
      <c r="X297" s="32">
        <f t="shared" si="43"/>
        <v>0</v>
      </c>
      <c r="Y297">
        <v>9</v>
      </c>
      <c r="Z297">
        <v>8</v>
      </c>
      <c r="AA297" s="32">
        <f t="shared" si="44"/>
        <v>1</v>
      </c>
    </row>
    <row r="298" spans="1:27" x14ac:dyDescent="0.45">
      <c r="A298">
        <v>8</v>
      </c>
      <c r="B298">
        <v>8</v>
      </c>
      <c r="C298" s="32">
        <f t="shared" si="36"/>
        <v>0</v>
      </c>
      <c r="D298">
        <v>8</v>
      </c>
      <c r="E298">
        <v>8</v>
      </c>
      <c r="F298" s="32">
        <f t="shared" si="37"/>
        <v>0</v>
      </c>
      <c r="G298">
        <v>9</v>
      </c>
      <c r="H298">
        <v>8</v>
      </c>
      <c r="I298" s="32">
        <f t="shared" si="38"/>
        <v>1</v>
      </c>
      <c r="J298">
        <v>9</v>
      </c>
      <c r="K298">
        <v>8</v>
      </c>
      <c r="L298" s="32">
        <f t="shared" si="39"/>
        <v>1</v>
      </c>
      <c r="M298">
        <v>8</v>
      </c>
      <c r="N298">
        <v>8</v>
      </c>
      <c r="O298" s="32">
        <f t="shared" si="40"/>
        <v>0</v>
      </c>
      <c r="P298">
        <v>9</v>
      </c>
      <c r="Q298">
        <v>8</v>
      </c>
      <c r="R298" s="32">
        <f t="shared" si="41"/>
        <v>1</v>
      </c>
      <c r="S298">
        <v>8</v>
      </c>
      <c r="T298">
        <v>8</v>
      </c>
      <c r="U298" s="32">
        <f t="shared" si="42"/>
        <v>0</v>
      </c>
      <c r="V298">
        <v>8</v>
      </c>
      <c r="W298">
        <v>8</v>
      </c>
      <c r="X298" s="32">
        <f t="shared" si="43"/>
        <v>0</v>
      </c>
      <c r="Y298">
        <v>9</v>
      </c>
      <c r="Z298">
        <v>8</v>
      </c>
      <c r="AA298" s="32">
        <f t="shared" si="44"/>
        <v>1</v>
      </c>
    </row>
    <row r="299" spans="1:27" x14ac:dyDescent="0.45">
      <c r="A299">
        <v>8</v>
      </c>
      <c r="B299">
        <v>8</v>
      </c>
      <c r="C299" s="32">
        <f t="shared" si="36"/>
        <v>0</v>
      </c>
      <c r="D299">
        <v>8</v>
      </c>
      <c r="E299">
        <v>8</v>
      </c>
      <c r="F299" s="32">
        <f t="shared" si="37"/>
        <v>0</v>
      </c>
      <c r="G299">
        <v>9</v>
      </c>
      <c r="H299">
        <v>8</v>
      </c>
      <c r="I299" s="32">
        <f t="shared" si="38"/>
        <v>1</v>
      </c>
      <c r="J299">
        <v>9</v>
      </c>
      <c r="K299">
        <v>8</v>
      </c>
      <c r="L299" s="32">
        <f t="shared" si="39"/>
        <v>1</v>
      </c>
      <c r="M299">
        <v>8</v>
      </c>
      <c r="N299">
        <v>8</v>
      </c>
      <c r="O299" s="32">
        <f t="shared" si="40"/>
        <v>0</v>
      </c>
      <c r="P299">
        <v>9</v>
      </c>
      <c r="Q299">
        <v>8</v>
      </c>
      <c r="R299" s="32">
        <f t="shared" si="41"/>
        <v>1</v>
      </c>
      <c r="S299">
        <v>8</v>
      </c>
      <c r="T299">
        <v>8</v>
      </c>
      <c r="U299" s="32">
        <f t="shared" si="42"/>
        <v>0</v>
      </c>
      <c r="V299">
        <v>8</v>
      </c>
      <c r="W299">
        <v>8</v>
      </c>
      <c r="X299" s="32">
        <f t="shared" si="43"/>
        <v>0</v>
      </c>
      <c r="Y299">
        <v>9</v>
      </c>
      <c r="Z299">
        <v>8</v>
      </c>
      <c r="AA299" s="32">
        <f t="shared" si="44"/>
        <v>1</v>
      </c>
    </row>
    <row r="300" spans="1:27" x14ac:dyDescent="0.45">
      <c r="A300">
        <v>8</v>
      </c>
      <c r="B300">
        <v>8</v>
      </c>
      <c r="C300" s="32">
        <f t="shared" si="36"/>
        <v>0</v>
      </c>
      <c r="D300">
        <v>8</v>
      </c>
      <c r="E300">
        <v>8</v>
      </c>
      <c r="F300" s="32">
        <f t="shared" si="37"/>
        <v>0</v>
      </c>
      <c r="G300">
        <v>9</v>
      </c>
      <c r="H300">
        <v>8</v>
      </c>
      <c r="I300" s="32">
        <f t="shared" si="38"/>
        <v>1</v>
      </c>
      <c r="J300">
        <v>9</v>
      </c>
      <c r="K300">
        <v>8</v>
      </c>
      <c r="L300" s="32">
        <f t="shared" si="39"/>
        <v>1</v>
      </c>
      <c r="M300">
        <v>8</v>
      </c>
      <c r="N300">
        <v>8</v>
      </c>
      <c r="O300" s="32">
        <f t="shared" si="40"/>
        <v>0</v>
      </c>
      <c r="P300">
        <v>9</v>
      </c>
      <c r="Q300">
        <v>8</v>
      </c>
      <c r="R300" s="32">
        <f t="shared" si="41"/>
        <v>1</v>
      </c>
      <c r="S300">
        <v>8</v>
      </c>
      <c r="T300">
        <v>8</v>
      </c>
      <c r="U300" s="32">
        <f t="shared" si="42"/>
        <v>0</v>
      </c>
      <c r="V300">
        <v>8</v>
      </c>
      <c r="W300">
        <v>8</v>
      </c>
      <c r="X300" s="32">
        <f t="shared" si="43"/>
        <v>0</v>
      </c>
      <c r="Y300">
        <v>9</v>
      </c>
      <c r="Z300">
        <v>8</v>
      </c>
      <c r="AA300" s="32">
        <f t="shared" si="44"/>
        <v>1</v>
      </c>
    </row>
    <row r="301" spans="1:27" x14ac:dyDescent="0.45">
      <c r="A301">
        <v>8</v>
      </c>
      <c r="B301">
        <v>8</v>
      </c>
      <c r="C301" s="32">
        <f t="shared" si="36"/>
        <v>0</v>
      </c>
      <c r="D301">
        <v>8</v>
      </c>
      <c r="E301">
        <v>8</v>
      </c>
      <c r="F301" s="32">
        <f t="shared" si="37"/>
        <v>0</v>
      </c>
      <c r="G301">
        <v>9</v>
      </c>
      <c r="H301">
        <v>8</v>
      </c>
      <c r="I301" s="32">
        <f t="shared" si="38"/>
        <v>1</v>
      </c>
      <c r="J301">
        <v>9</v>
      </c>
      <c r="K301">
        <v>8</v>
      </c>
      <c r="L301" s="32">
        <f t="shared" si="39"/>
        <v>1</v>
      </c>
      <c r="M301">
        <v>8</v>
      </c>
      <c r="N301">
        <v>8</v>
      </c>
      <c r="O301" s="32">
        <f t="shared" si="40"/>
        <v>0</v>
      </c>
      <c r="P301">
        <v>9</v>
      </c>
      <c r="Q301">
        <v>8</v>
      </c>
      <c r="R301" s="32">
        <f t="shared" si="41"/>
        <v>1</v>
      </c>
      <c r="S301">
        <v>8</v>
      </c>
      <c r="T301">
        <v>8</v>
      </c>
      <c r="U301" s="32">
        <f t="shared" si="42"/>
        <v>0</v>
      </c>
      <c r="V301">
        <v>8</v>
      </c>
      <c r="W301">
        <v>8</v>
      </c>
      <c r="X301" s="32">
        <f t="shared" si="43"/>
        <v>0</v>
      </c>
      <c r="Y301">
        <v>9</v>
      </c>
      <c r="Z301">
        <v>8</v>
      </c>
      <c r="AA301" s="32">
        <f t="shared" si="44"/>
        <v>1</v>
      </c>
    </row>
    <row r="302" spans="1:27" x14ac:dyDescent="0.45">
      <c r="A302">
        <v>8</v>
      </c>
      <c r="B302">
        <v>8</v>
      </c>
      <c r="C302" s="32">
        <f t="shared" si="36"/>
        <v>0</v>
      </c>
      <c r="D302">
        <v>8</v>
      </c>
      <c r="E302">
        <v>8</v>
      </c>
      <c r="F302" s="32">
        <f t="shared" si="37"/>
        <v>0</v>
      </c>
      <c r="G302">
        <v>9</v>
      </c>
      <c r="H302">
        <v>8</v>
      </c>
      <c r="I302" s="32">
        <f t="shared" si="38"/>
        <v>1</v>
      </c>
      <c r="J302">
        <v>9</v>
      </c>
      <c r="K302">
        <v>8</v>
      </c>
      <c r="L302" s="32">
        <f t="shared" si="39"/>
        <v>1</v>
      </c>
      <c r="M302">
        <v>8</v>
      </c>
      <c r="N302">
        <v>8</v>
      </c>
      <c r="O302" s="32">
        <f t="shared" si="40"/>
        <v>0</v>
      </c>
      <c r="P302">
        <v>9</v>
      </c>
      <c r="Q302">
        <v>8</v>
      </c>
      <c r="R302" s="32">
        <f t="shared" si="41"/>
        <v>1</v>
      </c>
      <c r="S302">
        <v>8</v>
      </c>
      <c r="T302">
        <v>8</v>
      </c>
      <c r="U302" s="32">
        <f t="shared" si="42"/>
        <v>0</v>
      </c>
      <c r="V302">
        <v>8</v>
      </c>
      <c r="W302">
        <v>8</v>
      </c>
      <c r="X302" s="32">
        <f t="shared" si="43"/>
        <v>0</v>
      </c>
      <c r="Y302">
        <v>9</v>
      </c>
      <c r="Z302">
        <v>8</v>
      </c>
      <c r="AA302" s="32">
        <f t="shared" si="44"/>
        <v>1</v>
      </c>
    </row>
    <row r="303" spans="1:27" x14ac:dyDescent="0.45">
      <c r="A303">
        <v>8</v>
      </c>
      <c r="B303">
        <v>8</v>
      </c>
      <c r="C303" s="32">
        <f t="shared" si="36"/>
        <v>0</v>
      </c>
      <c r="D303">
        <v>8</v>
      </c>
      <c r="E303">
        <v>8</v>
      </c>
      <c r="F303" s="32">
        <f t="shared" si="37"/>
        <v>0</v>
      </c>
      <c r="G303">
        <v>9</v>
      </c>
      <c r="H303">
        <v>8</v>
      </c>
      <c r="I303" s="32">
        <f t="shared" si="38"/>
        <v>1</v>
      </c>
      <c r="J303">
        <v>9</v>
      </c>
      <c r="K303">
        <v>9</v>
      </c>
      <c r="L303" s="32">
        <f t="shared" si="39"/>
        <v>0</v>
      </c>
      <c r="M303">
        <v>8</v>
      </c>
      <c r="N303">
        <v>8</v>
      </c>
      <c r="O303" s="32">
        <f t="shared" si="40"/>
        <v>0</v>
      </c>
      <c r="P303">
        <v>9</v>
      </c>
      <c r="Q303">
        <v>8</v>
      </c>
      <c r="R303" s="32">
        <f t="shared" si="41"/>
        <v>1</v>
      </c>
      <c r="S303">
        <v>8</v>
      </c>
      <c r="T303">
        <v>8</v>
      </c>
      <c r="U303" s="32">
        <f t="shared" si="42"/>
        <v>0</v>
      </c>
      <c r="V303">
        <v>8</v>
      </c>
      <c r="W303">
        <v>8</v>
      </c>
      <c r="X303" s="32">
        <f t="shared" si="43"/>
        <v>0</v>
      </c>
      <c r="Y303">
        <v>9</v>
      </c>
      <c r="Z303">
        <v>8</v>
      </c>
      <c r="AA303" s="32">
        <f t="shared" si="44"/>
        <v>1</v>
      </c>
    </row>
    <row r="304" spans="1:27" x14ac:dyDescent="0.45">
      <c r="A304">
        <v>8</v>
      </c>
      <c r="B304">
        <v>8</v>
      </c>
      <c r="C304" s="32">
        <f t="shared" si="36"/>
        <v>0</v>
      </c>
      <c r="D304">
        <v>8</v>
      </c>
      <c r="E304">
        <v>9</v>
      </c>
      <c r="F304" s="32">
        <f t="shared" si="37"/>
        <v>1</v>
      </c>
      <c r="G304">
        <v>9</v>
      </c>
      <c r="H304">
        <v>8</v>
      </c>
      <c r="I304" s="32">
        <f t="shared" si="38"/>
        <v>1</v>
      </c>
      <c r="J304">
        <v>9</v>
      </c>
      <c r="K304">
        <v>9</v>
      </c>
      <c r="L304" s="32">
        <f t="shared" si="39"/>
        <v>0</v>
      </c>
      <c r="M304">
        <v>8</v>
      </c>
      <c r="N304">
        <v>8</v>
      </c>
      <c r="O304" s="32">
        <f t="shared" si="40"/>
        <v>0</v>
      </c>
      <c r="P304">
        <v>9</v>
      </c>
      <c r="Q304">
        <v>8</v>
      </c>
      <c r="R304" s="32">
        <f t="shared" si="41"/>
        <v>1</v>
      </c>
      <c r="S304">
        <v>8</v>
      </c>
      <c r="T304">
        <v>8</v>
      </c>
      <c r="U304" s="32">
        <f t="shared" si="42"/>
        <v>0</v>
      </c>
      <c r="V304">
        <v>8</v>
      </c>
      <c r="W304">
        <v>8</v>
      </c>
      <c r="X304" s="32">
        <f t="shared" si="43"/>
        <v>0</v>
      </c>
      <c r="Y304">
        <v>9</v>
      </c>
      <c r="Z304">
        <v>8</v>
      </c>
      <c r="AA304" s="32">
        <f t="shared" si="44"/>
        <v>1</v>
      </c>
    </row>
    <row r="305" spans="1:27" x14ac:dyDescent="0.45">
      <c r="A305">
        <v>8</v>
      </c>
      <c r="B305">
        <v>8</v>
      </c>
      <c r="C305" s="32">
        <f t="shared" si="36"/>
        <v>0</v>
      </c>
      <c r="D305">
        <v>8</v>
      </c>
      <c r="E305">
        <v>9</v>
      </c>
      <c r="F305" s="32">
        <f t="shared" si="37"/>
        <v>1</v>
      </c>
      <c r="G305">
        <v>9</v>
      </c>
      <c r="H305">
        <v>8</v>
      </c>
      <c r="I305" s="32">
        <f t="shared" si="38"/>
        <v>1</v>
      </c>
      <c r="J305">
        <v>9</v>
      </c>
      <c r="K305">
        <v>9</v>
      </c>
      <c r="L305" s="32">
        <f t="shared" si="39"/>
        <v>0</v>
      </c>
      <c r="M305">
        <v>8</v>
      </c>
      <c r="N305">
        <v>8</v>
      </c>
      <c r="O305" s="32">
        <f t="shared" si="40"/>
        <v>0</v>
      </c>
      <c r="P305">
        <v>9</v>
      </c>
      <c r="Q305">
        <v>8</v>
      </c>
      <c r="R305" s="32">
        <f t="shared" si="41"/>
        <v>1</v>
      </c>
      <c r="S305">
        <v>8</v>
      </c>
      <c r="T305">
        <v>8</v>
      </c>
      <c r="U305" s="32">
        <f t="shared" si="42"/>
        <v>0</v>
      </c>
      <c r="V305">
        <v>8</v>
      </c>
      <c r="W305">
        <v>8</v>
      </c>
      <c r="X305" s="32">
        <f t="shared" si="43"/>
        <v>0</v>
      </c>
      <c r="Y305">
        <v>9</v>
      </c>
      <c r="Z305">
        <v>8</v>
      </c>
      <c r="AA305" s="32">
        <f t="shared" si="44"/>
        <v>1</v>
      </c>
    </row>
    <row r="306" spans="1:27" x14ac:dyDescent="0.45">
      <c r="A306">
        <v>8</v>
      </c>
      <c r="B306">
        <v>8</v>
      </c>
      <c r="C306" s="32">
        <f t="shared" si="36"/>
        <v>0</v>
      </c>
      <c r="D306">
        <v>8</v>
      </c>
      <c r="E306">
        <v>9</v>
      </c>
      <c r="F306" s="32">
        <f t="shared" si="37"/>
        <v>1</v>
      </c>
      <c r="G306">
        <v>9</v>
      </c>
      <c r="H306">
        <v>8</v>
      </c>
      <c r="I306" s="32">
        <f t="shared" si="38"/>
        <v>1</v>
      </c>
      <c r="J306">
        <v>9</v>
      </c>
      <c r="K306">
        <v>9</v>
      </c>
      <c r="L306" s="32">
        <f t="shared" si="39"/>
        <v>0</v>
      </c>
      <c r="M306">
        <v>8</v>
      </c>
      <c r="N306">
        <v>8</v>
      </c>
      <c r="O306" s="32">
        <f t="shared" si="40"/>
        <v>0</v>
      </c>
      <c r="P306">
        <v>9</v>
      </c>
      <c r="Q306">
        <v>8</v>
      </c>
      <c r="R306" s="32">
        <f t="shared" si="41"/>
        <v>1</v>
      </c>
      <c r="S306">
        <v>8</v>
      </c>
      <c r="T306">
        <v>8</v>
      </c>
      <c r="U306" s="32">
        <f t="shared" si="42"/>
        <v>0</v>
      </c>
      <c r="V306">
        <v>8</v>
      </c>
      <c r="W306">
        <v>8</v>
      </c>
      <c r="X306" s="32">
        <f t="shared" si="43"/>
        <v>0</v>
      </c>
      <c r="Y306">
        <v>9</v>
      </c>
      <c r="Z306">
        <v>8</v>
      </c>
      <c r="AA306" s="32">
        <f t="shared" si="44"/>
        <v>1</v>
      </c>
    </row>
    <row r="307" spans="1:27" x14ac:dyDescent="0.45">
      <c r="A307">
        <v>8</v>
      </c>
      <c r="B307">
        <v>8</v>
      </c>
      <c r="C307" s="32">
        <f t="shared" si="36"/>
        <v>0</v>
      </c>
      <c r="D307">
        <v>8</v>
      </c>
      <c r="E307">
        <v>9</v>
      </c>
      <c r="F307" s="32">
        <f t="shared" si="37"/>
        <v>1</v>
      </c>
      <c r="G307">
        <v>9</v>
      </c>
      <c r="H307">
        <v>8</v>
      </c>
      <c r="I307" s="32">
        <f t="shared" si="38"/>
        <v>1</v>
      </c>
      <c r="J307">
        <v>9</v>
      </c>
      <c r="K307">
        <v>9</v>
      </c>
      <c r="L307" s="32">
        <f t="shared" si="39"/>
        <v>0</v>
      </c>
      <c r="M307">
        <v>8</v>
      </c>
      <c r="N307">
        <v>8</v>
      </c>
      <c r="O307" s="32">
        <f t="shared" si="40"/>
        <v>0</v>
      </c>
      <c r="P307">
        <v>9</v>
      </c>
      <c r="Q307">
        <v>8</v>
      </c>
      <c r="R307" s="32">
        <f t="shared" si="41"/>
        <v>1</v>
      </c>
      <c r="S307">
        <v>8</v>
      </c>
      <c r="T307">
        <v>8</v>
      </c>
      <c r="U307" s="32">
        <f t="shared" si="42"/>
        <v>0</v>
      </c>
      <c r="V307">
        <v>8</v>
      </c>
      <c r="W307">
        <v>8</v>
      </c>
      <c r="X307" s="32">
        <f t="shared" si="43"/>
        <v>0</v>
      </c>
      <c r="Y307">
        <v>9</v>
      </c>
      <c r="Z307">
        <v>8</v>
      </c>
      <c r="AA307" s="32">
        <f t="shared" si="44"/>
        <v>1</v>
      </c>
    </row>
    <row r="308" spans="1:27" x14ac:dyDescent="0.45">
      <c r="A308">
        <v>8</v>
      </c>
      <c r="B308">
        <v>8</v>
      </c>
      <c r="C308" s="32">
        <f t="shared" si="36"/>
        <v>0</v>
      </c>
      <c r="D308">
        <v>8</v>
      </c>
      <c r="E308">
        <v>9</v>
      </c>
      <c r="F308" s="32">
        <f t="shared" si="37"/>
        <v>1</v>
      </c>
      <c r="G308">
        <v>9</v>
      </c>
      <c r="H308">
        <v>8</v>
      </c>
      <c r="I308" s="32">
        <f t="shared" si="38"/>
        <v>1</v>
      </c>
      <c r="J308">
        <v>9</v>
      </c>
      <c r="K308">
        <v>9</v>
      </c>
      <c r="L308" s="32">
        <f t="shared" si="39"/>
        <v>0</v>
      </c>
      <c r="M308">
        <v>8</v>
      </c>
      <c r="N308">
        <v>8</v>
      </c>
      <c r="O308" s="32">
        <f t="shared" si="40"/>
        <v>0</v>
      </c>
      <c r="P308">
        <v>9</v>
      </c>
      <c r="Q308">
        <v>8</v>
      </c>
      <c r="R308" s="32">
        <f t="shared" si="41"/>
        <v>1</v>
      </c>
      <c r="S308">
        <v>8</v>
      </c>
      <c r="T308">
        <v>8</v>
      </c>
      <c r="U308" s="32">
        <f t="shared" si="42"/>
        <v>0</v>
      </c>
      <c r="V308">
        <v>8</v>
      </c>
      <c r="W308">
        <v>8</v>
      </c>
      <c r="X308" s="32">
        <f t="shared" si="43"/>
        <v>0</v>
      </c>
      <c r="Y308">
        <v>9</v>
      </c>
      <c r="Z308">
        <v>8</v>
      </c>
      <c r="AA308" s="32">
        <f t="shared" si="44"/>
        <v>1</v>
      </c>
    </row>
    <row r="309" spans="1:27" x14ac:dyDescent="0.45">
      <c r="A309">
        <v>8</v>
      </c>
      <c r="B309">
        <v>8</v>
      </c>
      <c r="C309" s="32">
        <f t="shared" si="36"/>
        <v>0</v>
      </c>
      <c r="D309">
        <v>8</v>
      </c>
      <c r="E309">
        <v>9</v>
      </c>
      <c r="F309" s="32">
        <f t="shared" si="37"/>
        <v>1</v>
      </c>
      <c r="G309">
        <v>9</v>
      </c>
      <c r="H309">
        <v>8</v>
      </c>
      <c r="I309" s="32">
        <f t="shared" si="38"/>
        <v>1</v>
      </c>
      <c r="J309">
        <v>9</v>
      </c>
      <c r="K309">
        <v>9</v>
      </c>
      <c r="L309" s="32">
        <f t="shared" si="39"/>
        <v>0</v>
      </c>
      <c r="M309">
        <v>8</v>
      </c>
      <c r="N309">
        <v>8</v>
      </c>
      <c r="O309" s="32">
        <f t="shared" si="40"/>
        <v>0</v>
      </c>
      <c r="P309">
        <v>9</v>
      </c>
      <c r="Q309">
        <v>8</v>
      </c>
      <c r="R309" s="32">
        <f t="shared" si="41"/>
        <v>1</v>
      </c>
      <c r="S309">
        <v>8</v>
      </c>
      <c r="T309">
        <v>8</v>
      </c>
      <c r="U309" s="32">
        <f t="shared" si="42"/>
        <v>0</v>
      </c>
      <c r="V309">
        <v>8</v>
      </c>
      <c r="W309">
        <v>8</v>
      </c>
      <c r="X309" s="32">
        <f t="shared" si="43"/>
        <v>0</v>
      </c>
      <c r="Y309">
        <v>9</v>
      </c>
      <c r="Z309">
        <v>8</v>
      </c>
      <c r="AA309" s="32">
        <f t="shared" si="44"/>
        <v>1</v>
      </c>
    </row>
    <row r="310" spans="1:27" x14ac:dyDescent="0.45">
      <c r="A310">
        <v>8</v>
      </c>
      <c r="B310">
        <v>8</v>
      </c>
      <c r="C310" s="32">
        <f t="shared" si="36"/>
        <v>0</v>
      </c>
      <c r="D310">
        <v>8</v>
      </c>
      <c r="E310">
        <v>9</v>
      </c>
      <c r="F310" s="32">
        <f t="shared" si="37"/>
        <v>1</v>
      </c>
      <c r="G310">
        <v>9</v>
      </c>
      <c r="H310">
        <v>8</v>
      </c>
      <c r="I310" s="32">
        <f t="shared" si="38"/>
        <v>1</v>
      </c>
      <c r="J310">
        <v>9</v>
      </c>
      <c r="K310">
        <v>9</v>
      </c>
      <c r="L310" s="32">
        <f t="shared" si="39"/>
        <v>0</v>
      </c>
      <c r="M310">
        <v>8</v>
      </c>
      <c r="N310">
        <v>8</v>
      </c>
      <c r="O310" s="32">
        <f t="shared" si="40"/>
        <v>0</v>
      </c>
      <c r="P310">
        <v>9</v>
      </c>
      <c r="Q310">
        <v>8</v>
      </c>
      <c r="R310" s="32">
        <f t="shared" si="41"/>
        <v>1</v>
      </c>
      <c r="S310">
        <v>8</v>
      </c>
      <c r="T310">
        <v>8</v>
      </c>
      <c r="U310" s="32">
        <f t="shared" si="42"/>
        <v>0</v>
      </c>
      <c r="V310">
        <v>8</v>
      </c>
      <c r="W310">
        <v>8</v>
      </c>
      <c r="X310" s="32">
        <f t="shared" si="43"/>
        <v>0</v>
      </c>
      <c r="Y310">
        <v>9</v>
      </c>
      <c r="Z310">
        <v>8</v>
      </c>
      <c r="AA310" s="32">
        <f t="shared" si="44"/>
        <v>1</v>
      </c>
    </row>
    <row r="311" spans="1:27" x14ac:dyDescent="0.45">
      <c r="A311">
        <v>8</v>
      </c>
      <c r="B311">
        <v>8</v>
      </c>
      <c r="C311" s="32">
        <f t="shared" si="36"/>
        <v>0</v>
      </c>
      <c r="D311">
        <v>8</v>
      </c>
      <c r="E311">
        <v>9</v>
      </c>
      <c r="F311" s="32">
        <f t="shared" si="37"/>
        <v>1</v>
      </c>
      <c r="G311">
        <v>9</v>
      </c>
      <c r="H311">
        <v>8</v>
      </c>
      <c r="I311" s="32">
        <f t="shared" si="38"/>
        <v>1</v>
      </c>
      <c r="J311">
        <v>9</v>
      </c>
      <c r="K311">
        <v>9</v>
      </c>
      <c r="L311" s="32">
        <f t="shared" si="39"/>
        <v>0</v>
      </c>
      <c r="M311">
        <v>8</v>
      </c>
      <c r="N311">
        <v>8</v>
      </c>
      <c r="O311" s="32">
        <f t="shared" si="40"/>
        <v>0</v>
      </c>
      <c r="P311">
        <v>9</v>
      </c>
      <c r="Q311">
        <v>8</v>
      </c>
      <c r="R311" s="32">
        <f t="shared" si="41"/>
        <v>1</v>
      </c>
      <c r="S311">
        <v>8</v>
      </c>
      <c r="T311">
        <v>8</v>
      </c>
      <c r="U311" s="32">
        <f t="shared" si="42"/>
        <v>0</v>
      </c>
      <c r="V311">
        <v>8</v>
      </c>
      <c r="W311">
        <v>8</v>
      </c>
      <c r="X311" s="32">
        <f t="shared" si="43"/>
        <v>0</v>
      </c>
      <c r="Y311">
        <v>9</v>
      </c>
      <c r="Z311">
        <v>8</v>
      </c>
      <c r="AA311" s="32">
        <f t="shared" si="44"/>
        <v>1</v>
      </c>
    </row>
    <row r="312" spans="1:27" x14ac:dyDescent="0.45">
      <c r="A312">
        <v>8</v>
      </c>
      <c r="B312">
        <v>8</v>
      </c>
      <c r="C312" s="32">
        <f t="shared" si="36"/>
        <v>0</v>
      </c>
      <c r="D312">
        <v>8</v>
      </c>
      <c r="E312">
        <v>9</v>
      </c>
      <c r="F312" s="32">
        <f t="shared" si="37"/>
        <v>1</v>
      </c>
      <c r="G312">
        <v>9</v>
      </c>
      <c r="H312">
        <v>8</v>
      </c>
      <c r="I312" s="32">
        <f t="shared" si="38"/>
        <v>1</v>
      </c>
      <c r="J312">
        <v>9</v>
      </c>
      <c r="K312">
        <v>9</v>
      </c>
      <c r="L312" s="32">
        <f t="shared" si="39"/>
        <v>0</v>
      </c>
      <c r="M312">
        <v>8</v>
      </c>
      <c r="N312">
        <v>8</v>
      </c>
      <c r="O312" s="32">
        <f t="shared" si="40"/>
        <v>0</v>
      </c>
      <c r="P312">
        <v>9</v>
      </c>
      <c r="Q312">
        <v>8</v>
      </c>
      <c r="R312" s="32">
        <f t="shared" si="41"/>
        <v>1</v>
      </c>
      <c r="S312">
        <v>8</v>
      </c>
      <c r="T312">
        <v>8</v>
      </c>
      <c r="U312" s="32">
        <f t="shared" si="42"/>
        <v>0</v>
      </c>
      <c r="V312">
        <v>8</v>
      </c>
      <c r="W312">
        <v>8</v>
      </c>
      <c r="X312" s="32">
        <f t="shared" si="43"/>
        <v>0</v>
      </c>
      <c r="Y312">
        <v>9</v>
      </c>
      <c r="Z312">
        <v>8</v>
      </c>
      <c r="AA312" s="32">
        <f t="shared" si="44"/>
        <v>1</v>
      </c>
    </row>
    <row r="313" spans="1:27" x14ac:dyDescent="0.45">
      <c r="A313">
        <v>8</v>
      </c>
      <c r="B313">
        <v>8</v>
      </c>
      <c r="C313" s="32">
        <f t="shared" si="36"/>
        <v>0</v>
      </c>
      <c r="D313">
        <v>8</v>
      </c>
      <c r="E313">
        <v>9</v>
      </c>
      <c r="F313" s="32">
        <f t="shared" si="37"/>
        <v>1</v>
      </c>
      <c r="G313">
        <v>9</v>
      </c>
      <c r="H313">
        <v>8</v>
      </c>
      <c r="I313" s="32">
        <f t="shared" si="38"/>
        <v>1</v>
      </c>
      <c r="J313">
        <v>9</v>
      </c>
      <c r="K313">
        <v>9</v>
      </c>
      <c r="L313" s="32">
        <f t="shared" si="39"/>
        <v>0</v>
      </c>
      <c r="M313">
        <v>8</v>
      </c>
      <c r="N313">
        <v>8</v>
      </c>
      <c r="O313" s="32">
        <f t="shared" si="40"/>
        <v>0</v>
      </c>
      <c r="P313">
        <v>9</v>
      </c>
      <c r="Q313">
        <v>8</v>
      </c>
      <c r="R313" s="32">
        <f t="shared" si="41"/>
        <v>1</v>
      </c>
      <c r="S313">
        <v>8</v>
      </c>
      <c r="T313">
        <v>8</v>
      </c>
      <c r="U313" s="32">
        <f t="shared" si="42"/>
        <v>0</v>
      </c>
      <c r="V313">
        <v>8</v>
      </c>
      <c r="W313">
        <v>8</v>
      </c>
      <c r="X313" s="32">
        <f t="shared" si="43"/>
        <v>0</v>
      </c>
      <c r="Y313">
        <v>9</v>
      </c>
      <c r="Z313">
        <v>8</v>
      </c>
      <c r="AA313" s="32">
        <f t="shared" si="44"/>
        <v>1</v>
      </c>
    </row>
    <row r="314" spans="1:27" x14ac:dyDescent="0.45">
      <c r="A314">
        <v>8</v>
      </c>
      <c r="B314">
        <v>8</v>
      </c>
      <c r="C314" s="32">
        <f t="shared" si="36"/>
        <v>0</v>
      </c>
      <c r="D314">
        <v>8</v>
      </c>
      <c r="E314">
        <v>9</v>
      </c>
      <c r="F314" s="32">
        <f t="shared" si="37"/>
        <v>1</v>
      </c>
      <c r="G314">
        <v>9</v>
      </c>
      <c r="H314">
        <v>8</v>
      </c>
      <c r="I314" s="32">
        <f t="shared" si="38"/>
        <v>1</v>
      </c>
      <c r="J314">
        <v>9</v>
      </c>
      <c r="K314">
        <v>9</v>
      </c>
      <c r="L314" s="32">
        <f t="shared" si="39"/>
        <v>0</v>
      </c>
      <c r="M314">
        <v>8</v>
      </c>
      <c r="N314">
        <v>8</v>
      </c>
      <c r="O314" s="32">
        <f t="shared" si="40"/>
        <v>0</v>
      </c>
      <c r="P314">
        <v>9</v>
      </c>
      <c r="Q314">
        <v>8</v>
      </c>
      <c r="R314" s="32">
        <f t="shared" si="41"/>
        <v>1</v>
      </c>
      <c r="S314">
        <v>8</v>
      </c>
      <c r="T314">
        <v>8</v>
      </c>
      <c r="U314" s="32">
        <f t="shared" si="42"/>
        <v>0</v>
      </c>
      <c r="V314">
        <v>9</v>
      </c>
      <c r="W314">
        <v>8</v>
      </c>
      <c r="X314" s="32">
        <f t="shared" si="43"/>
        <v>1</v>
      </c>
      <c r="Y314">
        <v>9</v>
      </c>
      <c r="Z314">
        <v>8</v>
      </c>
      <c r="AA314" s="32">
        <f t="shared" si="44"/>
        <v>1</v>
      </c>
    </row>
    <row r="315" spans="1:27" x14ac:dyDescent="0.45">
      <c r="A315">
        <v>8</v>
      </c>
      <c r="B315">
        <v>8</v>
      </c>
      <c r="C315" s="32">
        <f t="shared" si="36"/>
        <v>0</v>
      </c>
      <c r="D315">
        <v>8</v>
      </c>
      <c r="E315">
        <v>9</v>
      </c>
      <c r="F315" s="32">
        <f t="shared" si="37"/>
        <v>1</v>
      </c>
      <c r="G315">
        <v>9</v>
      </c>
      <c r="H315">
        <v>8</v>
      </c>
      <c r="I315" s="32">
        <f t="shared" si="38"/>
        <v>1</v>
      </c>
      <c r="J315">
        <v>9</v>
      </c>
      <c r="K315">
        <v>9</v>
      </c>
      <c r="L315" s="32">
        <f t="shared" si="39"/>
        <v>0</v>
      </c>
      <c r="M315">
        <v>8</v>
      </c>
      <c r="N315">
        <v>8</v>
      </c>
      <c r="O315" s="32">
        <f t="shared" si="40"/>
        <v>0</v>
      </c>
      <c r="P315">
        <v>9</v>
      </c>
      <c r="Q315">
        <v>8</v>
      </c>
      <c r="R315" s="32">
        <f t="shared" si="41"/>
        <v>1</v>
      </c>
      <c r="S315">
        <v>8</v>
      </c>
      <c r="T315">
        <v>8</v>
      </c>
      <c r="U315" s="32">
        <f t="shared" si="42"/>
        <v>0</v>
      </c>
      <c r="V315">
        <v>9</v>
      </c>
      <c r="W315">
        <v>8</v>
      </c>
      <c r="X315" s="32">
        <f t="shared" si="43"/>
        <v>1</v>
      </c>
      <c r="Y315">
        <v>9</v>
      </c>
      <c r="Z315">
        <v>8</v>
      </c>
      <c r="AA315" s="32">
        <f t="shared" si="44"/>
        <v>1</v>
      </c>
    </row>
    <row r="316" spans="1:27" x14ac:dyDescent="0.45">
      <c r="A316">
        <v>8</v>
      </c>
      <c r="B316">
        <v>9</v>
      </c>
      <c r="C316" s="32">
        <f t="shared" si="36"/>
        <v>1</v>
      </c>
      <c r="D316">
        <v>8</v>
      </c>
      <c r="E316">
        <v>9</v>
      </c>
      <c r="F316" s="32">
        <f t="shared" si="37"/>
        <v>1</v>
      </c>
      <c r="G316">
        <v>9</v>
      </c>
      <c r="H316">
        <v>8</v>
      </c>
      <c r="I316" s="32">
        <f t="shared" si="38"/>
        <v>1</v>
      </c>
      <c r="J316">
        <v>9</v>
      </c>
      <c r="K316">
        <v>9</v>
      </c>
      <c r="L316" s="32">
        <f t="shared" si="39"/>
        <v>0</v>
      </c>
      <c r="M316">
        <v>8</v>
      </c>
      <c r="N316">
        <v>8</v>
      </c>
      <c r="O316" s="32">
        <f t="shared" si="40"/>
        <v>0</v>
      </c>
      <c r="P316">
        <v>9</v>
      </c>
      <c r="Q316">
        <v>8</v>
      </c>
      <c r="R316" s="32">
        <f t="shared" si="41"/>
        <v>1</v>
      </c>
      <c r="S316">
        <v>8</v>
      </c>
      <c r="T316">
        <v>8</v>
      </c>
      <c r="U316" s="32">
        <f t="shared" si="42"/>
        <v>0</v>
      </c>
      <c r="V316">
        <v>9</v>
      </c>
      <c r="W316">
        <v>8</v>
      </c>
      <c r="X316" s="32">
        <f t="shared" si="43"/>
        <v>1</v>
      </c>
      <c r="Y316">
        <v>9</v>
      </c>
      <c r="Z316">
        <v>8</v>
      </c>
      <c r="AA316" s="32">
        <f t="shared" si="44"/>
        <v>1</v>
      </c>
    </row>
    <row r="317" spans="1:27" x14ac:dyDescent="0.45">
      <c r="A317">
        <v>8</v>
      </c>
      <c r="B317">
        <v>9</v>
      </c>
      <c r="C317" s="32">
        <f t="shared" si="36"/>
        <v>1</v>
      </c>
      <c r="D317">
        <v>8</v>
      </c>
      <c r="E317">
        <v>9</v>
      </c>
      <c r="F317" s="32">
        <f t="shared" si="37"/>
        <v>1</v>
      </c>
      <c r="G317">
        <v>9</v>
      </c>
      <c r="H317">
        <v>8</v>
      </c>
      <c r="I317" s="32">
        <f t="shared" si="38"/>
        <v>1</v>
      </c>
      <c r="J317">
        <v>9</v>
      </c>
      <c r="K317">
        <v>9</v>
      </c>
      <c r="L317" s="32">
        <f t="shared" si="39"/>
        <v>0</v>
      </c>
      <c r="M317">
        <v>8</v>
      </c>
      <c r="N317">
        <v>8</v>
      </c>
      <c r="O317" s="32">
        <f t="shared" si="40"/>
        <v>0</v>
      </c>
      <c r="P317">
        <v>9</v>
      </c>
      <c r="Q317">
        <v>8</v>
      </c>
      <c r="R317" s="32">
        <f t="shared" si="41"/>
        <v>1</v>
      </c>
      <c r="S317">
        <v>8</v>
      </c>
      <c r="T317">
        <v>8</v>
      </c>
      <c r="U317" s="32">
        <f t="shared" si="42"/>
        <v>0</v>
      </c>
      <c r="V317">
        <v>9</v>
      </c>
      <c r="W317">
        <v>8</v>
      </c>
      <c r="X317" s="32">
        <f t="shared" si="43"/>
        <v>1</v>
      </c>
      <c r="Y317">
        <v>9</v>
      </c>
      <c r="Z317">
        <v>8</v>
      </c>
      <c r="AA317" s="32">
        <f t="shared" si="44"/>
        <v>1</v>
      </c>
    </row>
    <row r="318" spans="1:27" x14ac:dyDescent="0.45">
      <c r="A318">
        <v>8</v>
      </c>
      <c r="B318">
        <v>9</v>
      </c>
      <c r="C318" s="32">
        <f t="shared" si="36"/>
        <v>1</v>
      </c>
      <c r="D318">
        <v>8</v>
      </c>
      <c r="E318">
        <v>9</v>
      </c>
      <c r="F318" s="32">
        <f t="shared" si="37"/>
        <v>1</v>
      </c>
      <c r="G318">
        <v>9</v>
      </c>
      <c r="H318">
        <v>8</v>
      </c>
      <c r="I318" s="32">
        <f t="shared" si="38"/>
        <v>1</v>
      </c>
      <c r="J318">
        <v>9</v>
      </c>
      <c r="K318">
        <v>9</v>
      </c>
      <c r="L318" s="32">
        <f t="shared" si="39"/>
        <v>0</v>
      </c>
      <c r="M318">
        <v>8</v>
      </c>
      <c r="N318">
        <v>8</v>
      </c>
      <c r="O318" s="32">
        <f t="shared" si="40"/>
        <v>0</v>
      </c>
      <c r="P318">
        <v>9</v>
      </c>
      <c r="Q318">
        <v>8</v>
      </c>
      <c r="R318" s="32">
        <f t="shared" si="41"/>
        <v>1</v>
      </c>
      <c r="S318">
        <v>8</v>
      </c>
      <c r="T318">
        <v>8</v>
      </c>
      <c r="U318" s="32">
        <f t="shared" si="42"/>
        <v>0</v>
      </c>
      <c r="V318">
        <v>9</v>
      </c>
      <c r="W318">
        <v>8</v>
      </c>
      <c r="X318" s="32">
        <f t="shared" si="43"/>
        <v>1</v>
      </c>
      <c r="Y318">
        <v>9</v>
      </c>
      <c r="Z318">
        <v>8</v>
      </c>
      <c r="AA318" s="32">
        <f t="shared" si="44"/>
        <v>1</v>
      </c>
    </row>
    <row r="319" spans="1:27" x14ac:dyDescent="0.45">
      <c r="A319">
        <v>8</v>
      </c>
      <c r="B319">
        <v>9</v>
      </c>
      <c r="C319" s="32">
        <f t="shared" si="36"/>
        <v>1</v>
      </c>
      <c r="D319">
        <v>8</v>
      </c>
      <c r="E319">
        <v>9</v>
      </c>
      <c r="F319" s="32">
        <f t="shared" si="37"/>
        <v>1</v>
      </c>
      <c r="G319">
        <v>9</v>
      </c>
      <c r="H319">
        <v>8</v>
      </c>
      <c r="I319" s="32">
        <f t="shared" si="38"/>
        <v>1</v>
      </c>
      <c r="J319">
        <v>9</v>
      </c>
      <c r="K319">
        <v>9</v>
      </c>
      <c r="L319" s="32">
        <f t="shared" si="39"/>
        <v>0</v>
      </c>
      <c r="M319">
        <v>8</v>
      </c>
      <c r="N319">
        <v>8</v>
      </c>
      <c r="O319" s="32">
        <f t="shared" si="40"/>
        <v>0</v>
      </c>
      <c r="P319">
        <v>9</v>
      </c>
      <c r="Q319">
        <v>8</v>
      </c>
      <c r="R319" s="32">
        <f t="shared" si="41"/>
        <v>1</v>
      </c>
      <c r="S319">
        <v>8</v>
      </c>
      <c r="T319">
        <v>8</v>
      </c>
      <c r="U319" s="32">
        <f t="shared" si="42"/>
        <v>0</v>
      </c>
      <c r="V319">
        <v>9</v>
      </c>
      <c r="W319">
        <v>8</v>
      </c>
      <c r="X319" s="32">
        <f t="shared" si="43"/>
        <v>1</v>
      </c>
      <c r="Y319">
        <v>9</v>
      </c>
      <c r="Z319">
        <v>9</v>
      </c>
      <c r="AA319" s="32">
        <f t="shared" si="44"/>
        <v>0</v>
      </c>
    </row>
    <row r="320" spans="1:27" x14ac:dyDescent="0.45">
      <c r="A320">
        <v>8</v>
      </c>
      <c r="B320">
        <v>9</v>
      </c>
      <c r="C320" s="32">
        <f t="shared" si="36"/>
        <v>1</v>
      </c>
      <c r="D320">
        <v>8</v>
      </c>
      <c r="E320">
        <v>9</v>
      </c>
      <c r="F320" s="32">
        <f t="shared" si="37"/>
        <v>1</v>
      </c>
      <c r="G320">
        <v>9</v>
      </c>
      <c r="H320">
        <v>8</v>
      </c>
      <c r="I320" s="32">
        <f t="shared" si="38"/>
        <v>1</v>
      </c>
      <c r="J320">
        <v>9</v>
      </c>
      <c r="K320">
        <v>9</v>
      </c>
      <c r="L320" s="32">
        <f t="shared" si="39"/>
        <v>0</v>
      </c>
      <c r="M320">
        <v>8</v>
      </c>
      <c r="N320">
        <v>8</v>
      </c>
      <c r="O320" s="32">
        <f t="shared" si="40"/>
        <v>0</v>
      </c>
      <c r="P320">
        <v>9</v>
      </c>
      <c r="Q320">
        <v>9</v>
      </c>
      <c r="R320" s="32">
        <f t="shared" si="41"/>
        <v>0</v>
      </c>
      <c r="S320">
        <v>8</v>
      </c>
      <c r="T320">
        <v>8</v>
      </c>
      <c r="U320" s="32">
        <f t="shared" si="42"/>
        <v>0</v>
      </c>
      <c r="V320">
        <v>9</v>
      </c>
      <c r="W320">
        <v>8</v>
      </c>
      <c r="X320" s="32">
        <f t="shared" si="43"/>
        <v>1</v>
      </c>
      <c r="Y320">
        <v>9</v>
      </c>
      <c r="Z320">
        <v>9</v>
      </c>
      <c r="AA320" s="32">
        <f t="shared" si="44"/>
        <v>0</v>
      </c>
    </row>
    <row r="321" spans="1:27" x14ac:dyDescent="0.45">
      <c r="A321">
        <v>8</v>
      </c>
      <c r="B321">
        <v>9</v>
      </c>
      <c r="C321" s="32">
        <f t="shared" si="36"/>
        <v>1</v>
      </c>
      <c r="D321">
        <v>8</v>
      </c>
      <c r="E321">
        <v>9</v>
      </c>
      <c r="F321" s="32">
        <f t="shared" si="37"/>
        <v>1</v>
      </c>
      <c r="G321">
        <v>9</v>
      </c>
      <c r="H321">
        <v>8</v>
      </c>
      <c r="I321" s="32">
        <f t="shared" si="38"/>
        <v>1</v>
      </c>
      <c r="J321">
        <v>9</v>
      </c>
      <c r="K321">
        <v>9</v>
      </c>
      <c r="L321" s="32">
        <f t="shared" si="39"/>
        <v>0</v>
      </c>
      <c r="M321">
        <v>8</v>
      </c>
      <c r="N321">
        <v>8</v>
      </c>
      <c r="O321" s="32">
        <f t="shared" si="40"/>
        <v>0</v>
      </c>
      <c r="P321">
        <v>9</v>
      </c>
      <c r="Q321">
        <v>9</v>
      </c>
      <c r="R321" s="32">
        <f t="shared" si="41"/>
        <v>0</v>
      </c>
      <c r="S321">
        <v>8</v>
      </c>
      <c r="T321">
        <v>8</v>
      </c>
      <c r="U321" s="32">
        <f t="shared" si="42"/>
        <v>0</v>
      </c>
      <c r="V321">
        <v>9</v>
      </c>
      <c r="W321">
        <v>8</v>
      </c>
      <c r="X321" s="32">
        <f t="shared" si="43"/>
        <v>1</v>
      </c>
      <c r="Y321">
        <v>9</v>
      </c>
      <c r="Z321">
        <v>9</v>
      </c>
      <c r="AA321" s="32">
        <f t="shared" si="44"/>
        <v>0</v>
      </c>
    </row>
    <row r="322" spans="1:27" x14ac:dyDescent="0.45">
      <c r="A322">
        <v>8</v>
      </c>
      <c r="B322">
        <v>9</v>
      </c>
      <c r="C322" s="32">
        <f t="shared" si="36"/>
        <v>1</v>
      </c>
      <c r="D322">
        <v>8</v>
      </c>
      <c r="E322">
        <v>9</v>
      </c>
      <c r="F322" s="32">
        <f t="shared" si="37"/>
        <v>1</v>
      </c>
      <c r="G322">
        <v>9</v>
      </c>
      <c r="H322">
        <v>8</v>
      </c>
      <c r="I322" s="32">
        <f t="shared" si="38"/>
        <v>1</v>
      </c>
      <c r="J322">
        <v>9</v>
      </c>
      <c r="K322">
        <v>9</v>
      </c>
      <c r="L322" s="32">
        <f t="shared" si="39"/>
        <v>0</v>
      </c>
      <c r="M322">
        <v>8</v>
      </c>
      <c r="N322">
        <v>8</v>
      </c>
      <c r="O322" s="32">
        <f t="shared" si="40"/>
        <v>0</v>
      </c>
      <c r="P322">
        <v>9</v>
      </c>
      <c r="Q322">
        <v>9</v>
      </c>
      <c r="R322" s="32">
        <f t="shared" si="41"/>
        <v>0</v>
      </c>
      <c r="S322">
        <v>8</v>
      </c>
      <c r="T322">
        <v>8</v>
      </c>
      <c r="U322" s="32">
        <f t="shared" si="42"/>
        <v>0</v>
      </c>
      <c r="V322">
        <v>9</v>
      </c>
      <c r="W322">
        <v>8</v>
      </c>
      <c r="X322" s="32">
        <f t="shared" si="43"/>
        <v>1</v>
      </c>
      <c r="Y322">
        <v>9</v>
      </c>
      <c r="Z322">
        <v>9</v>
      </c>
      <c r="AA322" s="32">
        <f t="shared" si="44"/>
        <v>0</v>
      </c>
    </row>
    <row r="323" spans="1:27" x14ac:dyDescent="0.45">
      <c r="A323">
        <v>8</v>
      </c>
      <c r="B323">
        <v>9</v>
      </c>
      <c r="C323" s="32">
        <f t="shared" ref="C323:C386" si="45">ABS(B323-A323)</f>
        <v>1</v>
      </c>
      <c r="D323">
        <v>8</v>
      </c>
      <c r="E323">
        <v>9</v>
      </c>
      <c r="F323" s="32">
        <f t="shared" ref="F323:F386" si="46">ABS(E323-D323)</f>
        <v>1</v>
      </c>
      <c r="G323">
        <v>9</v>
      </c>
      <c r="H323">
        <v>8</v>
      </c>
      <c r="I323" s="32">
        <f t="shared" ref="I323:I386" si="47">ABS(H323-G323)</f>
        <v>1</v>
      </c>
      <c r="J323">
        <v>9</v>
      </c>
      <c r="K323">
        <v>9</v>
      </c>
      <c r="L323" s="32">
        <f t="shared" ref="L323:L386" si="48">ABS(K323-J323)</f>
        <v>0</v>
      </c>
      <c r="M323">
        <v>8</v>
      </c>
      <c r="N323">
        <v>8</v>
      </c>
      <c r="O323" s="32">
        <f t="shared" ref="O323:O386" si="49">ABS(N323-M323)</f>
        <v>0</v>
      </c>
      <c r="P323">
        <v>9</v>
      </c>
      <c r="Q323">
        <v>9</v>
      </c>
      <c r="R323" s="32">
        <f t="shared" ref="R323:R386" si="50">ABS(Q323-P323)</f>
        <v>0</v>
      </c>
      <c r="S323">
        <v>8</v>
      </c>
      <c r="T323">
        <v>8</v>
      </c>
      <c r="U323" s="32">
        <f t="shared" ref="U323:U386" si="51">ABS(T323-S323)</f>
        <v>0</v>
      </c>
      <c r="V323">
        <v>9</v>
      </c>
      <c r="W323">
        <v>8</v>
      </c>
      <c r="X323" s="32">
        <f t="shared" ref="X323:X386" si="52">ABS(W323-V323)</f>
        <v>1</v>
      </c>
      <c r="Y323">
        <v>9</v>
      </c>
      <c r="Z323">
        <v>9</v>
      </c>
      <c r="AA323" s="32">
        <f t="shared" ref="AA323:AA386" si="53">ABS(Z323-Y323)</f>
        <v>0</v>
      </c>
    </row>
    <row r="324" spans="1:27" x14ac:dyDescent="0.45">
      <c r="A324">
        <v>8</v>
      </c>
      <c r="B324">
        <v>9</v>
      </c>
      <c r="C324" s="32">
        <f t="shared" si="45"/>
        <v>1</v>
      </c>
      <c r="D324">
        <v>8</v>
      </c>
      <c r="E324">
        <v>9</v>
      </c>
      <c r="F324" s="32">
        <f t="shared" si="46"/>
        <v>1</v>
      </c>
      <c r="G324">
        <v>9</v>
      </c>
      <c r="H324">
        <v>8</v>
      </c>
      <c r="I324" s="32">
        <f t="shared" si="47"/>
        <v>1</v>
      </c>
      <c r="J324">
        <v>9</v>
      </c>
      <c r="K324">
        <v>9</v>
      </c>
      <c r="L324" s="32">
        <f t="shared" si="48"/>
        <v>0</v>
      </c>
      <c r="M324">
        <v>9</v>
      </c>
      <c r="N324">
        <v>8</v>
      </c>
      <c r="O324" s="32">
        <f t="shared" si="49"/>
        <v>1</v>
      </c>
      <c r="P324">
        <v>9</v>
      </c>
      <c r="Q324">
        <v>9</v>
      </c>
      <c r="R324" s="32">
        <f t="shared" si="50"/>
        <v>0</v>
      </c>
      <c r="S324">
        <v>8</v>
      </c>
      <c r="T324">
        <v>8</v>
      </c>
      <c r="U324" s="32">
        <f t="shared" si="51"/>
        <v>0</v>
      </c>
      <c r="V324">
        <v>9</v>
      </c>
      <c r="W324">
        <v>8</v>
      </c>
      <c r="X324" s="32">
        <f t="shared" si="52"/>
        <v>1</v>
      </c>
      <c r="Y324">
        <v>9</v>
      </c>
      <c r="Z324">
        <v>9</v>
      </c>
      <c r="AA324" s="32">
        <f t="shared" si="53"/>
        <v>0</v>
      </c>
    </row>
    <row r="325" spans="1:27" x14ac:dyDescent="0.45">
      <c r="A325">
        <v>8</v>
      </c>
      <c r="B325">
        <v>9</v>
      </c>
      <c r="C325" s="32">
        <f t="shared" si="45"/>
        <v>1</v>
      </c>
      <c r="D325">
        <v>8</v>
      </c>
      <c r="E325">
        <v>9</v>
      </c>
      <c r="F325" s="32">
        <f t="shared" si="46"/>
        <v>1</v>
      </c>
      <c r="G325">
        <v>9</v>
      </c>
      <c r="H325">
        <v>8</v>
      </c>
      <c r="I325" s="32">
        <f t="shared" si="47"/>
        <v>1</v>
      </c>
      <c r="J325">
        <v>9</v>
      </c>
      <c r="K325">
        <v>9</v>
      </c>
      <c r="L325" s="32">
        <f t="shared" si="48"/>
        <v>0</v>
      </c>
      <c r="M325">
        <v>9</v>
      </c>
      <c r="N325">
        <v>8</v>
      </c>
      <c r="O325" s="32">
        <f t="shared" si="49"/>
        <v>1</v>
      </c>
      <c r="P325">
        <v>9</v>
      </c>
      <c r="Q325">
        <v>9</v>
      </c>
      <c r="R325" s="32">
        <f t="shared" si="50"/>
        <v>0</v>
      </c>
      <c r="S325">
        <v>8</v>
      </c>
      <c r="T325">
        <v>8</v>
      </c>
      <c r="U325" s="32">
        <f t="shared" si="51"/>
        <v>0</v>
      </c>
      <c r="V325">
        <v>9</v>
      </c>
      <c r="W325">
        <v>8</v>
      </c>
      <c r="X325" s="32">
        <f t="shared" si="52"/>
        <v>1</v>
      </c>
      <c r="Y325">
        <v>9</v>
      </c>
      <c r="Z325">
        <v>9</v>
      </c>
      <c r="AA325" s="32">
        <f t="shared" si="53"/>
        <v>0</v>
      </c>
    </row>
    <row r="326" spans="1:27" x14ac:dyDescent="0.45">
      <c r="A326">
        <v>8</v>
      </c>
      <c r="B326">
        <v>9</v>
      </c>
      <c r="C326" s="32">
        <f t="shared" si="45"/>
        <v>1</v>
      </c>
      <c r="D326">
        <v>8</v>
      </c>
      <c r="E326">
        <v>9</v>
      </c>
      <c r="F326" s="32">
        <f t="shared" si="46"/>
        <v>1</v>
      </c>
      <c r="G326">
        <v>9</v>
      </c>
      <c r="H326">
        <v>8</v>
      </c>
      <c r="I326" s="32">
        <f t="shared" si="47"/>
        <v>1</v>
      </c>
      <c r="J326">
        <v>9</v>
      </c>
      <c r="K326">
        <v>9</v>
      </c>
      <c r="L326" s="32">
        <f t="shared" si="48"/>
        <v>0</v>
      </c>
      <c r="M326">
        <v>9</v>
      </c>
      <c r="N326">
        <v>8</v>
      </c>
      <c r="O326" s="32">
        <f t="shared" si="49"/>
        <v>1</v>
      </c>
      <c r="P326">
        <v>9</v>
      </c>
      <c r="Q326">
        <v>9</v>
      </c>
      <c r="R326" s="32">
        <f t="shared" si="50"/>
        <v>0</v>
      </c>
      <c r="S326">
        <v>8</v>
      </c>
      <c r="T326">
        <v>8</v>
      </c>
      <c r="U326" s="32">
        <f t="shared" si="51"/>
        <v>0</v>
      </c>
      <c r="V326">
        <v>9</v>
      </c>
      <c r="W326">
        <v>8</v>
      </c>
      <c r="X326" s="32">
        <f t="shared" si="52"/>
        <v>1</v>
      </c>
      <c r="Y326">
        <v>9</v>
      </c>
      <c r="Z326">
        <v>9</v>
      </c>
      <c r="AA326" s="32">
        <f t="shared" si="53"/>
        <v>0</v>
      </c>
    </row>
    <row r="327" spans="1:27" x14ac:dyDescent="0.45">
      <c r="A327">
        <v>8</v>
      </c>
      <c r="B327">
        <v>9</v>
      </c>
      <c r="C327" s="32">
        <f t="shared" si="45"/>
        <v>1</v>
      </c>
      <c r="D327">
        <v>8</v>
      </c>
      <c r="E327">
        <v>9</v>
      </c>
      <c r="F327" s="32">
        <f t="shared" si="46"/>
        <v>1</v>
      </c>
      <c r="G327">
        <v>9</v>
      </c>
      <c r="H327">
        <v>8</v>
      </c>
      <c r="I327" s="32">
        <f t="shared" si="47"/>
        <v>1</v>
      </c>
      <c r="J327">
        <v>9</v>
      </c>
      <c r="K327">
        <v>9</v>
      </c>
      <c r="L327" s="32">
        <f t="shared" si="48"/>
        <v>0</v>
      </c>
      <c r="M327">
        <v>9</v>
      </c>
      <c r="N327">
        <v>8</v>
      </c>
      <c r="O327" s="32">
        <f t="shared" si="49"/>
        <v>1</v>
      </c>
      <c r="P327">
        <v>9</v>
      </c>
      <c r="Q327">
        <v>9</v>
      </c>
      <c r="R327" s="32">
        <f t="shared" si="50"/>
        <v>0</v>
      </c>
      <c r="S327">
        <v>8</v>
      </c>
      <c r="T327">
        <v>8</v>
      </c>
      <c r="U327" s="32">
        <f t="shared" si="51"/>
        <v>0</v>
      </c>
      <c r="V327">
        <v>9</v>
      </c>
      <c r="W327">
        <v>8</v>
      </c>
      <c r="X327" s="32">
        <f t="shared" si="52"/>
        <v>1</v>
      </c>
      <c r="Y327">
        <v>9</v>
      </c>
      <c r="Z327">
        <v>9</v>
      </c>
      <c r="AA327" s="32">
        <f t="shared" si="53"/>
        <v>0</v>
      </c>
    </row>
    <row r="328" spans="1:27" x14ac:dyDescent="0.45">
      <c r="A328">
        <v>8</v>
      </c>
      <c r="B328">
        <v>9</v>
      </c>
      <c r="C328" s="32">
        <f t="shared" si="45"/>
        <v>1</v>
      </c>
      <c r="D328">
        <v>8</v>
      </c>
      <c r="E328">
        <v>9</v>
      </c>
      <c r="F328" s="32">
        <f t="shared" si="46"/>
        <v>1</v>
      </c>
      <c r="G328">
        <v>9</v>
      </c>
      <c r="H328">
        <v>8</v>
      </c>
      <c r="I328" s="32">
        <f t="shared" si="47"/>
        <v>1</v>
      </c>
      <c r="J328">
        <v>9</v>
      </c>
      <c r="K328">
        <v>9</v>
      </c>
      <c r="L328" s="32">
        <f t="shared" si="48"/>
        <v>0</v>
      </c>
      <c r="M328">
        <v>9</v>
      </c>
      <c r="N328">
        <v>8</v>
      </c>
      <c r="O328" s="32">
        <f t="shared" si="49"/>
        <v>1</v>
      </c>
      <c r="P328">
        <v>9</v>
      </c>
      <c r="Q328">
        <v>9</v>
      </c>
      <c r="R328" s="32">
        <f t="shared" si="50"/>
        <v>0</v>
      </c>
      <c r="S328">
        <v>8</v>
      </c>
      <c r="T328">
        <v>8</v>
      </c>
      <c r="U328" s="32">
        <f t="shared" si="51"/>
        <v>0</v>
      </c>
      <c r="V328">
        <v>9</v>
      </c>
      <c r="W328">
        <v>8</v>
      </c>
      <c r="X328" s="32">
        <f t="shared" si="52"/>
        <v>1</v>
      </c>
      <c r="Y328">
        <v>9</v>
      </c>
      <c r="Z328">
        <v>9</v>
      </c>
      <c r="AA328" s="32">
        <f t="shared" si="53"/>
        <v>0</v>
      </c>
    </row>
    <row r="329" spans="1:27" x14ac:dyDescent="0.45">
      <c r="A329">
        <v>8</v>
      </c>
      <c r="B329">
        <v>9</v>
      </c>
      <c r="C329" s="32">
        <f t="shared" si="45"/>
        <v>1</v>
      </c>
      <c r="D329">
        <v>8</v>
      </c>
      <c r="E329">
        <v>9</v>
      </c>
      <c r="F329" s="32">
        <f t="shared" si="46"/>
        <v>1</v>
      </c>
      <c r="G329">
        <v>9</v>
      </c>
      <c r="H329">
        <v>8</v>
      </c>
      <c r="I329" s="32">
        <f t="shared" si="47"/>
        <v>1</v>
      </c>
      <c r="J329">
        <v>9</v>
      </c>
      <c r="K329">
        <v>9</v>
      </c>
      <c r="L329" s="32">
        <f t="shared" si="48"/>
        <v>0</v>
      </c>
      <c r="M329">
        <v>9</v>
      </c>
      <c r="N329">
        <v>8</v>
      </c>
      <c r="O329" s="32">
        <f t="shared" si="49"/>
        <v>1</v>
      </c>
      <c r="P329">
        <v>9</v>
      </c>
      <c r="Q329">
        <v>9</v>
      </c>
      <c r="R329" s="32">
        <f t="shared" si="50"/>
        <v>0</v>
      </c>
      <c r="S329">
        <v>8</v>
      </c>
      <c r="T329">
        <v>8</v>
      </c>
      <c r="U329" s="32">
        <f t="shared" si="51"/>
        <v>0</v>
      </c>
      <c r="V329">
        <v>9</v>
      </c>
      <c r="W329">
        <v>8</v>
      </c>
      <c r="X329" s="32">
        <f t="shared" si="52"/>
        <v>1</v>
      </c>
      <c r="Y329">
        <v>9</v>
      </c>
      <c r="Z329">
        <v>9</v>
      </c>
      <c r="AA329" s="32">
        <f t="shared" si="53"/>
        <v>0</v>
      </c>
    </row>
    <row r="330" spans="1:27" x14ac:dyDescent="0.45">
      <c r="A330">
        <v>8</v>
      </c>
      <c r="B330">
        <v>9</v>
      </c>
      <c r="C330" s="32">
        <f t="shared" si="45"/>
        <v>1</v>
      </c>
      <c r="D330">
        <v>8</v>
      </c>
      <c r="E330">
        <v>9</v>
      </c>
      <c r="F330" s="32">
        <f t="shared" si="46"/>
        <v>1</v>
      </c>
      <c r="G330">
        <v>9</v>
      </c>
      <c r="H330">
        <v>8</v>
      </c>
      <c r="I330" s="32">
        <f t="shared" si="47"/>
        <v>1</v>
      </c>
      <c r="J330">
        <v>9</v>
      </c>
      <c r="K330">
        <v>9</v>
      </c>
      <c r="L330" s="32">
        <f t="shared" si="48"/>
        <v>0</v>
      </c>
      <c r="M330">
        <v>9</v>
      </c>
      <c r="N330">
        <v>8</v>
      </c>
      <c r="O330" s="32">
        <f t="shared" si="49"/>
        <v>1</v>
      </c>
      <c r="P330">
        <v>9</v>
      </c>
      <c r="Q330">
        <v>9</v>
      </c>
      <c r="R330" s="32">
        <f t="shared" si="50"/>
        <v>0</v>
      </c>
      <c r="S330">
        <v>8</v>
      </c>
      <c r="T330">
        <v>8</v>
      </c>
      <c r="U330" s="32">
        <f t="shared" si="51"/>
        <v>0</v>
      </c>
      <c r="V330">
        <v>9</v>
      </c>
      <c r="W330">
        <v>8</v>
      </c>
      <c r="X330" s="32">
        <f t="shared" si="52"/>
        <v>1</v>
      </c>
      <c r="Y330">
        <v>9</v>
      </c>
      <c r="Z330">
        <v>9</v>
      </c>
      <c r="AA330" s="32">
        <f t="shared" si="53"/>
        <v>0</v>
      </c>
    </row>
    <row r="331" spans="1:27" x14ac:dyDescent="0.45">
      <c r="A331">
        <v>8</v>
      </c>
      <c r="B331">
        <v>9</v>
      </c>
      <c r="C331" s="32">
        <f t="shared" si="45"/>
        <v>1</v>
      </c>
      <c r="D331">
        <v>8</v>
      </c>
      <c r="E331">
        <v>9</v>
      </c>
      <c r="F331" s="32">
        <f t="shared" si="46"/>
        <v>1</v>
      </c>
      <c r="G331">
        <v>9</v>
      </c>
      <c r="H331">
        <v>8</v>
      </c>
      <c r="I331" s="32">
        <f t="shared" si="47"/>
        <v>1</v>
      </c>
      <c r="J331">
        <v>9</v>
      </c>
      <c r="K331">
        <v>9</v>
      </c>
      <c r="L331" s="32">
        <f t="shared" si="48"/>
        <v>0</v>
      </c>
      <c r="M331">
        <v>9</v>
      </c>
      <c r="N331">
        <v>8</v>
      </c>
      <c r="O331" s="32">
        <f t="shared" si="49"/>
        <v>1</v>
      </c>
      <c r="P331">
        <v>9</v>
      </c>
      <c r="Q331">
        <v>9</v>
      </c>
      <c r="R331" s="32">
        <f t="shared" si="50"/>
        <v>0</v>
      </c>
      <c r="S331">
        <v>8</v>
      </c>
      <c r="T331">
        <v>8</v>
      </c>
      <c r="U331" s="32">
        <f t="shared" si="51"/>
        <v>0</v>
      </c>
      <c r="V331">
        <v>9</v>
      </c>
      <c r="W331">
        <v>8</v>
      </c>
      <c r="X331" s="32">
        <f t="shared" si="52"/>
        <v>1</v>
      </c>
      <c r="Y331">
        <v>9</v>
      </c>
      <c r="Z331">
        <v>9</v>
      </c>
      <c r="AA331" s="32">
        <f t="shared" si="53"/>
        <v>0</v>
      </c>
    </row>
    <row r="332" spans="1:27" x14ac:dyDescent="0.45">
      <c r="A332">
        <v>8</v>
      </c>
      <c r="B332">
        <v>9</v>
      </c>
      <c r="C332" s="32">
        <f t="shared" si="45"/>
        <v>1</v>
      </c>
      <c r="D332">
        <v>8</v>
      </c>
      <c r="E332">
        <v>9</v>
      </c>
      <c r="F332" s="32">
        <f t="shared" si="46"/>
        <v>1</v>
      </c>
      <c r="G332">
        <v>9</v>
      </c>
      <c r="H332">
        <v>8</v>
      </c>
      <c r="I332" s="32">
        <f t="shared" si="47"/>
        <v>1</v>
      </c>
      <c r="J332">
        <v>9</v>
      </c>
      <c r="K332">
        <v>9</v>
      </c>
      <c r="L332" s="32">
        <f t="shared" si="48"/>
        <v>0</v>
      </c>
      <c r="M332">
        <v>9</v>
      </c>
      <c r="N332">
        <v>8</v>
      </c>
      <c r="O332" s="32">
        <f t="shared" si="49"/>
        <v>1</v>
      </c>
      <c r="P332">
        <v>9</v>
      </c>
      <c r="Q332">
        <v>9</v>
      </c>
      <c r="R332" s="32">
        <f t="shared" si="50"/>
        <v>0</v>
      </c>
      <c r="S332">
        <v>9</v>
      </c>
      <c r="T332">
        <v>8</v>
      </c>
      <c r="U332" s="32">
        <f t="shared" si="51"/>
        <v>1</v>
      </c>
      <c r="V332">
        <v>9</v>
      </c>
      <c r="W332">
        <v>8</v>
      </c>
      <c r="X332" s="32">
        <f t="shared" si="52"/>
        <v>1</v>
      </c>
      <c r="Y332">
        <v>9</v>
      </c>
      <c r="Z332">
        <v>9</v>
      </c>
      <c r="AA332" s="32">
        <f t="shared" si="53"/>
        <v>0</v>
      </c>
    </row>
    <row r="333" spans="1:27" x14ac:dyDescent="0.45">
      <c r="A333">
        <v>8</v>
      </c>
      <c r="B333">
        <v>9</v>
      </c>
      <c r="C333" s="32">
        <f t="shared" si="45"/>
        <v>1</v>
      </c>
      <c r="D333">
        <v>8</v>
      </c>
      <c r="E333">
        <v>9</v>
      </c>
      <c r="F333" s="32">
        <f t="shared" si="46"/>
        <v>1</v>
      </c>
      <c r="G333">
        <v>9</v>
      </c>
      <c r="H333">
        <v>9</v>
      </c>
      <c r="I333" s="32">
        <f t="shared" si="47"/>
        <v>0</v>
      </c>
      <c r="J333">
        <v>9</v>
      </c>
      <c r="K333">
        <v>9</v>
      </c>
      <c r="L333" s="32">
        <f t="shared" si="48"/>
        <v>0</v>
      </c>
      <c r="M333">
        <v>9</v>
      </c>
      <c r="N333">
        <v>9</v>
      </c>
      <c r="O333" s="32">
        <f t="shared" si="49"/>
        <v>0</v>
      </c>
      <c r="P333">
        <v>9</v>
      </c>
      <c r="Q333">
        <v>9</v>
      </c>
      <c r="R333" s="32">
        <f t="shared" si="50"/>
        <v>0</v>
      </c>
      <c r="S333">
        <v>9</v>
      </c>
      <c r="T333">
        <v>8</v>
      </c>
      <c r="U333" s="32">
        <f t="shared" si="51"/>
        <v>1</v>
      </c>
      <c r="V333">
        <v>9</v>
      </c>
      <c r="W333">
        <v>8</v>
      </c>
      <c r="X333" s="32">
        <f t="shared" si="52"/>
        <v>1</v>
      </c>
      <c r="Y333">
        <v>9</v>
      </c>
      <c r="Z333">
        <v>9</v>
      </c>
      <c r="AA333" s="32">
        <f t="shared" si="53"/>
        <v>0</v>
      </c>
    </row>
    <row r="334" spans="1:27" x14ac:dyDescent="0.45">
      <c r="A334">
        <v>8</v>
      </c>
      <c r="B334">
        <v>9</v>
      </c>
      <c r="C334" s="32">
        <f t="shared" si="45"/>
        <v>1</v>
      </c>
      <c r="D334">
        <v>8</v>
      </c>
      <c r="E334">
        <v>9</v>
      </c>
      <c r="F334" s="32">
        <f t="shared" si="46"/>
        <v>1</v>
      </c>
      <c r="G334">
        <v>9</v>
      </c>
      <c r="H334">
        <v>9</v>
      </c>
      <c r="I334" s="32">
        <f t="shared" si="47"/>
        <v>0</v>
      </c>
      <c r="J334">
        <v>9</v>
      </c>
      <c r="K334">
        <v>9</v>
      </c>
      <c r="L334" s="32">
        <f t="shared" si="48"/>
        <v>0</v>
      </c>
      <c r="M334">
        <v>9</v>
      </c>
      <c r="N334">
        <v>9</v>
      </c>
      <c r="O334" s="32">
        <f t="shared" si="49"/>
        <v>0</v>
      </c>
      <c r="P334">
        <v>9</v>
      </c>
      <c r="Q334">
        <v>9</v>
      </c>
      <c r="R334" s="32">
        <f t="shared" si="50"/>
        <v>0</v>
      </c>
      <c r="S334">
        <v>9</v>
      </c>
      <c r="T334">
        <v>8</v>
      </c>
      <c r="U334" s="32">
        <f t="shared" si="51"/>
        <v>1</v>
      </c>
      <c r="V334">
        <v>9</v>
      </c>
      <c r="W334">
        <v>8</v>
      </c>
      <c r="X334" s="32">
        <f t="shared" si="52"/>
        <v>1</v>
      </c>
      <c r="Y334">
        <v>9</v>
      </c>
      <c r="Z334">
        <v>9</v>
      </c>
      <c r="AA334" s="32">
        <f t="shared" si="53"/>
        <v>0</v>
      </c>
    </row>
    <row r="335" spans="1:27" x14ac:dyDescent="0.45">
      <c r="A335">
        <v>8</v>
      </c>
      <c r="B335">
        <v>9</v>
      </c>
      <c r="C335" s="32">
        <f t="shared" si="45"/>
        <v>1</v>
      </c>
      <c r="D335">
        <v>8</v>
      </c>
      <c r="E335">
        <v>9</v>
      </c>
      <c r="F335" s="32">
        <f t="shared" si="46"/>
        <v>1</v>
      </c>
      <c r="G335">
        <v>9</v>
      </c>
      <c r="H335">
        <v>9</v>
      </c>
      <c r="I335" s="32">
        <f t="shared" si="47"/>
        <v>0</v>
      </c>
      <c r="J335">
        <v>9</v>
      </c>
      <c r="K335">
        <v>9</v>
      </c>
      <c r="L335" s="32">
        <f t="shared" si="48"/>
        <v>0</v>
      </c>
      <c r="M335">
        <v>9</v>
      </c>
      <c r="N335">
        <v>9</v>
      </c>
      <c r="O335" s="32">
        <f t="shared" si="49"/>
        <v>0</v>
      </c>
      <c r="P335">
        <v>9</v>
      </c>
      <c r="Q335">
        <v>9</v>
      </c>
      <c r="R335" s="32">
        <f t="shared" si="50"/>
        <v>0</v>
      </c>
      <c r="S335">
        <v>9</v>
      </c>
      <c r="T335">
        <v>8</v>
      </c>
      <c r="U335" s="32">
        <f t="shared" si="51"/>
        <v>1</v>
      </c>
      <c r="V335">
        <v>9</v>
      </c>
      <c r="W335">
        <v>8</v>
      </c>
      <c r="X335" s="32">
        <f t="shared" si="52"/>
        <v>1</v>
      </c>
      <c r="Y335">
        <v>9</v>
      </c>
      <c r="Z335">
        <v>9</v>
      </c>
      <c r="AA335" s="32">
        <f t="shared" si="53"/>
        <v>0</v>
      </c>
    </row>
    <row r="336" spans="1:27" x14ac:dyDescent="0.45">
      <c r="A336">
        <v>8</v>
      </c>
      <c r="B336">
        <v>9</v>
      </c>
      <c r="C336" s="32">
        <f t="shared" si="45"/>
        <v>1</v>
      </c>
      <c r="D336">
        <v>8</v>
      </c>
      <c r="E336">
        <v>9</v>
      </c>
      <c r="F336" s="32">
        <f t="shared" si="46"/>
        <v>1</v>
      </c>
      <c r="G336">
        <v>9</v>
      </c>
      <c r="H336">
        <v>9</v>
      </c>
      <c r="I336" s="32">
        <f t="shared" si="47"/>
        <v>0</v>
      </c>
      <c r="J336">
        <v>9</v>
      </c>
      <c r="K336">
        <v>9</v>
      </c>
      <c r="L336" s="32">
        <f t="shared" si="48"/>
        <v>0</v>
      </c>
      <c r="M336">
        <v>9</v>
      </c>
      <c r="N336">
        <v>9</v>
      </c>
      <c r="O336" s="32">
        <f t="shared" si="49"/>
        <v>0</v>
      </c>
      <c r="P336">
        <v>9</v>
      </c>
      <c r="Q336">
        <v>9</v>
      </c>
      <c r="R336" s="32">
        <f t="shared" si="50"/>
        <v>0</v>
      </c>
      <c r="S336">
        <v>9</v>
      </c>
      <c r="T336">
        <v>8</v>
      </c>
      <c r="U336" s="32">
        <f t="shared" si="51"/>
        <v>1</v>
      </c>
      <c r="V336">
        <v>9</v>
      </c>
      <c r="W336">
        <v>8</v>
      </c>
      <c r="X336" s="32">
        <f t="shared" si="52"/>
        <v>1</v>
      </c>
      <c r="Y336">
        <v>9</v>
      </c>
      <c r="Z336">
        <v>9</v>
      </c>
      <c r="AA336" s="32">
        <f t="shared" si="53"/>
        <v>0</v>
      </c>
    </row>
    <row r="337" spans="1:27" x14ac:dyDescent="0.45">
      <c r="A337">
        <v>8</v>
      </c>
      <c r="B337">
        <v>9</v>
      </c>
      <c r="C337" s="32">
        <f t="shared" si="45"/>
        <v>1</v>
      </c>
      <c r="D337">
        <v>8</v>
      </c>
      <c r="E337">
        <v>9</v>
      </c>
      <c r="F337" s="32">
        <f t="shared" si="46"/>
        <v>1</v>
      </c>
      <c r="G337">
        <v>9</v>
      </c>
      <c r="H337">
        <v>9</v>
      </c>
      <c r="I337" s="32">
        <f t="shared" si="47"/>
        <v>0</v>
      </c>
      <c r="J337">
        <v>9</v>
      </c>
      <c r="K337">
        <v>9</v>
      </c>
      <c r="L337" s="32">
        <f t="shared" si="48"/>
        <v>0</v>
      </c>
      <c r="M337">
        <v>9</v>
      </c>
      <c r="N337">
        <v>9</v>
      </c>
      <c r="O337" s="32">
        <f t="shared" si="49"/>
        <v>0</v>
      </c>
      <c r="P337">
        <v>9</v>
      </c>
      <c r="Q337">
        <v>9</v>
      </c>
      <c r="R337" s="32">
        <f t="shared" si="50"/>
        <v>0</v>
      </c>
      <c r="S337">
        <v>9</v>
      </c>
      <c r="T337">
        <v>8</v>
      </c>
      <c r="U337" s="32">
        <f t="shared" si="51"/>
        <v>1</v>
      </c>
      <c r="V337">
        <v>9</v>
      </c>
      <c r="W337">
        <v>8</v>
      </c>
      <c r="X337" s="32">
        <f t="shared" si="52"/>
        <v>1</v>
      </c>
      <c r="Y337">
        <v>9</v>
      </c>
      <c r="Z337">
        <v>9</v>
      </c>
      <c r="AA337" s="32">
        <f t="shared" si="53"/>
        <v>0</v>
      </c>
    </row>
    <row r="338" spans="1:27" x14ac:dyDescent="0.45">
      <c r="A338">
        <v>8</v>
      </c>
      <c r="B338">
        <v>9</v>
      </c>
      <c r="C338" s="32">
        <f t="shared" si="45"/>
        <v>1</v>
      </c>
      <c r="D338">
        <v>8</v>
      </c>
      <c r="E338">
        <v>9</v>
      </c>
      <c r="F338" s="32">
        <f t="shared" si="46"/>
        <v>1</v>
      </c>
      <c r="G338">
        <v>9</v>
      </c>
      <c r="H338">
        <v>9</v>
      </c>
      <c r="I338" s="32">
        <f t="shared" si="47"/>
        <v>0</v>
      </c>
      <c r="J338">
        <v>9</v>
      </c>
      <c r="K338">
        <v>9</v>
      </c>
      <c r="L338" s="32">
        <f t="shared" si="48"/>
        <v>0</v>
      </c>
      <c r="M338">
        <v>9</v>
      </c>
      <c r="N338">
        <v>9</v>
      </c>
      <c r="O338" s="32">
        <f t="shared" si="49"/>
        <v>0</v>
      </c>
      <c r="P338">
        <v>9</v>
      </c>
      <c r="Q338">
        <v>9</v>
      </c>
      <c r="R338" s="32">
        <f t="shared" si="50"/>
        <v>0</v>
      </c>
      <c r="S338">
        <v>9</v>
      </c>
      <c r="T338">
        <v>8</v>
      </c>
      <c r="U338" s="32">
        <f t="shared" si="51"/>
        <v>1</v>
      </c>
      <c r="V338">
        <v>9</v>
      </c>
      <c r="W338">
        <v>8</v>
      </c>
      <c r="X338" s="32">
        <f t="shared" si="52"/>
        <v>1</v>
      </c>
      <c r="Y338">
        <v>9</v>
      </c>
      <c r="Z338">
        <v>9</v>
      </c>
      <c r="AA338" s="32">
        <f t="shared" si="53"/>
        <v>0</v>
      </c>
    </row>
    <row r="339" spans="1:27" x14ac:dyDescent="0.45">
      <c r="A339">
        <v>8</v>
      </c>
      <c r="B339">
        <v>9</v>
      </c>
      <c r="C339" s="32">
        <f t="shared" si="45"/>
        <v>1</v>
      </c>
      <c r="D339">
        <v>8</v>
      </c>
      <c r="E339">
        <v>9</v>
      </c>
      <c r="F339" s="32">
        <f t="shared" si="46"/>
        <v>1</v>
      </c>
      <c r="G339">
        <v>9</v>
      </c>
      <c r="H339">
        <v>9</v>
      </c>
      <c r="I339" s="32">
        <f t="shared" si="47"/>
        <v>0</v>
      </c>
      <c r="J339">
        <v>9</v>
      </c>
      <c r="K339">
        <v>9</v>
      </c>
      <c r="L339" s="32">
        <f t="shared" si="48"/>
        <v>0</v>
      </c>
      <c r="M339">
        <v>9</v>
      </c>
      <c r="N339">
        <v>9</v>
      </c>
      <c r="O339" s="32">
        <f t="shared" si="49"/>
        <v>0</v>
      </c>
      <c r="P339">
        <v>9</v>
      </c>
      <c r="Q339">
        <v>9</v>
      </c>
      <c r="R339" s="32">
        <f t="shared" si="50"/>
        <v>0</v>
      </c>
      <c r="S339">
        <v>9</v>
      </c>
      <c r="T339">
        <v>8</v>
      </c>
      <c r="U339" s="32">
        <f t="shared" si="51"/>
        <v>1</v>
      </c>
      <c r="V339">
        <v>9</v>
      </c>
      <c r="W339">
        <v>8</v>
      </c>
      <c r="X339" s="32">
        <f t="shared" si="52"/>
        <v>1</v>
      </c>
      <c r="Y339">
        <v>9</v>
      </c>
      <c r="Z339">
        <v>9</v>
      </c>
      <c r="AA339" s="32">
        <f t="shared" si="53"/>
        <v>0</v>
      </c>
    </row>
    <row r="340" spans="1:27" x14ac:dyDescent="0.45">
      <c r="A340">
        <v>8</v>
      </c>
      <c r="B340">
        <v>9</v>
      </c>
      <c r="C340" s="32">
        <f t="shared" si="45"/>
        <v>1</v>
      </c>
      <c r="D340">
        <v>8</v>
      </c>
      <c r="E340">
        <v>9</v>
      </c>
      <c r="F340" s="32">
        <f t="shared" si="46"/>
        <v>1</v>
      </c>
      <c r="G340">
        <v>9</v>
      </c>
      <c r="H340">
        <v>9</v>
      </c>
      <c r="I340" s="32">
        <f t="shared" si="47"/>
        <v>0</v>
      </c>
      <c r="J340">
        <v>9</v>
      </c>
      <c r="K340">
        <v>9</v>
      </c>
      <c r="L340" s="32">
        <f t="shared" si="48"/>
        <v>0</v>
      </c>
      <c r="M340">
        <v>9</v>
      </c>
      <c r="N340">
        <v>9</v>
      </c>
      <c r="O340" s="32">
        <f t="shared" si="49"/>
        <v>0</v>
      </c>
      <c r="P340">
        <v>9</v>
      </c>
      <c r="Q340">
        <v>9</v>
      </c>
      <c r="R340" s="32">
        <f t="shared" si="50"/>
        <v>0</v>
      </c>
      <c r="S340">
        <v>9</v>
      </c>
      <c r="T340">
        <v>8</v>
      </c>
      <c r="U340" s="32">
        <f t="shared" si="51"/>
        <v>1</v>
      </c>
      <c r="V340">
        <v>9</v>
      </c>
      <c r="W340">
        <v>8</v>
      </c>
      <c r="X340" s="32">
        <f t="shared" si="52"/>
        <v>1</v>
      </c>
      <c r="Y340">
        <v>9</v>
      </c>
      <c r="Z340">
        <v>9</v>
      </c>
      <c r="AA340" s="32">
        <f t="shared" si="53"/>
        <v>0</v>
      </c>
    </row>
    <row r="341" spans="1:27" x14ac:dyDescent="0.45">
      <c r="A341">
        <v>8</v>
      </c>
      <c r="B341">
        <v>9</v>
      </c>
      <c r="C341" s="32">
        <f t="shared" si="45"/>
        <v>1</v>
      </c>
      <c r="D341">
        <v>8</v>
      </c>
      <c r="E341">
        <v>9</v>
      </c>
      <c r="F341" s="32">
        <f t="shared" si="46"/>
        <v>1</v>
      </c>
      <c r="G341">
        <v>9</v>
      </c>
      <c r="H341">
        <v>9</v>
      </c>
      <c r="I341" s="32">
        <f t="shared" si="47"/>
        <v>0</v>
      </c>
      <c r="J341">
        <v>9</v>
      </c>
      <c r="K341">
        <v>9</v>
      </c>
      <c r="L341" s="32">
        <f t="shared" si="48"/>
        <v>0</v>
      </c>
      <c r="M341">
        <v>9</v>
      </c>
      <c r="N341">
        <v>9</v>
      </c>
      <c r="O341" s="32">
        <f t="shared" si="49"/>
        <v>0</v>
      </c>
      <c r="P341">
        <v>9</v>
      </c>
      <c r="Q341">
        <v>9</v>
      </c>
      <c r="R341" s="32">
        <f t="shared" si="50"/>
        <v>0</v>
      </c>
      <c r="S341">
        <v>9</v>
      </c>
      <c r="T341">
        <v>9</v>
      </c>
      <c r="U341" s="32">
        <f t="shared" si="51"/>
        <v>0</v>
      </c>
      <c r="V341">
        <v>9</v>
      </c>
      <c r="W341">
        <v>8</v>
      </c>
      <c r="X341" s="32">
        <f t="shared" si="52"/>
        <v>1</v>
      </c>
      <c r="Y341">
        <v>9</v>
      </c>
      <c r="Z341">
        <v>9</v>
      </c>
      <c r="AA341" s="32">
        <f t="shared" si="53"/>
        <v>0</v>
      </c>
    </row>
    <row r="342" spans="1:27" x14ac:dyDescent="0.45">
      <c r="A342">
        <v>8</v>
      </c>
      <c r="B342">
        <v>9</v>
      </c>
      <c r="C342" s="32">
        <f t="shared" si="45"/>
        <v>1</v>
      </c>
      <c r="D342">
        <v>8</v>
      </c>
      <c r="E342">
        <v>9</v>
      </c>
      <c r="F342" s="32">
        <f t="shared" si="46"/>
        <v>1</v>
      </c>
      <c r="G342">
        <v>9</v>
      </c>
      <c r="H342">
        <v>9</v>
      </c>
      <c r="I342" s="32">
        <f t="shared" si="47"/>
        <v>0</v>
      </c>
      <c r="J342">
        <v>9</v>
      </c>
      <c r="K342">
        <v>9</v>
      </c>
      <c r="L342" s="32">
        <f t="shared" si="48"/>
        <v>0</v>
      </c>
      <c r="M342">
        <v>9</v>
      </c>
      <c r="N342">
        <v>9</v>
      </c>
      <c r="O342" s="32">
        <f t="shared" si="49"/>
        <v>0</v>
      </c>
      <c r="P342">
        <v>9</v>
      </c>
      <c r="Q342">
        <v>9</v>
      </c>
      <c r="R342" s="32">
        <f t="shared" si="50"/>
        <v>0</v>
      </c>
      <c r="S342">
        <v>9</v>
      </c>
      <c r="T342">
        <v>9</v>
      </c>
      <c r="U342" s="32">
        <f t="shared" si="51"/>
        <v>0</v>
      </c>
      <c r="V342">
        <v>9</v>
      </c>
      <c r="W342">
        <v>8</v>
      </c>
      <c r="X342" s="32">
        <f t="shared" si="52"/>
        <v>1</v>
      </c>
      <c r="Y342">
        <v>9</v>
      </c>
      <c r="Z342">
        <v>9</v>
      </c>
      <c r="AA342" s="32">
        <f t="shared" si="53"/>
        <v>0</v>
      </c>
    </row>
    <row r="343" spans="1:27" x14ac:dyDescent="0.45">
      <c r="A343">
        <v>8</v>
      </c>
      <c r="B343">
        <v>9</v>
      </c>
      <c r="C343" s="32">
        <f t="shared" si="45"/>
        <v>1</v>
      </c>
      <c r="D343">
        <v>8</v>
      </c>
      <c r="E343">
        <v>9</v>
      </c>
      <c r="F343" s="32">
        <f t="shared" si="46"/>
        <v>1</v>
      </c>
      <c r="G343">
        <v>9</v>
      </c>
      <c r="H343">
        <v>9</v>
      </c>
      <c r="I343" s="32">
        <f t="shared" si="47"/>
        <v>0</v>
      </c>
      <c r="J343">
        <v>9</v>
      </c>
      <c r="K343">
        <v>9</v>
      </c>
      <c r="L343" s="32">
        <f t="shared" si="48"/>
        <v>0</v>
      </c>
      <c r="M343">
        <v>9</v>
      </c>
      <c r="N343">
        <v>9</v>
      </c>
      <c r="O343" s="32">
        <f t="shared" si="49"/>
        <v>0</v>
      </c>
      <c r="P343">
        <v>9</v>
      </c>
      <c r="Q343">
        <v>9</v>
      </c>
      <c r="R343" s="32">
        <f t="shared" si="50"/>
        <v>0</v>
      </c>
      <c r="S343">
        <v>9</v>
      </c>
      <c r="T343">
        <v>9</v>
      </c>
      <c r="U343" s="32">
        <f t="shared" si="51"/>
        <v>0</v>
      </c>
      <c r="V343">
        <v>9</v>
      </c>
      <c r="W343">
        <v>8</v>
      </c>
      <c r="X343" s="32">
        <f t="shared" si="52"/>
        <v>1</v>
      </c>
      <c r="Y343">
        <v>9</v>
      </c>
      <c r="Z343">
        <v>9</v>
      </c>
      <c r="AA343" s="32">
        <f t="shared" si="53"/>
        <v>0</v>
      </c>
    </row>
    <row r="344" spans="1:27" x14ac:dyDescent="0.45">
      <c r="A344">
        <v>8</v>
      </c>
      <c r="B344">
        <v>9</v>
      </c>
      <c r="C344" s="32">
        <f t="shared" si="45"/>
        <v>1</v>
      </c>
      <c r="D344">
        <v>9</v>
      </c>
      <c r="E344">
        <v>9</v>
      </c>
      <c r="F344" s="32">
        <f t="shared" si="46"/>
        <v>0</v>
      </c>
      <c r="G344">
        <v>9</v>
      </c>
      <c r="H344">
        <v>9</v>
      </c>
      <c r="I344" s="32">
        <f t="shared" si="47"/>
        <v>0</v>
      </c>
      <c r="J344">
        <v>9</v>
      </c>
      <c r="K344">
        <v>9</v>
      </c>
      <c r="L344" s="32">
        <f t="shared" si="48"/>
        <v>0</v>
      </c>
      <c r="M344">
        <v>9</v>
      </c>
      <c r="N344">
        <v>9</v>
      </c>
      <c r="O344" s="32">
        <f t="shared" si="49"/>
        <v>0</v>
      </c>
      <c r="P344">
        <v>9</v>
      </c>
      <c r="Q344">
        <v>9</v>
      </c>
      <c r="R344" s="32">
        <f t="shared" si="50"/>
        <v>0</v>
      </c>
      <c r="S344">
        <v>9</v>
      </c>
      <c r="T344">
        <v>9</v>
      </c>
      <c r="U344" s="32">
        <f t="shared" si="51"/>
        <v>0</v>
      </c>
      <c r="V344">
        <v>9</v>
      </c>
      <c r="W344">
        <v>8</v>
      </c>
      <c r="X344" s="32">
        <f t="shared" si="52"/>
        <v>1</v>
      </c>
      <c r="Y344">
        <v>9</v>
      </c>
      <c r="Z344">
        <v>9</v>
      </c>
      <c r="AA344" s="32">
        <f t="shared" si="53"/>
        <v>0</v>
      </c>
    </row>
    <row r="345" spans="1:27" x14ac:dyDescent="0.45">
      <c r="A345">
        <v>8</v>
      </c>
      <c r="B345">
        <v>9</v>
      </c>
      <c r="C345" s="32">
        <f t="shared" si="45"/>
        <v>1</v>
      </c>
      <c r="D345">
        <v>9</v>
      </c>
      <c r="E345">
        <v>9</v>
      </c>
      <c r="F345" s="32">
        <f t="shared" si="46"/>
        <v>0</v>
      </c>
      <c r="G345">
        <v>9</v>
      </c>
      <c r="H345">
        <v>9</v>
      </c>
      <c r="I345" s="32">
        <f t="shared" si="47"/>
        <v>0</v>
      </c>
      <c r="J345">
        <v>9</v>
      </c>
      <c r="K345">
        <v>9</v>
      </c>
      <c r="L345" s="32">
        <f t="shared" si="48"/>
        <v>0</v>
      </c>
      <c r="M345">
        <v>9</v>
      </c>
      <c r="N345">
        <v>9</v>
      </c>
      <c r="O345" s="32">
        <f t="shared" si="49"/>
        <v>0</v>
      </c>
      <c r="P345">
        <v>9</v>
      </c>
      <c r="Q345">
        <v>9</v>
      </c>
      <c r="R345" s="32">
        <f t="shared" si="50"/>
        <v>0</v>
      </c>
      <c r="S345">
        <v>9</v>
      </c>
      <c r="T345">
        <v>9</v>
      </c>
      <c r="U345" s="32">
        <f t="shared" si="51"/>
        <v>0</v>
      </c>
      <c r="V345">
        <v>9</v>
      </c>
      <c r="W345">
        <v>9</v>
      </c>
      <c r="X345" s="32">
        <f t="shared" si="52"/>
        <v>0</v>
      </c>
      <c r="Y345">
        <v>9</v>
      </c>
      <c r="Z345">
        <v>9</v>
      </c>
      <c r="AA345" s="32">
        <f t="shared" si="53"/>
        <v>0</v>
      </c>
    </row>
    <row r="346" spans="1:27" x14ac:dyDescent="0.45">
      <c r="A346">
        <v>8</v>
      </c>
      <c r="B346">
        <v>9</v>
      </c>
      <c r="C346" s="32">
        <f t="shared" si="45"/>
        <v>1</v>
      </c>
      <c r="D346">
        <v>9</v>
      </c>
      <c r="E346">
        <v>9</v>
      </c>
      <c r="F346" s="32">
        <f t="shared" si="46"/>
        <v>0</v>
      </c>
      <c r="G346">
        <v>9</v>
      </c>
      <c r="H346">
        <v>9</v>
      </c>
      <c r="I346" s="32">
        <f t="shared" si="47"/>
        <v>0</v>
      </c>
      <c r="J346">
        <v>9</v>
      </c>
      <c r="K346">
        <v>9</v>
      </c>
      <c r="L346" s="32">
        <f t="shared" si="48"/>
        <v>0</v>
      </c>
      <c r="M346">
        <v>9</v>
      </c>
      <c r="N346">
        <v>9</v>
      </c>
      <c r="O346" s="32">
        <f t="shared" si="49"/>
        <v>0</v>
      </c>
      <c r="P346">
        <v>9</v>
      </c>
      <c r="Q346">
        <v>9</v>
      </c>
      <c r="R346" s="32">
        <f t="shared" si="50"/>
        <v>0</v>
      </c>
      <c r="S346">
        <v>9</v>
      </c>
      <c r="T346">
        <v>9</v>
      </c>
      <c r="U346" s="32">
        <f t="shared" si="51"/>
        <v>0</v>
      </c>
      <c r="V346">
        <v>9</v>
      </c>
      <c r="W346">
        <v>9</v>
      </c>
      <c r="X346" s="32">
        <f t="shared" si="52"/>
        <v>0</v>
      </c>
      <c r="Y346">
        <v>9</v>
      </c>
      <c r="Z346">
        <v>10</v>
      </c>
      <c r="AA346" s="32">
        <f t="shared" si="53"/>
        <v>1</v>
      </c>
    </row>
    <row r="347" spans="1:27" x14ac:dyDescent="0.45">
      <c r="A347">
        <v>8</v>
      </c>
      <c r="B347">
        <v>9</v>
      </c>
      <c r="C347" s="32">
        <f t="shared" si="45"/>
        <v>1</v>
      </c>
      <c r="D347">
        <v>9</v>
      </c>
      <c r="E347">
        <v>9</v>
      </c>
      <c r="F347" s="32">
        <f t="shared" si="46"/>
        <v>0</v>
      </c>
      <c r="G347">
        <v>9</v>
      </c>
      <c r="H347">
        <v>9</v>
      </c>
      <c r="I347" s="32">
        <f t="shared" si="47"/>
        <v>0</v>
      </c>
      <c r="J347">
        <v>9</v>
      </c>
      <c r="K347">
        <v>9</v>
      </c>
      <c r="L347" s="32">
        <f t="shared" si="48"/>
        <v>0</v>
      </c>
      <c r="M347">
        <v>9</v>
      </c>
      <c r="N347">
        <v>9</v>
      </c>
      <c r="O347" s="32">
        <f t="shared" si="49"/>
        <v>0</v>
      </c>
      <c r="P347">
        <v>9</v>
      </c>
      <c r="Q347">
        <v>9</v>
      </c>
      <c r="R347" s="32">
        <f t="shared" si="50"/>
        <v>0</v>
      </c>
      <c r="S347">
        <v>9</v>
      </c>
      <c r="T347">
        <v>9</v>
      </c>
      <c r="U347" s="32">
        <f t="shared" si="51"/>
        <v>0</v>
      </c>
      <c r="V347">
        <v>9</v>
      </c>
      <c r="W347">
        <v>9</v>
      </c>
      <c r="X347" s="32">
        <f t="shared" si="52"/>
        <v>0</v>
      </c>
      <c r="Y347">
        <v>9</v>
      </c>
      <c r="Z347">
        <v>10</v>
      </c>
      <c r="AA347" s="32">
        <f t="shared" si="53"/>
        <v>1</v>
      </c>
    </row>
    <row r="348" spans="1:27" x14ac:dyDescent="0.45">
      <c r="A348">
        <v>8</v>
      </c>
      <c r="B348">
        <v>9</v>
      </c>
      <c r="C348" s="32">
        <f t="shared" si="45"/>
        <v>1</v>
      </c>
      <c r="D348">
        <v>9</v>
      </c>
      <c r="E348">
        <v>9</v>
      </c>
      <c r="F348" s="32">
        <f t="shared" si="46"/>
        <v>0</v>
      </c>
      <c r="G348">
        <v>9</v>
      </c>
      <c r="H348">
        <v>9</v>
      </c>
      <c r="I348" s="32">
        <f t="shared" si="47"/>
        <v>0</v>
      </c>
      <c r="J348">
        <v>9</v>
      </c>
      <c r="K348">
        <v>9</v>
      </c>
      <c r="L348" s="32">
        <f t="shared" si="48"/>
        <v>0</v>
      </c>
      <c r="M348">
        <v>9</v>
      </c>
      <c r="N348">
        <v>9</v>
      </c>
      <c r="O348" s="32">
        <f t="shared" si="49"/>
        <v>0</v>
      </c>
      <c r="P348">
        <v>9</v>
      </c>
      <c r="Q348">
        <v>9</v>
      </c>
      <c r="R348" s="32">
        <f t="shared" si="50"/>
        <v>0</v>
      </c>
      <c r="S348">
        <v>9</v>
      </c>
      <c r="T348">
        <v>9</v>
      </c>
      <c r="U348" s="32">
        <f t="shared" si="51"/>
        <v>0</v>
      </c>
      <c r="V348">
        <v>9</v>
      </c>
      <c r="W348">
        <v>9</v>
      </c>
      <c r="X348" s="32">
        <f t="shared" si="52"/>
        <v>0</v>
      </c>
      <c r="Y348">
        <v>9</v>
      </c>
      <c r="Z348">
        <v>10</v>
      </c>
      <c r="AA348" s="32">
        <f t="shared" si="53"/>
        <v>1</v>
      </c>
    </row>
    <row r="349" spans="1:27" x14ac:dyDescent="0.45">
      <c r="A349">
        <v>8</v>
      </c>
      <c r="B349">
        <v>10</v>
      </c>
      <c r="C349" s="32">
        <f t="shared" si="45"/>
        <v>2</v>
      </c>
      <c r="D349">
        <v>9</v>
      </c>
      <c r="E349">
        <v>9</v>
      </c>
      <c r="F349" s="32">
        <f t="shared" si="46"/>
        <v>0</v>
      </c>
      <c r="G349">
        <v>9</v>
      </c>
      <c r="H349">
        <v>9</v>
      </c>
      <c r="I349" s="32">
        <f t="shared" si="47"/>
        <v>0</v>
      </c>
      <c r="J349">
        <v>9</v>
      </c>
      <c r="K349">
        <v>9</v>
      </c>
      <c r="L349" s="32">
        <f t="shared" si="48"/>
        <v>0</v>
      </c>
      <c r="M349">
        <v>9</v>
      </c>
      <c r="N349">
        <v>9</v>
      </c>
      <c r="O349" s="32">
        <f t="shared" si="49"/>
        <v>0</v>
      </c>
      <c r="P349">
        <v>9</v>
      </c>
      <c r="Q349">
        <v>9</v>
      </c>
      <c r="R349" s="32">
        <f t="shared" si="50"/>
        <v>0</v>
      </c>
      <c r="S349">
        <v>9</v>
      </c>
      <c r="T349">
        <v>9</v>
      </c>
      <c r="U349" s="32">
        <f t="shared" si="51"/>
        <v>0</v>
      </c>
      <c r="V349">
        <v>9</v>
      </c>
      <c r="W349">
        <v>9</v>
      </c>
      <c r="X349" s="32">
        <f t="shared" si="52"/>
        <v>0</v>
      </c>
      <c r="Y349">
        <v>9</v>
      </c>
      <c r="Z349">
        <v>10</v>
      </c>
      <c r="AA349" s="32">
        <f t="shared" si="53"/>
        <v>1</v>
      </c>
    </row>
    <row r="350" spans="1:27" x14ac:dyDescent="0.45">
      <c r="A350">
        <v>8</v>
      </c>
      <c r="B350">
        <v>10</v>
      </c>
      <c r="C350" s="32">
        <f t="shared" si="45"/>
        <v>2</v>
      </c>
      <c r="D350">
        <v>9</v>
      </c>
      <c r="E350">
        <v>9</v>
      </c>
      <c r="F350" s="32">
        <f t="shared" si="46"/>
        <v>0</v>
      </c>
      <c r="G350">
        <v>9</v>
      </c>
      <c r="H350">
        <v>9</v>
      </c>
      <c r="I350" s="32">
        <f t="shared" si="47"/>
        <v>0</v>
      </c>
      <c r="J350">
        <v>9</v>
      </c>
      <c r="K350">
        <v>9</v>
      </c>
      <c r="L350" s="32">
        <f t="shared" si="48"/>
        <v>0</v>
      </c>
      <c r="M350">
        <v>9</v>
      </c>
      <c r="N350">
        <v>9</v>
      </c>
      <c r="O350" s="32">
        <f t="shared" si="49"/>
        <v>0</v>
      </c>
      <c r="P350">
        <v>9</v>
      </c>
      <c r="Q350">
        <v>9</v>
      </c>
      <c r="R350" s="32">
        <f t="shared" si="50"/>
        <v>0</v>
      </c>
      <c r="S350">
        <v>9</v>
      </c>
      <c r="T350">
        <v>9</v>
      </c>
      <c r="U350" s="32">
        <f t="shared" si="51"/>
        <v>0</v>
      </c>
      <c r="V350">
        <v>9</v>
      </c>
      <c r="W350">
        <v>9</v>
      </c>
      <c r="X350" s="32">
        <f t="shared" si="52"/>
        <v>0</v>
      </c>
      <c r="Y350">
        <v>9</v>
      </c>
      <c r="Z350">
        <v>10</v>
      </c>
      <c r="AA350" s="32">
        <f t="shared" si="53"/>
        <v>1</v>
      </c>
    </row>
    <row r="351" spans="1:27" x14ac:dyDescent="0.45">
      <c r="A351">
        <v>8</v>
      </c>
      <c r="B351">
        <v>10</v>
      </c>
      <c r="C351" s="32">
        <f t="shared" si="45"/>
        <v>2</v>
      </c>
      <c r="D351">
        <v>9</v>
      </c>
      <c r="E351">
        <v>9</v>
      </c>
      <c r="F351" s="32">
        <f t="shared" si="46"/>
        <v>0</v>
      </c>
      <c r="G351">
        <v>9</v>
      </c>
      <c r="H351">
        <v>9</v>
      </c>
      <c r="I351" s="32">
        <f t="shared" si="47"/>
        <v>0</v>
      </c>
      <c r="J351">
        <v>9</v>
      </c>
      <c r="K351">
        <v>9</v>
      </c>
      <c r="L351" s="32">
        <f t="shared" si="48"/>
        <v>0</v>
      </c>
      <c r="M351">
        <v>9</v>
      </c>
      <c r="N351">
        <v>9</v>
      </c>
      <c r="O351" s="32">
        <f t="shared" si="49"/>
        <v>0</v>
      </c>
      <c r="P351">
        <v>9</v>
      </c>
      <c r="Q351">
        <v>9</v>
      </c>
      <c r="R351" s="32">
        <f t="shared" si="50"/>
        <v>0</v>
      </c>
      <c r="S351">
        <v>9</v>
      </c>
      <c r="T351">
        <v>9</v>
      </c>
      <c r="U351" s="32">
        <f t="shared" si="51"/>
        <v>0</v>
      </c>
      <c r="V351">
        <v>9</v>
      </c>
      <c r="W351">
        <v>9</v>
      </c>
      <c r="X351" s="32">
        <f t="shared" si="52"/>
        <v>0</v>
      </c>
      <c r="Y351">
        <v>9</v>
      </c>
      <c r="Z351">
        <v>10</v>
      </c>
      <c r="AA351" s="32">
        <f t="shared" si="53"/>
        <v>1</v>
      </c>
    </row>
    <row r="352" spans="1:27" x14ac:dyDescent="0.45">
      <c r="A352">
        <v>8</v>
      </c>
      <c r="B352">
        <v>10</v>
      </c>
      <c r="C352" s="32">
        <f t="shared" si="45"/>
        <v>2</v>
      </c>
      <c r="D352">
        <v>9</v>
      </c>
      <c r="E352">
        <v>10</v>
      </c>
      <c r="F352" s="32">
        <f t="shared" si="46"/>
        <v>1</v>
      </c>
      <c r="G352">
        <v>9</v>
      </c>
      <c r="H352">
        <v>9</v>
      </c>
      <c r="I352" s="32">
        <f t="shared" si="47"/>
        <v>0</v>
      </c>
      <c r="J352">
        <v>9</v>
      </c>
      <c r="K352">
        <v>9</v>
      </c>
      <c r="L352" s="32">
        <f t="shared" si="48"/>
        <v>0</v>
      </c>
      <c r="M352">
        <v>9</v>
      </c>
      <c r="N352">
        <v>9</v>
      </c>
      <c r="O352" s="32">
        <f t="shared" si="49"/>
        <v>0</v>
      </c>
      <c r="P352">
        <v>9</v>
      </c>
      <c r="Q352">
        <v>9</v>
      </c>
      <c r="R352" s="32">
        <f t="shared" si="50"/>
        <v>0</v>
      </c>
      <c r="S352">
        <v>9</v>
      </c>
      <c r="T352">
        <v>9</v>
      </c>
      <c r="U352" s="32">
        <f t="shared" si="51"/>
        <v>0</v>
      </c>
      <c r="V352">
        <v>9</v>
      </c>
      <c r="W352">
        <v>9</v>
      </c>
      <c r="X352" s="32">
        <f t="shared" si="52"/>
        <v>0</v>
      </c>
      <c r="Y352">
        <v>9</v>
      </c>
      <c r="Z352">
        <v>10</v>
      </c>
      <c r="AA352" s="32">
        <f t="shared" si="53"/>
        <v>1</v>
      </c>
    </row>
    <row r="353" spans="1:27" x14ac:dyDescent="0.45">
      <c r="A353">
        <v>8</v>
      </c>
      <c r="B353">
        <v>10</v>
      </c>
      <c r="C353" s="32">
        <f t="shared" si="45"/>
        <v>2</v>
      </c>
      <c r="D353">
        <v>9</v>
      </c>
      <c r="E353">
        <v>10</v>
      </c>
      <c r="F353" s="32">
        <f t="shared" si="46"/>
        <v>1</v>
      </c>
      <c r="G353">
        <v>9</v>
      </c>
      <c r="H353">
        <v>9</v>
      </c>
      <c r="I353" s="32">
        <f t="shared" si="47"/>
        <v>0</v>
      </c>
      <c r="J353">
        <v>9</v>
      </c>
      <c r="K353">
        <v>9</v>
      </c>
      <c r="L353" s="32">
        <f t="shared" si="48"/>
        <v>0</v>
      </c>
      <c r="M353">
        <v>9</v>
      </c>
      <c r="N353">
        <v>9</v>
      </c>
      <c r="O353" s="32">
        <f t="shared" si="49"/>
        <v>0</v>
      </c>
      <c r="P353">
        <v>9</v>
      </c>
      <c r="Q353">
        <v>9</v>
      </c>
      <c r="R353" s="32">
        <f t="shared" si="50"/>
        <v>0</v>
      </c>
      <c r="S353">
        <v>9</v>
      </c>
      <c r="T353">
        <v>9</v>
      </c>
      <c r="U353" s="32">
        <f t="shared" si="51"/>
        <v>0</v>
      </c>
      <c r="V353">
        <v>9</v>
      </c>
      <c r="W353">
        <v>9</v>
      </c>
      <c r="X353" s="32">
        <f t="shared" si="52"/>
        <v>0</v>
      </c>
      <c r="Y353">
        <v>9</v>
      </c>
      <c r="Z353">
        <v>10</v>
      </c>
      <c r="AA353" s="32">
        <f t="shared" si="53"/>
        <v>1</v>
      </c>
    </row>
    <row r="354" spans="1:27" x14ac:dyDescent="0.45">
      <c r="A354">
        <v>8</v>
      </c>
      <c r="B354">
        <v>10</v>
      </c>
      <c r="C354" s="32">
        <f t="shared" si="45"/>
        <v>2</v>
      </c>
      <c r="D354">
        <v>9</v>
      </c>
      <c r="E354">
        <v>10</v>
      </c>
      <c r="F354" s="32">
        <f t="shared" si="46"/>
        <v>1</v>
      </c>
      <c r="G354">
        <v>9</v>
      </c>
      <c r="H354">
        <v>9</v>
      </c>
      <c r="I354" s="32">
        <f t="shared" si="47"/>
        <v>0</v>
      </c>
      <c r="J354">
        <v>9</v>
      </c>
      <c r="K354">
        <v>9</v>
      </c>
      <c r="L354" s="32">
        <f t="shared" si="48"/>
        <v>0</v>
      </c>
      <c r="M354">
        <v>9</v>
      </c>
      <c r="N354">
        <v>9</v>
      </c>
      <c r="O354" s="32">
        <f t="shared" si="49"/>
        <v>0</v>
      </c>
      <c r="P354">
        <v>9</v>
      </c>
      <c r="Q354">
        <v>9</v>
      </c>
      <c r="R354" s="32">
        <f t="shared" si="50"/>
        <v>0</v>
      </c>
      <c r="S354">
        <v>9</v>
      </c>
      <c r="T354">
        <v>9</v>
      </c>
      <c r="U354" s="32">
        <f t="shared" si="51"/>
        <v>0</v>
      </c>
      <c r="V354">
        <v>9</v>
      </c>
      <c r="W354">
        <v>9</v>
      </c>
      <c r="X354" s="32">
        <f t="shared" si="52"/>
        <v>0</v>
      </c>
      <c r="Y354">
        <v>9</v>
      </c>
      <c r="Z354">
        <v>10</v>
      </c>
      <c r="AA354" s="32">
        <f t="shared" si="53"/>
        <v>1</v>
      </c>
    </row>
    <row r="355" spans="1:27" x14ac:dyDescent="0.45">
      <c r="A355">
        <v>8</v>
      </c>
      <c r="B355">
        <v>10</v>
      </c>
      <c r="C355" s="32">
        <f t="shared" si="45"/>
        <v>2</v>
      </c>
      <c r="D355">
        <v>9</v>
      </c>
      <c r="E355">
        <v>10</v>
      </c>
      <c r="F355" s="32">
        <f t="shared" si="46"/>
        <v>1</v>
      </c>
      <c r="G355">
        <v>9</v>
      </c>
      <c r="H355">
        <v>9</v>
      </c>
      <c r="I355" s="32">
        <f t="shared" si="47"/>
        <v>0</v>
      </c>
      <c r="J355">
        <v>9</v>
      </c>
      <c r="K355">
        <v>9</v>
      </c>
      <c r="L355" s="32">
        <f t="shared" si="48"/>
        <v>0</v>
      </c>
      <c r="M355">
        <v>9</v>
      </c>
      <c r="N355">
        <v>9</v>
      </c>
      <c r="O355" s="32">
        <f t="shared" si="49"/>
        <v>0</v>
      </c>
      <c r="P355">
        <v>9</v>
      </c>
      <c r="Q355">
        <v>9</v>
      </c>
      <c r="R355" s="32">
        <f t="shared" si="50"/>
        <v>0</v>
      </c>
      <c r="S355">
        <v>9</v>
      </c>
      <c r="T355">
        <v>9</v>
      </c>
      <c r="U355" s="32">
        <f t="shared" si="51"/>
        <v>0</v>
      </c>
      <c r="V355">
        <v>9</v>
      </c>
      <c r="W355">
        <v>9</v>
      </c>
      <c r="X355" s="32">
        <f t="shared" si="52"/>
        <v>0</v>
      </c>
      <c r="Y355">
        <v>9</v>
      </c>
      <c r="Z355">
        <v>10</v>
      </c>
      <c r="AA355" s="32">
        <f t="shared" si="53"/>
        <v>1</v>
      </c>
    </row>
    <row r="356" spans="1:27" x14ac:dyDescent="0.45">
      <c r="A356">
        <v>8</v>
      </c>
      <c r="B356">
        <v>10</v>
      </c>
      <c r="C356" s="32">
        <f t="shared" si="45"/>
        <v>2</v>
      </c>
      <c r="D356">
        <v>9</v>
      </c>
      <c r="E356">
        <v>10</v>
      </c>
      <c r="F356" s="32">
        <f t="shared" si="46"/>
        <v>1</v>
      </c>
      <c r="G356">
        <v>9</v>
      </c>
      <c r="H356">
        <v>9</v>
      </c>
      <c r="I356" s="32">
        <f t="shared" si="47"/>
        <v>0</v>
      </c>
      <c r="J356">
        <v>9</v>
      </c>
      <c r="K356">
        <v>9</v>
      </c>
      <c r="L356" s="32">
        <f t="shared" si="48"/>
        <v>0</v>
      </c>
      <c r="M356">
        <v>9</v>
      </c>
      <c r="N356">
        <v>9</v>
      </c>
      <c r="O356" s="32">
        <f t="shared" si="49"/>
        <v>0</v>
      </c>
      <c r="P356">
        <v>9</v>
      </c>
      <c r="Q356">
        <v>9</v>
      </c>
      <c r="R356" s="32">
        <f t="shared" si="50"/>
        <v>0</v>
      </c>
      <c r="S356">
        <v>9</v>
      </c>
      <c r="T356">
        <v>9</v>
      </c>
      <c r="U356" s="32">
        <f t="shared" si="51"/>
        <v>0</v>
      </c>
      <c r="V356">
        <v>9</v>
      </c>
      <c r="W356">
        <v>9</v>
      </c>
      <c r="X356" s="32">
        <f t="shared" si="52"/>
        <v>0</v>
      </c>
      <c r="Y356">
        <v>9</v>
      </c>
      <c r="Z356">
        <v>10</v>
      </c>
      <c r="AA356" s="32">
        <f t="shared" si="53"/>
        <v>1</v>
      </c>
    </row>
    <row r="357" spans="1:27" x14ac:dyDescent="0.45">
      <c r="A357">
        <v>8</v>
      </c>
      <c r="B357">
        <v>10</v>
      </c>
      <c r="C357" s="32">
        <f t="shared" si="45"/>
        <v>2</v>
      </c>
      <c r="D357">
        <v>9</v>
      </c>
      <c r="E357">
        <v>10</v>
      </c>
      <c r="F357" s="32">
        <f t="shared" si="46"/>
        <v>1</v>
      </c>
      <c r="G357">
        <v>9</v>
      </c>
      <c r="H357">
        <v>9</v>
      </c>
      <c r="I357" s="32">
        <f t="shared" si="47"/>
        <v>0</v>
      </c>
      <c r="J357">
        <v>9</v>
      </c>
      <c r="K357">
        <v>9</v>
      </c>
      <c r="L357" s="32">
        <f t="shared" si="48"/>
        <v>0</v>
      </c>
      <c r="M357">
        <v>9</v>
      </c>
      <c r="N357">
        <v>9</v>
      </c>
      <c r="O357" s="32">
        <f t="shared" si="49"/>
        <v>0</v>
      </c>
      <c r="P357">
        <v>9</v>
      </c>
      <c r="Q357">
        <v>10</v>
      </c>
      <c r="R357" s="32">
        <f t="shared" si="50"/>
        <v>1</v>
      </c>
      <c r="S357">
        <v>9</v>
      </c>
      <c r="T357">
        <v>9</v>
      </c>
      <c r="U357" s="32">
        <f t="shared" si="51"/>
        <v>0</v>
      </c>
      <c r="V357">
        <v>9</v>
      </c>
      <c r="W357">
        <v>9</v>
      </c>
      <c r="X357" s="32">
        <f t="shared" si="52"/>
        <v>0</v>
      </c>
      <c r="Y357">
        <v>9</v>
      </c>
      <c r="Z357">
        <v>10</v>
      </c>
      <c r="AA357" s="32">
        <f t="shared" si="53"/>
        <v>1</v>
      </c>
    </row>
    <row r="358" spans="1:27" x14ac:dyDescent="0.45">
      <c r="A358">
        <v>8</v>
      </c>
      <c r="B358">
        <v>10</v>
      </c>
      <c r="C358" s="32">
        <f t="shared" si="45"/>
        <v>2</v>
      </c>
      <c r="D358">
        <v>9</v>
      </c>
      <c r="E358">
        <v>10</v>
      </c>
      <c r="F358" s="32">
        <f t="shared" si="46"/>
        <v>1</v>
      </c>
      <c r="G358">
        <v>9</v>
      </c>
      <c r="H358">
        <v>9</v>
      </c>
      <c r="I358" s="32">
        <f t="shared" si="47"/>
        <v>0</v>
      </c>
      <c r="J358">
        <v>9</v>
      </c>
      <c r="K358">
        <v>9</v>
      </c>
      <c r="L358" s="32">
        <f t="shared" si="48"/>
        <v>0</v>
      </c>
      <c r="M358">
        <v>9</v>
      </c>
      <c r="N358">
        <v>9</v>
      </c>
      <c r="O358" s="32">
        <f t="shared" si="49"/>
        <v>0</v>
      </c>
      <c r="P358">
        <v>9</v>
      </c>
      <c r="Q358">
        <v>10</v>
      </c>
      <c r="R358" s="32">
        <f t="shared" si="50"/>
        <v>1</v>
      </c>
      <c r="S358">
        <v>9</v>
      </c>
      <c r="T358">
        <v>9</v>
      </c>
      <c r="U358" s="32">
        <f t="shared" si="51"/>
        <v>0</v>
      </c>
      <c r="V358">
        <v>9</v>
      </c>
      <c r="W358">
        <v>9</v>
      </c>
      <c r="X358" s="32">
        <f t="shared" si="52"/>
        <v>0</v>
      </c>
      <c r="Y358">
        <v>9</v>
      </c>
      <c r="Z358">
        <v>10</v>
      </c>
      <c r="AA358" s="32">
        <f t="shared" si="53"/>
        <v>1</v>
      </c>
    </row>
    <row r="359" spans="1:27" x14ac:dyDescent="0.45">
      <c r="A359">
        <v>8</v>
      </c>
      <c r="B359">
        <v>10</v>
      </c>
      <c r="C359" s="32">
        <f t="shared" si="45"/>
        <v>2</v>
      </c>
      <c r="D359">
        <v>9</v>
      </c>
      <c r="E359">
        <v>10</v>
      </c>
      <c r="F359" s="32">
        <f t="shared" si="46"/>
        <v>1</v>
      </c>
      <c r="G359">
        <v>9</v>
      </c>
      <c r="H359">
        <v>9</v>
      </c>
      <c r="I359" s="32">
        <f t="shared" si="47"/>
        <v>0</v>
      </c>
      <c r="J359">
        <v>9</v>
      </c>
      <c r="K359">
        <v>9</v>
      </c>
      <c r="L359" s="32">
        <f t="shared" si="48"/>
        <v>0</v>
      </c>
      <c r="M359">
        <v>9</v>
      </c>
      <c r="N359">
        <v>9</v>
      </c>
      <c r="O359" s="32">
        <f t="shared" si="49"/>
        <v>0</v>
      </c>
      <c r="P359">
        <v>9</v>
      </c>
      <c r="Q359">
        <v>10</v>
      </c>
      <c r="R359" s="32">
        <f t="shared" si="50"/>
        <v>1</v>
      </c>
      <c r="S359">
        <v>9</v>
      </c>
      <c r="T359">
        <v>9</v>
      </c>
      <c r="U359" s="32">
        <f t="shared" si="51"/>
        <v>0</v>
      </c>
      <c r="V359">
        <v>9</v>
      </c>
      <c r="W359">
        <v>9</v>
      </c>
      <c r="X359" s="32">
        <f t="shared" si="52"/>
        <v>0</v>
      </c>
      <c r="Y359">
        <v>9</v>
      </c>
      <c r="Z359">
        <v>10</v>
      </c>
      <c r="AA359" s="32">
        <f t="shared" si="53"/>
        <v>1</v>
      </c>
    </row>
    <row r="360" spans="1:27" x14ac:dyDescent="0.45">
      <c r="A360">
        <v>8</v>
      </c>
      <c r="B360">
        <v>10</v>
      </c>
      <c r="C360" s="32">
        <f t="shared" si="45"/>
        <v>2</v>
      </c>
      <c r="D360">
        <v>9</v>
      </c>
      <c r="E360">
        <v>10</v>
      </c>
      <c r="F360" s="32">
        <f t="shared" si="46"/>
        <v>1</v>
      </c>
      <c r="G360">
        <v>9</v>
      </c>
      <c r="H360">
        <v>9</v>
      </c>
      <c r="I360" s="32">
        <f t="shared" si="47"/>
        <v>0</v>
      </c>
      <c r="J360">
        <v>9</v>
      </c>
      <c r="K360">
        <v>9</v>
      </c>
      <c r="L360" s="32">
        <f t="shared" si="48"/>
        <v>0</v>
      </c>
      <c r="M360">
        <v>9</v>
      </c>
      <c r="N360">
        <v>9</v>
      </c>
      <c r="O360" s="32">
        <f t="shared" si="49"/>
        <v>0</v>
      </c>
      <c r="P360">
        <v>9</v>
      </c>
      <c r="Q360">
        <v>10</v>
      </c>
      <c r="R360" s="32">
        <f t="shared" si="50"/>
        <v>1</v>
      </c>
      <c r="S360">
        <v>9</v>
      </c>
      <c r="T360">
        <v>9</v>
      </c>
      <c r="U360" s="32">
        <f t="shared" si="51"/>
        <v>0</v>
      </c>
      <c r="V360">
        <v>9</v>
      </c>
      <c r="W360">
        <v>9</v>
      </c>
      <c r="X360" s="32">
        <f t="shared" si="52"/>
        <v>0</v>
      </c>
      <c r="Y360">
        <v>9</v>
      </c>
      <c r="Z360">
        <v>10</v>
      </c>
      <c r="AA360" s="32">
        <f t="shared" si="53"/>
        <v>1</v>
      </c>
    </row>
    <row r="361" spans="1:27" x14ac:dyDescent="0.45">
      <c r="A361">
        <v>8</v>
      </c>
      <c r="B361">
        <v>10</v>
      </c>
      <c r="C361" s="32">
        <f t="shared" si="45"/>
        <v>2</v>
      </c>
      <c r="D361">
        <v>9</v>
      </c>
      <c r="E361">
        <v>10</v>
      </c>
      <c r="F361" s="32">
        <f t="shared" si="46"/>
        <v>1</v>
      </c>
      <c r="G361">
        <v>9</v>
      </c>
      <c r="H361">
        <v>9</v>
      </c>
      <c r="I361" s="32">
        <f t="shared" si="47"/>
        <v>0</v>
      </c>
      <c r="J361">
        <v>9</v>
      </c>
      <c r="K361">
        <v>9</v>
      </c>
      <c r="L361" s="32">
        <f t="shared" si="48"/>
        <v>0</v>
      </c>
      <c r="M361">
        <v>9</v>
      </c>
      <c r="N361">
        <v>9</v>
      </c>
      <c r="O361" s="32">
        <f t="shared" si="49"/>
        <v>0</v>
      </c>
      <c r="P361">
        <v>9</v>
      </c>
      <c r="Q361">
        <v>10</v>
      </c>
      <c r="R361" s="32">
        <f t="shared" si="50"/>
        <v>1</v>
      </c>
      <c r="S361">
        <v>9</v>
      </c>
      <c r="T361">
        <v>9</v>
      </c>
      <c r="U361" s="32">
        <f t="shared" si="51"/>
        <v>0</v>
      </c>
      <c r="V361">
        <v>9</v>
      </c>
      <c r="W361">
        <v>9</v>
      </c>
      <c r="X361" s="32">
        <f t="shared" si="52"/>
        <v>0</v>
      </c>
      <c r="Y361">
        <v>9</v>
      </c>
      <c r="Z361">
        <v>10</v>
      </c>
      <c r="AA361" s="32">
        <f t="shared" si="53"/>
        <v>1</v>
      </c>
    </row>
    <row r="362" spans="1:27" x14ac:dyDescent="0.45">
      <c r="A362">
        <v>8</v>
      </c>
      <c r="B362">
        <v>10</v>
      </c>
      <c r="C362" s="32">
        <f t="shared" si="45"/>
        <v>2</v>
      </c>
      <c r="D362">
        <v>9</v>
      </c>
      <c r="E362">
        <v>10</v>
      </c>
      <c r="F362" s="32">
        <f t="shared" si="46"/>
        <v>1</v>
      </c>
      <c r="G362">
        <v>9</v>
      </c>
      <c r="H362">
        <v>9</v>
      </c>
      <c r="I362" s="32">
        <f t="shared" si="47"/>
        <v>0</v>
      </c>
      <c r="J362">
        <v>9</v>
      </c>
      <c r="K362">
        <v>9</v>
      </c>
      <c r="L362" s="32">
        <f t="shared" si="48"/>
        <v>0</v>
      </c>
      <c r="M362">
        <v>9</v>
      </c>
      <c r="N362">
        <v>9</v>
      </c>
      <c r="O362" s="32">
        <f t="shared" si="49"/>
        <v>0</v>
      </c>
      <c r="P362">
        <v>9</v>
      </c>
      <c r="Q362">
        <v>10</v>
      </c>
      <c r="R362" s="32">
        <f t="shared" si="50"/>
        <v>1</v>
      </c>
      <c r="S362">
        <v>9</v>
      </c>
      <c r="T362">
        <v>9</v>
      </c>
      <c r="U362" s="32">
        <f t="shared" si="51"/>
        <v>0</v>
      </c>
      <c r="V362">
        <v>9</v>
      </c>
      <c r="W362">
        <v>9</v>
      </c>
      <c r="X362" s="32">
        <f t="shared" si="52"/>
        <v>0</v>
      </c>
      <c r="Y362">
        <v>9</v>
      </c>
      <c r="Z362">
        <v>10</v>
      </c>
      <c r="AA362" s="32">
        <f t="shared" si="53"/>
        <v>1</v>
      </c>
    </row>
    <row r="363" spans="1:27" x14ac:dyDescent="0.45">
      <c r="A363">
        <v>8</v>
      </c>
      <c r="B363">
        <v>10</v>
      </c>
      <c r="C363" s="32">
        <f t="shared" si="45"/>
        <v>2</v>
      </c>
      <c r="D363">
        <v>9</v>
      </c>
      <c r="E363">
        <v>10</v>
      </c>
      <c r="F363" s="32">
        <f t="shared" si="46"/>
        <v>1</v>
      </c>
      <c r="G363">
        <v>9</v>
      </c>
      <c r="H363">
        <v>9</v>
      </c>
      <c r="I363" s="32">
        <f t="shared" si="47"/>
        <v>0</v>
      </c>
      <c r="J363">
        <v>9</v>
      </c>
      <c r="K363">
        <v>9</v>
      </c>
      <c r="L363" s="32">
        <f t="shared" si="48"/>
        <v>0</v>
      </c>
      <c r="M363">
        <v>9</v>
      </c>
      <c r="N363">
        <v>9</v>
      </c>
      <c r="O363" s="32">
        <f t="shared" si="49"/>
        <v>0</v>
      </c>
      <c r="P363">
        <v>9</v>
      </c>
      <c r="Q363">
        <v>10</v>
      </c>
      <c r="R363" s="32">
        <f t="shared" si="50"/>
        <v>1</v>
      </c>
      <c r="S363">
        <v>9</v>
      </c>
      <c r="T363">
        <v>9</v>
      </c>
      <c r="U363" s="32">
        <f t="shared" si="51"/>
        <v>0</v>
      </c>
      <c r="V363">
        <v>9</v>
      </c>
      <c r="W363">
        <v>9</v>
      </c>
      <c r="X363" s="32">
        <f t="shared" si="52"/>
        <v>0</v>
      </c>
      <c r="Y363">
        <v>9</v>
      </c>
      <c r="Z363">
        <v>10</v>
      </c>
      <c r="AA363" s="32">
        <f t="shared" si="53"/>
        <v>1</v>
      </c>
    </row>
    <row r="364" spans="1:27" x14ac:dyDescent="0.45">
      <c r="A364">
        <v>8</v>
      </c>
      <c r="B364">
        <v>10</v>
      </c>
      <c r="C364" s="32">
        <f t="shared" si="45"/>
        <v>2</v>
      </c>
      <c r="D364">
        <v>9</v>
      </c>
      <c r="E364">
        <v>10</v>
      </c>
      <c r="F364" s="32">
        <f t="shared" si="46"/>
        <v>1</v>
      </c>
      <c r="G364">
        <v>9</v>
      </c>
      <c r="H364">
        <v>9</v>
      </c>
      <c r="I364" s="32">
        <f t="shared" si="47"/>
        <v>0</v>
      </c>
      <c r="J364">
        <v>9</v>
      </c>
      <c r="K364">
        <v>10</v>
      </c>
      <c r="L364" s="32">
        <f t="shared" si="48"/>
        <v>1</v>
      </c>
      <c r="M364">
        <v>9</v>
      </c>
      <c r="N364">
        <v>10</v>
      </c>
      <c r="O364" s="32">
        <f t="shared" si="49"/>
        <v>1</v>
      </c>
      <c r="P364">
        <v>9</v>
      </c>
      <c r="Q364">
        <v>10</v>
      </c>
      <c r="R364" s="32">
        <f t="shared" si="50"/>
        <v>1</v>
      </c>
      <c r="S364">
        <v>9</v>
      </c>
      <c r="T364">
        <v>9</v>
      </c>
      <c r="U364" s="32">
        <f t="shared" si="51"/>
        <v>0</v>
      </c>
      <c r="V364">
        <v>9</v>
      </c>
      <c r="W364">
        <v>9</v>
      </c>
      <c r="X364" s="32">
        <f t="shared" si="52"/>
        <v>0</v>
      </c>
      <c r="Y364">
        <v>9</v>
      </c>
      <c r="Z364">
        <v>10</v>
      </c>
      <c r="AA364" s="32">
        <f t="shared" si="53"/>
        <v>1</v>
      </c>
    </row>
    <row r="365" spans="1:27" x14ac:dyDescent="0.45">
      <c r="A365">
        <v>8</v>
      </c>
      <c r="B365">
        <v>10</v>
      </c>
      <c r="C365" s="32">
        <f t="shared" si="45"/>
        <v>2</v>
      </c>
      <c r="D365">
        <v>9</v>
      </c>
      <c r="E365">
        <v>10</v>
      </c>
      <c r="F365" s="32">
        <f t="shared" si="46"/>
        <v>1</v>
      </c>
      <c r="G365">
        <v>9</v>
      </c>
      <c r="H365">
        <v>9</v>
      </c>
      <c r="I365" s="32">
        <f t="shared" si="47"/>
        <v>0</v>
      </c>
      <c r="J365">
        <v>9</v>
      </c>
      <c r="K365">
        <v>10</v>
      </c>
      <c r="L365" s="32">
        <f t="shared" si="48"/>
        <v>1</v>
      </c>
      <c r="M365">
        <v>9</v>
      </c>
      <c r="N365">
        <v>10</v>
      </c>
      <c r="O365" s="32">
        <f t="shared" si="49"/>
        <v>1</v>
      </c>
      <c r="P365">
        <v>9</v>
      </c>
      <c r="Q365">
        <v>10</v>
      </c>
      <c r="R365" s="32">
        <f t="shared" si="50"/>
        <v>1</v>
      </c>
      <c r="S365">
        <v>9</v>
      </c>
      <c r="T365">
        <v>9</v>
      </c>
      <c r="U365" s="32">
        <f t="shared" si="51"/>
        <v>0</v>
      </c>
      <c r="V365">
        <v>9</v>
      </c>
      <c r="W365">
        <v>9</v>
      </c>
      <c r="X365" s="32">
        <f t="shared" si="52"/>
        <v>0</v>
      </c>
      <c r="Y365">
        <v>9</v>
      </c>
      <c r="Z365">
        <v>10</v>
      </c>
      <c r="AA365" s="32">
        <f t="shared" si="53"/>
        <v>1</v>
      </c>
    </row>
    <row r="366" spans="1:27" x14ac:dyDescent="0.45">
      <c r="A366">
        <v>8</v>
      </c>
      <c r="B366">
        <v>10</v>
      </c>
      <c r="C366" s="32">
        <f t="shared" si="45"/>
        <v>2</v>
      </c>
      <c r="D366">
        <v>9</v>
      </c>
      <c r="E366">
        <v>10</v>
      </c>
      <c r="F366" s="32">
        <f t="shared" si="46"/>
        <v>1</v>
      </c>
      <c r="G366">
        <v>9</v>
      </c>
      <c r="H366">
        <v>9</v>
      </c>
      <c r="I366" s="32">
        <f t="shared" si="47"/>
        <v>0</v>
      </c>
      <c r="J366">
        <v>9</v>
      </c>
      <c r="K366">
        <v>10</v>
      </c>
      <c r="L366" s="32">
        <f t="shared" si="48"/>
        <v>1</v>
      </c>
      <c r="M366">
        <v>9</v>
      </c>
      <c r="N366">
        <v>10</v>
      </c>
      <c r="O366" s="32">
        <f t="shared" si="49"/>
        <v>1</v>
      </c>
      <c r="P366">
        <v>9</v>
      </c>
      <c r="Q366">
        <v>10</v>
      </c>
      <c r="R366" s="32">
        <f t="shared" si="50"/>
        <v>1</v>
      </c>
      <c r="S366">
        <v>9</v>
      </c>
      <c r="T366">
        <v>9</v>
      </c>
      <c r="U366" s="32">
        <f t="shared" si="51"/>
        <v>0</v>
      </c>
      <c r="V366">
        <v>9</v>
      </c>
      <c r="W366">
        <v>9</v>
      </c>
      <c r="X366" s="32">
        <f t="shared" si="52"/>
        <v>0</v>
      </c>
      <c r="Y366">
        <v>9</v>
      </c>
      <c r="Z366">
        <v>10</v>
      </c>
      <c r="AA366" s="32">
        <f t="shared" si="53"/>
        <v>1</v>
      </c>
    </row>
    <row r="367" spans="1:27" x14ac:dyDescent="0.45">
      <c r="A367">
        <v>9</v>
      </c>
      <c r="B367">
        <v>10</v>
      </c>
      <c r="C367" s="32">
        <f t="shared" si="45"/>
        <v>1</v>
      </c>
      <c r="D367">
        <v>9</v>
      </c>
      <c r="E367">
        <v>10</v>
      </c>
      <c r="F367" s="32">
        <f t="shared" si="46"/>
        <v>1</v>
      </c>
      <c r="G367">
        <v>9</v>
      </c>
      <c r="H367">
        <v>9</v>
      </c>
      <c r="I367" s="32">
        <f t="shared" si="47"/>
        <v>0</v>
      </c>
      <c r="J367">
        <v>9</v>
      </c>
      <c r="K367">
        <v>10</v>
      </c>
      <c r="L367" s="32">
        <f t="shared" si="48"/>
        <v>1</v>
      </c>
      <c r="M367">
        <v>9</v>
      </c>
      <c r="N367">
        <v>10</v>
      </c>
      <c r="O367" s="32">
        <f t="shared" si="49"/>
        <v>1</v>
      </c>
      <c r="P367">
        <v>9</v>
      </c>
      <c r="Q367">
        <v>10</v>
      </c>
      <c r="R367" s="32">
        <f t="shared" si="50"/>
        <v>1</v>
      </c>
      <c r="S367">
        <v>9</v>
      </c>
      <c r="T367">
        <v>10</v>
      </c>
      <c r="U367" s="32">
        <f t="shared" si="51"/>
        <v>1</v>
      </c>
      <c r="V367">
        <v>9</v>
      </c>
      <c r="W367">
        <v>9</v>
      </c>
      <c r="X367" s="32">
        <f t="shared" si="52"/>
        <v>0</v>
      </c>
      <c r="Y367">
        <v>9</v>
      </c>
      <c r="Z367">
        <v>10</v>
      </c>
      <c r="AA367" s="32">
        <f t="shared" si="53"/>
        <v>1</v>
      </c>
    </row>
    <row r="368" spans="1:27" x14ac:dyDescent="0.45">
      <c r="A368">
        <v>9</v>
      </c>
      <c r="B368">
        <v>10</v>
      </c>
      <c r="C368" s="32">
        <f t="shared" si="45"/>
        <v>1</v>
      </c>
      <c r="D368">
        <v>9</v>
      </c>
      <c r="E368">
        <v>10</v>
      </c>
      <c r="F368" s="32">
        <f t="shared" si="46"/>
        <v>1</v>
      </c>
      <c r="G368">
        <v>9</v>
      </c>
      <c r="H368">
        <v>9</v>
      </c>
      <c r="I368" s="32">
        <f t="shared" si="47"/>
        <v>0</v>
      </c>
      <c r="J368">
        <v>9</v>
      </c>
      <c r="K368">
        <v>10</v>
      </c>
      <c r="L368" s="32">
        <f t="shared" si="48"/>
        <v>1</v>
      </c>
      <c r="M368">
        <v>9</v>
      </c>
      <c r="N368">
        <v>10</v>
      </c>
      <c r="O368" s="32">
        <f t="shared" si="49"/>
        <v>1</v>
      </c>
      <c r="P368">
        <v>9</v>
      </c>
      <c r="Q368">
        <v>10</v>
      </c>
      <c r="R368" s="32">
        <f t="shared" si="50"/>
        <v>1</v>
      </c>
      <c r="S368">
        <v>9</v>
      </c>
      <c r="T368">
        <v>10</v>
      </c>
      <c r="U368" s="32">
        <f t="shared" si="51"/>
        <v>1</v>
      </c>
      <c r="V368">
        <v>9</v>
      </c>
      <c r="W368">
        <v>9</v>
      </c>
      <c r="X368" s="32">
        <f t="shared" si="52"/>
        <v>0</v>
      </c>
      <c r="Y368">
        <v>9</v>
      </c>
      <c r="Z368">
        <v>10</v>
      </c>
      <c r="AA368" s="32">
        <f t="shared" si="53"/>
        <v>1</v>
      </c>
    </row>
    <row r="369" spans="1:27" x14ac:dyDescent="0.45">
      <c r="A369">
        <v>9</v>
      </c>
      <c r="B369">
        <v>10</v>
      </c>
      <c r="C369" s="32">
        <f t="shared" si="45"/>
        <v>1</v>
      </c>
      <c r="D369">
        <v>9</v>
      </c>
      <c r="E369">
        <v>10</v>
      </c>
      <c r="F369" s="32">
        <f t="shared" si="46"/>
        <v>1</v>
      </c>
      <c r="G369">
        <v>9</v>
      </c>
      <c r="H369">
        <v>10</v>
      </c>
      <c r="I369" s="32">
        <f t="shared" si="47"/>
        <v>1</v>
      </c>
      <c r="J369">
        <v>9</v>
      </c>
      <c r="K369">
        <v>10</v>
      </c>
      <c r="L369" s="32">
        <f t="shared" si="48"/>
        <v>1</v>
      </c>
      <c r="M369">
        <v>9</v>
      </c>
      <c r="N369">
        <v>10</v>
      </c>
      <c r="O369" s="32">
        <f t="shared" si="49"/>
        <v>1</v>
      </c>
      <c r="P369">
        <v>9</v>
      </c>
      <c r="Q369">
        <v>10</v>
      </c>
      <c r="R369" s="32">
        <f t="shared" si="50"/>
        <v>1</v>
      </c>
      <c r="S369">
        <v>9</v>
      </c>
      <c r="T369">
        <v>10</v>
      </c>
      <c r="U369" s="32">
        <f t="shared" si="51"/>
        <v>1</v>
      </c>
      <c r="V369">
        <v>9</v>
      </c>
      <c r="W369">
        <v>9</v>
      </c>
      <c r="X369" s="32">
        <f t="shared" si="52"/>
        <v>0</v>
      </c>
      <c r="Y369">
        <v>9</v>
      </c>
      <c r="Z369">
        <v>10</v>
      </c>
      <c r="AA369" s="32">
        <f t="shared" si="53"/>
        <v>1</v>
      </c>
    </row>
    <row r="370" spans="1:27" x14ac:dyDescent="0.45">
      <c r="A370">
        <v>9</v>
      </c>
      <c r="B370">
        <v>10</v>
      </c>
      <c r="C370" s="32">
        <f t="shared" si="45"/>
        <v>1</v>
      </c>
      <c r="D370">
        <v>9</v>
      </c>
      <c r="E370">
        <v>10</v>
      </c>
      <c r="F370" s="32">
        <f t="shared" si="46"/>
        <v>1</v>
      </c>
      <c r="G370">
        <v>9</v>
      </c>
      <c r="H370">
        <v>10</v>
      </c>
      <c r="I370" s="32">
        <f t="shared" si="47"/>
        <v>1</v>
      </c>
      <c r="J370">
        <v>9</v>
      </c>
      <c r="K370">
        <v>10</v>
      </c>
      <c r="L370" s="32">
        <f t="shared" si="48"/>
        <v>1</v>
      </c>
      <c r="M370">
        <v>9</v>
      </c>
      <c r="N370">
        <v>10</v>
      </c>
      <c r="O370" s="32">
        <f t="shared" si="49"/>
        <v>1</v>
      </c>
      <c r="P370">
        <v>9</v>
      </c>
      <c r="Q370">
        <v>10</v>
      </c>
      <c r="R370" s="32">
        <f t="shared" si="50"/>
        <v>1</v>
      </c>
      <c r="S370">
        <v>9</v>
      </c>
      <c r="T370">
        <v>10</v>
      </c>
      <c r="U370" s="32">
        <f t="shared" si="51"/>
        <v>1</v>
      </c>
      <c r="V370">
        <v>9</v>
      </c>
      <c r="W370">
        <v>10</v>
      </c>
      <c r="X370" s="32">
        <f t="shared" si="52"/>
        <v>1</v>
      </c>
      <c r="Y370">
        <v>9</v>
      </c>
      <c r="Z370">
        <v>10</v>
      </c>
      <c r="AA370" s="32">
        <f t="shared" si="53"/>
        <v>1</v>
      </c>
    </row>
    <row r="371" spans="1:27" x14ac:dyDescent="0.45">
      <c r="A371">
        <v>9</v>
      </c>
      <c r="B371">
        <v>10</v>
      </c>
      <c r="C371" s="32">
        <f t="shared" si="45"/>
        <v>1</v>
      </c>
      <c r="D371">
        <v>9</v>
      </c>
      <c r="E371">
        <v>10</v>
      </c>
      <c r="F371" s="32">
        <f t="shared" si="46"/>
        <v>1</v>
      </c>
      <c r="G371">
        <v>9</v>
      </c>
      <c r="H371">
        <v>10</v>
      </c>
      <c r="I371" s="32">
        <f t="shared" si="47"/>
        <v>1</v>
      </c>
      <c r="J371">
        <v>9</v>
      </c>
      <c r="K371">
        <v>10</v>
      </c>
      <c r="L371" s="32">
        <f t="shared" si="48"/>
        <v>1</v>
      </c>
      <c r="M371">
        <v>9</v>
      </c>
      <c r="N371">
        <v>10</v>
      </c>
      <c r="O371" s="32">
        <f t="shared" si="49"/>
        <v>1</v>
      </c>
      <c r="P371">
        <v>9</v>
      </c>
      <c r="Q371">
        <v>10</v>
      </c>
      <c r="R371" s="32">
        <f t="shared" si="50"/>
        <v>1</v>
      </c>
      <c r="S371">
        <v>9</v>
      </c>
      <c r="T371">
        <v>10</v>
      </c>
      <c r="U371" s="32">
        <f t="shared" si="51"/>
        <v>1</v>
      </c>
      <c r="V371">
        <v>9</v>
      </c>
      <c r="W371">
        <v>10</v>
      </c>
      <c r="X371" s="32">
        <f t="shared" si="52"/>
        <v>1</v>
      </c>
      <c r="Y371">
        <v>9</v>
      </c>
      <c r="Z371">
        <v>10</v>
      </c>
      <c r="AA371" s="32">
        <f t="shared" si="53"/>
        <v>1</v>
      </c>
    </row>
    <row r="372" spans="1:27" x14ac:dyDescent="0.45">
      <c r="A372">
        <v>9</v>
      </c>
      <c r="B372">
        <v>10</v>
      </c>
      <c r="C372" s="32">
        <f t="shared" si="45"/>
        <v>1</v>
      </c>
      <c r="D372">
        <v>9</v>
      </c>
      <c r="E372">
        <v>10</v>
      </c>
      <c r="F372" s="32">
        <f t="shared" si="46"/>
        <v>1</v>
      </c>
      <c r="G372">
        <v>9</v>
      </c>
      <c r="H372">
        <v>10</v>
      </c>
      <c r="I372" s="32">
        <f t="shared" si="47"/>
        <v>1</v>
      </c>
      <c r="J372">
        <v>9</v>
      </c>
      <c r="K372">
        <v>10</v>
      </c>
      <c r="L372" s="32">
        <f t="shared" si="48"/>
        <v>1</v>
      </c>
      <c r="M372">
        <v>9</v>
      </c>
      <c r="N372">
        <v>10</v>
      </c>
      <c r="O372" s="32">
        <f t="shared" si="49"/>
        <v>1</v>
      </c>
      <c r="P372">
        <v>9</v>
      </c>
      <c r="Q372">
        <v>10</v>
      </c>
      <c r="R372" s="32">
        <f t="shared" si="50"/>
        <v>1</v>
      </c>
      <c r="S372">
        <v>9</v>
      </c>
      <c r="T372">
        <v>10</v>
      </c>
      <c r="U372" s="32">
        <f t="shared" si="51"/>
        <v>1</v>
      </c>
      <c r="V372">
        <v>9</v>
      </c>
      <c r="W372">
        <v>10</v>
      </c>
      <c r="X372" s="32">
        <f t="shared" si="52"/>
        <v>1</v>
      </c>
      <c r="Y372">
        <v>9</v>
      </c>
      <c r="Z372">
        <v>10</v>
      </c>
      <c r="AA372" s="32">
        <f t="shared" si="53"/>
        <v>1</v>
      </c>
    </row>
    <row r="373" spans="1:27" x14ac:dyDescent="0.45">
      <c r="A373">
        <v>9</v>
      </c>
      <c r="B373">
        <v>10</v>
      </c>
      <c r="C373" s="32">
        <f t="shared" si="45"/>
        <v>1</v>
      </c>
      <c r="D373">
        <v>9</v>
      </c>
      <c r="E373">
        <v>10</v>
      </c>
      <c r="F373" s="32">
        <f t="shared" si="46"/>
        <v>1</v>
      </c>
      <c r="G373">
        <v>9</v>
      </c>
      <c r="H373">
        <v>10</v>
      </c>
      <c r="I373" s="32">
        <f t="shared" si="47"/>
        <v>1</v>
      </c>
      <c r="J373">
        <v>9</v>
      </c>
      <c r="K373">
        <v>10</v>
      </c>
      <c r="L373" s="32">
        <f t="shared" si="48"/>
        <v>1</v>
      </c>
      <c r="M373">
        <v>9</v>
      </c>
      <c r="N373">
        <v>10</v>
      </c>
      <c r="O373" s="32">
        <f t="shared" si="49"/>
        <v>1</v>
      </c>
      <c r="P373">
        <v>9</v>
      </c>
      <c r="Q373">
        <v>10</v>
      </c>
      <c r="R373" s="32">
        <f t="shared" si="50"/>
        <v>1</v>
      </c>
      <c r="S373">
        <v>9</v>
      </c>
      <c r="T373">
        <v>10</v>
      </c>
      <c r="U373" s="32">
        <f t="shared" si="51"/>
        <v>1</v>
      </c>
      <c r="V373">
        <v>9</v>
      </c>
      <c r="W373">
        <v>10</v>
      </c>
      <c r="X373" s="32">
        <f t="shared" si="52"/>
        <v>1</v>
      </c>
      <c r="Y373">
        <v>9</v>
      </c>
      <c r="Z373">
        <v>10</v>
      </c>
      <c r="AA373" s="32">
        <f t="shared" si="53"/>
        <v>1</v>
      </c>
    </row>
    <row r="374" spans="1:27" x14ac:dyDescent="0.45">
      <c r="A374">
        <v>9</v>
      </c>
      <c r="B374">
        <v>10</v>
      </c>
      <c r="C374" s="32">
        <f t="shared" si="45"/>
        <v>1</v>
      </c>
      <c r="D374">
        <v>9</v>
      </c>
      <c r="E374">
        <v>10</v>
      </c>
      <c r="F374" s="32">
        <f t="shared" si="46"/>
        <v>1</v>
      </c>
      <c r="G374">
        <v>9</v>
      </c>
      <c r="H374">
        <v>10</v>
      </c>
      <c r="I374" s="32">
        <f t="shared" si="47"/>
        <v>1</v>
      </c>
      <c r="J374">
        <v>9</v>
      </c>
      <c r="K374">
        <v>10</v>
      </c>
      <c r="L374" s="32">
        <f t="shared" si="48"/>
        <v>1</v>
      </c>
      <c r="M374">
        <v>9</v>
      </c>
      <c r="N374">
        <v>10</v>
      </c>
      <c r="O374" s="32">
        <f t="shared" si="49"/>
        <v>1</v>
      </c>
      <c r="P374">
        <v>9</v>
      </c>
      <c r="Q374">
        <v>10</v>
      </c>
      <c r="R374" s="32">
        <f t="shared" si="50"/>
        <v>1</v>
      </c>
      <c r="S374">
        <v>9</v>
      </c>
      <c r="T374">
        <v>10</v>
      </c>
      <c r="U374" s="32">
        <f t="shared" si="51"/>
        <v>1</v>
      </c>
      <c r="V374">
        <v>9</v>
      </c>
      <c r="W374">
        <v>10</v>
      </c>
      <c r="X374" s="32">
        <f t="shared" si="52"/>
        <v>1</v>
      </c>
      <c r="Y374">
        <v>9</v>
      </c>
      <c r="Z374">
        <v>10</v>
      </c>
      <c r="AA374" s="32">
        <f t="shared" si="53"/>
        <v>1</v>
      </c>
    </row>
    <row r="375" spans="1:27" x14ac:dyDescent="0.45">
      <c r="A375">
        <v>9</v>
      </c>
      <c r="B375">
        <v>10</v>
      </c>
      <c r="C375" s="32">
        <f t="shared" si="45"/>
        <v>1</v>
      </c>
      <c r="D375">
        <v>9</v>
      </c>
      <c r="E375">
        <v>10</v>
      </c>
      <c r="F375" s="32">
        <f t="shared" si="46"/>
        <v>1</v>
      </c>
      <c r="G375">
        <v>9</v>
      </c>
      <c r="H375">
        <v>10</v>
      </c>
      <c r="I375" s="32">
        <f t="shared" si="47"/>
        <v>1</v>
      </c>
      <c r="J375">
        <v>9</v>
      </c>
      <c r="K375">
        <v>10</v>
      </c>
      <c r="L375" s="32">
        <f t="shared" si="48"/>
        <v>1</v>
      </c>
      <c r="M375">
        <v>9</v>
      </c>
      <c r="N375">
        <v>10</v>
      </c>
      <c r="O375" s="32">
        <f t="shared" si="49"/>
        <v>1</v>
      </c>
      <c r="P375">
        <v>9</v>
      </c>
      <c r="Q375">
        <v>10</v>
      </c>
      <c r="R375" s="32">
        <f t="shared" si="50"/>
        <v>1</v>
      </c>
      <c r="S375">
        <v>9</v>
      </c>
      <c r="T375">
        <v>10</v>
      </c>
      <c r="U375" s="32">
        <f t="shared" si="51"/>
        <v>1</v>
      </c>
      <c r="V375">
        <v>9</v>
      </c>
      <c r="W375">
        <v>10</v>
      </c>
      <c r="X375" s="32">
        <f t="shared" si="52"/>
        <v>1</v>
      </c>
      <c r="Y375">
        <v>9</v>
      </c>
      <c r="Z375">
        <v>10</v>
      </c>
      <c r="AA375" s="32">
        <f t="shared" si="53"/>
        <v>1</v>
      </c>
    </row>
    <row r="376" spans="1:27" x14ac:dyDescent="0.45">
      <c r="A376">
        <v>9</v>
      </c>
      <c r="B376">
        <v>10</v>
      </c>
      <c r="C376" s="32">
        <f t="shared" si="45"/>
        <v>1</v>
      </c>
      <c r="D376">
        <v>9</v>
      </c>
      <c r="E376">
        <v>10</v>
      </c>
      <c r="F376" s="32">
        <f t="shared" si="46"/>
        <v>1</v>
      </c>
      <c r="G376">
        <v>9</v>
      </c>
      <c r="H376">
        <v>10</v>
      </c>
      <c r="I376" s="32">
        <f t="shared" si="47"/>
        <v>1</v>
      </c>
      <c r="J376">
        <v>9</v>
      </c>
      <c r="K376">
        <v>10</v>
      </c>
      <c r="L376" s="32">
        <f t="shared" si="48"/>
        <v>1</v>
      </c>
      <c r="M376">
        <v>9</v>
      </c>
      <c r="N376">
        <v>10</v>
      </c>
      <c r="O376" s="32">
        <f t="shared" si="49"/>
        <v>1</v>
      </c>
      <c r="P376">
        <v>9</v>
      </c>
      <c r="Q376">
        <v>10</v>
      </c>
      <c r="R376" s="32">
        <f t="shared" si="50"/>
        <v>1</v>
      </c>
      <c r="S376">
        <v>9</v>
      </c>
      <c r="T376">
        <v>10</v>
      </c>
      <c r="U376" s="32">
        <f t="shared" si="51"/>
        <v>1</v>
      </c>
      <c r="V376">
        <v>9</v>
      </c>
      <c r="W376">
        <v>10</v>
      </c>
      <c r="X376" s="32">
        <f t="shared" si="52"/>
        <v>1</v>
      </c>
      <c r="Y376">
        <v>9</v>
      </c>
      <c r="Z376">
        <v>10</v>
      </c>
      <c r="AA376" s="32">
        <f t="shared" si="53"/>
        <v>1</v>
      </c>
    </row>
    <row r="377" spans="1:27" x14ac:dyDescent="0.45">
      <c r="A377">
        <v>9</v>
      </c>
      <c r="B377">
        <v>10</v>
      </c>
      <c r="C377" s="32">
        <f t="shared" si="45"/>
        <v>1</v>
      </c>
      <c r="D377">
        <v>9</v>
      </c>
      <c r="E377">
        <v>10</v>
      </c>
      <c r="F377" s="32">
        <f t="shared" si="46"/>
        <v>1</v>
      </c>
      <c r="G377">
        <v>9</v>
      </c>
      <c r="H377">
        <v>10</v>
      </c>
      <c r="I377" s="32">
        <f t="shared" si="47"/>
        <v>1</v>
      </c>
      <c r="J377">
        <v>9</v>
      </c>
      <c r="K377">
        <v>10</v>
      </c>
      <c r="L377" s="32">
        <f t="shared" si="48"/>
        <v>1</v>
      </c>
      <c r="M377">
        <v>9</v>
      </c>
      <c r="N377">
        <v>10</v>
      </c>
      <c r="O377" s="32">
        <f t="shared" si="49"/>
        <v>1</v>
      </c>
      <c r="P377">
        <v>9</v>
      </c>
      <c r="Q377">
        <v>10</v>
      </c>
      <c r="R377" s="32">
        <f t="shared" si="50"/>
        <v>1</v>
      </c>
      <c r="S377">
        <v>9</v>
      </c>
      <c r="T377">
        <v>10</v>
      </c>
      <c r="U377" s="32">
        <f t="shared" si="51"/>
        <v>1</v>
      </c>
      <c r="V377">
        <v>9</v>
      </c>
      <c r="W377">
        <v>10</v>
      </c>
      <c r="X377" s="32">
        <f t="shared" si="52"/>
        <v>1</v>
      </c>
      <c r="Y377">
        <v>9</v>
      </c>
      <c r="Z377">
        <v>10</v>
      </c>
      <c r="AA377" s="32">
        <f t="shared" si="53"/>
        <v>1</v>
      </c>
    </row>
    <row r="378" spans="1:27" x14ac:dyDescent="0.45">
      <c r="A378">
        <v>9</v>
      </c>
      <c r="B378">
        <v>10</v>
      </c>
      <c r="C378" s="32">
        <f t="shared" si="45"/>
        <v>1</v>
      </c>
      <c r="D378">
        <v>9</v>
      </c>
      <c r="E378">
        <v>10</v>
      </c>
      <c r="F378" s="32">
        <f t="shared" si="46"/>
        <v>1</v>
      </c>
      <c r="G378">
        <v>9</v>
      </c>
      <c r="H378">
        <v>10</v>
      </c>
      <c r="I378" s="32">
        <f t="shared" si="47"/>
        <v>1</v>
      </c>
      <c r="J378">
        <v>9</v>
      </c>
      <c r="K378">
        <v>10</v>
      </c>
      <c r="L378" s="32">
        <f t="shared" si="48"/>
        <v>1</v>
      </c>
      <c r="M378">
        <v>9</v>
      </c>
      <c r="N378">
        <v>10</v>
      </c>
      <c r="O378" s="32">
        <f t="shared" si="49"/>
        <v>1</v>
      </c>
      <c r="P378">
        <v>9</v>
      </c>
      <c r="Q378">
        <v>10</v>
      </c>
      <c r="R378" s="32">
        <f t="shared" si="50"/>
        <v>1</v>
      </c>
      <c r="S378">
        <v>9</v>
      </c>
      <c r="T378">
        <v>10</v>
      </c>
      <c r="U378" s="32">
        <f t="shared" si="51"/>
        <v>1</v>
      </c>
      <c r="V378">
        <v>9</v>
      </c>
      <c r="W378">
        <v>10</v>
      </c>
      <c r="X378" s="32">
        <f t="shared" si="52"/>
        <v>1</v>
      </c>
      <c r="Y378">
        <v>9</v>
      </c>
      <c r="Z378">
        <v>10</v>
      </c>
      <c r="AA378" s="32">
        <f t="shared" si="53"/>
        <v>1</v>
      </c>
    </row>
    <row r="379" spans="1:27" x14ac:dyDescent="0.45">
      <c r="A379">
        <v>9</v>
      </c>
      <c r="B379">
        <v>10</v>
      </c>
      <c r="C379" s="32">
        <f t="shared" si="45"/>
        <v>1</v>
      </c>
      <c r="D379">
        <v>9</v>
      </c>
      <c r="E379">
        <v>10</v>
      </c>
      <c r="F379" s="32">
        <f t="shared" si="46"/>
        <v>1</v>
      </c>
      <c r="G379">
        <v>9</v>
      </c>
      <c r="H379">
        <v>10</v>
      </c>
      <c r="I379" s="32">
        <f t="shared" si="47"/>
        <v>1</v>
      </c>
      <c r="J379">
        <v>9</v>
      </c>
      <c r="K379">
        <v>10</v>
      </c>
      <c r="L379" s="32">
        <f t="shared" si="48"/>
        <v>1</v>
      </c>
      <c r="M379">
        <v>9</v>
      </c>
      <c r="N379">
        <v>10</v>
      </c>
      <c r="O379" s="32">
        <f t="shared" si="49"/>
        <v>1</v>
      </c>
      <c r="P379">
        <v>9</v>
      </c>
      <c r="Q379">
        <v>10</v>
      </c>
      <c r="R379" s="32">
        <f t="shared" si="50"/>
        <v>1</v>
      </c>
      <c r="S379">
        <v>9</v>
      </c>
      <c r="T379">
        <v>10</v>
      </c>
      <c r="U379" s="32">
        <f t="shared" si="51"/>
        <v>1</v>
      </c>
      <c r="V379">
        <v>9</v>
      </c>
      <c r="W379">
        <v>10</v>
      </c>
      <c r="X379" s="32">
        <f t="shared" si="52"/>
        <v>1</v>
      </c>
      <c r="Y379">
        <v>9</v>
      </c>
      <c r="Z379">
        <v>10</v>
      </c>
      <c r="AA379" s="32">
        <f t="shared" si="53"/>
        <v>1</v>
      </c>
    </row>
    <row r="380" spans="1:27" x14ac:dyDescent="0.45">
      <c r="A380">
        <v>9</v>
      </c>
      <c r="B380">
        <v>10</v>
      </c>
      <c r="C380" s="32">
        <f t="shared" si="45"/>
        <v>1</v>
      </c>
      <c r="D380">
        <v>9</v>
      </c>
      <c r="E380">
        <v>10</v>
      </c>
      <c r="F380" s="32">
        <f t="shared" si="46"/>
        <v>1</v>
      </c>
      <c r="G380">
        <v>9</v>
      </c>
      <c r="H380">
        <v>10</v>
      </c>
      <c r="I380" s="32">
        <f t="shared" si="47"/>
        <v>1</v>
      </c>
      <c r="J380">
        <v>9</v>
      </c>
      <c r="K380">
        <v>10</v>
      </c>
      <c r="L380" s="32">
        <f t="shared" si="48"/>
        <v>1</v>
      </c>
      <c r="M380">
        <v>9</v>
      </c>
      <c r="N380">
        <v>10</v>
      </c>
      <c r="O380" s="32">
        <f t="shared" si="49"/>
        <v>1</v>
      </c>
      <c r="P380">
        <v>9</v>
      </c>
      <c r="Q380">
        <v>10</v>
      </c>
      <c r="R380" s="32">
        <f t="shared" si="50"/>
        <v>1</v>
      </c>
      <c r="S380">
        <v>9</v>
      </c>
      <c r="T380">
        <v>10</v>
      </c>
      <c r="U380" s="32">
        <f t="shared" si="51"/>
        <v>1</v>
      </c>
      <c r="V380">
        <v>9</v>
      </c>
      <c r="W380">
        <v>10</v>
      </c>
      <c r="X380" s="32">
        <f t="shared" si="52"/>
        <v>1</v>
      </c>
      <c r="Y380">
        <v>9</v>
      </c>
      <c r="Z380">
        <v>10</v>
      </c>
      <c r="AA380" s="32">
        <f t="shared" si="53"/>
        <v>1</v>
      </c>
    </row>
    <row r="381" spans="1:27" x14ac:dyDescent="0.45">
      <c r="A381">
        <v>9</v>
      </c>
      <c r="B381">
        <v>10</v>
      </c>
      <c r="C381" s="32">
        <f t="shared" si="45"/>
        <v>1</v>
      </c>
      <c r="D381">
        <v>9</v>
      </c>
      <c r="E381">
        <v>10</v>
      </c>
      <c r="F381" s="32">
        <f t="shared" si="46"/>
        <v>1</v>
      </c>
      <c r="G381">
        <v>9</v>
      </c>
      <c r="H381">
        <v>10</v>
      </c>
      <c r="I381" s="32">
        <f t="shared" si="47"/>
        <v>1</v>
      </c>
      <c r="J381">
        <v>9</v>
      </c>
      <c r="K381">
        <v>10</v>
      </c>
      <c r="L381" s="32">
        <f t="shared" si="48"/>
        <v>1</v>
      </c>
      <c r="M381">
        <v>9</v>
      </c>
      <c r="N381">
        <v>10</v>
      </c>
      <c r="O381" s="32">
        <f t="shared" si="49"/>
        <v>1</v>
      </c>
      <c r="P381">
        <v>9</v>
      </c>
      <c r="Q381">
        <v>10</v>
      </c>
      <c r="R381" s="32">
        <f t="shared" si="50"/>
        <v>1</v>
      </c>
      <c r="S381">
        <v>9</v>
      </c>
      <c r="T381">
        <v>10</v>
      </c>
      <c r="U381" s="32">
        <f t="shared" si="51"/>
        <v>1</v>
      </c>
      <c r="V381">
        <v>9</v>
      </c>
      <c r="W381">
        <v>10</v>
      </c>
      <c r="X381" s="32">
        <f t="shared" si="52"/>
        <v>1</v>
      </c>
      <c r="Y381">
        <v>9</v>
      </c>
      <c r="Z381">
        <v>10</v>
      </c>
      <c r="AA381" s="32">
        <f t="shared" si="53"/>
        <v>1</v>
      </c>
    </row>
    <row r="382" spans="1:27" x14ac:dyDescent="0.45">
      <c r="A382">
        <v>9</v>
      </c>
      <c r="B382">
        <v>10</v>
      </c>
      <c r="C382" s="32">
        <f t="shared" si="45"/>
        <v>1</v>
      </c>
      <c r="D382">
        <v>9</v>
      </c>
      <c r="E382">
        <v>10</v>
      </c>
      <c r="F382" s="32">
        <f t="shared" si="46"/>
        <v>1</v>
      </c>
      <c r="G382">
        <v>9</v>
      </c>
      <c r="H382">
        <v>10</v>
      </c>
      <c r="I382" s="32">
        <f t="shared" si="47"/>
        <v>1</v>
      </c>
      <c r="J382">
        <v>9</v>
      </c>
      <c r="K382">
        <v>10</v>
      </c>
      <c r="L382" s="32">
        <f t="shared" si="48"/>
        <v>1</v>
      </c>
      <c r="M382">
        <v>9</v>
      </c>
      <c r="N382">
        <v>10</v>
      </c>
      <c r="O382" s="32">
        <f t="shared" si="49"/>
        <v>1</v>
      </c>
      <c r="P382">
        <v>9</v>
      </c>
      <c r="Q382">
        <v>10</v>
      </c>
      <c r="R382" s="32">
        <f t="shared" si="50"/>
        <v>1</v>
      </c>
      <c r="S382">
        <v>9</v>
      </c>
      <c r="T382">
        <v>10</v>
      </c>
      <c r="U382" s="32">
        <f t="shared" si="51"/>
        <v>1</v>
      </c>
      <c r="V382">
        <v>9</v>
      </c>
      <c r="W382">
        <v>10</v>
      </c>
      <c r="X382" s="32">
        <f t="shared" si="52"/>
        <v>1</v>
      </c>
      <c r="Y382">
        <v>9</v>
      </c>
      <c r="Z382">
        <v>10</v>
      </c>
      <c r="AA382" s="32">
        <f t="shared" si="53"/>
        <v>1</v>
      </c>
    </row>
    <row r="383" spans="1:27" x14ac:dyDescent="0.45">
      <c r="A383">
        <v>9</v>
      </c>
      <c r="B383">
        <v>10</v>
      </c>
      <c r="C383" s="32">
        <f t="shared" si="45"/>
        <v>1</v>
      </c>
      <c r="D383">
        <v>9</v>
      </c>
      <c r="E383">
        <v>10</v>
      </c>
      <c r="F383" s="32">
        <f t="shared" si="46"/>
        <v>1</v>
      </c>
      <c r="G383">
        <v>9</v>
      </c>
      <c r="H383">
        <v>10</v>
      </c>
      <c r="I383" s="32">
        <f t="shared" si="47"/>
        <v>1</v>
      </c>
      <c r="J383">
        <v>9</v>
      </c>
      <c r="K383">
        <v>10</v>
      </c>
      <c r="L383" s="32">
        <f t="shared" si="48"/>
        <v>1</v>
      </c>
      <c r="M383">
        <v>9</v>
      </c>
      <c r="N383">
        <v>10</v>
      </c>
      <c r="O383" s="32">
        <f t="shared" si="49"/>
        <v>1</v>
      </c>
      <c r="P383">
        <v>9</v>
      </c>
      <c r="Q383">
        <v>10</v>
      </c>
      <c r="R383" s="32">
        <f t="shared" si="50"/>
        <v>1</v>
      </c>
      <c r="S383">
        <v>9</v>
      </c>
      <c r="T383">
        <v>10</v>
      </c>
      <c r="U383" s="32">
        <f t="shared" si="51"/>
        <v>1</v>
      </c>
      <c r="V383">
        <v>9</v>
      </c>
      <c r="W383">
        <v>10</v>
      </c>
      <c r="X383" s="32">
        <f t="shared" si="52"/>
        <v>1</v>
      </c>
      <c r="Y383">
        <v>9</v>
      </c>
      <c r="Z383">
        <v>10</v>
      </c>
      <c r="AA383" s="32">
        <f t="shared" si="53"/>
        <v>1</v>
      </c>
    </row>
    <row r="384" spans="1:27" x14ac:dyDescent="0.45">
      <c r="A384">
        <v>9</v>
      </c>
      <c r="B384">
        <v>10</v>
      </c>
      <c r="C384" s="32">
        <f t="shared" si="45"/>
        <v>1</v>
      </c>
      <c r="D384">
        <v>9</v>
      </c>
      <c r="E384">
        <v>10</v>
      </c>
      <c r="F384" s="32">
        <f t="shared" si="46"/>
        <v>1</v>
      </c>
      <c r="G384">
        <v>9</v>
      </c>
      <c r="H384">
        <v>10</v>
      </c>
      <c r="I384" s="32">
        <f t="shared" si="47"/>
        <v>1</v>
      </c>
      <c r="J384">
        <v>9</v>
      </c>
      <c r="K384">
        <v>10</v>
      </c>
      <c r="L384" s="32">
        <f t="shared" si="48"/>
        <v>1</v>
      </c>
      <c r="M384">
        <v>9</v>
      </c>
      <c r="N384">
        <v>10</v>
      </c>
      <c r="O384" s="32">
        <f t="shared" si="49"/>
        <v>1</v>
      </c>
      <c r="P384">
        <v>9</v>
      </c>
      <c r="Q384">
        <v>10</v>
      </c>
      <c r="R384" s="32">
        <f t="shared" si="50"/>
        <v>1</v>
      </c>
      <c r="S384">
        <v>9</v>
      </c>
      <c r="T384">
        <v>10</v>
      </c>
      <c r="U384" s="32">
        <f t="shared" si="51"/>
        <v>1</v>
      </c>
      <c r="V384">
        <v>9</v>
      </c>
      <c r="W384">
        <v>10</v>
      </c>
      <c r="X384" s="32">
        <f t="shared" si="52"/>
        <v>1</v>
      </c>
      <c r="Y384">
        <v>9</v>
      </c>
      <c r="Z384">
        <v>10</v>
      </c>
      <c r="AA384" s="32">
        <f t="shared" si="53"/>
        <v>1</v>
      </c>
    </row>
    <row r="385" spans="1:27" x14ac:dyDescent="0.45">
      <c r="A385">
        <v>9</v>
      </c>
      <c r="B385">
        <v>10</v>
      </c>
      <c r="C385" s="32">
        <f t="shared" si="45"/>
        <v>1</v>
      </c>
      <c r="D385">
        <v>9</v>
      </c>
      <c r="E385">
        <v>10</v>
      </c>
      <c r="F385" s="32">
        <f t="shared" si="46"/>
        <v>1</v>
      </c>
      <c r="G385">
        <v>9</v>
      </c>
      <c r="H385">
        <v>10</v>
      </c>
      <c r="I385" s="32">
        <f t="shared" si="47"/>
        <v>1</v>
      </c>
      <c r="J385">
        <v>10</v>
      </c>
      <c r="K385">
        <v>10</v>
      </c>
      <c r="L385" s="32">
        <f t="shared" si="48"/>
        <v>0</v>
      </c>
      <c r="M385">
        <v>9</v>
      </c>
      <c r="N385">
        <v>10</v>
      </c>
      <c r="O385" s="32">
        <f t="shared" si="49"/>
        <v>1</v>
      </c>
      <c r="P385">
        <v>9</v>
      </c>
      <c r="Q385">
        <v>10</v>
      </c>
      <c r="R385" s="32">
        <f t="shared" si="50"/>
        <v>1</v>
      </c>
      <c r="S385">
        <v>9</v>
      </c>
      <c r="T385">
        <v>10</v>
      </c>
      <c r="U385" s="32">
        <f t="shared" si="51"/>
        <v>1</v>
      </c>
      <c r="V385">
        <v>9</v>
      </c>
      <c r="W385">
        <v>10</v>
      </c>
      <c r="X385" s="32">
        <f t="shared" si="52"/>
        <v>1</v>
      </c>
      <c r="Y385">
        <v>9</v>
      </c>
      <c r="Z385">
        <v>10</v>
      </c>
      <c r="AA385" s="32">
        <f t="shared" si="53"/>
        <v>1</v>
      </c>
    </row>
    <row r="386" spans="1:27" x14ac:dyDescent="0.45">
      <c r="A386">
        <v>9</v>
      </c>
      <c r="B386">
        <v>10</v>
      </c>
      <c r="C386" s="32">
        <f t="shared" si="45"/>
        <v>1</v>
      </c>
      <c r="D386">
        <v>9</v>
      </c>
      <c r="E386">
        <v>10</v>
      </c>
      <c r="F386" s="32">
        <f t="shared" si="46"/>
        <v>1</v>
      </c>
      <c r="G386">
        <v>9</v>
      </c>
      <c r="H386">
        <v>10</v>
      </c>
      <c r="I386" s="32">
        <f t="shared" si="47"/>
        <v>1</v>
      </c>
      <c r="J386">
        <v>10</v>
      </c>
      <c r="K386">
        <v>10</v>
      </c>
      <c r="L386" s="32">
        <f t="shared" si="48"/>
        <v>0</v>
      </c>
      <c r="M386">
        <v>9</v>
      </c>
      <c r="N386">
        <v>10</v>
      </c>
      <c r="O386" s="32">
        <f t="shared" si="49"/>
        <v>1</v>
      </c>
      <c r="P386">
        <v>9</v>
      </c>
      <c r="Q386">
        <v>10</v>
      </c>
      <c r="R386" s="32">
        <f t="shared" si="50"/>
        <v>1</v>
      </c>
      <c r="S386">
        <v>9</v>
      </c>
      <c r="T386">
        <v>10</v>
      </c>
      <c r="U386" s="32">
        <f t="shared" si="51"/>
        <v>1</v>
      </c>
      <c r="V386">
        <v>9</v>
      </c>
      <c r="W386">
        <v>10</v>
      </c>
      <c r="X386" s="32">
        <f t="shared" si="52"/>
        <v>1</v>
      </c>
      <c r="Y386">
        <v>9</v>
      </c>
      <c r="Z386">
        <v>10</v>
      </c>
      <c r="AA386" s="32">
        <f t="shared" si="53"/>
        <v>1</v>
      </c>
    </row>
    <row r="387" spans="1:27" x14ac:dyDescent="0.45">
      <c r="A387">
        <v>9</v>
      </c>
      <c r="B387">
        <v>10</v>
      </c>
      <c r="C387" s="32">
        <f t="shared" ref="C387:C404" si="54">ABS(B387-A387)</f>
        <v>1</v>
      </c>
      <c r="D387">
        <v>9</v>
      </c>
      <c r="E387">
        <v>10</v>
      </c>
      <c r="F387" s="32">
        <f t="shared" ref="F387:F404" si="55">ABS(E387-D387)</f>
        <v>1</v>
      </c>
      <c r="G387">
        <v>9</v>
      </c>
      <c r="H387">
        <v>10</v>
      </c>
      <c r="I387" s="32">
        <f t="shared" ref="I387:I404" si="56">ABS(H387-G387)</f>
        <v>1</v>
      </c>
      <c r="J387">
        <v>10</v>
      </c>
      <c r="K387">
        <v>10</v>
      </c>
      <c r="L387" s="32">
        <f t="shared" ref="L387:L404" si="57">ABS(K387-J387)</f>
        <v>0</v>
      </c>
      <c r="M387">
        <v>9</v>
      </c>
      <c r="N387">
        <v>10</v>
      </c>
      <c r="O387" s="32">
        <f t="shared" ref="O387:O404" si="58">ABS(N387-M387)</f>
        <v>1</v>
      </c>
      <c r="P387">
        <v>9</v>
      </c>
      <c r="Q387">
        <v>10</v>
      </c>
      <c r="R387" s="32">
        <f t="shared" ref="R387:R404" si="59">ABS(Q387-P387)</f>
        <v>1</v>
      </c>
      <c r="S387">
        <v>9</v>
      </c>
      <c r="T387">
        <v>10</v>
      </c>
      <c r="U387" s="32">
        <f t="shared" ref="U387:U404" si="60">ABS(T387-S387)</f>
        <v>1</v>
      </c>
      <c r="V387">
        <v>9</v>
      </c>
      <c r="W387">
        <v>10</v>
      </c>
      <c r="X387" s="32">
        <f t="shared" ref="X387:X404" si="61">ABS(W387-V387)</f>
        <v>1</v>
      </c>
      <c r="Y387">
        <v>10</v>
      </c>
      <c r="Z387">
        <v>10</v>
      </c>
      <c r="AA387" s="32">
        <f t="shared" ref="AA387:AA404" si="62">ABS(Z387-Y387)</f>
        <v>0</v>
      </c>
    </row>
    <row r="388" spans="1:27" x14ac:dyDescent="0.45">
      <c r="A388">
        <v>9</v>
      </c>
      <c r="B388">
        <v>10</v>
      </c>
      <c r="C388" s="32">
        <f t="shared" si="54"/>
        <v>1</v>
      </c>
      <c r="D388">
        <v>9</v>
      </c>
      <c r="E388">
        <v>10</v>
      </c>
      <c r="F388" s="32">
        <f t="shared" si="55"/>
        <v>1</v>
      </c>
      <c r="G388">
        <v>9</v>
      </c>
      <c r="H388">
        <v>10</v>
      </c>
      <c r="I388" s="32">
        <f t="shared" si="56"/>
        <v>1</v>
      </c>
      <c r="J388">
        <v>10</v>
      </c>
      <c r="K388">
        <v>10</v>
      </c>
      <c r="L388" s="32">
        <f t="shared" si="57"/>
        <v>0</v>
      </c>
      <c r="M388">
        <v>9</v>
      </c>
      <c r="N388">
        <v>10</v>
      </c>
      <c r="O388" s="32">
        <f t="shared" si="58"/>
        <v>1</v>
      </c>
      <c r="P388">
        <v>9</v>
      </c>
      <c r="Q388">
        <v>10</v>
      </c>
      <c r="R388" s="32">
        <f t="shared" si="59"/>
        <v>1</v>
      </c>
      <c r="S388">
        <v>9</v>
      </c>
      <c r="T388">
        <v>10</v>
      </c>
      <c r="U388" s="32">
        <f t="shared" si="60"/>
        <v>1</v>
      </c>
      <c r="V388">
        <v>9</v>
      </c>
      <c r="W388">
        <v>10</v>
      </c>
      <c r="X388" s="32">
        <f t="shared" si="61"/>
        <v>1</v>
      </c>
      <c r="Y388">
        <v>10</v>
      </c>
      <c r="Z388">
        <v>10</v>
      </c>
      <c r="AA388" s="32">
        <f t="shared" si="62"/>
        <v>0</v>
      </c>
    </row>
    <row r="389" spans="1:27" x14ac:dyDescent="0.45">
      <c r="A389">
        <v>9</v>
      </c>
      <c r="B389">
        <v>10</v>
      </c>
      <c r="C389" s="32">
        <f t="shared" si="54"/>
        <v>1</v>
      </c>
      <c r="D389">
        <v>9</v>
      </c>
      <c r="E389">
        <v>10</v>
      </c>
      <c r="F389" s="32">
        <f t="shared" si="55"/>
        <v>1</v>
      </c>
      <c r="G389">
        <v>9</v>
      </c>
      <c r="H389">
        <v>10</v>
      </c>
      <c r="I389" s="32">
        <f t="shared" si="56"/>
        <v>1</v>
      </c>
      <c r="J389">
        <v>10</v>
      </c>
      <c r="K389">
        <v>10</v>
      </c>
      <c r="L389" s="32">
        <f t="shared" si="57"/>
        <v>0</v>
      </c>
      <c r="M389">
        <v>9</v>
      </c>
      <c r="N389">
        <v>10</v>
      </c>
      <c r="O389" s="32">
        <f t="shared" si="58"/>
        <v>1</v>
      </c>
      <c r="P389">
        <v>9</v>
      </c>
      <c r="Q389">
        <v>10</v>
      </c>
      <c r="R389" s="32">
        <f t="shared" si="59"/>
        <v>1</v>
      </c>
      <c r="S389">
        <v>9</v>
      </c>
      <c r="T389">
        <v>10</v>
      </c>
      <c r="U389" s="32">
        <f t="shared" si="60"/>
        <v>1</v>
      </c>
      <c r="V389">
        <v>9</v>
      </c>
      <c r="W389">
        <v>10</v>
      </c>
      <c r="X389" s="32">
        <f t="shared" si="61"/>
        <v>1</v>
      </c>
      <c r="Y389">
        <v>10</v>
      </c>
      <c r="Z389">
        <v>10</v>
      </c>
      <c r="AA389" s="32">
        <f t="shared" si="62"/>
        <v>0</v>
      </c>
    </row>
    <row r="390" spans="1:27" x14ac:dyDescent="0.45">
      <c r="A390">
        <v>9</v>
      </c>
      <c r="B390">
        <v>10</v>
      </c>
      <c r="C390" s="32">
        <f t="shared" si="54"/>
        <v>1</v>
      </c>
      <c r="D390">
        <v>9</v>
      </c>
      <c r="E390">
        <v>10</v>
      </c>
      <c r="F390" s="32">
        <f t="shared" si="55"/>
        <v>1</v>
      </c>
      <c r="G390">
        <v>9</v>
      </c>
      <c r="H390">
        <v>10</v>
      </c>
      <c r="I390" s="32">
        <f t="shared" si="56"/>
        <v>1</v>
      </c>
      <c r="J390">
        <v>10</v>
      </c>
      <c r="K390">
        <v>10</v>
      </c>
      <c r="L390" s="32">
        <f t="shared" si="57"/>
        <v>0</v>
      </c>
      <c r="M390">
        <v>9</v>
      </c>
      <c r="N390">
        <v>10</v>
      </c>
      <c r="O390" s="32">
        <f t="shared" si="58"/>
        <v>1</v>
      </c>
      <c r="P390">
        <v>9</v>
      </c>
      <c r="Q390">
        <v>10</v>
      </c>
      <c r="R390" s="32">
        <f t="shared" si="59"/>
        <v>1</v>
      </c>
      <c r="S390">
        <v>9</v>
      </c>
      <c r="T390">
        <v>10</v>
      </c>
      <c r="U390" s="32">
        <f t="shared" si="60"/>
        <v>1</v>
      </c>
      <c r="V390">
        <v>9</v>
      </c>
      <c r="W390">
        <v>10</v>
      </c>
      <c r="X390" s="32">
        <f t="shared" si="61"/>
        <v>1</v>
      </c>
      <c r="Y390">
        <v>10</v>
      </c>
      <c r="Z390">
        <v>10</v>
      </c>
      <c r="AA390" s="32">
        <f t="shared" si="62"/>
        <v>0</v>
      </c>
    </row>
    <row r="391" spans="1:27" x14ac:dyDescent="0.45">
      <c r="A391">
        <v>9</v>
      </c>
      <c r="B391">
        <v>10</v>
      </c>
      <c r="C391" s="32">
        <f t="shared" si="54"/>
        <v>1</v>
      </c>
      <c r="D391">
        <v>9</v>
      </c>
      <c r="E391">
        <v>10</v>
      </c>
      <c r="F391" s="32">
        <f t="shared" si="55"/>
        <v>1</v>
      </c>
      <c r="G391">
        <v>9</v>
      </c>
      <c r="H391">
        <v>10</v>
      </c>
      <c r="I391" s="32">
        <f t="shared" si="56"/>
        <v>1</v>
      </c>
      <c r="J391">
        <v>10</v>
      </c>
      <c r="K391">
        <v>10</v>
      </c>
      <c r="L391" s="32">
        <f t="shared" si="57"/>
        <v>0</v>
      </c>
      <c r="M391">
        <v>9</v>
      </c>
      <c r="N391">
        <v>10</v>
      </c>
      <c r="O391" s="32">
        <f t="shared" si="58"/>
        <v>1</v>
      </c>
      <c r="P391">
        <v>9</v>
      </c>
      <c r="Q391">
        <v>10</v>
      </c>
      <c r="R391" s="32">
        <f t="shared" si="59"/>
        <v>1</v>
      </c>
      <c r="S391">
        <v>9</v>
      </c>
      <c r="T391">
        <v>10</v>
      </c>
      <c r="U391" s="32">
        <f t="shared" si="60"/>
        <v>1</v>
      </c>
      <c r="V391">
        <v>9</v>
      </c>
      <c r="W391">
        <v>10</v>
      </c>
      <c r="X391" s="32">
        <f t="shared" si="61"/>
        <v>1</v>
      </c>
      <c r="Y391">
        <v>10</v>
      </c>
      <c r="Z391">
        <v>10</v>
      </c>
      <c r="AA391" s="32">
        <f t="shared" si="62"/>
        <v>0</v>
      </c>
    </row>
    <row r="392" spans="1:27" x14ac:dyDescent="0.45">
      <c r="A392">
        <v>9</v>
      </c>
      <c r="B392">
        <v>10</v>
      </c>
      <c r="C392" s="32">
        <f t="shared" si="54"/>
        <v>1</v>
      </c>
      <c r="D392">
        <v>9</v>
      </c>
      <c r="E392">
        <v>10</v>
      </c>
      <c r="F392" s="32">
        <f t="shared" si="55"/>
        <v>1</v>
      </c>
      <c r="G392">
        <v>9</v>
      </c>
      <c r="H392">
        <v>10</v>
      </c>
      <c r="I392" s="32">
        <f t="shared" si="56"/>
        <v>1</v>
      </c>
      <c r="J392">
        <v>10</v>
      </c>
      <c r="K392">
        <v>10</v>
      </c>
      <c r="L392" s="32">
        <f t="shared" si="57"/>
        <v>0</v>
      </c>
      <c r="M392">
        <v>9</v>
      </c>
      <c r="N392">
        <v>10</v>
      </c>
      <c r="O392" s="32">
        <f t="shared" si="58"/>
        <v>1</v>
      </c>
      <c r="P392">
        <v>9</v>
      </c>
      <c r="Q392">
        <v>10</v>
      </c>
      <c r="R392" s="32">
        <f t="shared" si="59"/>
        <v>1</v>
      </c>
      <c r="S392">
        <v>9</v>
      </c>
      <c r="T392">
        <v>10</v>
      </c>
      <c r="U392" s="32">
        <f t="shared" si="60"/>
        <v>1</v>
      </c>
      <c r="V392">
        <v>9</v>
      </c>
      <c r="W392">
        <v>10</v>
      </c>
      <c r="X392" s="32">
        <f t="shared" si="61"/>
        <v>1</v>
      </c>
      <c r="Y392">
        <v>10</v>
      </c>
      <c r="Z392">
        <v>10</v>
      </c>
      <c r="AA392" s="32">
        <f t="shared" si="62"/>
        <v>0</v>
      </c>
    </row>
    <row r="393" spans="1:27" x14ac:dyDescent="0.45">
      <c r="A393">
        <v>9</v>
      </c>
      <c r="B393">
        <v>10</v>
      </c>
      <c r="C393" s="32">
        <f t="shared" si="54"/>
        <v>1</v>
      </c>
      <c r="D393">
        <v>9</v>
      </c>
      <c r="E393">
        <v>10</v>
      </c>
      <c r="F393" s="32">
        <f t="shared" si="55"/>
        <v>1</v>
      </c>
      <c r="G393">
        <v>9</v>
      </c>
      <c r="H393">
        <v>10</v>
      </c>
      <c r="I393" s="32">
        <f t="shared" si="56"/>
        <v>1</v>
      </c>
      <c r="J393">
        <v>10</v>
      </c>
      <c r="K393">
        <v>10</v>
      </c>
      <c r="L393" s="32">
        <f t="shared" si="57"/>
        <v>0</v>
      </c>
      <c r="M393">
        <v>9</v>
      </c>
      <c r="N393">
        <v>10</v>
      </c>
      <c r="O393" s="32">
        <f t="shared" si="58"/>
        <v>1</v>
      </c>
      <c r="P393">
        <v>9</v>
      </c>
      <c r="Q393">
        <v>10</v>
      </c>
      <c r="R393" s="32">
        <f t="shared" si="59"/>
        <v>1</v>
      </c>
      <c r="S393">
        <v>9</v>
      </c>
      <c r="T393">
        <v>10</v>
      </c>
      <c r="U393" s="32">
        <f t="shared" si="60"/>
        <v>1</v>
      </c>
      <c r="V393">
        <v>9</v>
      </c>
      <c r="W393">
        <v>10</v>
      </c>
      <c r="X393" s="32">
        <f t="shared" si="61"/>
        <v>1</v>
      </c>
      <c r="Y393">
        <v>10</v>
      </c>
      <c r="Z393">
        <v>10</v>
      </c>
      <c r="AA393" s="32">
        <f t="shared" si="62"/>
        <v>0</v>
      </c>
    </row>
    <row r="394" spans="1:27" x14ac:dyDescent="0.45">
      <c r="A394">
        <v>9</v>
      </c>
      <c r="B394">
        <v>10</v>
      </c>
      <c r="C394" s="32">
        <f t="shared" si="54"/>
        <v>1</v>
      </c>
      <c r="D394">
        <v>9</v>
      </c>
      <c r="E394">
        <v>10</v>
      </c>
      <c r="F394" s="32">
        <f t="shared" si="55"/>
        <v>1</v>
      </c>
      <c r="G394">
        <v>9</v>
      </c>
      <c r="H394">
        <v>10</v>
      </c>
      <c r="I394" s="32">
        <f t="shared" si="56"/>
        <v>1</v>
      </c>
      <c r="J394">
        <v>10</v>
      </c>
      <c r="K394">
        <v>10</v>
      </c>
      <c r="L394" s="32">
        <f t="shared" si="57"/>
        <v>0</v>
      </c>
      <c r="M394">
        <v>9</v>
      </c>
      <c r="N394">
        <v>10</v>
      </c>
      <c r="O394" s="32">
        <f t="shared" si="58"/>
        <v>1</v>
      </c>
      <c r="P394">
        <v>9</v>
      </c>
      <c r="Q394">
        <v>10</v>
      </c>
      <c r="R394" s="32">
        <f t="shared" si="59"/>
        <v>1</v>
      </c>
      <c r="S394">
        <v>9</v>
      </c>
      <c r="T394">
        <v>10</v>
      </c>
      <c r="U394" s="32">
        <f t="shared" si="60"/>
        <v>1</v>
      </c>
      <c r="V394">
        <v>9</v>
      </c>
      <c r="W394">
        <v>10</v>
      </c>
      <c r="X394" s="32">
        <f t="shared" si="61"/>
        <v>1</v>
      </c>
      <c r="Y394">
        <v>10</v>
      </c>
      <c r="Z394">
        <v>10</v>
      </c>
      <c r="AA394" s="32">
        <f t="shared" si="62"/>
        <v>0</v>
      </c>
    </row>
    <row r="395" spans="1:27" x14ac:dyDescent="0.45">
      <c r="A395">
        <v>9</v>
      </c>
      <c r="B395">
        <v>10</v>
      </c>
      <c r="C395" s="32">
        <f t="shared" si="54"/>
        <v>1</v>
      </c>
      <c r="D395">
        <v>9</v>
      </c>
      <c r="E395">
        <v>10</v>
      </c>
      <c r="F395" s="32">
        <f t="shared" si="55"/>
        <v>1</v>
      </c>
      <c r="G395">
        <v>9</v>
      </c>
      <c r="H395">
        <v>10</v>
      </c>
      <c r="I395" s="32">
        <f t="shared" si="56"/>
        <v>1</v>
      </c>
      <c r="J395">
        <v>10</v>
      </c>
      <c r="K395">
        <v>10</v>
      </c>
      <c r="L395" s="32">
        <f t="shared" si="57"/>
        <v>0</v>
      </c>
      <c r="M395">
        <v>9</v>
      </c>
      <c r="N395">
        <v>10</v>
      </c>
      <c r="O395" s="32">
        <f t="shared" si="58"/>
        <v>1</v>
      </c>
      <c r="P395">
        <v>9</v>
      </c>
      <c r="Q395">
        <v>10</v>
      </c>
      <c r="R395" s="32">
        <f t="shared" si="59"/>
        <v>1</v>
      </c>
      <c r="S395">
        <v>9</v>
      </c>
      <c r="T395">
        <v>10</v>
      </c>
      <c r="U395" s="32">
        <f t="shared" si="60"/>
        <v>1</v>
      </c>
      <c r="V395">
        <v>9</v>
      </c>
      <c r="W395">
        <v>10</v>
      </c>
      <c r="X395" s="32">
        <f t="shared" si="61"/>
        <v>1</v>
      </c>
      <c r="Y395">
        <v>10</v>
      </c>
      <c r="Z395">
        <v>10</v>
      </c>
      <c r="AA395" s="32">
        <f t="shared" si="62"/>
        <v>0</v>
      </c>
    </row>
    <row r="396" spans="1:27" x14ac:dyDescent="0.45">
      <c r="A396">
        <v>9</v>
      </c>
      <c r="B396">
        <v>10</v>
      </c>
      <c r="C396" s="32">
        <f t="shared" si="54"/>
        <v>1</v>
      </c>
      <c r="D396">
        <v>9</v>
      </c>
      <c r="E396">
        <v>10</v>
      </c>
      <c r="F396" s="32">
        <f t="shared" si="55"/>
        <v>1</v>
      </c>
      <c r="G396">
        <v>9</v>
      </c>
      <c r="H396">
        <v>10</v>
      </c>
      <c r="I396" s="32">
        <f t="shared" si="56"/>
        <v>1</v>
      </c>
      <c r="J396">
        <v>10</v>
      </c>
      <c r="K396">
        <v>10</v>
      </c>
      <c r="L396" s="32">
        <f t="shared" si="57"/>
        <v>0</v>
      </c>
      <c r="M396">
        <v>9</v>
      </c>
      <c r="N396">
        <v>10</v>
      </c>
      <c r="O396" s="32">
        <f t="shared" si="58"/>
        <v>1</v>
      </c>
      <c r="P396">
        <v>9</v>
      </c>
      <c r="Q396">
        <v>10</v>
      </c>
      <c r="R396" s="32">
        <f t="shared" si="59"/>
        <v>1</v>
      </c>
      <c r="S396">
        <v>9</v>
      </c>
      <c r="T396">
        <v>10</v>
      </c>
      <c r="U396" s="32">
        <f t="shared" si="60"/>
        <v>1</v>
      </c>
      <c r="V396">
        <v>9</v>
      </c>
      <c r="W396">
        <v>10</v>
      </c>
      <c r="X396" s="32">
        <f t="shared" si="61"/>
        <v>1</v>
      </c>
      <c r="Y396">
        <v>10</v>
      </c>
      <c r="Z396">
        <v>10</v>
      </c>
      <c r="AA396" s="32">
        <f t="shared" si="62"/>
        <v>0</v>
      </c>
    </row>
    <row r="397" spans="1:27" x14ac:dyDescent="0.45">
      <c r="A397">
        <v>9</v>
      </c>
      <c r="B397">
        <v>10</v>
      </c>
      <c r="C397" s="32">
        <f t="shared" si="54"/>
        <v>1</v>
      </c>
      <c r="D397">
        <v>9</v>
      </c>
      <c r="E397">
        <v>10</v>
      </c>
      <c r="F397" s="32">
        <f t="shared" si="55"/>
        <v>1</v>
      </c>
      <c r="G397">
        <v>9</v>
      </c>
      <c r="H397">
        <v>10</v>
      </c>
      <c r="I397" s="32">
        <f t="shared" si="56"/>
        <v>1</v>
      </c>
      <c r="J397">
        <v>10</v>
      </c>
      <c r="K397">
        <v>10</v>
      </c>
      <c r="L397" s="32">
        <f t="shared" si="57"/>
        <v>0</v>
      </c>
      <c r="M397">
        <v>9</v>
      </c>
      <c r="N397">
        <v>10</v>
      </c>
      <c r="O397" s="32">
        <f t="shared" si="58"/>
        <v>1</v>
      </c>
      <c r="P397">
        <v>9</v>
      </c>
      <c r="Q397">
        <v>10</v>
      </c>
      <c r="R397" s="32">
        <f t="shared" si="59"/>
        <v>1</v>
      </c>
      <c r="S397">
        <v>9</v>
      </c>
      <c r="T397">
        <v>10</v>
      </c>
      <c r="U397" s="32">
        <f t="shared" si="60"/>
        <v>1</v>
      </c>
      <c r="V397">
        <v>9</v>
      </c>
      <c r="W397">
        <v>10</v>
      </c>
      <c r="X397" s="32">
        <f t="shared" si="61"/>
        <v>1</v>
      </c>
      <c r="Y397">
        <v>10</v>
      </c>
      <c r="Z397">
        <v>10</v>
      </c>
      <c r="AA397" s="32">
        <f t="shared" si="62"/>
        <v>0</v>
      </c>
    </row>
    <row r="398" spans="1:27" x14ac:dyDescent="0.45">
      <c r="A398">
        <v>9</v>
      </c>
      <c r="B398">
        <v>10</v>
      </c>
      <c r="C398" s="32">
        <f t="shared" si="54"/>
        <v>1</v>
      </c>
      <c r="D398">
        <v>9</v>
      </c>
      <c r="E398">
        <v>10</v>
      </c>
      <c r="F398" s="32">
        <f t="shared" si="55"/>
        <v>1</v>
      </c>
      <c r="G398">
        <v>9</v>
      </c>
      <c r="H398">
        <v>10</v>
      </c>
      <c r="I398" s="32">
        <f t="shared" si="56"/>
        <v>1</v>
      </c>
      <c r="J398">
        <v>10</v>
      </c>
      <c r="K398">
        <v>10</v>
      </c>
      <c r="L398" s="32">
        <f t="shared" si="57"/>
        <v>0</v>
      </c>
      <c r="M398">
        <v>9</v>
      </c>
      <c r="N398">
        <v>10</v>
      </c>
      <c r="O398" s="32">
        <f t="shared" si="58"/>
        <v>1</v>
      </c>
      <c r="P398">
        <v>9</v>
      </c>
      <c r="Q398">
        <v>10</v>
      </c>
      <c r="R398" s="32">
        <f t="shared" si="59"/>
        <v>1</v>
      </c>
      <c r="S398">
        <v>9</v>
      </c>
      <c r="T398">
        <v>10</v>
      </c>
      <c r="U398" s="32">
        <f t="shared" si="60"/>
        <v>1</v>
      </c>
      <c r="V398">
        <v>9</v>
      </c>
      <c r="W398">
        <v>10</v>
      </c>
      <c r="X398" s="32">
        <f t="shared" si="61"/>
        <v>1</v>
      </c>
      <c r="Y398">
        <v>10</v>
      </c>
      <c r="Z398">
        <v>10</v>
      </c>
      <c r="AA398" s="32">
        <f t="shared" si="62"/>
        <v>0</v>
      </c>
    </row>
    <row r="399" spans="1:27" x14ac:dyDescent="0.45">
      <c r="A399">
        <v>9</v>
      </c>
      <c r="B399">
        <v>10</v>
      </c>
      <c r="C399" s="32">
        <f t="shared" si="54"/>
        <v>1</v>
      </c>
      <c r="D399">
        <v>9</v>
      </c>
      <c r="E399">
        <v>10</v>
      </c>
      <c r="F399" s="32">
        <f t="shared" si="55"/>
        <v>1</v>
      </c>
      <c r="G399">
        <v>9</v>
      </c>
      <c r="H399">
        <v>10</v>
      </c>
      <c r="I399" s="32">
        <f t="shared" si="56"/>
        <v>1</v>
      </c>
      <c r="J399">
        <v>10</v>
      </c>
      <c r="K399">
        <v>10</v>
      </c>
      <c r="L399" s="32">
        <f t="shared" si="57"/>
        <v>0</v>
      </c>
      <c r="M399">
        <v>9</v>
      </c>
      <c r="N399">
        <v>10</v>
      </c>
      <c r="O399" s="32">
        <f t="shared" si="58"/>
        <v>1</v>
      </c>
      <c r="P399">
        <v>9</v>
      </c>
      <c r="Q399">
        <v>10</v>
      </c>
      <c r="R399" s="32">
        <f t="shared" si="59"/>
        <v>1</v>
      </c>
      <c r="S399">
        <v>9</v>
      </c>
      <c r="T399">
        <v>10</v>
      </c>
      <c r="U399" s="32">
        <f t="shared" si="60"/>
        <v>1</v>
      </c>
      <c r="V399">
        <v>9</v>
      </c>
      <c r="W399">
        <v>10</v>
      </c>
      <c r="X399" s="32">
        <f t="shared" si="61"/>
        <v>1</v>
      </c>
      <c r="Y399">
        <v>10</v>
      </c>
      <c r="Z399">
        <v>10</v>
      </c>
      <c r="AA399" s="32">
        <f t="shared" si="62"/>
        <v>0</v>
      </c>
    </row>
    <row r="400" spans="1:27" x14ac:dyDescent="0.45">
      <c r="A400">
        <v>9</v>
      </c>
      <c r="B400">
        <v>10</v>
      </c>
      <c r="C400" s="32">
        <f t="shared" si="54"/>
        <v>1</v>
      </c>
      <c r="D400">
        <v>9</v>
      </c>
      <c r="E400">
        <v>10</v>
      </c>
      <c r="F400" s="32">
        <f t="shared" si="55"/>
        <v>1</v>
      </c>
      <c r="G400">
        <v>9</v>
      </c>
      <c r="H400">
        <v>10</v>
      </c>
      <c r="I400" s="32">
        <f t="shared" si="56"/>
        <v>1</v>
      </c>
      <c r="J400">
        <v>10</v>
      </c>
      <c r="K400">
        <v>10</v>
      </c>
      <c r="L400" s="32">
        <f t="shared" si="57"/>
        <v>0</v>
      </c>
      <c r="M400">
        <v>9</v>
      </c>
      <c r="N400">
        <v>10</v>
      </c>
      <c r="O400" s="32">
        <f t="shared" si="58"/>
        <v>1</v>
      </c>
      <c r="P400">
        <v>9</v>
      </c>
      <c r="Q400">
        <v>10</v>
      </c>
      <c r="R400" s="32">
        <f t="shared" si="59"/>
        <v>1</v>
      </c>
      <c r="S400">
        <v>9</v>
      </c>
      <c r="T400">
        <v>10</v>
      </c>
      <c r="U400" s="32">
        <f t="shared" si="60"/>
        <v>1</v>
      </c>
      <c r="V400">
        <v>9</v>
      </c>
      <c r="W400">
        <v>10</v>
      </c>
      <c r="X400" s="32">
        <f t="shared" si="61"/>
        <v>1</v>
      </c>
      <c r="Y400">
        <v>10</v>
      </c>
      <c r="Z400">
        <v>10</v>
      </c>
      <c r="AA400" s="32">
        <f t="shared" si="62"/>
        <v>0</v>
      </c>
    </row>
    <row r="401" spans="1:27" x14ac:dyDescent="0.45">
      <c r="A401">
        <v>9</v>
      </c>
      <c r="B401">
        <v>10</v>
      </c>
      <c r="C401" s="32">
        <f t="shared" si="54"/>
        <v>1</v>
      </c>
      <c r="D401">
        <v>9</v>
      </c>
      <c r="E401">
        <v>10</v>
      </c>
      <c r="F401" s="32">
        <f t="shared" si="55"/>
        <v>1</v>
      </c>
      <c r="G401">
        <v>9</v>
      </c>
      <c r="H401">
        <v>10</v>
      </c>
      <c r="I401" s="32">
        <f t="shared" si="56"/>
        <v>1</v>
      </c>
      <c r="J401">
        <v>10</v>
      </c>
      <c r="K401">
        <v>10</v>
      </c>
      <c r="L401" s="32">
        <f t="shared" si="57"/>
        <v>0</v>
      </c>
      <c r="M401">
        <v>9</v>
      </c>
      <c r="N401">
        <v>10</v>
      </c>
      <c r="O401" s="32">
        <f t="shared" si="58"/>
        <v>1</v>
      </c>
      <c r="P401">
        <v>9</v>
      </c>
      <c r="Q401">
        <v>10</v>
      </c>
      <c r="R401" s="32">
        <f t="shared" si="59"/>
        <v>1</v>
      </c>
      <c r="S401">
        <v>9</v>
      </c>
      <c r="T401">
        <v>10</v>
      </c>
      <c r="U401" s="32">
        <f t="shared" si="60"/>
        <v>1</v>
      </c>
      <c r="V401">
        <v>9</v>
      </c>
      <c r="W401">
        <v>10</v>
      </c>
      <c r="X401" s="32">
        <f t="shared" si="61"/>
        <v>1</v>
      </c>
      <c r="Y401">
        <v>10</v>
      </c>
      <c r="Z401">
        <v>10</v>
      </c>
      <c r="AA401" s="32">
        <f t="shared" si="62"/>
        <v>0</v>
      </c>
    </row>
    <row r="402" spans="1:27" x14ac:dyDescent="0.45">
      <c r="A402">
        <v>9</v>
      </c>
      <c r="B402">
        <v>10</v>
      </c>
      <c r="C402" s="32">
        <f t="shared" si="54"/>
        <v>1</v>
      </c>
      <c r="D402">
        <v>9</v>
      </c>
      <c r="E402">
        <v>10</v>
      </c>
      <c r="F402" s="32">
        <f t="shared" si="55"/>
        <v>1</v>
      </c>
      <c r="G402">
        <v>9</v>
      </c>
      <c r="H402">
        <v>10</v>
      </c>
      <c r="I402" s="32">
        <f t="shared" si="56"/>
        <v>1</v>
      </c>
      <c r="J402">
        <v>10</v>
      </c>
      <c r="K402">
        <v>10</v>
      </c>
      <c r="L402" s="32">
        <f t="shared" si="57"/>
        <v>0</v>
      </c>
      <c r="M402">
        <v>9</v>
      </c>
      <c r="N402">
        <v>10</v>
      </c>
      <c r="O402" s="32">
        <f t="shared" si="58"/>
        <v>1</v>
      </c>
      <c r="P402">
        <v>10</v>
      </c>
      <c r="Q402">
        <v>10</v>
      </c>
      <c r="R402" s="32">
        <f t="shared" si="59"/>
        <v>0</v>
      </c>
      <c r="S402">
        <v>9</v>
      </c>
      <c r="T402">
        <v>10</v>
      </c>
      <c r="U402" s="32">
        <f t="shared" si="60"/>
        <v>1</v>
      </c>
      <c r="V402">
        <v>9</v>
      </c>
      <c r="W402">
        <v>10</v>
      </c>
      <c r="X402" s="32">
        <f t="shared" si="61"/>
        <v>1</v>
      </c>
      <c r="Y402">
        <v>10</v>
      </c>
      <c r="Z402">
        <v>10</v>
      </c>
      <c r="AA402" s="32">
        <f t="shared" si="62"/>
        <v>0</v>
      </c>
    </row>
    <row r="403" spans="1:27" x14ac:dyDescent="0.45">
      <c r="A403">
        <v>9</v>
      </c>
      <c r="B403">
        <v>10</v>
      </c>
      <c r="C403" s="32">
        <f t="shared" si="54"/>
        <v>1</v>
      </c>
      <c r="D403">
        <v>9</v>
      </c>
      <c r="E403">
        <v>10</v>
      </c>
      <c r="F403" s="32">
        <f t="shared" si="55"/>
        <v>1</v>
      </c>
      <c r="G403">
        <v>9</v>
      </c>
      <c r="H403">
        <v>10</v>
      </c>
      <c r="I403" s="32">
        <f t="shared" si="56"/>
        <v>1</v>
      </c>
      <c r="J403">
        <v>10</v>
      </c>
      <c r="K403">
        <v>10</v>
      </c>
      <c r="L403" s="32">
        <f t="shared" si="57"/>
        <v>0</v>
      </c>
      <c r="M403">
        <v>9</v>
      </c>
      <c r="N403">
        <v>10</v>
      </c>
      <c r="O403" s="32">
        <f t="shared" si="58"/>
        <v>1</v>
      </c>
      <c r="P403">
        <v>10</v>
      </c>
      <c r="Q403">
        <v>10</v>
      </c>
      <c r="R403" s="32">
        <f t="shared" si="59"/>
        <v>0</v>
      </c>
      <c r="S403">
        <v>9</v>
      </c>
      <c r="T403">
        <v>10</v>
      </c>
      <c r="U403" s="32">
        <f t="shared" si="60"/>
        <v>1</v>
      </c>
      <c r="V403">
        <v>9</v>
      </c>
      <c r="W403">
        <v>10</v>
      </c>
      <c r="X403" s="32">
        <f t="shared" si="61"/>
        <v>1</v>
      </c>
      <c r="Y403">
        <v>10</v>
      </c>
      <c r="Z403">
        <v>10</v>
      </c>
      <c r="AA403" s="32">
        <f t="shared" si="62"/>
        <v>0</v>
      </c>
    </row>
    <row r="404" spans="1:27" x14ac:dyDescent="0.45">
      <c r="A404">
        <v>10</v>
      </c>
      <c r="B404" s="36">
        <v>10</v>
      </c>
      <c r="C404" s="32">
        <f t="shared" si="54"/>
        <v>0</v>
      </c>
      <c r="D404">
        <v>9</v>
      </c>
      <c r="E404">
        <v>10</v>
      </c>
      <c r="F404" s="32">
        <f t="shared" si="55"/>
        <v>1</v>
      </c>
      <c r="G404">
        <v>10</v>
      </c>
      <c r="H404">
        <v>10</v>
      </c>
      <c r="I404" s="32">
        <f t="shared" si="56"/>
        <v>0</v>
      </c>
      <c r="J404">
        <v>10</v>
      </c>
      <c r="K404">
        <v>10</v>
      </c>
      <c r="L404" s="32">
        <f t="shared" si="57"/>
        <v>0</v>
      </c>
      <c r="M404">
        <v>10</v>
      </c>
      <c r="N404">
        <v>10</v>
      </c>
      <c r="O404" s="32">
        <f t="shared" si="58"/>
        <v>0</v>
      </c>
      <c r="P404">
        <v>10</v>
      </c>
      <c r="Q404">
        <v>10</v>
      </c>
      <c r="R404" s="32">
        <f t="shared" si="59"/>
        <v>0</v>
      </c>
      <c r="S404">
        <v>10</v>
      </c>
      <c r="T404">
        <v>10</v>
      </c>
      <c r="U404" s="32">
        <f t="shared" si="60"/>
        <v>0</v>
      </c>
      <c r="V404">
        <v>10</v>
      </c>
      <c r="W404">
        <v>10</v>
      </c>
      <c r="X404" s="32">
        <f t="shared" si="61"/>
        <v>0</v>
      </c>
      <c r="Y404">
        <v>10</v>
      </c>
      <c r="Z404">
        <v>10</v>
      </c>
      <c r="AA404" s="32">
        <f t="shared" si="62"/>
        <v>0</v>
      </c>
    </row>
    <row r="405" spans="1:27" x14ac:dyDescent="0.45">
      <c r="C405">
        <f>AVERAGE(C2:C404)</f>
        <v>0.96277915632754341</v>
      </c>
      <c r="F405">
        <f>AVERAGE(F2:F404)</f>
        <v>0.74193548387096775</v>
      </c>
      <c r="I405">
        <f>AVERAGE(I2:I404)</f>
        <v>2.1885856079404467</v>
      </c>
      <c r="L405">
        <f>AVERAGE(L2:L404)</f>
        <v>1.5558312655086848</v>
      </c>
      <c r="O405">
        <f>AVERAGE(O2:O404)</f>
        <v>1.4069478908188586</v>
      </c>
      <c r="R405">
        <f>AVERAGE(R2:R404)</f>
        <v>2.1687344913151363</v>
      </c>
      <c r="U405">
        <f>AVERAGE(U2:U404)</f>
        <v>1.8858560794044665</v>
      </c>
      <c r="X405">
        <f>AVERAGE(X2:X404)</f>
        <v>1.2605459057071959</v>
      </c>
      <c r="AA405">
        <f>AVERAGE(AA2:AA404)</f>
        <v>1.9106699751861043</v>
      </c>
    </row>
  </sheetData>
  <sortState xmlns:xlrd2="http://schemas.microsoft.com/office/spreadsheetml/2017/richdata2" ref="Y2:Y404">
    <sortCondition ref="Y2:Y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L3" sqref="L3"/>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205</v>
      </c>
      <c r="F1" s="5" t="s">
        <v>204</v>
      </c>
      <c r="G1" s="1" t="s">
        <v>7</v>
      </c>
      <c r="H1" s="1" t="s">
        <v>8</v>
      </c>
      <c r="I1" s="1" t="s">
        <v>9</v>
      </c>
      <c r="J1" s="1" t="s">
        <v>10</v>
      </c>
      <c r="K1" s="1" t="s">
        <v>11</v>
      </c>
      <c r="L1" s="1" t="s">
        <v>12</v>
      </c>
    </row>
    <row r="2" spans="1:13" x14ac:dyDescent="0.45">
      <c r="A2" s="4" t="s">
        <v>13</v>
      </c>
      <c r="B2" s="33">
        <f>step3_combined_data!U405</f>
        <v>1.9478908188585609</v>
      </c>
      <c r="C2" s="15">
        <f>CM_REPORT!E7</f>
        <v>0.42679900744416871</v>
      </c>
      <c r="D2" s="24">
        <f>CM_REPORT!E8</f>
        <v>-1.1988784114915907E-2</v>
      </c>
      <c r="E2" s="34">
        <f>(ABS(J2-G2)+ABS(K2-H2)+ABS(L2-I2))/2</f>
        <v>0.23573200992555832</v>
      </c>
      <c r="F2" s="37">
        <f>EMD!C405</f>
        <v>0.96277915632754341</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1.488833746898263E-2</v>
      </c>
      <c r="K2" s="15">
        <f>step3_combined_data!R407/step3_combined_data!R409</f>
        <v>0.68238213399503722</v>
      </c>
      <c r="L2" s="15">
        <f>step3_combined_data!R408/step3_combined_data!R409</f>
        <v>0.30272952853598017</v>
      </c>
      <c r="M2" s="25">
        <f>J2+K2+L2</f>
        <v>1</v>
      </c>
    </row>
    <row r="3" spans="1:13" x14ac:dyDescent="0.45">
      <c r="A3" s="4" t="s">
        <v>14</v>
      </c>
      <c r="B3" s="33">
        <f>step3_combined_data!Z405</f>
        <v>1.945409429280397</v>
      </c>
      <c r="C3" s="15">
        <f>CM_REPORT!E16</f>
        <v>0.41044776119402987</v>
      </c>
      <c r="D3" s="24">
        <f>CM_REPORT!E17</f>
        <v>-5.2666490930465382E-2</v>
      </c>
      <c r="E3" s="34">
        <f t="shared" ref="E3:E10" si="0">(ABS(J3-G3)+ABS(K3-H3)+ABS(L3-I3))/2</f>
        <v>0.10550226534819696</v>
      </c>
      <c r="F3" s="37">
        <f>EMD!F405</f>
        <v>0.74193548387096775</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9.9502487562189053E-3</v>
      </c>
      <c r="K3" s="15">
        <f>step3_combined_data!W407/step3_combined_data!W409</f>
        <v>0.51741293532338306</v>
      </c>
      <c r="L3" s="15">
        <f>step3_combined_data!W408/step3_combined_data!W409</f>
        <v>0.47263681592039802</v>
      </c>
      <c r="M3" s="25">
        <f t="shared" ref="M3:M10" si="1">J3+K3+L3</f>
        <v>1</v>
      </c>
    </row>
    <row r="4" spans="1:13" x14ac:dyDescent="0.45">
      <c r="A4" s="4" t="s">
        <v>15</v>
      </c>
      <c r="B4" s="33">
        <f>step3_combined_data!AE405</f>
        <v>2.6277915632754341</v>
      </c>
      <c r="C4" s="15">
        <f>CM_REPORT!E26</f>
        <v>0.36567164179104478</v>
      </c>
      <c r="D4" s="24">
        <f>CM_REPORT!E27</f>
        <v>-1.4395224874990158E-2</v>
      </c>
      <c r="E4" s="34">
        <f t="shared" si="0"/>
        <v>0.43620606644198356</v>
      </c>
      <c r="F4" s="37">
        <f>EMD!I405</f>
        <v>2.1885856079404467</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2.4875621890547263E-3</v>
      </c>
      <c r="K4" s="15">
        <f>step3_combined_data!AB407/step3_combined_data!AB409</f>
        <v>0.20646766169154229</v>
      </c>
      <c r="L4" s="15">
        <f>step3_combined_data!AB408/step3_combined_data!AB409</f>
        <v>0.79104477611940294</v>
      </c>
      <c r="M4" s="25">
        <f t="shared" si="1"/>
        <v>1</v>
      </c>
    </row>
    <row r="5" spans="1:13" x14ac:dyDescent="0.45">
      <c r="A5" s="4" t="s">
        <v>16</v>
      </c>
      <c r="B5" s="33">
        <f>step3_combined_data!AJ405</f>
        <v>1.8808933002481389</v>
      </c>
      <c r="C5" s="15">
        <f>CM_REPORT!E36</f>
        <v>0.48507462686567165</v>
      </c>
      <c r="D5" s="24">
        <f>CM_REPORT!E37</f>
        <v>-1.1084068762473262E-2</v>
      </c>
      <c r="E5" s="34">
        <f t="shared" si="0"/>
        <v>0.48629063121118971</v>
      </c>
      <c r="F5" s="37">
        <f>EMD!L405</f>
        <v>1.5558312655086848</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0</v>
      </c>
      <c r="K5" s="15">
        <f>step3_combined_data!AG407/step3_combined_data!AG409</f>
        <v>2.4875621890547265E-2</v>
      </c>
      <c r="L5" s="15">
        <f>step3_combined_data!AG408/step3_combined_data!AG409</f>
        <v>0.97512437810945274</v>
      </c>
      <c r="M5" s="25">
        <f t="shared" si="1"/>
        <v>1</v>
      </c>
    </row>
    <row r="6" spans="1:13" x14ac:dyDescent="0.45">
      <c r="A6" s="4" t="s">
        <v>17</v>
      </c>
      <c r="B6" s="33">
        <f>step3_combined_data!AO405</f>
        <v>2.1066997518610422</v>
      </c>
      <c r="C6" s="15">
        <f>CM_REPORT!E46</f>
        <v>0.44029850746268656</v>
      </c>
      <c r="D6" s="24">
        <f>CM_REPORT!E47</f>
        <v>3.7041030493304247E-2</v>
      </c>
      <c r="E6" s="34">
        <f t="shared" si="0"/>
        <v>0.22218312901991286</v>
      </c>
      <c r="F6" s="37">
        <f>EMD!O405</f>
        <v>1.4069478908188586</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0</v>
      </c>
      <c r="K6" s="15">
        <f>step3_combined_data!AL407/step3_combined_data!AL409</f>
        <v>0.46019900497512439</v>
      </c>
      <c r="L6" s="15">
        <f>step3_combined_data!AL408/step3_combined_data!AL409</f>
        <v>0.53980099502487566</v>
      </c>
      <c r="M6" s="25">
        <f t="shared" si="1"/>
        <v>1</v>
      </c>
    </row>
    <row r="7" spans="1:13" x14ac:dyDescent="0.45">
      <c r="A7" s="4" t="s">
        <v>18</v>
      </c>
      <c r="B7" s="33">
        <f>step3_combined_data!AT405</f>
        <v>2.4218362282878414</v>
      </c>
      <c r="C7" s="15">
        <f>CM_REPORT!E56</f>
        <v>0.40049751243781095</v>
      </c>
      <c r="D7" s="24">
        <f>CM_REPORT!E57</f>
        <v>7.3493365945826769E-2</v>
      </c>
      <c r="E7" s="34">
        <f t="shared" si="0"/>
        <v>0.58802143130501339</v>
      </c>
      <c r="F7" s="37">
        <f>EMD!R405</f>
        <v>2.1687344913151363</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0</v>
      </c>
      <c r="K7" s="15">
        <f>step3_combined_data!AQ407/step3_combined_data!AQ409</f>
        <v>2.736318407960199E-2</v>
      </c>
      <c r="L7" s="15">
        <f>step3_combined_data!AQ408/step3_combined_data!AQ409</f>
        <v>0.97263681592039797</v>
      </c>
      <c r="M7" s="25">
        <f t="shared" si="1"/>
        <v>1</v>
      </c>
    </row>
    <row r="8" spans="1:13" x14ac:dyDescent="0.45">
      <c r="A8" s="4" t="s">
        <v>19</v>
      </c>
      <c r="B8" s="33">
        <f>step3_combined_data!AY405</f>
        <v>2.4789081885856081</v>
      </c>
      <c r="C8" s="15">
        <f>CM_REPORT!E66</f>
        <v>0.4079601990049751</v>
      </c>
      <c r="D8" s="24">
        <f>CM_REPORT!E67</f>
        <v>3.613124132271929E-2</v>
      </c>
      <c r="E8" s="34">
        <f t="shared" si="0"/>
        <v>0.30418626470624544</v>
      </c>
      <c r="F8" s="37">
        <f>EMD!U405</f>
        <v>1.8858560794044665</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2.4875621890547263E-3</v>
      </c>
      <c r="K8" s="15">
        <f>step3_combined_data!AV407/step3_combined_data!AV409</f>
        <v>0.41044776119402987</v>
      </c>
      <c r="L8" s="15">
        <f>step3_combined_data!AV408/step3_combined_data!AV409</f>
        <v>0.58706467661691542</v>
      </c>
      <c r="M8" s="25">
        <f t="shared" si="1"/>
        <v>1</v>
      </c>
    </row>
    <row r="9" spans="1:13" x14ac:dyDescent="0.45">
      <c r="A9" s="4" t="s">
        <v>20</v>
      </c>
      <c r="B9" s="33">
        <f>step3_combined_data!BD405</f>
        <v>1.9727047146401986</v>
      </c>
      <c r="C9" s="15">
        <f>CM_REPORT!E75</f>
        <v>0.4228855721393035</v>
      </c>
      <c r="D9" s="24">
        <f>CM_REPORT!E76</f>
        <v>-1.5453521894237963E-2</v>
      </c>
      <c r="E9" s="34">
        <f t="shared" si="0"/>
        <v>0.23955902867795015</v>
      </c>
      <c r="F9" s="37">
        <f>EMD!X405</f>
        <v>1.2605459057071959</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0</v>
      </c>
      <c r="K9" s="15">
        <f>step3_combined_data!BA407/step3_combined_data!BA409</f>
        <v>0.45771144278606968</v>
      </c>
      <c r="L9" s="15">
        <f>step3_combined_data!BA408/step3_combined_data!BA409</f>
        <v>0.54228855721393032</v>
      </c>
      <c r="M9" s="25">
        <f t="shared" si="1"/>
        <v>1</v>
      </c>
    </row>
    <row r="10" spans="1:13" x14ac:dyDescent="0.45">
      <c r="A10" s="4" t="s">
        <v>21</v>
      </c>
      <c r="B10" s="33">
        <f>step3_combined_data!BI405</f>
        <v>2.2679900744416872</v>
      </c>
      <c r="C10" s="15">
        <f>CM_REPORT!E85</f>
        <v>0.44029850746268656</v>
      </c>
      <c r="D10" s="24">
        <f>CM_REPORT!E86</f>
        <v>3.1293693449258177E-2</v>
      </c>
      <c r="E10" s="34">
        <f t="shared" si="0"/>
        <v>0.53589990494179229</v>
      </c>
      <c r="F10" s="37">
        <f>EMD!AA405</f>
        <v>1.9106699751861043</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0</v>
      </c>
      <c r="K10" s="15">
        <f>step3_combined_data!BF407/step3_combined_data!BF409</f>
        <v>3.2338308457711441E-2</v>
      </c>
      <c r="L10" s="15">
        <f>step3_combined_data!BF408/step3_combined_data!BF409</f>
        <v>0.96766169154228854</v>
      </c>
      <c r="M10" s="25">
        <f t="shared" si="1"/>
        <v>1</v>
      </c>
    </row>
    <row r="13" spans="1:13" x14ac:dyDescent="0.45">
      <c r="C13" s="29"/>
      <c r="E13" s="27" t="s">
        <v>38</v>
      </c>
      <c r="F13" t="s">
        <v>168</v>
      </c>
      <c r="G13" s="29" t="s">
        <v>169</v>
      </c>
    </row>
    <row r="14" spans="1:13" x14ac:dyDescent="0.45">
      <c r="C14" s="25"/>
      <c r="E14" s="28" t="s">
        <v>166</v>
      </c>
      <c r="F14">
        <v>159</v>
      </c>
      <c r="G14" s="25">
        <f>GETPIVOTDATA("Giới tính của bạn:",$E$13,"Giới tính của bạn:","Male")/GETPIVOTDATA("Giới tính của bạn:",$E$13)</f>
        <v>0.39454094292803971</v>
      </c>
    </row>
    <row r="15" spans="1:13" x14ac:dyDescent="0.45">
      <c r="C15" s="25"/>
      <c r="E15" s="28" t="s">
        <v>167</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215</v>
      </c>
    </row>
    <row r="20" spans="3:7" x14ac:dyDescent="0.45">
      <c r="C20" s="25"/>
      <c r="E20" s="28" t="s">
        <v>189</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191</v>
      </c>
      <c r="F24">
        <v>31</v>
      </c>
      <c r="G24" s="38">
        <f>GETPIVOTDATA("Độ tuổi của bạn:",$E$19,"Độ tuổi của bạn:","50 - 54")/GETPIVOTDATA("Độ tuổi của bạn:",$E$19)</f>
        <v>7.6923076923076927E-2</v>
      </c>
    </row>
    <row r="25" spans="3:7" x14ac:dyDescent="0.45">
      <c r="C25" s="29"/>
      <c r="E25" s="28" t="s">
        <v>193</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216</v>
      </c>
      <c r="G29" s="29" t="s">
        <v>169</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217</v>
      </c>
    </row>
    <row r="36" spans="3:7" x14ac:dyDescent="0.45">
      <c r="C36" s="25"/>
      <c r="E36" s="28" t="s">
        <v>190</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192</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218</v>
      </c>
    </row>
    <row r="44" spans="3:7" x14ac:dyDescent="0.45">
      <c r="C44" s="25"/>
      <c r="E44" s="28" t="s">
        <v>197</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100</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103</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220</v>
      </c>
      <c r="F50" t="s">
        <v>219</v>
      </c>
    </row>
    <row r="51" spans="5:7" x14ac:dyDescent="0.45">
      <c r="E51" s="28" t="s">
        <v>194</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108</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104</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196</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101</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109</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111</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107</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221</v>
      </c>
    </row>
    <row r="63" spans="5:7" x14ac:dyDescent="0.45">
      <c r="E63" s="28" t="s">
        <v>110</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102</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105</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106</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195</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0</v>
      </c>
      <c r="D3" s="4">
        <f>CM_ENF1!C2</f>
        <v>3</v>
      </c>
      <c r="E3" s="4">
        <f>CM_ENF1!D2</f>
        <v>3</v>
      </c>
      <c r="F3" s="6">
        <f>SUM(C3:E3)</f>
        <v>6</v>
      </c>
    </row>
    <row r="4" spans="1:11" x14ac:dyDescent="0.45">
      <c r="A4" s="39"/>
      <c r="B4" s="1" t="s">
        <v>2</v>
      </c>
      <c r="C4" s="4">
        <f>CM_ENF1!B3</f>
        <v>34</v>
      </c>
      <c r="D4" s="3">
        <f>CM_ENF1!C3</f>
        <v>124</v>
      </c>
      <c r="E4" s="4">
        <f>CM_ENF1!D3</f>
        <v>117</v>
      </c>
      <c r="F4" s="6">
        <f t="shared" ref="F4:F5" si="0">SUM(C4:E4)</f>
        <v>275</v>
      </c>
    </row>
    <row r="5" spans="1:11" x14ac:dyDescent="0.45">
      <c r="A5" s="39"/>
      <c r="B5" s="1" t="s">
        <v>3</v>
      </c>
      <c r="C5" s="4">
        <f>CM_ENF1!B4</f>
        <v>21</v>
      </c>
      <c r="D5" s="4">
        <f>CM_ENF1!C4</f>
        <v>53</v>
      </c>
      <c r="E5" s="3">
        <f>CM_ENF1!D4</f>
        <v>48</v>
      </c>
      <c r="F5" s="6">
        <f t="shared" si="0"/>
        <v>122</v>
      </c>
      <c r="G5" s="26" t="s">
        <v>36</v>
      </c>
      <c r="H5" s="26" t="s">
        <v>165</v>
      </c>
      <c r="I5" s="26" t="s">
        <v>163</v>
      </c>
      <c r="J5" s="26" t="s">
        <v>164</v>
      </c>
    </row>
    <row r="6" spans="1:11" x14ac:dyDescent="0.45">
      <c r="A6" s="2"/>
      <c r="B6" s="1" t="s">
        <v>34</v>
      </c>
      <c r="C6" s="6">
        <f>SUM(C3:C5)</f>
        <v>55</v>
      </c>
      <c r="D6" s="6">
        <f>SUM(D3:D5)</f>
        <v>180</v>
      </c>
      <c r="E6" s="6">
        <f>SUM(E3:E5)</f>
        <v>168</v>
      </c>
      <c r="F6" s="6">
        <f>SUM(C6:E6)</f>
        <v>403</v>
      </c>
      <c r="G6" s="8">
        <f>C3+D4+E5</f>
        <v>172</v>
      </c>
      <c r="H6" s="8">
        <f>(C6*F3)+(D6*F4)+(E6*F5)</f>
        <v>70326</v>
      </c>
      <c r="I6" s="8">
        <f>(C6^2)+(D6^2)+(E6^2)</f>
        <v>63649</v>
      </c>
      <c r="J6" s="8">
        <f>(F3^2)+(F4^2)+(F5^2)</f>
        <v>90545</v>
      </c>
      <c r="K6" s="10"/>
    </row>
    <row r="7" spans="1:11" x14ac:dyDescent="0.45">
      <c r="A7" s="4"/>
      <c r="B7" s="5" t="s">
        <v>25</v>
      </c>
      <c r="C7" s="6"/>
      <c r="D7" s="6"/>
      <c r="E7" s="16">
        <f>(C3+D4+E5)/F6</f>
        <v>0.42679900744416871</v>
      </c>
      <c r="F7" s="4"/>
    </row>
    <row r="8" spans="1:11" x14ac:dyDescent="0.45">
      <c r="A8" s="4"/>
      <c r="B8" s="5" t="s">
        <v>35</v>
      </c>
      <c r="C8" s="4"/>
      <c r="D8" s="4"/>
      <c r="E8" s="9">
        <f>(G6*F6-H6)/SQRT((F6^2-I6)*(F6^2-J6))</f>
        <v>-1.1988784114915907E-2</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0</v>
      </c>
      <c r="D12" s="4">
        <f>CM_ENF2!C2</f>
        <v>2</v>
      </c>
      <c r="E12" s="4">
        <f>CM_ENF2!D2</f>
        <v>2</v>
      </c>
      <c r="F12" s="6">
        <f>SUM(C12:E12)</f>
        <v>4</v>
      </c>
    </row>
    <row r="13" spans="1:11" x14ac:dyDescent="0.45">
      <c r="A13" s="39"/>
      <c r="B13" s="1" t="s">
        <v>2</v>
      </c>
      <c r="C13" s="4">
        <f>CM_ENF2!B3</f>
        <v>20</v>
      </c>
      <c r="D13" s="3">
        <f>CM_ENF2!C3</f>
        <v>82</v>
      </c>
      <c r="E13" s="4">
        <f>CM_ENF2!D3</f>
        <v>106</v>
      </c>
      <c r="F13" s="6">
        <f t="shared" ref="F13:F14" si="1">SUM(C13:E13)</f>
        <v>208</v>
      </c>
    </row>
    <row r="14" spans="1:11" x14ac:dyDescent="0.45">
      <c r="A14" s="39"/>
      <c r="B14" s="1" t="s">
        <v>3</v>
      </c>
      <c r="C14" s="4">
        <f>CM_ENF2!B4</f>
        <v>25</v>
      </c>
      <c r="D14" s="4">
        <f>CM_ENF2!C4</f>
        <v>82</v>
      </c>
      <c r="E14" s="3">
        <f>CM_ENF2!D4</f>
        <v>83</v>
      </c>
      <c r="F14" s="6">
        <f t="shared" si="1"/>
        <v>190</v>
      </c>
      <c r="G14" s="26" t="s">
        <v>36</v>
      </c>
      <c r="H14" s="26" t="s">
        <v>165</v>
      </c>
      <c r="I14" s="26" t="s">
        <v>163</v>
      </c>
      <c r="J14" s="26" t="s">
        <v>164</v>
      </c>
    </row>
    <row r="15" spans="1:11" x14ac:dyDescent="0.45">
      <c r="A15" s="2"/>
      <c r="B15" s="1" t="s">
        <v>34</v>
      </c>
      <c r="C15" s="6">
        <f>SUM(C12:C14)</f>
        <v>45</v>
      </c>
      <c r="D15" s="6">
        <f>SUM(D12:D14)</f>
        <v>166</v>
      </c>
      <c r="E15" s="6">
        <f>SUM(E12:E14)</f>
        <v>191</v>
      </c>
      <c r="F15" s="6">
        <f>SUM(C15:E15)</f>
        <v>402</v>
      </c>
      <c r="G15" s="8">
        <f>C12+D13+E14</f>
        <v>165</v>
      </c>
      <c r="H15" s="8">
        <f>(C15*F12)+(D15*F13)+(E15*F14)</f>
        <v>70998</v>
      </c>
      <c r="I15" s="8">
        <f>(C15^2)+(D15^2)+(E15^2)</f>
        <v>66062</v>
      </c>
      <c r="J15" s="8">
        <f>(F12^2)+(F13^2)+(F14^2)</f>
        <v>79380</v>
      </c>
      <c r="K15" s="10"/>
    </row>
    <row r="16" spans="1:11" x14ac:dyDescent="0.45">
      <c r="A16" s="4"/>
      <c r="B16" s="5" t="s">
        <v>25</v>
      </c>
      <c r="C16" s="6"/>
      <c r="D16" s="6"/>
      <c r="E16" s="16">
        <f>(C12+D13+E14)/F15</f>
        <v>0.41044776119402987</v>
      </c>
      <c r="F16" s="4"/>
    </row>
    <row r="17" spans="1:11" x14ac:dyDescent="0.45">
      <c r="A17" s="4"/>
      <c r="B17" s="5" t="s">
        <v>35</v>
      </c>
      <c r="C17" s="4"/>
      <c r="D17" s="4"/>
      <c r="E17" s="9">
        <f>(G15*F15-H15)/SQRT((F15^2-I15)*(F15^2-J15))</f>
        <v>-5.2666490930465382E-2</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1</v>
      </c>
      <c r="D22" s="4">
        <f>CM_FAC1!C2</f>
        <v>0</v>
      </c>
      <c r="E22" s="4">
        <f>CM_FAC1!D2</f>
        <v>0</v>
      </c>
      <c r="F22" s="6">
        <f>SUM(C22:E22)</f>
        <v>1</v>
      </c>
    </row>
    <row r="23" spans="1:11" x14ac:dyDescent="0.45">
      <c r="A23" s="39"/>
      <c r="B23" s="1" t="s">
        <v>2</v>
      </c>
      <c r="C23" s="4">
        <f>CM_FAC1!B3</f>
        <v>22</v>
      </c>
      <c r="D23" s="3">
        <f>CM_FAC1!C3</f>
        <v>32</v>
      </c>
      <c r="E23" s="4">
        <f>CM_FAC1!D3</f>
        <v>29</v>
      </c>
      <c r="F23" s="6">
        <f t="shared" ref="F23:F24" si="2">SUM(C23:E23)</f>
        <v>83</v>
      </c>
    </row>
    <row r="24" spans="1:11" x14ac:dyDescent="0.45">
      <c r="A24" s="39"/>
      <c r="B24" s="1" t="s">
        <v>3</v>
      </c>
      <c r="C24" s="4">
        <f>CM_FAC1!B4</f>
        <v>60</v>
      </c>
      <c r="D24" s="4">
        <f>CM_FAC1!C4</f>
        <v>144</v>
      </c>
      <c r="E24" s="3">
        <f>CM_FAC1!D4</f>
        <v>114</v>
      </c>
      <c r="F24" s="6">
        <f t="shared" si="2"/>
        <v>318</v>
      </c>
      <c r="G24" s="26" t="s">
        <v>36</v>
      </c>
      <c r="H24" s="26" t="s">
        <v>165</v>
      </c>
      <c r="I24" s="26" t="s">
        <v>163</v>
      </c>
      <c r="J24" s="26" t="s">
        <v>164</v>
      </c>
    </row>
    <row r="25" spans="1:11" x14ac:dyDescent="0.45">
      <c r="A25" s="2"/>
      <c r="B25" s="1" t="s">
        <v>34</v>
      </c>
      <c r="C25" s="6">
        <f>SUM(C22:C24)</f>
        <v>83</v>
      </c>
      <c r="D25" s="6">
        <f>SUM(D22:D24)</f>
        <v>176</v>
      </c>
      <c r="E25" s="6">
        <f>SUM(E22:E24)</f>
        <v>143</v>
      </c>
      <c r="F25" s="6">
        <f>SUM(C25:E25)</f>
        <v>402</v>
      </c>
      <c r="G25" s="8">
        <f>C22+D23+E24</f>
        <v>147</v>
      </c>
      <c r="H25" s="8">
        <f>(C25*F22)+(D25*F23)+(E25*F24)</f>
        <v>60165</v>
      </c>
      <c r="I25" s="8">
        <f>(C25^2)+(D25^2)+(E25^2)</f>
        <v>58314</v>
      </c>
      <c r="J25" s="8">
        <f>(F22^2)+(F23^2)+(F24^2)</f>
        <v>108014</v>
      </c>
      <c r="K25" s="10"/>
    </row>
    <row r="26" spans="1:11" x14ac:dyDescent="0.45">
      <c r="A26" s="4"/>
      <c r="B26" s="5" t="s">
        <v>25</v>
      </c>
      <c r="C26" s="6"/>
      <c r="D26" s="6"/>
      <c r="E26" s="16">
        <f>(C22+D23+E24)/F25</f>
        <v>0.36567164179104478</v>
      </c>
      <c r="F26" s="4"/>
    </row>
    <row r="27" spans="1:11" x14ac:dyDescent="0.45">
      <c r="A27" s="4"/>
      <c r="B27" s="5" t="s">
        <v>35</v>
      </c>
      <c r="C27" s="4"/>
      <c r="D27" s="4"/>
      <c r="E27" s="9">
        <f>(G25*F25-H25)/SQRT((F25^2-I25)*(F25^2-J25))</f>
        <v>-1.4395224874990158E-2</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0</v>
      </c>
      <c r="E32" s="4">
        <f>CM_FAC2!D2</f>
        <v>0</v>
      </c>
      <c r="F32" s="6">
        <f>SUM(C32:E32)</f>
        <v>0</v>
      </c>
    </row>
    <row r="33" spans="1:11" x14ac:dyDescent="0.45">
      <c r="A33" s="39"/>
      <c r="B33" s="1" t="s">
        <v>2</v>
      </c>
      <c r="C33" s="4">
        <f>CM_FAC2!B3</f>
        <v>1</v>
      </c>
      <c r="D33" s="3">
        <f>CM_FAC2!C3</f>
        <v>4</v>
      </c>
      <c r="E33" s="4">
        <f>CM_FAC2!D3</f>
        <v>5</v>
      </c>
      <c r="F33" s="6">
        <f t="shared" ref="F33:F34" si="3">SUM(C33:E33)</f>
        <v>10</v>
      </c>
    </row>
    <row r="34" spans="1:11" x14ac:dyDescent="0.45">
      <c r="A34" s="39"/>
      <c r="B34" s="1" t="s">
        <v>3</v>
      </c>
      <c r="C34" s="4">
        <f>CM_FAC2!B4</f>
        <v>20</v>
      </c>
      <c r="D34" s="4">
        <f>CM_FAC2!C4</f>
        <v>181</v>
      </c>
      <c r="E34" s="3">
        <f>CM_FAC2!D4</f>
        <v>191</v>
      </c>
      <c r="F34" s="6">
        <f t="shared" si="3"/>
        <v>392</v>
      </c>
      <c r="G34" s="26" t="s">
        <v>36</v>
      </c>
      <c r="H34" s="26" t="s">
        <v>165</v>
      </c>
      <c r="I34" s="26" t="s">
        <v>163</v>
      </c>
      <c r="J34" s="26" t="s">
        <v>164</v>
      </c>
    </row>
    <row r="35" spans="1:11" x14ac:dyDescent="0.45">
      <c r="A35" s="2"/>
      <c r="B35" s="1" t="s">
        <v>34</v>
      </c>
      <c r="C35" s="6">
        <f>SUM(C32:C34)</f>
        <v>21</v>
      </c>
      <c r="D35" s="6">
        <f>SUM(D32:D34)</f>
        <v>185</v>
      </c>
      <c r="E35" s="6">
        <f>SUM(E32:E34)</f>
        <v>196</v>
      </c>
      <c r="F35" s="6">
        <f>SUM(C35:E35)</f>
        <v>402</v>
      </c>
      <c r="G35" s="8">
        <f>C32+D33+E34</f>
        <v>195</v>
      </c>
      <c r="H35" s="8">
        <f>(C35*F32)+(D35*F33)+(E35*F34)</f>
        <v>78682</v>
      </c>
      <c r="I35" s="8">
        <f>(C35^2)+(D35^2)+(E35^2)</f>
        <v>73082</v>
      </c>
      <c r="J35" s="8">
        <f>(F32^2)+(F33^2)+(F34^2)</f>
        <v>153764</v>
      </c>
      <c r="K35" s="10"/>
    </row>
    <row r="36" spans="1:11" x14ac:dyDescent="0.45">
      <c r="A36" s="4"/>
      <c r="B36" s="5" t="s">
        <v>25</v>
      </c>
      <c r="C36" s="6"/>
      <c r="D36" s="6"/>
      <c r="E36" s="16">
        <f>(C32+D33+E34)/F35</f>
        <v>0.48507462686567165</v>
      </c>
      <c r="F36" s="4"/>
    </row>
    <row r="37" spans="1:11" x14ac:dyDescent="0.45">
      <c r="A37" s="4"/>
      <c r="B37" s="5" t="s">
        <v>35</v>
      </c>
      <c r="C37" s="4"/>
      <c r="D37" s="4"/>
      <c r="E37" s="9">
        <f>(G35*F35-H35)/SQRT((F35^2-I35)*(F35^2-J35))</f>
        <v>-1.1084068762473262E-2</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0</v>
      </c>
      <c r="D42" s="4">
        <f>CM_TRU1!C2</f>
        <v>0</v>
      </c>
      <c r="E42" s="4">
        <f>CM_TRU1!D2</f>
        <v>0</v>
      </c>
      <c r="F42" s="6">
        <f>SUM(C42:E42)</f>
        <v>0</v>
      </c>
    </row>
    <row r="43" spans="1:11" x14ac:dyDescent="0.45">
      <c r="A43" s="39"/>
      <c r="B43" s="1" t="s">
        <v>2</v>
      </c>
      <c r="C43" s="4">
        <f>CM_TRU1!B3</f>
        <v>30</v>
      </c>
      <c r="D43" s="3">
        <f>CM_TRU1!C3</f>
        <v>102</v>
      </c>
      <c r="E43" s="4">
        <f>CM_TRU1!D3</f>
        <v>53</v>
      </c>
      <c r="F43" s="6">
        <f t="shared" ref="F43:F44" si="4">SUM(C43:E43)</f>
        <v>185</v>
      </c>
    </row>
    <row r="44" spans="1:11" x14ac:dyDescent="0.45">
      <c r="A44" s="39"/>
      <c r="B44" s="1" t="s">
        <v>3</v>
      </c>
      <c r="C44" s="4">
        <f>CM_TRU1!B4</f>
        <v>27</v>
      </c>
      <c r="D44" s="4">
        <f>CM_TRU1!C4</f>
        <v>115</v>
      </c>
      <c r="E44" s="3">
        <f>CM_TRU1!D4</f>
        <v>75</v>
      </c>
      <c r="F44" s="6">
        <f t="shared" si="4"/>
        <v>217</v>
      </c>
      <c r="G44" s="26" t="s">
        <v>36</v>
      </c>
      <c r="H44" s="26" t="s">
        <v>165</v>
      </c>
      <c r="I44" s="26" t="s">
        <v>163</v>
      </c>
      <c r="J44" s="26" t="s">
        <v>164</v>
      </c>
    </row>
    <row r="45" spans="1:11" x14ac:dyDescent="0.45">
      <c r="A45" s="2"/>
      <c r="B45" s="1" t="s">
        <v>34</v>
      </c>
      <c r="C45" s="6">
        <f>SUM(C42:C44)</f>
        <v>57</v>
      </c>
      <c r="D45" s="6">
        <f>SUM(D42:D44)</f>
        <v>217</v>
      </c>
      <c r="E45" s="6">
        <f>SUM(E42:E44)</f>
        <v>128</v>
      </c>
      <c r="F45" s="6">
        <f>SUM(C45:E45)</f>
        <v>402</v>
      </c>
      <c r="G45" s="8">
        <f>C42+D43+E44</f>
        <v>177</v>
      </c>
      <c r="H45" s="8">
        <f>(C45*F42)+(D45*F43)+(E45*F44)</f>
        <v>67921</v>
      </c>
      <c r="I45" s="8">
        <f>(C45^2)+(D45^2)+(E45^2)</f>
        <v>66722</v>
      </c>
      <c r="J45" s="8">
        <f>(F42^2)+(F43^2)+(F44^2)</f>
        <v>81314</v>
      </c>
      <c r="K45" s="10"/>
    </row>
    <row r="46" spans="1:11" x14ac:dyDescent="0.45">
      <c r="A46" s="4"/>
      <c r="B46" s="5" t="s">
        <v>25</v>
      </c>
      <c r="C46" s="6"/>
      <c r="D46" s="6"/>
      <c r="E46" s="16">
        <f>(C42+D43+E44)/F45</f>
        <v>0.44029850746268656</v>
      </c>
      <c r="F46" s="4"/>
    </row>
    <row r="47" spans="1:11" x14ac:dyDescent="0.45">
      <c r="A47" s="4"/>
      <c r="B47" s="5" t="s">
        <v>35</v>
      </c>
      <c r="C47" s="4"/>
      <c r="D47" s="4"/>
      <c r="E47" s="9">
        <f>(G45*F45-H45)/SQRT((F45^2-I45)*(F45^2-J45))</f>
        <v>3.7041030493304247E-2</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0</v>
      </c>
      <c r="D52" s="4">
        <f>CM_TRU2!C2</f>
        <v>0</v>
      </c>
      <c r="E52" s="4">
        <f>CM_TRU2!D2</f>
        <v>0</v>
      </c>
      <c r="F52" s="6">
        <f>SUM(C52:E52)</f>
        <v>0</v>
      </c>
    </row>
    <row r="53" spans="1:11" x14ac:dyDescent="0.45">
      <c r="A53" s="39"/>
      <c r="B53" s="1" t="s">
        <v>2</v>
      </c>
      <c r="C53" s="4">
        <f>CM_TRU2!B3</f>
        <v>1</v>
      </c>
      <c r="D53" s="3">
        <f>CM_TRU2!C3</f>
        <v>8</v>
      </c>
      <c r="E53" s="4">
        <f>CM_TRU2!D3</f>
        <v>2</v>
      </c>
      <c r="F53" s="6">
        <f t="shared" ref="F53:F54" si="5">SUM(C53:E53)</f>
        <v>11</v>
      </c>
    </row>
    <row r="54" spans="1:11" x14ac:dyDescent="0.45">
      <c r="A54" s="39"/>
      <c r="B54" s="1" t="s">
        <v>3</v>
      </c>
      <c r="C54" s="4">
        <f>CM_TRU2!B4</f>
        <v>69</v>
      </c>
      <c r="D54" s="4">
        <f>CM_TRU2!C4</f>
        <v>169</v>
      </c>
      <c r="E54" s="3">
        <f>CM_TRU2!D4</f>
        <v>153</v>
      </c>
      <c r="F54" s="6">
        <f t="shared" si="5"/>
        <v>391</v>
      </c>
      <c r="G54" s="26" t="s">
        <v>36</v>
      </c>
      <c r="H54" s="26" t="s">
        <v>165</v>
      </c>
      <c r="I54" s="26" t="s">
        <v>163</v>
      </c>
      <c r="J54" s="26" t="s">
        <v>164</v>
      </c>
    </row>
    <row r="55" spans="1:11" x14ac:dyDescent="0.45">
      <c r="A55" s="2"/>
      <c r="B55" s="1" t="s">
        <v>34</v>
      </c>
      <c r="C55" s="6">
        <f>SUM(C52:C54)</f>
        <v>70</v>
      </c>
      <c r="D55" s="6">
        <f>SUM(D52:D54)</f>
        <v>177</v>
      </c>
      <c r="E55" s="6">
        <f>SUM(E52:E54)</f>
        <v>155</v>
      </c>
      <c r="F55" s="6">
        <f>SUM(C55:E55)</f>
        <v>402</v>
      </c>
      <c r="G55" s="8">
        <f>C52+D53+E54</f>
        <v>161</v>
      </c>
      <c r="H55" s="8">
        <f>(C55*F52)+(D55*F53)+(E55*F54)</f>
        <v>62552</v>
      </c>
      <c r="I55" s="8">
        <f>(C55^2)+(D55^2)+(E55^2)</f>
        <v>60254</v>
      </c>
      <c r="J55" s="8">
        <f>(F52^2)+(F53^2)+(F54^2)</f>
        <v>153002</v>
      </c>
      <c r="K55" s="10"/>
    </row>
    <row r="56" spans="1:11" x14ac:dyDescent="0.45">
      <c r="A56" s="4"/>
      <c r="B56" s="5" t="s">
        <v>25</v>
      </c>
      <c r="C56" s="6"/>
      <c r="D56" s="6"/>
      <c r="E56" s="16">
        <f>(C52+D53+E54)/F55</f>
        <v>0.40049751243781095</v>
      </c>
      <c r="F56" s="4"/>
    </row>
    <row r="57" spans="1:11" x14ac:dyDescent="0.45">
      <c r="A57" s="4"/>
      <c r="B57" s="5" t="s">
        <v>35</v>
      </c>
      <c r="C57" s="4"/>
      <c r="D57" s="4"/>
      <c r="E57" s="9">
        <f>(G55*F55-H55)/SQRT((F55^2-I55)*(F55^2-J55))</f>
        <v>7.3493365945826769E-2</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1</v>
      </c>
      <c r="D62">
        <f>CM_TRU3!C2</f>
        <v>0</v>
      </c>
      <c r="E62">
        <f>CM_TRU3!D2</f>
        <v>0</v>
      </c>
      <c r="F62" s="6">
        <f>SUM(C62:E62)</f>
        <v>1</v>
      </c>
    </row>
    <row r="63" spans="1:11" x14ac:dyDescent="0.45">
      <c r="A63" s="39"/>
      <c r="B63" s="1" t="s">
        <v>2</v>
      </c>
      <c r="C63">
        <f>CM_TRU3!B3</f>
        <v>26</v>
      </c>
      <c r="D63" s="3">
        <f>CM_TRU3!C3</f>
        <v>94</v>
      </c>
      <c r="E63">
        <f>CM_TRU3!D3</f>
        <v>45</v>
      </c>
      <c r="F63" s="6">
        <f t="shared" ref="F63:F64" si="6">SUM(C63:E63)</f>
        <v>165</v>
      </c>
    </row>
    <row r="64" spans="1:11" x14ac:dyDescent="0.45">
      <c r="A64" s="39"/>
      <c r="B64" s="1" t="s">
        <v>3</v>
      </c>
      <c r="C64">
        <f>CM_TRU3!B4</f>
        <v>44</v>
      </c>
      <c r="D64">
        <f>CM_TRU3!C4</f>
        <v>123</v>
      </c>
      <c r="E64" s="3">
        <f>CM_TRU3!D4</f>
        <v>69</v>
      </c>
      <c r="F64" s="12">
        <f t="shared" si="6"/>
        <v>236</v>
      </c>
      <c r="G64" s="26" t="s">
        <v>36</v>
      </c>
      <c r="H64" s="26" t="s">
        <v>165</v>
      </c>
      <c r="I64" s="26" t="s">
        <v>163</v>
      </c>
      <c r="J64" s="26" t="s">
        <v>164</v>
      </c>
    </row>
    <row r="65" spans="1:11" x14ac:dyDescent="0.45">
      <c r="A65" s="2"/>
      <c r="B65" s="1" t="s">
        <v>34</v>
      </c>
      <c r="C65" s="6">
        <f>SUM(C62:C64)</f>
        <v>71</v>
      </c>
      <c r="D65" s="6">
        <f>SUM(D62:D64)</f>
        <v>217</v>
      </c>
      <c r="E65" s="14">
        <f>SUM(E62:E64)</f>
        <v>114</v>
      </c>
      <c r="F65" s="6">
        <f>SUM(C65:E65)</f>
        <v>402</v>
      </c>
      <c r="G65" s="8">
        <f>C62+D63+E64</f>
        <v>164</v>
      </c>
      <c r="H65" s="8">
        <f>(C65*F62)+(D65*F63)+(E65*F64)</f>
        <v>62780</v>
      </c>
      <c r="I65" s="8">
        <f>(C65^2)+(D65^2)+(E65^2)</f>
        <v>65126</v>
      </c>
      <c r="J65" s="8">
        <f>(F62^2)+(F63^2)+(F64^2)</f>
        <v>82922</v>
      </c>
      <c r="K65" s="10"/>
    </row>
    <row r="66" spans="1:11" x14ac:dyDescent="0.45">
      <c r="A66" s="4"/>
      <c r="B66" s="5" t="s">
        <v>25</v>
      </c>
      <c r="C66" s="6"/>
      <c r="D66" s="6"/>
      <c r="E66" s="16">
        <f>(C62+D63+E64)/F65</f>
        <v>0.4079601990049751</v>
      </c>
      <c r="F66" s="4"/>
    </row>
    <row r="67" spans="1:11" x14ac:dyDescent="0.45">
      <c r="A67" s="4"/>
      <c r="B67" s="5" t="s">
        <v>35</v>
      </c>
      <c r="C67" s="4"/>
      <c r="D67" s="4"/>
      <c r="E67" s="9">
        <f>(G65*F65-H65)/SQRT((F65^2-I65)*(F65^2-J65))</f>
        <v>3.613124132271929E-2</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0</v>
      </c>
      <c r="D71" s="4">
        <f>CM_TRU4!C2</f>
        <v>22</v>
      </c>
      <c r="E71" s="4">
        <f>CM_TRU4!D2</f>
        <v>24</v>
      </c>
      <c r="F71" s="6">
        <f>SUM(C71:E71)</f>
        <v>46</v>
      </c>
    </row>
    <row r="72" spans="1:11" x14ac:dyDescent="0.45">
      <c r="A72" s="39"/>
      <c r="B72" s="1" t="s">
        <v>2</v>
      </c>
      <c r="C72" s="4">
        <f>CM_TRU4!B3</f>
        <v>0</v>
      </c>
      <c r="D72" s="3">
        <f>CM_TRU4!C3</f>
        <v>105</v>
      </c>
      <c r="E72" s="4">
        <f>CM_TRU4!D3</f>
        <v>129</v>
      </c>
      <c r="F72" s="6">
        <f t="shared" ref="F72:F73" si="7">SUM(C72:E72)</f>
        <v>234</v>
      </c>
    </row>
    <row r="73" spans="1:11" x14ac:dyDescent="0.45">
      <c r="A73" s="39"/>
      <c r="B73" s="1" t="s">
        <v>3</v>
      </c>
      <c r="C73" s="4">
        <f>CM_TRU4!B4</f>
        <v>0</v>
      </c>
      <c r="D73" s="4">
        <f>CM_TRU4!C4</f>
        <v>57</v>
      </c>
      <c r="E73" s="3">
        <f>CM_TRU4!D4</f>
        <v>65</v>
      </c>
      <c r="F73" s="6">
        <f t="shared" si="7"/>
        <v>122</v>
      </c>
      <c r="G73" s="26" t="s">
        <v>36</v>
      </c>
      <c r="H73" s="26" t="s">
        <v>165</v>
      </c>
      <c r="I73" s="26" t="s">
        <v>163</v>
      </c>
      <c r="J73" s="26" t="s">
        <v>164</v>
      </c>
    </row>
    <row r="74" spans="1:11" x14ac:dyDescent="0.45">
      <c r="A74" s="2"/>
      <c r="B74" s="1" t="s">
        <v>34</v>
      </c>
      <c r="C74" s="6">
        <f>SUM(C71:C73)</f>
        <v>0</v>
      </c>
      <c r="D74" s="6">
        <f>SUM(D71:D73)</f>
        <v>184</v>
      </c>
      <c r="E74" s="6">
        <f>SUM(E71:E73)</f>
        <v>218</v>
      </c>
      <c r="F74" s="6">
        <f>SUM(C74:E74)</f>
        <v>402</v>
      </c>
      <c r="G74" s="8">
        <f>C71+D72+E73</f>
        <v>170</v>
      </c>
      <c r="H74" s="8">
        <f>(C74*F71)+(D74*F72)+(E74*F73)</f>
        <v>69652</v>
      </c>
      <c r="I74" s="8">
        <f>(C74^2)+(D74^2)+(E74^2)</f>
        <v>81380</v>
      </c>
      <c r="J74" s="8">
        <f>(F71^2)+(F72^2)+(F73^2)</f>
        <v>71756</v>
      </c>
      <c r="K74" s="10"/>
    </row>
    <row r="75" spans="1:11" x14ac:dyDescent="0.45">
      <c r="A75" s="4"/>
      <c r="B75" s="5" t="s">
        <v>25</v>
      </c>
      <c r="C75" s="6"/>
      <c r="D75" s="6"/>
      <c r="E75" s="16">
        <f>(C71+D72+E73)/F74</f>
        <v>0.4228855721393035</v>
      </c>
      <c r="F75" s="4"/>
    </row>
    <row r="76" spans="1:11" x14ac:dyDescent="0.45">
      <c r="A76" s="4"/>
      <c r="B76" s="5" t="s">
        <v>35</v>
      </c>
      <c r="C76" s="4"/>
      <c r="D76" s="4"/>
      <c r="E76" s="9">
        <f>(G74*F74-H74)/SQRT((F74^2-I74)*(F74^2-J74))</f>
        <v>-1.5453521894237963E-2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0</v>
      </c>
      <c r="E81">
        <f>CM_OUT1!D2</f>
        <v>0</v>
      </c>
      <c r="F81" s="6">
        <f>SUM(C81:E81)</f>
        <v>0</v>
      </c>
    </row>
    <row r="82" spans="1:11" x14ac:dyDescent="0.45">
      <c r="A82" s="39"/>
      <c r="B82" s="1" t="s">
        <v>2</v>
      </c>
      <c r="C82">
        <f>CM_OUT1!B3</f>
        <v>0</v>
      </c>
      <c r="D82" s="7">
        <f>CM_OUT1!C3</f>
        <v>8</v>
      </c>
      <c r="E82">
        <f>CM_OUT1!D3</f>
        <v>5</v>
      </c>
      <c r="F82" s="6">
        <f t="shared" ref="F82:F83" si="8">SUM(C82:E82)</f>
        <v>13</v>
      </c>
    </row>
    <row r="83" spans="1:11" x14ac:dyDescent="0.45">
      <c r="A83" s="39"/>
      <c r="B83" s="1" t="s">
        <v>3</v>
      </c>
      <c r="C83">
        <f>CM_OUT1!B4</f>
        <v>35</v>
      </c>
      <c r="D83">
        <f>CM_OUT1!C4</f>
        <v>185</v>
      </c>
      <c r="E83" s="7">
        <f>CM_OUT1!D4</f>
        <v>169</v>
      </c>
      <c r="F83" s="6">
        <f t="shared" si="8"/>
        <v>389</v>
      </c>
      <c r="G83" s="26" t="s">
        <v>36</v>
      </c>
      <c r="H83" s="26" t="s">
        <v>165</v>
      </c>
      <c r="I83" s="26" t="s">
        <v>163</v>
      </c>
      <c r="J83" s="26" t="s">
        <v>164</v>
      </c>
    </row>
    <row r="84" spans="1:11" x14ac:dyDescent="0.45">
      <c r="A84" s="2"/>
      <c r="B84" s="1" t="s">
        <v>34</v>
      </c>
      <c r="C84" s="6">
        <f>SUM(C81:C83)</f>
        <v>35</v>
      </c>
      <c r="D84" s="6">
        <f>SUM(D81:D83)</f>
        <v>193</v>
      </c>
      <c r="E84" s="6">
        <f>SUM(E81:E83)</f>
        <v>174</v>
      </c>
      <c r="F84" s="6">
        <f>SUM(C84:E84)</f>
        <v>402</v>
      </c>
      <c r="G84" s="8">
        <f>C81+D82+E83</f>
        <v>177</v>
      </c>
      <c r="H84" s="8">
        <f>(C84*F81)+(D84*F82)+(E84*F83)</f>
        <v>70195</v>
      </c>
      <c r="I84" s="8">
        <f>(C84^2)+(D84^2)+(E84^2)</f>
        <v>68750</v>
      </c>
      <c r="J84" s="8">
        <f>(F81^2)+(F82^2)+(F83^2)</f>
        <v>151490</v>
      </c>
      <c r="K84" s="10"/>
    </row>
    <row r="85" spans="1:11" x14ac:dyDescent="0.45">
      <c r="A85" s="4"/>
      <c r="B85" s="5" t="s">
        <v>25</v>
      </c>
      <c r="C85" s="6"/>
      <c r="D85" s="6"/>
      <c r="E85" s="16">
        <f>(C81+D82+E83)/F84</f>
        <v>0.44029850746268656</v>
      </c>
      <c r="F85" s="4"/>
    </row>
    <row r="86" spans="1:11" x14ac:dyDescent="0.45">
      <c r="A86" s="4"/>
      <c r="B86" s="5" t="s">
        <v>35</v>
      </c>
      <c r="C86" s="4"/>
      <c r="D86" s="4"/>
      <c r="E86" s="9">
        <f>(G84*F84-H84)/SQRT((F84^2-I84)*(F84^2-J84))</f>
        <v>3.1293693449258177E-2</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0</v>
      </c>
      <c r="C2" s="4">
        <f>COUNTIFS(step3_combined_data!$T$2:$T$404,"Neutral", step3_combined_data!$R$2:$R$404,"Oppose")</f>
        <v>3</v>
      </c>
      <c r="D2" s="4">
        <f>COUNTIFS(step3_combined_data!$T$2:$T$404,"Support", step3_combined_data!$R$2:$R$404,"Oppose")</f>
        <v>3</v>
      </c>
    </row>
    <row r="3" spans="1:4" x14ac:dyDescent="0.45">
      <c r="A3" s="1" t="s">
        <v>2</v>
      </c>
      <c r="B3" s="4">
        <f>COUNTIFS(step3_combined_data!$T$2:$T$404,"Oppose", step3_combined_data!$R$2:$R$404,"Neutral")</f>
        <v>34</v>
      </c>
      <c r="C3" s="4">
        <f>COUNTIFS(step3_combined_data!$T$2:$T$404,"Neutral", step3_combined_data!$R$2:$R$404,"Neutral")</f>
        <v>124</v>
      </c>
      <c r="D3" s="4">
        <f>COUNTIFS(step3_combined_data!$T$2:$T$404,"Support", step3_combined_data!$R$2:$R$404,"Neutral")</f>
        <v>117</v>
      </c>
    </row>
    <row r="4" spans="1:4" x14ac:dyDescent="0.45">
      <c r="A4" s="1" t="s">
        <v>3</v>
      </c>
      <c r="B4" s="4">
        <f>COUNTIFS(step3_combined_data!$T$2:$T$404,"Oppose", step3_combined_data!$R$2:$R$404,"Support")</f>
        <v>21</v>
      </c>
      <c r="C4" s="4">
        <f>COUNTIFS(step3_combined_data!$T$2:$T$404,"Neutral", step3_combined_data!$R$2:$R$404,"Support")</f>
        <v>53</v>
      </c>
      <c r="D4" s="4">
        <f>COUNTIFS(step3_combined_data!$T$2:$T$404,"Support", step3_combined_data!$R$2:$R$404,"Support")</f>
        <v>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2</v>
      </c>
      <c r="D2" s="4">
        <f>COUNTIFS(step3_combined_data!$Y$2:$Y$404,"Support", step3_combined_data!$W$2:$W$404,"Oppose")</f>
        <v>2</v>
      </c>
    </row>
    <row r="3" spans="1:4" x14ac:dyDescent="0.45">
      <c r="A3" s="1" t="s">
        <v>2</v>
      </c>
      <c r="B3" s="4">
        <f>COUNTIFS(step3_combined_data!$Y$2:$Y$404,"Oppose", step3_combined_data!$W$2:$W$404,"Neutral")</f>
        <v>20</v>
      </c>
      <c r="C3" s="4">
        <f>COUNTIFS(step3_combined_data!$Y$2:$Y$404,"Neutral", step3_combined_data!$W$2:$W$404,"Neutral")</f>
        <v>82</v>
      </c>
      <c r="D3" s="4">
        <f>COUNTIFS(step3_combined_data!$Y$2:$Y$404,"Support", step3_combined_data!$W$2:$W$404,"Neutral")</f>
        <v>106</v>
      </c>
    </row>
    <row r="4" spans="1:4" x14ac:dyDescent="0.45">
      <c r="A4" s="1" t="s">
        <v>3</v>
      </c>
      <c r="B4" s="4">
        <f>COUNTIFS(step3_combined_data!$Y$2:$Y$404,"Oppose", step3_combined_data!$W$2:$W$404,"Support")</f>
        <v>25</v>
      </c>
      <c r="C4" s="4">
        <f>COUNTIFS(step3_combined_data!$Y$2:$Y$404,"Neutral", step3_combined_data!$W$2:$W$404,"Support")</f>
        <v>82</v>
      </c>
      <c r="D4" s="4">
        <f>COUNTIFS(step3_combined_data!$Y$2:$Y$404,"Support", step3_combined_data!$W$2:$W$404,"Support")</f>
        <v>83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1</v>
      </c>
      <c r="C2" s="4">
        <f>COUNTIFS(step3_combined_data!$AD$2:$AD$404,"Neutral", step3_combined_data!$AB$2:$AB$404,"Oppose")</f>
        <v>0</v>
      </c>
      <c r="D2" s="4">
        <f>COUNTIFS(step3_combined_data!$AD$2:$AD$404,"Support", step3_combined_data!$AB$2:$AB$404,"Oppose")</f>
        <v>0</v>
      </c>
    </row>
    <row r="3" spans="1:4" x14ac:dyDescent="0.45">
      <c r="A3" s="1" t="s">
        <v>2</v>
      </c>
      <c r="B3" s="4">
        <f>COUNTIFS(step3_combined_data!$AD$2:$AD$404,"Oppose", step3_combined_data!$AB$2:$AB$404,"Neutral")</f>
        <v>22</v>
      </c>
      <c r="C3" s="4">
        <f>COUNTIFS(step3_combined_data!$AD$2:$AD$404,"Neutral", step3_combined_data!$AB$2:$AB$404,"Neutral")</f>
        <v>32</v>
      </c>
      <c r="D3" s="4">
        <f>COUNTIFS(step3_combined_data!$AD$2:$AD$404,"Support", step3_combined_data!$AB$2:$AB$404,"Neutral")</f>
        <v>29</v>
      </c>
    </row>
    <row r="4" spans="1:4" x14ac:dyDescent="0.45">
      <c r="A4" s="1" t="s">
        <v>3</v>
      </c>
      <c r="B4" s="4">
        <f>COUNTIFS(step3_combined_data!$AD$2:$AD$404,"Oppose", step3_combined_data!$AB$2:$AB$404,"Support")</f>
        <v>60</v>
      </c>
      <c r="C4" s="4">
        <f>COUNTIFS(step3_combined_data!$AD$2:$AD$404,"Neutral", step3_combined_data!$AB$2:$AB$404,"Support")</f>
        <v>144</v>
      </c>
      <c r="D4" s="4">
        <f>COUNTIFS(step3_combined_data!$AD$2:$AD$404,"Support", step3_combined_data!$AB$2:$AB$404,"Support")</f>
        <v>114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0</v>
      </c>
      <c r="D2" s="4">
        <f>COUNTIFS(step3_combined_data!$AI$2:$AI$404,"Support", step3_combined_data!$AG$2:$AG$404,"Oppose")</f>
        <v>0</v>
      </c>
    </row>
    <row r="3" spans="1:4" x14ac:dyDescent="0.45">
      <c r="A3" s="1" t="s">
        <v>2</v>
      </c>
      <c r="B3" s="4">
        <f>COUNTIFS(step3_combined_data!$AI$2:$AI$404,"Oppose", step3_combined_data!$AG$2:$AG$404,"Neutral")</f>
        <v>1</v>
      </c>
      <c r="C3" s="4">
        <f>COUNTIFS(step3_combined_data!$AI$2:$AI$404,"Neutral", step3_combined_data!$AG$2:$AG$404,"Neutral")</f>
        <v>4</v>
      </c>
      <c r="D3" s="4">
        <f>COUNTIFS(step3_combined_data!$AI$2:$AI$404,"Support", step3_combined_data!$AG$2:$AG$404,"Neutral")</f>
        <v>5</v>
      </c>
    </row>
    <row r="4" spans="1:4" x14ac:dyDescent="0.45">
      <c r="A4" s="1" t="s">
        <v>3</v>
      </c>
      <c r="B4" s="4">
        <f>COUNTIFS(step3_combined_data!$AI$2:$AI$404,"Oppose", step3_combined_data!$AG$2:$AG$404,"Support")</f>
        <v>20</v>
      </c>
      <c r="C4" s="4">
        <f>COUNTIFS(step3_combined_data!$AI$2:$AI$404,"Neutral", step3_combined_data!$AG$2:$AG$404,"Support")</f>
        <v>181</v>
      </c>
      <c r="D4" s="4">
        <f>COUNTIFS(step3_combined_data!$AI$2:$AI$404,"Support", step3_combined_data!$AG$2:$AG$404,"Support")</f>
        <v>191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0</v>
      </c>
      <c r="D2" s="4">
        <f>COUNTIFS(step3_combined_data!$AN$2:$AN$404,"Support", step3_combined_data!$AL$2:$AL$404,"Oppose")</f>
        <v>0</v>
      </c>
    </row>
    <row r="3" spans="1:4" x14ac:dyDescent="0.45">
      <c r="A3" s="1" t="s">
        <v>2</v>
      </c>
      <c r="B3" s="4">
        <f>COUNTIFS(step3_combined_data!$AN$2:$AN$404,"Oppose", step3_combined_data!$AL$2:$AL$404,"Neutral")</f>
        <v>30</v>
      </c>
      <c r="C3" s="4">
        <f>COUNTIFS(step3_combined_data!$AN$2:$AN$404,"Neutral", step3_combined_data!$AL$2:$AL$404,"Neutral")</f>
        <v>102</v>
      </c>
      <c r="D3" s="4">
        <f>COUNTIFS(step3_combined_data!$AN$2:$AN$404,"Support", step3_combined_data!$AL$2:$AL$404,"Neutral")</f>
        <v>53</v>
      </c>
    </row>
    <row r="4" spans="1:4" x14ac:dyDescent="0.45">
      <c r="A4" s="1" t="s">
        <v>3</v>
      </c>
      <c r="B4" s="4">
        <f>COUNTIFS(step3_combined_data!$AN$2:$AN$404,"Oppose", step3_combined_data!$AL$2:$AL$404,"Support")</f>
        <v>27</v>
      </c>
      <c r="C4" s="4">
        <f>COUNTIFS(step3_combined_data!$AN$2:$AN$404,"Neutral", step3_combined_data!$AL$2:$AL$404,"Support")</f>
        <v>115</v>
      </c>
      <c r="D4" s="4">
        <f>COUNTIFS(step3_combined_data!$AN$2:$AN$404,"Support", step3_combined_data!$AL$2:$AL$404,"Support")</f>
        <v>75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0</v>
      </c>
      <c r="D2" s="4">
        <f>COUNTIFS(step3_combined_data!$AS$2:$AS$404,"Support", step3_combined_data!$AQ$2:$AQ$404,"Oppose")</f>
        <v>0</v>
      </c>
    </row>
    <row r="3" spans="1:4" x14ac:dyDescent="0.45">
      <c r="A3" s="1" t="s">
        <v>2</v>
      </c>
      <c r="B3" s="4">
        <f>COUNTIFS(step3_combined_data!$AS$2:$AS$404,"Oppose", step3_combined_data!$AQ$2:$AQ$404,"Neutral")</f>
        <v>1</v>
      </c>
      <c r="C3" s="4">
        <f>COUNTIFS(step3_combined_data!$AS$2:$AS$404,"Neutral", step3_combined_data!$AQ$2:$AQ$404,"Neutral")</f>
        <v>8</v>
      </c>
      <c r="D3" s="4">
        <f>COUNTIFS(step3_combined_data!$AS$2:$AS$404,"Support", step3_combined_data!$AQ$2:$AQ$404,"Neutral")</f>
        <v>2</v>
      </c>
    </row>
    <row r="4" spans="1:4" x14ac:dyDescent="0.45">
      <c r="A4" s="1" t="s">
        <v>3</v>
      </c>
      <c r="B4" s="4">
        <f>COUNTIFS(step3_combined_data!$AS$2:$AS$404,"Oppose", step3_combined_data!$AQ$2:$AQ$404,"Support")</f>
        <v>69</v>
      </c>
      <c r="C4" s="4">
        <f>COUNTIFS(step3_combined_data!$AS$2:$AS$404,"Neutral", step3_combined_data!$AQ$2:$AQ$404,"Support")</f>
        <v>169</v>
      </c>
      <c r="D4" s="4">
        <f>COUNTIFS(step3_combined_data!$AS$2:$AS$404,"Support", step3_combined_data!$AQ$2:$AQ$404,"Support")</f>
        <v>153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1</v>
      </c>
      <c r="C2" s="4">
        <f>COUNTIFS(step3_combined_data!$AX$2:$AX$404,"Neutral", step3_combined_data!$AV$2:$AV$404,"Oppose")</f>
        <v>0</v>
      </c>
      <c r="D2" s="4">
        <f>COUNTIFS(step3_combined_data!$AX$2:$AX$404,"Support", step3_combined_data!$AV$2:$AV$404,"Oppose")</f>
        <v>0</v>
      </c>
    </row>
    <row r="3" spans="1:4" x14ac:dyDescent="0.45">
      <c r="A3" s="1" t="s">
        <v>2</v>
      </c>
      <c r="B3" s="4">
        <f>COUNTIFS(step3_combined_data!$AX$2:$AX$404,"Oppose", step3_combined_data!$AV$2:$AV$404,"Neutral")</f>
        <v>26</v>
      </c>
      <c r="C3" s="4">
        <f>COUNTIFS(step3_combined_data!$AX$2:$AX$404,"Neutral", step3_combined_data!$AV$2:$AV$404,"Neutral")</f>
        <v>94</v>
      </c>
      <c r="D3" s="4">
        <f>COUNTIFS(step3_combined_data!$AX$2:$AX$404,"Support", step3_combined_data!$AV$2:$AV$404,"Neutral")</f>
        <v>45</v>
      </c>
    </row>
    <row r="4" spans="1:4" x14ac:dyDescent="0.45">
      <c r="A4" s="1" t="s">
        <v>3</v>
      </c>
      <c r="B4" s="4">
        <f>COUNTIFS(step3_combined_data!$AX$2:$AX$404,"Oppose", step3_combined_data!$AV$2:$AV$404,"Support")</f>
        <v>44</v>
      </c>
      <c r="C4" s="4">
        <f>COUNTIFS(step3_combined_data!$AX$2:$AX$404,"Neutral", step3_combined_data!$AV$2:$AV$404,"Support")</f>
        <v>123</v>
      </c>
      <c r="D4" s="4">
        <f>COUNTIFS(step3_combined_data!$AX$2:$AX$404,"Support", step3_combined_data!$AV$2:$AV$404,"Support")</f>
        <v>69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0</v>
      </c>
      <c r="C2" s="4">
        <f>COUNTIFS(step3_combined_data!$BA$2:$BA$404,"Neutral", step3_combined_data!$BC$2:$BC$404,"Oppose")</f>
        <v>22</v>
      </c>
      <c r="D2" s="4">
        <f>COUNTIFS(step3_combined_data!$BA$2:$BA$404,"Support", step3_combined_data!$BC$2:$BC$404,"Oppose")</f>
        <v>24</v>
      </c>
    </row>
    <row r="3" spans="1:4" x14ac:dyDescent="0.45">
      <c r="A3" s="1" t="s">
        <v>2</v>
      </c>
      <c r="B3" s="4">
        <f>COUNTIFS(step3_combined_data!$BA$2:$BA$404,"Oppose", step3_combined_data!$BC$2:$BC$404,"Neutral")</f>
        <v>0</v>
      </c>
      <c r="C3" s="4">
        <f>COUNTIFS(step3_combined_data!$BA$2:$BA$404,"Neutral", step3_combined_data!$BC$2:$BC$404,"Neutral")</f>
        <v>105</v>
      </c>
      <c r="D3" s="4">
        <f>COUNTIFS(step3_combined_data!$BA$2:$BA$404,"Support", step3_combined_data!$BC$2:$BC$404,"Neutral")</f>
        <v>129</v>
      </c>
    </row>
    <row r="4" spans="1:4" x14ac:dyDescent="0.45">
      <c r="A4" s="1" t="s">
        <v>3</v>
      </c>
      <c r="B4" s="4">
        <f>COUNTIFS(step3_combined_data!$BA$2:$BA$404,"Oppose", step3_combined_data!$BC$2:$BC$404,"Support")</f>
        <v>0</v>
      </c>
      <c r="C4" s="4">
        <f>COUNTIFS(step3_combined_data!$BA$2:$BA$404,"Neutral", step3_combined_data!$BC$2:$BC$404,"Support")</f>
        <v>57</v>
      </c>
      <c r="D4" s="4">
        <f>COUNTIFS(step3_combined_data!$BA$2:$BA$404,"Support", step3_combined_data!$BC$2:$BC$404,"Support")</f>
        <v>65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0</v>
      </c>
      <c r="D2" s="4">
        <f>COUNTIFS(step3_combined_data!$BH$2:$BH$404,"Support", step3_combined_data!$BF$2:$BF$404,"Oppose")</f>
        <v>0</v>
      </c>
    </row>
    <row r="3" spans="1:4" x14ac:dyDescent="0.45">
      <c r="A3" s="1" t="s">
        <v>2</v>
      </c>
      <c r="B3" s="4">
        <f>COUNTIFS(step3_combined_data!$BH$2:$BH$404,"Oppose", step3_combined_data!$BF$2:$BF$404,"Neutral")</f>
        <v>0</v>
      </c>
      <c r="C3" s="4">
        <f>COUNTIFS(step3_combined_data!$BH$2:$BH$404,"Neutral", step3_combined_data!$BF$2:$BF$404,"Neutral")</f>
        <v>8</v>
      </c>
      <c r="D3" s="4">
        <f>COUNTIFS(step3_combined_data!$BH$2:$BH$404,"Support", step3_combined_data!$BF$2:$BF$404,"Neutral")</f>
        <v>5</v>
      </c>
    </row>
    <row r="4" spans="1:4" x14ac:dyDescent="0.45">
      <c r="A4" s="1" t="s">
        <v>3</v>
      </c>
      <c r="B4" s="4">
        <f>COUNTIFS(step3_combined_data!$BH$2:$BH$404,"Oppose", step3_combined_data!$BF$2:$BF$404,"Support")</f>
        <v>35</v>
      </c>
      <c r="C4" s="4">
        <f>COUNTIFS(step3_combined_data!$BH$2:$BH$404,"Neutral", step3_combined_data!$BF$2:$BF$404,"Support")</f>
        <v>185</v>
      </c>
      <c r="D4" s="4">
        <f>COUNTIFS(step3_combined_data!$BH$2:$BH$404,"Support", step3_combined_data!$BF$2:$BF$404,"Support")</f>
        <v>169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step3_validation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2026-02-03T07:53:52Z</dcterms:modified>
</cp:coreProperties>
</file>